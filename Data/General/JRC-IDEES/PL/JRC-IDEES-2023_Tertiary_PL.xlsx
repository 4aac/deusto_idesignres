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6" i="12"/>
  <c r="Y16" i="7"/>
  <c r="X16" i="7"/>
  <c r="Y14" i="13"/>
  <c r="X13" i="12"/>
  <c r="X21" i="12"/>
  <c r="X20" i="12"/>
  <c r="X16" i="8"/>
  <c r="Y14" i="12"/>
  <c r="X7" i="12"/>
  <c r="Y6" i="12"/>
  <c r="X33" i="10"/>
  <c r="Y22" i="13"/>
  <c r="X22" i="13"/>
  <c r="Y21" i="13"/>
  <c r="X21" i="13"/>
  <c r="Y20" i="13"/>
  <c r="Y18" i="13"/>
  <c r="X18" i="10"/>
  <c r="Y17" i="13"/>
  <c r="X17" i="10"/>
  <c r="Y6" i="13"/>
  <c r="X5" i="10"/>
  <c r="Y33" i="10"/>
  <c r="Y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33" i="21"/>
  <c r="Y22" i="24"/>
  <c r="Y20" i="21"/>
  <c r="X18" i="24"/>
  <c r="Y17" i="24"/>
  <c r="X15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7" i="28" s="1"/>
  <c r="Y17" i="10"/>
  <c r="X8" i="12"/>
  <c r="Y24" i="23"/>
  <c r="Y5" i="10"/>
  <c r="Y24" i="12"/>
  <c r="X25" i="12"/>
  <c r="X23" i="21"/>
  <c r="Y23" i="10"/>
  <c r="Y10" i="12"/>
  <c r="X8" i="13"/>
  <c r="X11" i="12"/>
  <c r="Y8" i="24"/>
  <c r="Y8" i="13"/>
  <c r="Y7" i="24"/>
  <c r="X9" i="21"/>
  <c r="X25" i="24"/>
  <c r="X17" i="24"/>
  <c r="X17" i="27" s="1"/>
  <c r="X25" i="13"/>
  <c r="X12" i="12"/>
  <c r="X25" i="23"/>
  <c r="X25" i="26" s="1"/>
  <c r="X7" i="14"/>
  <c r="Y25" i="13"/>
  <c r="X31" i="23"/>
  <c r="X31" i="26" s="1"/>
  <c r="X26" i="13"/>
  <c r="Y31" i="23"/>
  <c r="Y10" i="13"/>
  <c r="Y10" i="16" s="1"/>
  <c r="Y26" i="13"/>
  <c r="X11" i="13"/>
  <c r="X8" i="24"/>
  <c r="Y26" i="24"/>
  <c r="Y8" i="25"/>
  <c r="X13" i="29"/>
  <c r="X12" i="24"/>
  <c r="X12" i="13"/>
  <c r="X30" i="13"/>
  <c r="Y13" i="29"/>
  <c r="Y5" i="31" s="1"/>
  <c r="Y9" i="25"/>
  <c r="Y12" i="24"/>
  <c r="Y21" i="25"/>
  <c r="X10" i="14"/>
  <c r="X30" i="14"/>
  <c r="Y12" i="13"/>
  <c r="X8" i="25"/>
  <c r="X8" i="28" s="1"/>
  <c r="Y52" i="38"/>
  <c r="X14" i="29"/>
  <c r="X6" i="29" s="1"/>
  <c r="X10" i="25"/>
  <c r="X10" i="28" s="1"/>
  <c r="X13" i="21"/>
  <c r="X31" i="24"/>
  <c r="X17" i="23"/>
  <c r="X22" i="24"/>
  <c r="X22" i="27" s="1"/>
  <c r="Y10" i="14"/>
  <c r="X31" i="13"/>
  <c r="Y33" i="12"/>
  <c r="X7" i="21"/>
  <c r="X32" i="23"/>
  <c r="Y17" i="23"/>
  <c r="X31" i="14"/>
  <c r="Y31" i="13"/>
  <c r="X14" i="30"/>
  <c r="X9" i="36"/>
  <c r="Y53" i="38"/>
  <c r="Y31" i="14"/>
  <c r="X32" i="10"/>
  <c r="Y19" i="22"/>
  <c r="X27" i="21"/>
  <c r="Y11" i="24"/>
  <c r="Y14" i="21"/>
  <c r="Y32" i="21"/>
  <c r="X17" i="13"/>
  <c r="X21" i="21"/>
  <c r="Y45" i="37"/>
  <c r="Y33" i="21"/>
  <c r="Y12" i="23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4" i="23"/>
  <c r="Y19" i="19"/>
  <c r="Y5" i="23"/>
  <c r="Y5" i="26" s="1"/>
  <c r="X14" i="36"/>
  <c r="X22" i="25"/>
  <c r="X22" i="28" s="1"/>
  <c r="X17" i="21"/>
  <c r="X32" i="21"/>
  <c r="X7" i="23"/>
  <c r="X7" i="26" s="1"/>
  <c r="X11" i="23"/>
  <c r="X11" i="26" s="1"/>
  <c r="Y26" i="12"/>
  <c r="Y29" i="7"/>
  <c r="Y37" i="6"/>
  <c r="X33" i="24"/>
  <c r="Y30" i="14"/>
  <c r="Y24" i="13"/>
  <c r="Y30" i="13"/>
  <c r="X18" i="12"/>
  <c r="X23" i="14"/>
  <c r="X28" i="12"/>
  <c r="X33" i="12"/>
  <c r="X27" i="6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5" i="21"/>
  <c r="Y23" i="24"/>
  <c r="Y28" i="24"/>
  <c r="Y16" i="18"/>
  <c r="Y32" i="25"/>
  <c r="Y32" i="28" s="1"/>
  <c r="Y5" i="13"/>
  <c r="X5" i="14"/>
  <c r="X19" i="11"/>
  <c r="X4" i="9"/>
  <c r="X15" i="10"/>
  <c r="Y13" i="12"/>
  <c r="X27" i="10"/>
  <c r="Y11" i="12"/>
  <c r="X5" i="25"/>
  <c r="X5" i="28" s="1"/>
  <c r="X28" i="13"/>
  <c r="Y9" i="13"/>
  <c r="Y16" i="9"/>
  <c r="Y16" i="13" s="1"/>
  <c r="Y9" i="39"/>
  <c r="Y17" i="38"/>
  <c r="Y46" i="3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X13" i="13"/>
  <c r="X9" i="39"/>
  <c r="X46" i="37"/>
  <c r="X21" i="23"/>
  <c r="X21" i="26" s="1"/>
  <c r="Y13" i="13"/>
  <c r="X19" i="7"/>
  <c r="X27" i="12" s="1"/>
  <c r="X29" i="7"/>
  <c r="Y19" i="18"/>
  <c r="Y31" i="25"/>
  <c r="Y9" i="38"/>
  <c r="Y52" i="37"/>
  <c r="X32" i="24"/>
  <c r="Y51" i="39"/>
  <c r="Y6" i="24"/>
  <c r="Y6" i="27" s="1"/>
  <c r="Y24" i="24"/>
  <c r="Y18" i="23"/>
  <c r="X16" i="9"/>
  <c r="X16" i="13" s="1"/>
  <c r="X19" i="8"/>
  <c r="Y33" i="6"/>
  <c r="X19" i="10"/>
  <c r="X103" i="6"/>
  <c r="X124" i="6" s="1"/>
  <c r="X17" i="37"/>
  <c r="X50" i="37" s="1"/>
  <c r="Y11" i="23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29" i="23" s="1"/>
  <c r="X17" i="29"/>
  <c r="X5" i="35" s="1"/>
  <c r="X18" i="27"/>
  <c r="X11" i="21"/>
  <c r="X23" i="10"/>
  <c r="X24" i="10"/>
  <c r="X104" i="6"/>
  <c r="Y8" i="30"/>
  <c r="Y24" i="10"/>
  <c r="X28" i="26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X8" i="10"/>
  <c r="X26" i="10"/>
  <c r="X114" i="6"/>
  <c r="X30" i="25"/>
  <c r="X30" i="28" s="1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X29" i="22"/>
  <c r="Y12" i="10"/>
  <c r="X24" i="6"/>
  <c r="X32" i="27"/>
  <c r="X23" i="28"/>
  <c r="X17" i="38"/>
  <c r="X53" i="37"/>
  <c r="X17" i="39"/>
  <c r="X47" i="38"/>
  <c r="Y14" i="29"/>
  <c r="X7" i="24"/>
  <c r="X26" i="24"/>
  <c r="Y21" i="23"/>
  <c r="X13" i="10"/>
  <c r="Y24" i="6"/>
  <c r="Y17" i="39"/>
  <c r="Y47" i="38"/>
  <c r="X15" i="29"/>
  <c r="X7" i="29" s="1"/>
  <c r="Y17" i="25"/>
  <c r="Y25" i="23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X26" i="6"/>
  <c r="X22" i="15" s="1"/>
  <c r="X33" i="39"/>
  <c r="Y51" i="38"/>
  <c r="X9" i="38"/>
  <c r="X52" i="38"/>
  <c r="X68" i="29"/>
  <c r="X6" i="30" s="1"/>
  <c r="X10" i="23"/>
  <c r="X10" i="26" s="1"/>
  <c r="Y5" i="29"/>
  <c r="X5" i="31"/>
  <c r="X5" i="29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13" i="24"/>
  <c r="X4" i="22"/>
  <c r="Y48" i="6"/>
  <c r="Y102" i="6"/>
  <c r="X8" i="35"/>
  <c r="Y4" i="18"/>
  <c r="Y3" i="18" s="1"/>
  <c r="Y15" i="18"/>
  <c r="Y15" i="24" s="1"/>
  <c r="X29" i="13"/>
  <c r="X16" i="14"/>
  <c r="X16" i="12"/>
  <c r="Y8" i="35"/>
  <c r="X8" i="34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4" i="11"/>
  <c r="Y5" i="14"/>
  <c r="Y4" i="8"/>
  <c r="Y5" i="12"/>
  <c r="Y139" i="6"/>
  <c r="Y149" i="6"/>
  <c r="X14" i="24"/>
  <c r="X14" i="27" s="1"/>
  <c r="X16" i="22"/>
  <c r="Y7" i="21"/>
  <c r="X16" i="20"/>
  <c r="X18" i="21"/>
  <c r="Y28" i="23"/>
  <c r="X16" i="18"/>
  <c r="X18" i="23"/>
  <c r="X18" i="26" s="1"/>
  <c r="Y7" i="13"/>
  <c r="Y11" i="13"/>
  <c r="Y23" i="13"/>
  <c r="X94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Y31" i="27"/>
  <c r="X163" i="6"/>
  <c r="X31" i="28"/>
  <c r="Y24" i="15"/>
  <c r="X8" i="26"/>
  <c r="Y28" i="27"/>
  <c r="Y28" i="26"/>
  <c r="X4" i="13"/>
  <c r="X31" i="6"/>
  <c r="Y18" i="26"/>
  <c r="Y25" i="27"/>
  <c r="Y19" i="23"/>
  <c r="Y19" i="26" s="1"/>
  <c r="Y29" i="26"/>
  <c r="X8" i="27"/>
  <c r="X90" i="6"/>
  <c r="Y5" i="39"/>
  <c r="Y37" i="39" s="1"/>
  <c r="X5" i="39"/>
  <c r="Y5" i="37"/>
  <c r="Y33" i="37" s="1"/>
  <c r="X12" i="36"/>
  <c r="X9" i="29"/>
  <c r="X3" i="35" s="1"/>
  <c r="Y24" i="26"/>
  <c r="Y23" i="26"/>
  <c r="Y31" i="26"/>
  <c r="Y13" i="26"/>
  <c r="Y23" i="28"/>
  <c r="Y26" i="26"/>
  <c r="Y25" i="26"/>
  <c r="Y24" i="27"/>
  <c r="Y17" i="28"/>
  <c r="Y31" i="28"/>
  <c r="Y17" i="26"/>
  <c r="Y8" i="27"/>
  <c r="Y12" i="27"/>
  <c r="Y11" i="27"/>
  <c r="Y33" i="26"/>
  <c r="Y23" i="27"/>
  <c r="Y17" i="27"/>
  <c r="Y14" i="26"/>
  <c r="Y22" i="27"/>
  <c r="Y15" i="27"/>
  <c r="Y29" i="28"/>
  <c r="Y10" i="26"/>
  <c r="Y18" i="27"/>
  <c r="Y21" i="26"/>
  <c r="Y9" i="28"/>
  <c r="Y14" i="27"/>
  <c r="Y11" i="26"/>
  <c r="Y33" i="27"/>
  <c r="Y9" i="27"/>
  <c r="Y21" i="28"/>
  <c r="Y26" i="27"/>
  <c r="Y10" i="27"/>
  <c r="Y13" i="27"/>
  <c r="Y12" i="26"/>
  <c r="Y8" i="26"/>
  <c r="X29" i="26"/>
  <c r="Y22" i="28"/>
  <c r="Y10" i="28"/>
  <c r="Y22" i="26"/>
  <c r="Y8" i="28"/>
  <c r="Y9" i="26"/>
  <c r="Y21" i="27"/>
  <c r="X15" i="12"/>
  <c r="X15" i="15" s="1"/>
  <c r="X92" i="6"/>
  <c r="Y29" i="12"/>
  <c r="Y29" i="15" s="1"/>
  <c r="X16" i="10"/>
  <c r="Y29" i="14"/>
  <c r="Y29" i="17" s="1"/>
  <c r="X91" i="6"/>
  <c r="Y16" i="23"/>
  <c r="Y16" i="26" s="1"/>
  <c r="Y31" i="6"/>
  <c r="X4" i="23"/>
  <c r="X4" i="26" s="1"/>
  <c r="X29" i="10"/>
  <c r="X3" i="8"/>
  <c r="X3" i="19"/>
  <c r="X3" i="23" s="1"/>
  <c r="X25" i="27"/>
  <c r="Y27" i="24"/>
  <c r="Y27" i="27" s="1"/>
  <c r="X30" i="26"/>
  <c r="X5" i="26"/>
  <c r="X13" i="26"/>
  <c r="X5" i="27"/>
  <c r="X5" i="32"/>
  <c r="X17" i="26"/>
  <c r="X11" i="27"/>
  <c r="X27" i="13"/>
  <c r="X27" i="16" s="1"/>
  <c r="X33" i="27"/>
  <c r="X9" i="27"/>
  <c r="X13" i="27"/>
  <c r="X113" i="6"/>
  <c r="X143" i="6" s="1"/>
  <c r="X6" i="27"/>
  <c r="X89" i="6"/>
  <c r="X26" i="27"/>
  <c r="X21" i="28"/>
  <c r="X22" i="26"/>
  <c r="X4" i="12"/>
  <c r="X4" i="15" s="1"/>
  <c r="X7" i="27"/>
  <c r="X30" i="27"/>
  <c r="X24" i="27"/>
  <c r="Y30" i="15"/>
  <c r="Y15" i="13"/>
  <c r="X33" i="26"/>
  <c r="X32" i="26"/>
  <c r="Y16" i="25"/>
  <c r="Y16" i="28" s="1"/>
  <c r="Y24" i="28"/>
  <c r="Y10" i="1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31" i="27"/>
  <c r="X16" i="23"/>
  <c r="X16" i="26" s="1"/>
  <c r="X5" i="37"/>
  <c r="X36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X19" i="17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5" i="37" l="1"/>
  <c r="Y39" i="37"/>
  <c r="Y35" i="39"/>
  <c r="Y36" i="37"/>
  <c r="X35" i="39"/>
  <c r="X35" i="37"/>
  <c r="X38" i="37"/>
  <c r="Y44" i="39"/>
  <c r="X32" i="37"/>
  <c r="X36" i="39"/>
  <c r="Y38" i="39"/>
  <c r="Y31" i="39" s="1"/>
  <c r="X37" i="37"/>
  <c r="X39" i="37"/>
  <c r="X40" i="37"/>
  <c r="X33" i="37"/>
  <c r="Y34" i="37"/>
  <c r="Y32" i="37"/>
  <c r="Y40" i="37"/>
  <c r="Y38" i="37"/>
  <c r="Y31" i="37" s="1"/>
  <c r="X34" i="37"/>
  <c r="X31" i="37" s="1"/>
  <c r="X37" i="39"/>
  <c r="X44" i="39"/>
  <c r="Y44" i="38"/>
  <c r="X32" i="36"/>
  <c r="X34" i="36"/>
  <c r="X31" i="36"/>
  <c r="X3" i="29"/>
  <c r="X38" i="39"/>
  <c r="X167" i="6"/>
  <c r="X3" i="12"/>
  <c r="X3" i="10"/>
  <c r="X153" i="6"/>
  <c r="X3" i="14"/>
  <c r="X3" i="13"/>
  <c r="Y39" i="38"/>
  <c r="X154" i="6"/>
  <c r="X121" i="6"/>
  <c r="Y33" i="38"/>
  <c r="Y34" i="38"/>
  <c r="Y35" i="38"/>
  <c r="Y32" i="38"/>
  <c r="Y36" i="38"/>
  <c r="Y40" i="38"/>
  <c r="Y38" i="38"/>
  <c r="Y37" i="38"/>
  <c r="Y3" i="32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1" i="39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T7" i="29" l="1"/>
  <c r="V4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N3" i="29"/>
  <c r="R3" i="35"/>
  <c r="T3" i="35"/>
  <c r="U15" i="24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R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C4" i="24" l="1"/>
  <c r="J29" i="12"/>
  <c r="K29" i="12"/>
  <c r="K16" i="24"/>
  <c r="J19" i="24"/>
  <c r="K29" i="13"/>
  <c r="O4" i="24"/>
  <c r="P29" i="25"/>
  <c r="P29" i="28" s="1"/>
  <c r="E19" i="14"/>
  <c r="C4" i="13"/>
  <c r="J29" i="23"/>
  <c r="N19" i="24"/>
  <c r="O4" i="23"/>
  <c r="N19" i="23"/>
  <c r="G16" i="12"/>
  <c r="F4" i="24"/>
  <c r="O4" i="12"/>
  <c r="C16" i="13"/>
  <c r="E4" i="23"/>
  <c r="H4" i="12"/>
  <c r="J29" i="13"/>
  <c r="C4" i="12"/>
  <c r="G19" i="24"/>
  <c r="P29" i="12"/>
  <c r="H29" i="23"/>
  <c r="H29" i="26" s="1"/>
  <c r="O29" i="13"/>
  <c r="P19" i="24"/>
  <c r="J19" i="23"/>
  <c r="J19" i="26" s="1"/>
  <c r="P29" i="13"/>
  <c r="P29" i="16" s="1"/>
  <c r="H29" i="24"/>
  <c r="H29" i="27" s="1"/>
  <c r="G19" i="23"/>
  <c r="O29" i="23"/>
  <c r="O29" i="26" s="1"/>
  <c r="O29" i="12"/>
  <c r="O29" i="15" s="1"/>
  <c r="C17" i="16"/>
  <c r="E4" i="13"/>
  <c r="E4" i="16" s="1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N29" i="24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P16" i="28" s="1"/>
  <c r="G29" i="12"/>
  <c r="G29" i="15" s="1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C29" i="15" s="1"/>
  <c r="G16" i="24"/>
  <c r="G16" i="27" s="1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G16" i="21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7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13" i="4"/>
  <c r="B21" i="4"/>
  <c r="B14" i="4"/>
  <c r="B22" i="4"/>
  <c r="B20" i="4"/>
  <c r="B42" i="4"/>
  <c r="B37" i="4"/>
  <c r="B10" i="4"/>
  <c r="B8" i="4"/>
  <c r="B15" i="4"/>
  <c r="B27" i="4"/>
  <c r="B16" i="4"/>
  <c r="B28" i="4"/>
  <c r="B45" i="4"/>
  <c r="B26" i="4"/>
  <c r="B34" i="4"/>
  <c r="B12" i="4"/>
  <c r="B24" i="4"/>
  <c r="B36" i="4"/>
  <c r="B23" i="4"/>
  <c r="B30" i="4"/>
  <c r="B4" i="4"/>
  <c r="B35" i="4"/>
  <c r="B9" i="4"/>
  <c r="B11" i="4"/>
  <c r="B39" i="4"/>
  <c r="B44" i="4"/>
  <c r="B43" i="4"/>
  <c r="B29" i="4"/>
  <c r="B38" i="4"/>
  <c r="B25" i="4"/>
  <c r="B17" i="4"/>
  <c r="B7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<sst xmlns="http://schemas.openxmlformats.org/spreadsheetml/2006/main" count="2101" uniqueCount="1057">
  <si>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</si>
  <si>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</si>
  <si>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</si>
  <si>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</si>
  <si>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</si>
  <si>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</si>
  <si>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</si>
  <si>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</si>
  <si>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</si>
  <si>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</si>
  <si>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</si>
  <si>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</si>
  <si>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</si>
  <si>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</si>
  <si>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</si>
  <si>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</si>
  <si>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</si>
  <si>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</si>
  <si>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</si>
  <si>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</si>
  <si>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</si>
  <si>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</si>
  <si>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</si>
  <si>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</si>
  <si>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</si>
  <si>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</si>
  <si>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</si>
  <si>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</si>
  <si>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</si>
  <si>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</si>
  <si>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</si>
  <si>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</si>
  <si>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</si>
  <si>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</si>
  <si>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</si>
  <si>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</si>
  <si>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</si>
  <si>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</si>
  <si>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</si>
  <si>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</si>
  <si>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</si>
  <si>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</si>
  <si>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</si>
  <si>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</si>
  <si>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</si>
  <si>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</si>
  <si>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</si>
  <si>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</si>
  <si>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</si>
  <si>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</si>
  <si>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</si>
  <si>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</si>
  <si>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</si>
  <si>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</si>
  <si>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</si>
  <si>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</si>
  <si>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</si>
  <si>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</si>
  <si>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</si>
  <si>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</si>
  <si>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</si>
  <si>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</si>
  <si>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</si>
  <si>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</si>
  <si>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</si>
  <si>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</si>
  <si>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</si>
  <si>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</si>
  <si>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</si>
  <si>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</si>
  <si>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</si>
  <si>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</si>
  <si>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</si>
  <si>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</si>
  <si>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</si>
  <si>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</si>
  <si>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</si>
  <si>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</si>
  <si>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</si>
  <si>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</si>
  <si>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</si>
  <si>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</si>
  <si>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</si>
  <si>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</si>
  <si>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</si>
  <si>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</si>
  <si>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</si>
  <si>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</si>
  <si>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</si>
  <si>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</si>
  <si>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</si>
  <si>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</si>
  <si>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</si>
  <si>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</si>
  <si>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</si>
  <si>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</si>
  <si>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</si>
  <si>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</si>
  <si>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</si>
  <si>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</si>
  <si>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</si>
  <si>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</si>
  <si>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</si>
  <si>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</si>
  <si>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</si>
  <si>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</si>
  <si>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</si>
  <si>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</si>
  <si>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</si>
  <si>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</si>
  <si>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</si>
  <si>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</si>
  <si>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</si>
  <si>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</si>
  <si>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</si>
  <si>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</si>
  <si>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</si>
  <si>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</si>
  <si>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</si>
  <si>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</si>
  <si>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</si>
  <si>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</si>
  <si>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</si>
  <si>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</si>
  <si>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</si>
  <si>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</si>
  <si>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</si>
  <si>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</si>
  <si>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</si>
  <si>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</si>
  <si>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</si>
  <si>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</si>
  <si>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</si>
  <si>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</si>
  <si>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</si>
  <si>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</si>
  <si>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</si>
  <si>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</si>
  <si>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</si>
  <si>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</si>
  <si>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</si>
  <si>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</si>
  <si>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</si>
  <si>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</si>
  <si>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</si>
  <si>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</si>
  <si>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</si>
  <si>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</si>
  <si>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</si>
  <si>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</si>
  <si>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</si>
  <si>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</si>
  <si>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</si>
  <si>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</si>
  <si>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</si>
  <si>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</si>
  <si>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</si>
  <si>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</si>
  <si>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</si>
  <si>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</si>
  <si>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</si>
  <si>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</si>
  <si>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</si>
  <si>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</si>
  <si>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</si>
  <si>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</si>
  <si>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</si>
  <si>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</si>
  <si>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</si>
  <si>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</si>
  <si>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</si>
  <si>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</si>
  <si>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</si>
  <si>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</si>
  <si>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</si>
  <si>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</si>
  <si>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</si>
  <si>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</si>
  <si>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</si>
  <si>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</si>
  <si>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</si>
  <si>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</si>
  <si>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</si>
  <si>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</si>
  <si>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</si>
  <si>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PL</t>
  </si>
  <si>
    <t>Poland</t>
  </si>
  <si>
    <t>PL - Services sector summary</t>
  </si>
  <si>
    <t>Macro.number.PL.Population</t>
  </si>
  <si>
    <t>Macro.Meuro2015.PL.GDP</t>
  </si>
  <si>
    <t>Macro.Meuro2015.PL.VA</t>
  </si>
  <si>
    <t>Macro.number.PL.Employees</t>
  </si>
  <si>
    <t>NUM.number.PL.Ser.Bld</t>
  </si>
  <si>
    <t>SurfaceArea.ksqm.PL.Ser.Bld</t>
  </si>
  <si>
    <t>NUM.number.PL.Ser.BldNew</t>
  </si>
  <si>
    <t>SurfaceArea.ksqm.PL.Ser.BldNew</t>
  </si>
  <si>
    <t>HDD.Celsius.PL.Actual</t>
  </si>
  <si>
    <t>HDD.Celsius.PL.Mean</t>
  </si>
  <si>
    <t>HDD.ratio.PL.Relative</t>
  </si>
  <si>
    <t>FEC.ktoe.PL.ES.Ser</t>
  </si>
  <si>
    <t>FEC.ktoe.PL.ES.Ser.Solids</t>
  </si>
  <si>
    <t>FEC.ktoe.PL.ES.Ser.LPG</t>
  </si>
  <si>
    <t>FEC.ktoe.PL.ES.Ser.Oil</t>
  </si>
  <si>
    <t>FEC.ktoe.PL.ES.Ser.NG</t>
  </si>
  <si>
    <t>FEC.ktoe.PL.ES.Ser.Biomass_Waste</t>
  </si>
  <si>
    <t>FEC.ktoe.PL.ES.Ser.Biogas</t>
  </si>
  <si>
    <t>FEC.ktoe.PL.ES.Ser.LiqBio</t>
  </si>
  <si>
    <t>FEC.ktoe.PL.ES.Ser.Solar</t>
  </si>
  <si>
    <t>FEC.ktoe.PL.ES.Ser.Geo</t>
  </si>
  <si>
    <t>FEC.ktoe.PL.ES.Ser.Ambient</t>
  </si>
  <si>
    <t>FEC.ktoe.PL.ES.Ser.Steam_Distr</t>
  </si>
  <si>
    <t>FEC.ktoe.PL.ES.Ser.Elec</t>
  </si>
  <si>
    <t>FEC.ktoe.PL.Ser</t>
  </si>
  <si>
    <t>FEC.ktoe.PL.Ser.Bld.Thermal</t>
  </si>
  <si>
    <t>FEC.ktoe.PL.Ser.Bld.Thermal.SH</t>
  </si>
  <si>
    <t>FEC.ktoe.PL.Ser.Bld.Thermal.SC</t>
  </si>
  <si>
    <t>FEC.ktoe.PL.Ser.Bld.Thermal.HW</t>
  </si>
  <si>
    <t>FEC.ktoe.PL.Ser.Bld.Thermal.CA</t>
  </si>
  <si>
    <t>FEC.ktoe.PL.Ser.SEU</t>
  </si>
  <si>
    <t>EMI.ktCO2.PL.ES.Ser</t>
  </si>
  <si>
    <t>EMI.ktCO2.PL.ES.Ser.Solids</t>
  </si>
  <si>
    <t>EMI.ktCO2.PL.ES.Ser.LPG</t>
  </si>
  <si>
    <t>EMI.ktCO2.PL.ES.Ser.Oil</t>
  </si>
  <si>
    <t>EMI.ktCO2.PL.ES.Ser.NG</t>
  </si>
  <si>
    <t>EMI.ktCO2.PL.ES.Ser.Biomass_Waste</t>
  </si>
  <si>
    <t>EMI.ktCO2.PL.ES.Ser.Biogas</t>
  </si>
  <si>
    <t>EMI.ktCO2.PL.ES.Ser.LiqBio</t>
  </si>
  <si>
    <t>EMI.ktCO2.PL.ES.Ser.Solar</t>
  </si>
  <si>
    <t>EMI.ktCO2.PL.ES.Ser.Geo</t>
  </si>
  <si>
    <t>EMI.ktCO2.PL.ES.Ser.Ambient</t>
  </si>
  <si>
    <t>EMI.ktCO2.PL.ES.Ser.Steam_Distr</t>
  </si>
  <si>
    <t>EMI.ktCO2.PL.ES.Ser.Elec</t>
  </si>
  <si>
    <t>EMI.ktCO2.PL.Ser</t>
  </si>
  <si>
    <t>EMI.ktCO2.PL.Ser.Bld.Thermal</t>
  </si>
  <si>
    <t>EMI.ktCO2.PL.Ser.Bld.Thermal.SH</t>
  </si>
  <si>
    <t>EMI.ktCO2.PL.Ser.Bld.Thermal.SC</t>
  </si>
  <si>
    <t>EMI.ktCO2.PL.Ser.Bld.Thermal.HW</t>
  </si>
  <si>
    <t>EMI.ktCO2.PL.Ser.Bld.Thermal.CA</t>
  </si>
  <si>
    <t>EMI.ktCO2.PL.Ser.SEU</t>
  </si>
  <si>
    <t>Eff.ratio.PL.Ser.Bld.Thermal</t>
  </si>
  <si>
    <t>Eff.ratio.PL.Ser.Bld.Thermal.SH</t>
  </si>
  <si>
    <t>Eff.ratio.PL.Ser.Bld.Thermal.SC</t>
  </si>
  <si>
    <t>Eff.ratio.PL.Ser.Bld.Thermal.HW</t>
  </si>
  <si>
    <t>Eff.ratio.PL.Ser.Bld.Thermal.CA</t>
  </si>
  <si>
    <t>PL - Number of buildings</t>
  </si>
  <si>
    <t>NUM.number.PL.Ser.Bld.Thermal</t>
  </si>
  <si>
    <t>NUM.number.PL.Ser.Bld.Thermal.SH</t>
  </si>
  <si>
    <t>NUM.number.PL.Ser.Bld.Thermal.SH.Solids</t>
  </si>
  <si>
    <t>NUM.number.PL.Ser.Bld.Thermal.SH.LPG</t>
  </si>
  <si>
    <t>NUM.number.PL.Ser.Bld.Thermal.SH.Oil</t>
  </si>
  <si>
    <t>NUM.number.PL.Ser.Bld.Thermal.SH.GasHP</t>
  </si>
  <si>
    <t>NUM.number.PL.Ser.Bld.Thermal.SH.GasTH</t>
  </si>
  <si>
    <t>NUM.number.PL.Ser.Bld.Thermal.SH.Biomass</t>
  </si>
  <si>
    <t>NUM.number.PL.Ser.Bld.Thermal.SH.Geo</t>
  </si>
  <si>
    <t>NUM.number.PL.Ser.Bld.Thermal.SH.DistrHeat</t>
  </si>
  <si>
    <t>NUM.number.PL.Ser.Bld.Thermal.SH.AdvElc</t>
  </si>
  <si>
    <t>NUM.number.PL.Ser.Bld.Thermal.SH.ConvElc</t>
  </si>
  <si>
    <t>NUM.number.PL.Ser.Bld.Thermal.SC</t>
  </si>
  <si>
    <t>NUM.number.PL.Ser.Bld.Thermal.SC.GasHP</t>
  </si>
  <si>
    <t>NUM.number.PL.Ser.Bld.Thermal.SC.AC</t>
  </si>
  <si>
    <t>NUM.number.PL.Ser.Bld.Thermal.HW</t>
  </si>
  <si>
    <t>NUM.number.PL.Ser.Bld.Thermal.HW.Solids</t>
  </si>
  <si>
    <t>NUM.number.PL.Ser.Bld.Thermal.HW.LPG</t>
  </si>
  <si>
    <t>NUM.number.PL.Ser.Bld.Thermal.HW.Oil</t>
  </si>
  <si>
    <t>NUM.number.PL.Ser.Bld.Thermal.HW.Gas</t>
  </si>
  <si>
    <t>NUM.number.PL.Ser.Bld.Thermal.HW.Biomass</t>
  </si>
  <si>
    <t>NUM.number.PL.Ser.Bld.Thermal.HW.DistrHeat</t>
  </si>
  <si>
    <t>NUM.number.PL.Ser.Bld.Thermal.HW.Elc</t>
  </si>
  <si>
    <t>NUM.number.PL.Ser.Bld.Thermal.HW.Solar</t>
  </si>
  <si>
    <t>NUM.number.PL.Ser.Bld.Thermal.CA</t>
  </si>
  <si>
    <t>NUM.number.PL.Ser.Bld.Thermal.CA.LPG</t>
  </si>
  <si>
    <t>NUM.number.PL.Ser.Bld.Thermal.CA.Gas</t>
  </si>
  <si>
    <t>NUM.number.PL.Ser.Bld.Thermal.CA.Biomass</t>
  </si>
  <si>
    <t>NUM.number.PL.Ser.Bld.Thermal.CA.Elc</t>
  </si>
  <si>
    <t>PL - Final energy consumption</t>
  </si>
  <si>
    <t>FEC.ktoe.PL.Ser.Bld.Thermal.SH.Solids.Solids</t>
  </si>
  <si>
    <t>FEC.ktoe.PL.Ser.Bld.Thermal.SH.LPG.LPG</t>
  </si>
  <si>
    <t>FEC.ktoe.PL.Ser.Bld.Thermal.SH.Oil.Oil_LiqBio</t>
  </si>
  <si>
    <t>FEC.ktoe.PL.Ser.Bld.Thermal.SH.GasHP.NG_Biogas</t>
  </si>
  <si>
    <t>FEC.ktoe.PL.Ser.Bld.Thermal.SH.GasTH.NG_Biogas</t>
  </si>
  <si>
    <t>FEC.ktoe.PL.Ser.Bld.Thermal.SH.Biomass.Biomass_Waste</t>
  </si>
  <si>
    <t>FEC.ktoe.PL.Ser.Bld.Thermal.SH.Geo.Geo</t>
  </si>
  <si>
    <t>FEC.ktoe.PL.Ser.Bld.Thermal.SH.DistrHeat.Steam_Distr</t>
  </si>
  <si>
    <t>FEC.ktoe.PL.Ser.Bld.Thermal.SH.AdvElc.Elec</t>
  </si>
  <si>
    <t>FEC.ktoe.PL.Ser.Bld.Thermal.SH.ConvElc.Elec</t>
  </si>
  <si>
    <t>FEC.ktoe.PL.Ser.Bld.Thermal.SH.TotalCirculation.Elec</t>
  </si>
  <si>
    <t>FEC.ktoe.PL.Ser.Bld.Thermal.SC.GasHP.NG_Biogas</t>
  </si>
  <si>
    <t>FEC.ktoe.PL.Ser.Bld.Thermal.SC.AC.Elec</t>
  </si>
  <si>
    <t>FEC.ktoe.PL.Ser.Bld.Thermal.HW.Solids.Solids</t>
  </si>
  <si>
    <t>FEC.ktoe.PL.Ser.Bld.Thermal.HW.LPG.LPG</t>
  </si>
  <si>
    <t>FEC.ktoe.PL.Ser.Bld.Thermal.HW.Oil.Oil_LiqBio</t>
  </si>
  <si>
    <t>FEC.ktoe.PL.Ser.Bld.Thermal.HW.Gas.NG_Biogas</t>
  </si>
  <si>
    <t>FEC.ktoe.PL.Ser.Bld.Thermal.HW.Biomass.Biomass_Waste</t>
  </si>
  <si>
    <t>FEC.ktoe.PL.Ser.Bld.Thermal.HW.DistrHeat.Steam_Distr</t>
  </si>
  <si>
    <t>FEC.ktoe.PL.Ser.Bld.Thermal.HW.Elc.Elec</t>
  </si>
  <si>
    <t>FEC.ktoe.PL.Ser.Bld.Thermal.HW.TotalSolar.Solar</t>
  </si>
  <si>
    <t>FEC.ktoe.PL.Ser.Bld.Thermal.CA.LPG</t>
  </si>
  <si>
    <t>FEC.ktoe.PL.Ser.Bld.Thermal.CA.Gas.NG_Biogas</t>
  </si>
  <si>
    <t>FEC.ktoe.PL.Ser.Bld.Thermal.CA.Biomass.Biomass_Waste</t>
  </si>
  <si>
    <t>FEC.ktoe.PL.Ser.Bld.Thermal.CA.Elc.Elec</t>
  </si>
  <si>
    <t>PL - Thermal energy service</t>
  </si>
  <si>
    <t>TES.ktoe.PL.Ser.Bld.Thermal</t>
  </si>
  <si>
    <t>TES.ktoe.PL.Ser.Bld.Thermal.SH</t>
  </si>
  <si>
    <t>TES.ktoe.PL.Ser.Bld.Thermal.SH.Solids.Solids</t>
  </si>
  <si>
    <t>TES.ktoe.PL.Ser.Bld.Thermal.SH.LPG.LPG</t>
  </si>
  <si>
    <t>TES.ktoe.PL.Ser.Bld.Thermal.SH.Oil.Oil_LiqBio</t>
  </si>
  <si>
    <t>TES.ktoe.PL.Ser.Bld.Thermal.SH.GasHP.NG_Biogas</t>
  </si>
  <si>
    <t>TES.ktoe.PL.Ser.Bld.Thermal.SH.GasTH.NG_Biogas</t>
  </si>
  <si>
    <t>TES.ktoe.PL.Ser.Bld.Thermal.SH.Biomass.Biomass_Waste</t>
  </si>
  <si>
    <t>TES.ktoe.PL.Ser.Bld.Thermal.SH.Geo.Geo</t>
  </si>
  <si>
    <t>TES.ktoe.PL.Ser.Bld.Thermal.SH.DistrHeat.Steam_Distr</t>
  </si>
  <si>
    <t>TES.ktoe.PL.Ser.Bld.Thermal.SH.AdvElc.Elec</t>
  </si>
  <si>
    <t>TES.ktoe.PL.Ser.Bld.Thermal.SH.ConvElc.Elec</t>
  </si>
  <si>
    <t>TES.ktoe.PL.Ser.Bld.Thermal.SH.TotalCirculation.Elec</t>
  </si>
  <si>
    <t>TES.ktoe.PL.Ser.Bld.Thermal.SC</t>
  </si>
  <si>
    <t>TES.ktoe.PL.Ser.Bld.Thermal.SC.GasHP.NG_Biogas</t>
  </si>
  <si>
    <t>TES.ktoe.PL.Ser.Bld.Thermal.SC.AC.Elec</t>
  </si>
  <si>
    <t>TES.ktoe.PL.Ser.Bld.Thermal.HW</t>
  </si>
  <si>
    <t>TES.ktoe.PL.Ser.Bld.Thermal.HW.Solids.Solids</t>
  </si>
  <si>
    <t>TES.ktoe.PL.Ser.Bld.Thermal.HW.LPG.LPG</t>
  </si>
  <si>
    <t>TES.ktoe.PL.Ser.Bld.Thermal.HW.Oil.Oil_LiqBio</t>
  </si>
  <si>
    <t>TES.ktoe.PL.Ser.Bld.Thermal.HW.Gas.NG_Biogas</t>
  </si>
  <si>
    <t>TES.ktoe.PL.Ser.Bld.Thermal.HW.Biomass.Biomass_Waste</t>
  </si>
  <si>
    <t>TES.ktoe.PL.Ser.Bld.Thermal.HW.DistrHeat.Steam_Distr</t>
  </si>
  <si>
    <t>TES.ktoe.PL.Ser.Bld.Thermal.HW.Elc.Elec</t>
  </si>
  <si>
    <t>TES.ktoe.PL.Ser.Bld.Thermal.HW.TotalSolar.Solar</t>
  </si>
  <si>
    <t>TES.ktoe.PL.Ser.Bld.Thermal.CA</t>
  </si>
  <si>
    <t>TES.ktoe.PL.Ser.Bld.Thermal.CA.LPG</t>
  </si>
  <si>
    <t>TES.ktoe.PL.Ser.Bld.Thermal.CA.Gas.NG_Biogas</t>
  </si>
  <si>
    <t>TES.ktoe.PL.Ser.Bld.Thermal.CA.Biomass.Biomass_Waste</t>
  </si>
  <si>
    <t>TES.ktoe.PL.Ser.Bld.Thermal.CA.Elc.Elec</t>
  </si>
  <si>
    <t>PL - System efficiency indicator of total stock</t>
  </si>
  <si>
    <t>Eff.ratio.PL.Ser.Bld.Thermal.SH.Solids.Solids</t>
  </si>
  <si>
    <t>Eff.ratio.PL.Ser.Bld.Thermal.SH.LPG.LPG</t>
  </si>
  <si>
    <t>Eff.ratio.PL.Ser.Bld.Thermal.SH.Oil.Oil_LiqBio</t>
  </si>
  <si>
    <t>Eff.ratio.PL.Ser.Bld.Thermal.SH.GasHP.NG_Biogas</t>
  </si>
  <si>
    <t>Eff.ratio.PL.Ser.Bld.Thermal.SH.GasTH.NG_Biogas</t>
  </si>
  <si>
    <t>Eff.ratio.PL.Ser.Bld.Thermal.SH.Biomass.Biomass_Waste</t>
  </si>
  <si>
    <t>Eff.ratio.PL.Ser.Bld.Thermal.SH.Geo.Geo</t>
  </si>
  <si>
    <t>Eff.ratio.PL.Ser.Bld.Thermal.SH.DistrHeat.Steam_Distr</t>
  </si>
  <si>
    <t>Eff.ratio.PL.Ser.Bld.Thermal.SH.AdvElc.Elec</t>
  </si>
  <si>
    <t>Eff.ratio.PL.Ser.Bld.Thermal.SH.ConvElc.Elec</t>
  </si>
  <si>
    <t>Eff.ratio.PL.Ser.Bld.Thermal.SH.TotalCirculation.Elec</t>
  </si>
  <si>
    <t>Eff.ratio.PL.Ser.Bld.Thermal.SC.GasHP.NG_Biogas</t>
  </si>
  <si>
    <t>Eff.ratio.PL.Ser.Bld.Thermal.SC.AC.Elec</t>
  </si>
  <si>
    <t>Eff.ratio.PL.Ser.Bld.Thermal.HW.Solids.Solids</t>
  </si>
  <si>
    <t>Eff.ratio.PL.Ser.Bld.Thermal.HW.LPG.LPG</t>
  </si>
  <si>
    <t>Eff.ratio.PL.Ser.Bld.Thermal.HW.Oil.Oil_LiqBio</t>
  </si>
  <si>
    <t>Eff.ratio.PL.Ser.Bld.Thermal.HW.Gas.NG_Biogas</t>
  </si>
  <si>
    <t>Eff.ratio.PL.Ser.Bld.Thermal.HW.Biomass.Biomass_Waste</t>
  </si>
  <si>
    <t>Eff.ratio.PL.Ser.Bld.Thermal.HW.DistrHeat.Steam_Distr</t>
  </si>
  <si>
    <t>Eff.ratio.PL.Ser.Bld.Thermal.HW.Elc.Elec</t>
  </si>
  <si>
    <t>Eff.ratio.PL.Ser.Bld.Thermal.HW.TotalSolar.Solar</t>
  </si>
  <si>
    <t>Eff.ratio.PL.Ser.Bld.Thermal.CA.LPG</t>
  </si>
  <si>
    <t>Eff.ratio.PL.Ser.Bld.Thermal.CA.Gas.NG_Biogas</t>
  </si>
  <si>
    <t>Eff.ratio.PL.Ser.Bld.Thermal.CA.Biomass.Biomass_Waste</t>
  </si>
  <si>
    <t>Eff.ratio.PL.Ser.Bld.Thermal.CA.Elc.Elec</t>
  </si>
  <si>
    <t>PL - CO2 emissions</t>
  </si>
  <si>
    <t>EMI.ktCO2.PL.Ser.Bld.Thermal.SH.Solids.Solids</t>
  </si>
  <si>
    <t>EMI.ktCO2.PL.Ser.Bld.Thermal.SH.LPG.LPG</t>
  </si>
  <si>
    <t>EMI.ktCO2.PL.Ser.Bld.Thermal.SH.Oil.Oil_LiqBio</t>
  </si>
  <si>
    <t>EMI.ktCO2.PL.Ser.Bld.Thermal.SH.GasHP.NG_Biogas</t>
  </si>
  <si>
    <t>EMI.ktCO2.PL.Ser.Bld.Thermal.SH.GasTH.NG_Biogas</t>
  </si>
  <si>
    <t>EMI.ktCO2.PL.Ser.Bld.Thermal.SH.Biomass.Biomass_Waste</t>
  </si>
  <si>
    <t>EMI.ktCO2.PL.Ser.Bld.Thermal.SH.Geo.Geo</t>
  </si>
  <si>
    <t>EMI.ktCO2.PL.Ser.Bld.Thermal.SH.DistrHeat.Steam_Distr</t>
  </si>
  <si>
    <t>EMI.ktCO2.PL.Ser.Bld.Thermal.SH.AdvElc.Elec</t>
  </si>
  <si>
    <t>EMI.ktCO2.PL.Ser.Bld.Thermal.SH.ConvElc.Elec</t>
  </si>
  <si>
    <t>EMI.ktCO2.PL.Ser.Bld.Thermal.SH.TotalCirculation.Elec</t>
  </si>
  <si>
    <t>EMI.ktCO2.PL.Ser.Bld.Thermal.SC.GasHP.NG_Biogas</t>
  </si>
  <si>
    <t>EMI.ktCO2.PL.Ser.Bld.Thermal.SC.AC.Elec</t>
  </si>
  <si>
    <t>EMI.ktCO2.PL.Ser.Bld.Thermal.HW.Solids.Solids</t>
  </si>
  <si>
    <t>EMI.ktCO2.PL.Ser.Bld.Thermal.HW.LPG.LPG</t>
  </si>
  <si>
    <t>EMI.ktCO2.PL.Ser.Bld.Thermal.HW.Oil.Oil_LiqBio</t>
  </si>
  <si>
    <t>EMI.ktCO2.PL.Ser.Bld.Thermal.HW.Gas.NG_Biogas</t>
  </si>
  <si>
    <t>EMI.ktCO2.PL.Ser.Bld.Thermal.HW.Biomass.Biomass_Waste</t>
  </si>
  <si>
    <t>EMI.ktCO2.PL.Ser.Bld.Thermal.HW.DistrHeat.Steam_Distr</t>
  </si>
  <si>
    <t>EMI.ktCO2.PL.Ser.Bld.Thermal.HW.Elc.Elec</t>
  </si>
  <si>
    <t>EMI.ktCO2.PL.Ser.Bld.Thermal.HW.TotalSolar.Solar</t>
  </si>
  <si>
    <t>EMI.ktCO2.PL.Ser.Bld.Thermal.CA.LPG</t>
  </si>
  <si>
    <t>EMI.ktCO2.PL.Ser.Bld.Thermal.CA.Gas.NG_Biogas</t>
  </si>
  <si>
    <t>EMI.ktCO2.PL.Ser.Bld.Thermal.CA.Biomass.Biomass_Waste</t>
  </si>
  <si>
    <t>EMI.ktCO2.PL.Ser.Bld.Thermal.CA.Elc.Elec</t>
  </si>
  <si>
    <t>PL - Final energy consumption per building</t>
  </si>
  <si>
    <t>FEC_per_building.kWh.PL.Ser.Bld.Thermal</t>
  </si>
  <si>
    <t>FEC_per_building.kWh.PL.Ser.Bld.Thermal.SH</t>
  </si>
  <si>
    <t>FEC_per_building.kWh.PL.Ser.Bld.Thermal.SH.Solids.Solids</t>
  </si>
  <si>
    <t>FEC_per_building.kWh.PL.Ser.Bld.Thermal.SH.LPG.LPG</t>
  </si>
  <si>
    <t>FEC_per_building.kWh.PL.Ser.Bld.Thermal.SH.Oil.Oil_LiqBio</t>
  </si>
  <si>
    <t>FEC_per_building.kWh.PL.Ser.Bld.Thermal.SH.GasHP.NG_Biogas</t>
  </si>
  <si>
    <t>FEC_per_building.kWh.PL.Ser.Bld.Thermal.SH.GasTH.NG_Biogas</t>
  </si>
  <si>
    <t>FEC_per_building.kWh.PL.Ser.Bld.Thermal.SH.Biomass.Biomass_Waste</t>
  </si>
  <si>
    <t>FEC_per_building.kWh.PL.Ser.Bld.Thermal.SH.Geo.Geo</t>
  </si>
  <si>
    <t>FEC_per_building.kWh.PL.Ser.Bld.Thermal.SH.DistrHeat.Steam_Distr</t>
  </si>
  <si>
    <t>FEC_per_building.kWh.PL.Ser.Bld.Thermal.SH.AdvElc.Elec</t>
  </si>
  <si>
    <t>FEC_per_building.kWh.PL.Ser.Bld.Thermal.SH.ConvElc.Elec</t>
  </si>
  <si>
    <t>FEC_per_building.kWh.PL.Ser.Bld.Thermal.SH.TotalCirculation.Elec</t>
  </si>
  <si>
    <t>FEC_per_building.kWh.PL.Ser.Bld.Thermal.SC</t>
  </si>
  <si>
    <t>FEC_per_building.kWh.PL.Ser.Bld.Thermal.SC.GasHP.NG_Biogas</t>
  </si>
  <si>
    <t>FEC_per_building.kWh.PL.Ser.Bld.Thermal.SC.AC.Elec</t>
  </si>
  <si>
    <t>FEC_per_building.kWh.PL.Ser.Bld.Thermal.HW</t>
  </si>
  <si>
    <t>FEC_per_building.kWh.PL.Ser.Bld.Thermal.HW.Solids.Solids</t>
  </si>
  <si>
    <t>FEC_per_building.kWh.PL.Ser.Bld.Thermal.HW.LPG.LPG</t>
  </si>
  <si>
    <t>FEC_per_building.kWh.PL.Ser.Bld.Thermal.HW.Oil.Oil_LiqBio</t>
  </si>
  <si>
    <t>FEC_per_building.kWh.PL.Ser.Bld.Thermal.HW.Gas.NG_Biogas</t>
  </si>
  <si>
    <t>FEC_per_building.kWh.PL.Ser.Bld.Thermal.HW.Biomass.Biomass_Waste</t>
  </si>
  <si>
    <t>FEC_per_building.kWh.PL.Ser.Bld.Thermal.HW.DistrHeat.Steam_Distr</t>
  </si>
  <si>
    <t>FEC_per_building.kWh.PL.Ser.Bld.Thermal.HW.Elc.Elec</t>
  </si>
  <si>
    <t>FEC_per_building.kWh.PL.Ser.Bld.Thermal.HW.TotalSolar.Solar</t>
  </si>
  <si>
    <t>FEC_per_building.kWh.PL.Ser.Bld.Thermal.CA</t>
  </si>
  <si>
    <t>FEC_per_building.kWh.PL.Ser.Bld.Thermal.CA.LPG</t>
  </si>
  <si>
    <t>FEC_per_building.kWh.PL.Ser.Bld.Thermal.CA.Gas.NG_Biogas</t>
  </si>
  <si>
    <t>FEC_per_building.kWh.PL.Ser.Bld.Thermal.CA.Biomass.Biomass_Waste</t>
  </si>
  <si>
    <t>FEC_per_building.kWh.PL.Ser.Bld.Thermal.CA.Elc.Elec</t>
  </si>
  <si>
    <t>PL - Thermal energy service per building</t>
  </si>
  <si>
    <t>TES_per_building.kWh.PL.Ser.Bld.Thermal</t>
  </si>
  <si>
    <t>TES_per_building.kWh.PL.Ser.Bld.Thermal.SH</t>
  </si>
  <si>
    <t>TES_per_building.kWh.PL.Ser.Bld.Thermal.SH.Solids.Solids</t>
  </si>
  <si>
    <t>TES_per_building.kWh.PL.Ser.Bld.Thermal.SH.LPG.LPG</t>
  </si>
  <si>
    <t>TES_per_building.kWh.PL.Ser.Bld.Thermal.SH.Oil.Oil_LiqBio</t>
  </si>
  <si>
    <t>TES_per_building.kWh.PL.Ser.Bld.Thermal.SH.GasHP.NG_Biogas</t>
  </si>
  <si>
    <t>TES_per_building.kWh.PL.Ser.Bld.Thermal.SH.GasTH.NG_Biogas</t>
  </si>
  <si>
    <t>TES_per_building.kWh.PL.Ser.Bld.Thermal.SH.Biomass.Biomass_Waste</t>
  </si>
  <si>
    <t>TES_per_building.kWh.PL.Ser.Bld.Thermal.SH.Geo.Geo</t>
  </si>
  <si>
    <t>TES_per_building.kWh.PL.Ser.Bld.Thermal.SH.DistrHeat.Steam_Distr</t>
  </si>
  <si>
    <t>TES_per_building.kWh.PL.Ser.Bld.Thermal.SH.AdvElc.Elec</t>
  </si>
  <si>
    <t>TES_per_building.kWh.PL.Ser.Bld.Thermal.SH.ConvElc.Elec</t>
  </si>
  <si>
    <t>TES_per_building.kWh.PL.Ser.Bld.Thermal.SH.TotalCirculation.Elec</t>
  </si>
  <si>
    <t>TES_per_building.kWh.PL.Ser.Bld.Thermal.SC</t>
  </si>
  <si>
    <t>TES_per_building.kWh.PL.Ser.Bld.Thermal.SC.GasHP.NG_Biogas</t>
  </si>
  <si>
    <t>TES_per_building.kWh.PL.Ser.Bld.Thermal.SC.AC.Elec</t>
  </si>
  <si>
    <t>TES_per_building.kWh.PL.Ser.Bld.Thermal.HW</t>
  </si>
  <si>
    <t>TES_per_building.kWh.PL.Ser.Bld.Thermal.HW.Solids.Solids</t>
  </si>
  <si>
    <t>TES_per_building.kWh.PL.Ser.Bld.Thermal.HW.LPG.LPG</t>
  </si>
  <si>
    <t>TES_per_building.kWh.PL.Ser.Bld.Thermal.HW.Oil.Oil_LiqBio</t>
  </si>
  <si>
    <t>TES_per_building.kWh.PL.Ser.Bld.Thermal.HW.Gas.NG_Biogas</t>
  </si>
  <si>
    <t>TES_per_building.kWh.PL.Ser.Bld.Thermal.HW.Biomass.Biomass_Waste</t>
  </si>
  <si>
    <t>TES_per_building.kWh.PL.Ser.Bld.Thermal.HW.DistrHeat.Steam_Distr</t>
  </si>
  <si>
    <t>TES_per_building.kWh.PL.Ser.Bld.Thermal.HW.Elc.Elec</t>
  </si>
  <si>
    <t>TES_per_building.kWh.PL.Ser.Bld.Thermal.HW.TotalSolar.Solar</t>
  </si>
  <si>
    <t>TES_per_building.kWh.PL.Ser.Bld.Thermal.CA</t>
  </si>
  <si>
    <t>TES_per_building.kWh.PL.Ser.Bld.Thermal.CA.LPG</t>
  </si>
  <si>
    <t>TES_per_building.kWh.PL.Ser.Bld.Thermal.CA.Gas.NG_Biogas</t>
  </si>
  <si>
    <t>TES_per_building.kWh.PL.Ser.Bld.Thermal.CA.Biomass.Biomass_Waste</t>
  </si>
  <si>
    <t>TES_per_building.kWh.PL.Ser.Bld.Thermal.CA.Elc.Elec</t>
  </si>
  <si>
    <t>PL - CO2 emissions per building</t>
  </si>
  <si>
    <t>EMI_per_building.kgCO2.PL.Ser.Bld.Thermal</t>
  </si>
  <si>
    <t>EMI_per_building.kgCO2.PL.Ser.Bld.Thermal.SH</t>
  </si>
  <si>
    <t>EMI_per_building.kgCO2.PL.Ser.Bld.Thermal.SH.Solids.Solids</t>
  </si>
  <si>
    <t>EMI_per_building.kgCO2.PL.Ser.Bld.Thermal.SH.LPG.LPG</t>
  </si>
  <si>
    <t>EMI_per_building.kgCO2.PL.Ser.Bld.Thermal.SH.Oil.Oil_LiqBio</t>
  </si>
  <si>
    <t>EMI_per_building.kgCO2.PL.Ser.Bld.Thermal.SH.GasHP.NG_Biogas</t>
  </si>
  <si>
    <t>EMI_per_building.kgCO2.PL.Ser.Bld.Thermal.SH.GasTH.NG_Biogas</t>
  </si>
  <si>
    <t>EMI_per_building.kgCO2.PL.Ser.Bld.Thermal.SH.Biomass.Biomass_Waste</t>
  </si>
  <si>
    <t>EMI_per_building.kgCO2.PL.Ser.Bld.Thermal.SH.Geo.Geo</t>
  </si>
  <si>
    <t>EMI_per_building.kgCO2.PL.Ser.Bld.Thermal.SH.DistrHeat.Steam_Distr</t>
  </si>
  <si>
    <t>EMI_per_building.kgCO2.PL.Ser.Bld.Thermal.SH.AdvElc.Elec</t>
  </si>
  <si>
    <t>EMI_per_building.kgCO2.PL.Ser.Bld.Thermal.SH.ConvElc.Elec</t>
  </si>
  <si>
    <t>EMI_per_building.kgCO2.PL.Ser.Bld.Thermal.SH.TotalCirculation.Elec</t>
  </si>
  <si>
    <t>EMI_per_building.kgCO2.PL.Ser.Bld.Thermal.SC</t>
  </si>
  <si>
    <t>EMI_per_building.kgCO2.PL.Ser.Bld.Thermal.SC.GasHP.NG_Biogas</t>
  </si>
  <si>
    <t>EMI_per_building.kgCO2.PL.Ser.Bld.Thermal.SC.AC.Elec</t>
  </si>
  <si>
    <t>EMI_per_building.kgCO2.PL.Ser.Bld.Thermal.HW</t>
  </si>
  <si>
    <t>EMI_per_building.kgCO2.PL.Ser.Bld.Thermal.HW.Solids.Solids</t>
  </si>
  <si>
    <t>EMI_per_building.kgCO2.PL.Ser.Bld.Thermal.HW.LPG.LPG</t>
  </si>
  <si>
    <t>EMI_per_building.kgCO2.PL.Ser.Bld.Thermal.HW.Oil.Oil_LiqBio</t>
  </si>
  <si>
    <t>EMI_per_building.kgCO2.PL.Ser.Bld.Thermal.HW.Gas.NG_Biogas</t>
  </si>
  <si>
    <t>EMI_per_building.kgCO2.PL.Ser.Bld.Thermal.HW.Biomass.Biomass_Waste</t>
  </si>
  <si>
    <t>EMI_per_building.kgCO2.PL.Ser.Bld.Thermal.HW.DistrHeat.Steam_Distr</t>
  </si>
  <si>
    <t>EMI_per_building.kgCO2.PL.Ser.Bld.Thermal.HW.Elc.Elec</t>
  </si>
  <si>
    <t>EMI_per_building.kgCO2.PL.Ser.Bld.Thermal.HW.TotalSolar.Solar</t>
  </si>
  <si>
    <t>EMI_per_building.kgCO2.PL.Ser.Bld.Thermal.CA</t>
  </si>
  <si>
    <t>EMI_per_building.kgCO2.PL.Ser.Bld.Thermal.CA.LPG</t>
  </si>
  <si>
    <t>EMI_per_building.kgCO2.PL.Ser.Bld.Thermal.CA.Gas.NG_Biogas</t>
  </si>
  <si>
    <t>EMI_per_building.kgCO2.PL.Ser.Bld.Thermal.CA.Biomass.Biomass_Waste</t>
  </si>
  <si>
    <t>EMI_per_building.kgCO2.PL.Ser.Bld.Thermal.CA.Elc.Elec</t>
  </si>
  <si>
    <t>PL - Final energy consumption per useful surface area</t>
  </si>
  <si>
    <t>FEC_per_sqm.kWh.PL.Ser.Bld.Thermal</t>
  </si>
  <si>
    <t>FEC_per_sqm.kWh.PL.Ser.Bld.Thermal.SH</t>
  </si>
  <si>
    <t>FEC_per_sqm.kWh.PL.Ser.Bld.Thermal.SH.Solids.Solids</t>
  </si>
  <si>
    <t>FEC_per_sqm.kWh.PL.Ser.Bld.Thermal.SH.LPG.LPG</t>
  </si>
  <si>
    <t>FEC_per_sqm.kWh.PL.Ser.Bld.Thermal.SH.Oil.Oil_LiqBio</t>
  </si>
  <si>
    <t>FEC_per_sqm.kWh.PL.Ser.Bld.Thermal.SH.GasHP.NG_Biogas</t>
  </si>
  <si>
    <t>FEC_per_sqm.kWh.PL.Ser.Bld.Thermal.SH.GasTH.NG_Biogas</t>
  </si>
  <si>
    <t>FEC_per_sqm.kWh.PL.Ser.Bld.Thermal.SH.Biomass.Biomass_Waste</t>
  </si>
  <si>
    <t>FEC_per_sqm.kWh.PL.Ser.Bld.Thermal.SH.Geo.Geo</t>
  </si>
  <si>
    <t>FEC_per_sqm.kWh.PL.Ser.Bld.Thermal.SH.DistrHeat.Steam_Distr</t>
  </si>
  <si>
    <t>FEC_per_sqm.kWh.PL.Ser.Bld.Thermal.SH.AdvElc.Elec</t>
  </si>
  <si>
    <t>FEC_per_sqm.kWh.PL.Ser.Bld.Thermal.SH.ConvElc.Elec</t>
  </si>
  <si>
    <t>FEC_per_sqm.kWh.PL.Ser.Bld.Thermal.SH.TotalCirculation.Elec</t>
  </si>
  <si>
    <t>FEC_per_sqm.kWh.PL.Ser.Bld.Thermal.SC</t>
  </si>
  <si>
    <t>FEC_per_sqm.kWh.PL.Ser.Bld.Thermal.SC.GasHP.NG_Biogas</t>
  </si>
  <si>
    <t>FEC_per_sqm.kWh.PL.Ser.Bld.Thermal.SC.AC.Elec</t>
  </si>
  <si>
    <t>FEC_per_sqm.kWh.PL.Ser.Bld.Thermal.HW</t>
  </si>
  <si>
    <t>FEC_per_sqm.kWh.PL.Ser.Bld.Thermal.HW.Solids.Solids</t>
  </si>
  <si>
    <t>FEC_per_sqm.kWh.PL.Ser.Bld.Thermal.HW.LPG.LPG</t>
  </si>
  <si>
    <t>FEC_per_sqm.kWh.PL.Ser.Bld.Thermal.HW.Oil.Oil_LiqBio</t>
  </si>
  <si>
    <t>FEC_per_sqm.kWh.PL.Ser.Bld.Thermal.HW.Gas.NG_Biogas</t>
  </si>
  <si>
    <t>FEC_per_sqm.kWh.PL.Ser.Bld.Thermal.HW.Biomass.Biomass_Waste</t>
  </si>
  <si>
    <t>FEC_per_sqm.kWh.PL.Ser.Bld.Thermal.HW.DistrHeat.Steam_Distr</t>
  </si>
  <si>
    <t>FEC_per_sqm.kWh.PL.Ser.Bld.Thermal.HW.Elc.Elec</t>
  </si>
  <si>
    <t>FEC_per_sqm.kWh.PL.Ser.Bld.Thermal.HW.TotalSolar.Solar</t>
  </si>
  <si>
    <t>FEC_per_sqm.kWh.PL.Ser.Bld.Thermal.CA</t>
  </si>
  <si>
    <t>FEC_per_sqm.kWh.PL.Ser.Bld.Thermal.CA.LPG</t>
  </si>
  <si>
    <t>FEC_per_sqm.kWh.PL.Ser.Bld.Thermal.CA.Gas.NG_Biogas</t>
  </si>
  <si>
    <t>FEC_per_sqm.kWh.PL.Ser.Bld.Thermal.CA.Biomass.Biomass_Waste</t>
  </si>
  <si>
    <t>FEC_per_sqm.kWh.PL.Ser.Bld.Thermal.CA.Elc.Elec</t>
  </si>
  <si>
    <t>PL - Thermal energy service per useful surface area</t>
  </si>
  <si>
    <t>TES_per_sqm.kWh.PL.Ser.Bld.Thermal</t>
  </si>
  <si>
    <t>TES_per_sqm.kWh.PL.Ser.Bld.Thermal.SH</t>
  </si>
  <si>
    <t>TES_per_sqm.kWh.PL.Ser.Bld.Thermal.SH.Solids.Solids</t>
  </si>
  <si>
    <t>TES_per_sqm.kWh.PL.Ser.Bld.Thermal.SH.LPG.LPG</t>
  </si>
  <si>
    <t>TES_per_sqm.kWh.PL.Ser.Bld.Thermal.SH.Oil.Oil_LiqBio</t>
  </si>
  <si>
    <t>TES_per_sqm.kWh.PL.Ser.Bld.Thermal.SH.GasHP.NG_Biogas</t>
  </si>
  <si>
    <t>TES_per_sqm.kWh.PL.Ser.Bld.Thermal.SH.GasTH.NG_Biogas</t>
  </si>
  <si>
    <t>TES_per_sqm.kWh.PL.Ser.Bld.Thermal.SH.Biomass.Biomass_Waste</t>
  </si>
  <si>
    <t>TES_per_sqm.kWh.PL.Ser.Bld.Thermal.SH.Geo.Geo</t>
  </si>
  <si>
    <t>TES_per_sqm.kWh.PL.Ser.Bld.Thermal.SH.DistrHeat.Steam_Distr</t>
  </si>
  <si>
    <t>TES_per_sqm.kWh.PL.Ser.Bld.Thermal.SH.AdvElc.Elec</t>
  </si>
  <si>
    <t>TES_per_sqm.kWh.PL.Ser.Bld.Thermal.SH.ConvElc.Elec</t>
  </si>
  <si>
    <t>TES_per_sqm.kWh.PL.Ser.Bld.Thermal.SH.TotalCirculation.Elec</t>
  </si>
  <si>
    <t>TES_per_sqm.kWh.PL.Ser.Bld.Thermal.SC</t>
  </si>
  <si>
    <t>TES_per_sqm.kWh.PL.Ser.Bld.Thermal.SC.GasHP.NG_Biogas</t>
  </si>
  <si>
    <t>TES_per_sqm.kWh.PL.Ser.Bld.Thermal.SC.AC.Elec</t>
  </si>
  <si>
    <t>TES_per_sqm.kWh.PL.Ser.Bld.Thermal.HW</t>
  </si>
  <si>
    <t>TES_per_sqm.kWh.PL.Ser.Bld.Thermal.HW.Solids.Solids</t>
  </si>
  <si>
    <t>TES_per_sqm.kWh.PL.Ser.Bld.Thermal.HW.LPG.LPG</t>
  </si>
  <si>
    <t>TES_per_sqm.kWh.PL.Ser.Bld.Thermal.HW.Oil.Oil_LiqBio</t>
  </si>
  <si>
    <t>TES_per_sqm.kWh.PL.Ser.Bld.Thermal.HW.Gas.NG_Biogas</t>
  </si>
  <si>
    <t>TES_per_sqm.kWh.PL.Ser.Bld.Thermal.HW.Biomass.Biomass_Waste</t>
  </si>
  <si>
    <t>TES_per_sqm.kWh.PL.Ser.Bld.Thermal.HW.DistrHeat.Steam_Distr</t>
  </si>
  <si>
    <t>TES_per_sqm.kWh.PL.Ser.Bld.Thermal.HW.Elc.Elec</t>
  </si>
  <si>
    <t>TES_per_sqm.kWh.PL.Ser.Bld.Thermal.HW.TotalSolar.Solar</t>
  </si>
  <si>
    <t>TES_per_sqm.kWh.PL.Ser.Bld.Thermal.CA</t>
  </si>
  <si>
    <t>TES_per_sqm.kWh.PL.Ser.Bld.Thermal.CA.LPG</t>
  </si>
  <si>
    <t>TES_per_sqm.kWh.PL.Ser.Bld.Thermal.CA.Gas.NG_Biogas</t>
  </si>
  <si>
    <t>TES_per_sqm.kWh.PL.Ser.Bld.Thermal.CA.Biomass.Biomass_Waste</t>
  </si>
  <si>
    <t>TES_per_sqm.kWh.PL.Ser.Bld.Thermal.CA.Elc.Elec</t>
  </si>
  <si>
    <t>PL - CO2 emissions per useful surface area</t>
  </si>
  <si>
    <t>EMI_per_sqm.kgCO2.PL.Ser.Bld.Thermal</t>
  </si>
  <si>
    <t>EMI_per_sqm.kgCO2.PL.Ser.Bld.Thermal.SH</t>
  </si>
  <si>
    <t>EMI_per_sqm.kgCO2.PL.Ser.Bld.Thermal.SH.Solids.Solids</t>
  </si>
  <si>
    <t>EMI_per_sqm.kgCO2.PL.Ser.Bld.Thermal.SH.LPG.LPG</t>
  </si>
  <si>
    <t>EMI_per_sqm.kgCO2.PL.Ser.Bld.Thermal.SH.Oil.Oil_LiqBio</t>
  </si>
  <si>
    <t>EMI_per_sqm.kgCO2.PL.Ser.Bld.Thermal.SH.GasHP.NG_Biogas</t>
  </si>
  <si>
    <t>EMI_per_sqm.kgCO2.PL.Ser.Bld.Thermal.SH.GasTH.NG_Biogas</t>
  </si>
  <si>
    <t>EMI_per_sqm.kgCO2.PL.Ser.Bld.Thermal.SH.Biomass.Biomass_Waste</t>
  </si>
  <si>
    <t>EMI_per_sqm.kgCO2.PL.Ser.Bld.Thermal.SH.Geo.Geo</t>
  </si>
  <si>
    <t>EMI_per_sqm.kgCO2.PL.Ser.Bld.Thermal.SH.DistrHeat.Steam_Distr</t>
  </si>
  <si>
    <t>EMI_per_sqm.kgCO2.PL.Ser.Bld.Thermal.SH.AdvElc.Elec</t>
  </si>
  <si>
    <t>EMI_per_sqm.kgCO2.PL.Ser.Bld.Thermal.SH.ConvElc.Elec</t>
  </si>
  <si>
    <t>EMI_per_sqm.kgCO2.PL.Ser.Bld.Thermal.SH.TotalCirculation.Elec</t>
  </si>
  <si>
    <t>EMI_per_sqm.kgCO2.PL.Ser.Bld.Thermal.SC</t>
  </si>
  <si>
    <t>EMI_per_sqm.kgCO2.PL.Ser.Bld.Thermal.SC.GasHP.NG_Biogas</t>
  </si>
  <si>
    <t>EMI_per_sqm.kgCO2.PL.Ser.Bld.Thermal.SC.AC.Elec</t>
  </si>
  <si>
    <t>EMI_per_sqm.kgCO2.PL.Ser.Bld.Thermal.HW</t>
  </si>
  <si>
    <t>EMI_per_sqm.kgCO2.PL.Ser.Bld.Thermal.HW.Solids.Solids</t>
  </si>
  <si>
    <t>EMI_per_sqm.kgCO2.PL.Ser.Bld.Thermal.HW.LPG.LPG</t>
  </si>
  <si>
    <t>EMI_per_sqm.kgCO2.PL.Ser.Bld.Thermal.HW.Oil.Oil_LiqBio</t>
  </si>
  <si>
    <t>EMI_per_sqm.kgCO2.PL.Ser.Bld.Thermal.HW.Gas.NG_Biogas</t>
  </si>
  <si>
    <t>EMI_per_sqm.kgCO2.PL.Ser.Bld.Thermal.HW.Biomass.Biomass_Waste</t>
  </si>
  <si>
    <t>EMI_per_sqm.kgCO2.PL.Ser.Bld.Thermal.HW.DistrHeat.Steam_Distr</t>
  </si>
  <si>
    <t>EMI_per_sqm.kgCO2.PL.Ser.Bld.Thermal.HW.Elc.Elec</t>
  </si>
  <si>
    <t>EMI_per_sqm.kgCO2.PL.Ser.Bld.Thermal.HW.TotalSolar.Solar</t>
  </si>
  <si>
    <t>EMI_per_sqm.kgCO2.PL.Ser.Bld.Thermal.CA</t>
  </si>
  <si>
    <t>EMI_per_sqm.kgCO2.PL.Ser.Bld.Thermal.CA.LPG</t>
  </si>
  <si>
    <t>EMI_per_sqm.kgCO2.PL.Ser.Bld.Thermal.CA.Gas.NG_Biogas</t>
  </si>
  <si>
    <t>EMI_per_sqm.kgCO2.PL.Ser.Bld.Thermal.CA.Biomass.Biomass_Waste</t>
  </si>
  <si>
    <t>EMI_per_sqm.kgCO2.PL.Ser.Bld.Thermal.CA.Elc.Elec</t>
  </si>
  <si>
    <t>PL - Number of new and renovated buildings</t>
  </si>
  <si>
    <t>NUM.number.PL.Ser.BldNew.Thermal</t>
  </si>
  <si>
    <t>NUM.number.PL.Ser.BldNew.Thermal.SH</t>
  </si>
  <si>
    <t>NUM.number.PL.Ser.BldNew.Thermal.SH.Solids</t>
  </si>
  <si>
    <t>NUM.number.PL.Ser.BldNew.Thermal.SH.LPG</t>
  </si>
  <si>
    <t>NUM.number.PL.Ser.BldNew.Thermal.SH.Oil</t>
  </si>
  <si>
    <t>NUM.number.PL.Ser.BldNew.Thermal.SH.GasHP</t>
  </si>
  <si>
    <t>NUM.number.PL.Ser.BldNew.Thermal.SH.GasTH</t>
  </si>
  <si>
    <t>NUM.number.PL.Ser.BldNew.Thermal.SH.Biomass</t>
  </si>
  <si>
    <t>NUM.number.PL.Ser.BldNew.Thermal.SH.Geo</t>
  </si>
  <si>
    <t>NUM.number.PL.Ser.BldNew.Thermal.SH.DistrHeat</t>
  </si>
  <si>
    <t>NUM.number.PL.Ser.BldNew.Thermal.SH.AdvElc</t>
  </si>
  <si>
    <t>NUM.number.PL.Ser.BldNew.Thermal.SH.ConvElc</t>
  </si>
  <si>
    <t>NUM.number.PL.Ser.BldNew.Thermal.SC</t>
  </si>
  <si>
    <t>NUM.number.PL.Ser.BldNew.Thermal.SC.GasHP</t>
  </si>
  <si>
    <t>NUM.number.PL.Ser.BldNew.Thermal.SC.AC</t>
  </si>
  <si>
    <t>NUM.number.PL.Ser.BldNew.Thermal.HW</t>
  </si>
  <si>
    <t>NUM.number.PL.Ser.BldNew.Thermal.HW.Solids</t>
  </si>
  <si>
    <t>NUM.number.PL.Ser.BldNew.Thermal.HW.LPG</t>
  </si>
  <si>
    <t>NUM.number.PL.Ser.BldNew.Thermal.HW.Oil</t>
  </si>
  <si>
    <t>NUM.number.PL.Ser.BldNew.Thermal.HW.Gas</t>
  </si>
  <si>
    <t>NUM.number.PL.Ser.BldNew.Thermal.HW.Biomass</t>
  </si>
  <si>
    <t>NUM.number.PL.Ser.BldNew.Thermal.HW.DistrHeat</t>
  </si>
  <si>
    <t>NUM.number.PL.Ser.BldNew.Thermal.HW.Elc</t>
  </si>
  <si>
    <t>NUM.number.PL.Ser.BldNew.Thermal.HW.Solar</t>
  </si>
  <si>
    <t>NUM.number.PL.Ser.BldNew.Thermal.CA</t>
  </si>
  <si>
    <t>NUM.number.PL.Ser.BldNew.Thermal.CA.LPG</t>
  </si>
  <si>
    <t>NUM.number.PL.Ser.BldNew.Thermal.CA.Gas</t>
  </si>
  <si>
    <t>NUM.number.PL.Ser.BldNew.Thermal.CA.Biomass</t>
  </si>
  <si>
    <t>NUM.number.PL.Ser.BldNew.Thermal.CA.Elc</t>
  </si>
  <si>
    <t>PL - Final energy consumption in new and renovated buildings</t>
  </si>
  <si>
    <t>FEC.ktoe.PL.Ser.BldNew.Thermal</t>
  </si>
  <si>
    <t>FEC.ktoe.PL.Ser.BldNew.Thermal.SH</t>
  </si>
  <si>
    <t>FEC.ktoe.PL.Ser.BldNew.Thermal.SH.Solids.Solids</t>
  </si>
  <si>
    <t>FEC.ktoe.PL.Ser.BldNew.Thermal.SH.LPG.LPG</t>
  </si>
  <si>
    <t>FEC.ktoe.PL.Ser.BldNew.Thermal.SH.Oil.Oil_LiqBio</t>
  </si>
  <si>
    <t>FEC.ktoe.PL.Ser.BldNew.Thermal.SH.GasHP.NG_Biogas</t>
  </si>
  <si>
    <t>FEC.ktoe.PL.Ser.BldNew.Thermal.SH.GasTH.NG_Biogas</t>
  </si>
  <si>
    <t>FEC.ktoe.PL.Ser.BldNew.Thermal.SH.Biomass.Biomass_Waste</t>
  </si>
  <si>
    <t>FEC.ktoe.PL.Ser.BldNew.Thermal.SH.Geo.Geo</t>
  </si>
  <si>
    <t>FEC.ktoe.PL.Ser.BldNew.Thermal.SH.DistrHeat.Steam_Distr</t>
  </si>
  <si>
    <t>FEC.ktoe.PL.Ser.BldNew.Thermal.SH.AdvElc.Elec</t>
  </si>
  <si>
    <t>FEC.ktoe.PL.Ser.BldNew.Thermal.SH.ConvElc.Elec</t>
  </si>
  <si>
    <t>FEC.ktoe.PL.Ser.BldNew.Thermal.SH.TotalCirculation.Elec</t>
  </si>
  <si>
    <t>FEC.ktoe.PL.Ser.BldNew.Thermal.SC</t>
  </si>
  <si>
    <t>FEC.ktoe.PL.Ser.BldNew.Thermal.SC.GasHP.NG_Biogas</t>
  </si>
  <si>
    <t>FEC.ktoe.PL.Ser.BldNew.Thermal.SC.AC.Elec</t>
  </si>
  <si>
    <t>FEC.ktoe.PL.Ser.BldNew.Thermal.HW</t>
  </si>
  <si>
    <t>FEC.ktoe.PL.Ser.BldNew.Thermal.HW.Solids.Solids</t>
  </si>
  <si>
    <t>FEC.ktoe.PL.Ser.BldNew.Thermal.HW.LPG.LPG</t>
  </si>
  <si>
    <t>FEC.ktoe.PL.Ser.BldNew.Thermal.HW.Oil.Oil_LiqBio</t>
  </si>
  <si>
    <t>FEC.ktoe.PL.Ser.BldNew.Thermal.HW.Gas.NG_Biogas</t>
  </si>
  <si>
    <t>FEC.ktoe.PL.Ser.BldNew.Thermal.HW.Biomass.Biomass_Waste</t>
  </si>
  <si>
    <t>FEC.ktoe.PL.Ser.BldNew.Thermal.HW.DistrHeat.Steam_Distr</t>
  </si>
  <si>
    <t>FEC.ktoe.PL.Ser.BldNew.Thermal.HW.Elc.Elec</t>
  </si>
  <si>
    <t>FEC.ktoe.PL.Ser.BldNew.Thermal.HW.TotalSolar.Solar</t>
  </si>
  <si>
    <t>FEC.ktoe.PL.Ser.BldNew.Thermal.CA</t>
  </si>
  <si>
    <t>FEC.ktoe.PL.Ser.BldNew.Thermal.CA.LPG</t>
  </si>
  <si>
    <t>FEC.ktoe.PL.Ser.BldNew.Thermal.CA.Gas.NG_Biogas</t>
  </si>
  <si>
    <t>FEC.ktoe.PL.Ser.BldNew.Thermal.CA.Biomass.Biomass_Waste</t>
  </si>
  <si>
    <t>FEC.ktoe.PL.Ser.BldNew.Thermal.CA.Elc.Elec</t>
  </si>
  <si>
    <t>PL - Thermal energy service in new and renovated buildings</t>
  </si>
  <si>
    <t>TES.ktoe.PL.Ser.BldNew.Thermal</t>
  </si>
  <si>
    <t>TES.ktoe.PL.Ser.BldNew.Thermal.SH</t>
  </si>
  <si>
    <t>TES.ktoe.PL.Ser.BldNew.Thermal.SH.Solids.Solids</t>
  </si>
  <si>
    <t>TES.ktoe.PL.Ser.BldNew.Thermal.SH.LPG.LPG</t>
  </si>
  <si>
    <t>TES.ktoe.PL.Ser.BldNew.Thermal.SH.Oil.Oil_LiqBio</t>
  </si>
  <si>
    <t>TES.ktoe.PL.Ser.BldNew.Thermal.SH.GasHP.NG_Biogas</t>
  </si>
  <si>
    <t>TES.ktoe.PL.Ser.BldNew.Thermal.SH.GasTH.NG_Biogas</t>
  </si>
  <si>
    <t>TES.ktoe.PL.Ser.BldNew.Thermal.SH.Biomass.Biomass_Waste</t>
  </si>
  <si>
    <t>TES.ktoe.PL.Ser.BldNew.Thermal.SH.Geo.Geo</t>
  </si>
  <si>
    <t>TES.ktoe.PL.Ser.BldNew.Thermal.SH.DistrHeat.Steam_Distr</t>
  </si>
  <si>
    <t>TES.ktoe.PL.Ser.BldNew.Thermal.SH.AdvElc.Elec</t>
  </si>
  <si>
    <t>TES.ktoe.PL.Ser.BldNew.Thermal.SH.ConvElc.Elec</t>
  </si>
  <si>
    <t>TES.ktoe.PL.Ser.BldNew.Thermal.SH.TotalCirculation.Elec</t>
  </si>
  <si>
    <t>TES.ktoe.PL.Ser.BldNew.Thermal.SC</t>
  </si>
  <si>
    <t>TES.ktoe.PL.Ser.BldNew.Thermal.SC.GasHP.NG_Biogas</t>
  </si>
  <si>
    <t>TES.ktoe.PL.Ser.BldNew.Thermal.SC.AC.Elec</t>
  </si>
  <si>
    <t>TES.ktoe.PL.Ser.BldNew.Thermal.HW</t>
  </si>
  <si>
    <t>TES.ktoe.PL.Ser.BldNew.Thermal.HW.Solids.Solids</t>
  </si>
  <si>
    <t>TES.ktoe.PL.Ser.BldNew.Thermal.HW.LPG.LPG</t>
  </si>
  <si>
    <t>TES.ktoe.PL.Ser.BldNew.Thermal.HW.Oil.Oil_LiqBio</t>
  </si>
  <si>
    <t>TES.ktoe.PL.Ser.BldNew.Thermal.HW.Gas.NG_Biogas</t>
  </si>
  <si>
    <t>TES.ktoe.PL.Ser.BldNew.Thermal.HW.Biomass.Biomass_Waste</t>
  </si>
  <si>
    <t>TES.ktoe.PL.Ser.BldNew.Thermal.HW.DistrHeat.Steam_Distr</t>
  </si>
  <si>
    <t>TES.ktoe.PL.Ser.BldNew.Thermal.HW.Elc.Elec</t>
  </si>
  <si>
    <t>TES.ktoe.PL.Ser.BldNew.Thermal.HW.TotalSolar.Solar</t>
  </si>
  <si>
    <t>TES.ktoe.PL.Ser.BldNew.Thermal.CA</t>
  </si>
  <si>
    <t>TES.ktoe.PL.Ser.BldNew.Thermal.CA.LPG</t>
  </si>
  <si>
    <t>TES.ktoe.PL.Ser.BldNew.Thermal.CA.Gas.NG_Biogas</t>
  </si>
  <si>
    <t>TES.ktoe.PL.Ser.BldNew.Thermal.CA.Biomass.Biomass_Waste</t>
  </si>
  <si>
    <t>TES.ktoe.PL.Ser.BldNew.Thermal.CA.Elc.Elec</t>
  </si>
  <si>
    <t>PL - System efficiency indicator of new and renovated buildings</t>
  </si>
  <si>
    <t>Eff.ratio.PL.Ser.BldNew.Thermal</t>
  </si>
  <si>
    <t>Eff.ratio.PL.Ser.BldNew.Thermal.SH</t>
  </si>
  <si>
    <t>Eff.ratio.PL.Ser.BldNew.Thermal.SH.Solids.Solids</t>
  </si>
  <si>
    <t>Eff.ratio.PL.Ser.BldNew.Thermal.SH.LPG.LPG</t>
  </si>
  <si>
    <t>Eff.ratio.PL.Ser.BldNew.Thermal.SH.Oil.Oil_LiqBio</t>
  </si>
  <si>
    <t>Eff.ratio.PL.Ser.BldNew.Thermal.SH.GasHP.NG_Biogas</t>
  </si>
  <si>
    <t>Eff.ratio.PL.Ser.BldNew.Thermal.SH.GasTH.NG_Biogas</t>
  </si>
  <si>
    <t>Eff.ratio.PL.Ser.BldNew.Thermal.SH.Biomass.Biomass_Waste</t>
  </si>
  <si>
    <t>Eff.ratio.PL.Ser.BldNew.Thermal.SH.Geo.Geo</t>
  </si>
  <si>
    <t>Eff.ratio.PL.Ser.BldNew.Thermal.SH.DistrHeat.Steam_Distr</t>
  </si>
  <si>
    <t>Eff.ratio.PL.Ser.BldNew.Thermal.SH.AdvElc.Elec</t>
  </si>
  <si>
    <t>Eff.ratio.PL.Ser.BldNew.Thermal.SH.ConvElc.Elec</t>
  </si>
  <si>
    <t>Eff.ratio.PL.Ser.BldNew.Thermal.SH.TotalCirculation.Elec</t>
  </si>
  <si>
    <t>Eff.ratio.PL.Ser.BldNew.Thermal.SC</t>
  </si>
  <si>
    <t>Eff.ratio.PL.Ser.BldNew.Thermal.SC.GasHP.NG_Biogas</t>
  </si>
  <si>
    <t>Eff.ratio.PL.Ser.BldNew.Thermal.SC.AC.Elec</t>
  </si>
  <si>
    <t>Eff.ratio.PL.Ser.BldNew.Thermal.HW</t>
  </si>
  <si>
    <t>Eff.ratio.PL.Ser.BldNew.Thermal.HW.Solids.Solids</t>
  </si>
  <si>
    <t>Eff.ratio.PL.Ser.BldNew.Thermal.HW.LPG.LPG</t>
  </si>
  <si>
    <t>Eff.ratio.PL.Ser.BldNew.Thermal.HW.Oil.Oil_LiqBio</t>
  </si>
  <si>
    <t>Eff.ratio.PL.Ser.BldNew.Thermal.HW.Gas.NG_Biogas</t>
  </si>
  <si>
    <t>Eff.ratio.PL.Ser.BldNew.Thermal.HW.Biomass.Biomass_Waste</t>
  </si>
  <si>
    <t>Eff.ratio.PL.Ser.BldNew.Thermal.HW.DistrHeat.Steam_Distr</t>
  </si>
  <si>
    <t>Eff.ratio.PL.Ser.BldNew.Thermal.HW.Elc.Elec</t>
  </si>
  <si>
    <t>Eff.ratio.PL.Ser.BldNew.Thermal.HW.TotalSolar.Solar</t>
  </si>
  <si>
    <t>Eff.ratio.PL.Ser.BldNew.Thermal.CA</t>
  </si>
  <si>
    <t>Eff.ratio.PL.Ser.BldNew.Thermal.CA.LPG</t>
  </si>
  <si>
    <t>Eff.ratio.PL.Ser.BldNew.Thermal.CA.Gas.NG_Biogas</t>
  </si>
  <si>
    <t>Eff.ratio.PL.Ser.BldNew.Thermal.CA.Biomass.Biomass_Waste</t>
  </si>
  <si>
    <t>Eff.ratio.PL.Ser.BldNew.Thermal.CA.Elc.Elec</t>
  </si>
  <si>
    <t>PL - CO2 emissions in new and renovated buildings</t>
  </si>
  <si>
    <t>EMI.ktCO2.PL.Ser.BldNew.Thermal</t>
  </si>
  <si>
    <t>EMI.ktCO2.PL.Ser.BldNew.Thermal.SH</t>
  </si>
  <si>
    <t>EMI.ktCO2.PL.Ser.BldNew.Thermal.SH.Solids.Solids</t>
  </si>
  <si>
    <t>EMI.ktCO2.PL.Ser.BldNew.Thermal.SH.LPG.LPG</t>
  </si>
  <si>
    <t>EMI.ktCO2.PL.Ser.BldNew.Thermal.SH.Oil.Oil_LiqBio</t>
  </si>
  <si>
    <t>EMI.ktCO2.PL.Ser.BldNew.Thermal.SH.GasHP.NG_Biogas</t>
  </si>
  <si>
    <t>EMI.ktCO2.PL.Ser.BldNew.Thermal.SH.GasTH.NG_Biogas</t>
  </si>
  <si>
    <t>EMI.ktCO2.PL.Ser.BldNew.Thermal.SH.Biomass.Biomass_Waste</t>
  </si>
  <si>
    <t>EMI.ktCO2.PL.Ser.BldNew.Thermal.SH.Geo.Geo</t>
  </si>
  <si>
    <t>EMI.ktCO2.PL.Ser.BldNew.Thermal.SH.DistrHeat.Steam_Distr</t>
  </si>
  <si>
    <t>EMI.ktCO2.PL.Ser.BldNew.Thermal.SH.AdvElc.Elec</t>
  </si>
  <si>
    <t>EMI.ktCO2.PL.Ser.BldNew.Thermal.SH.ConvElc.Elec</t>
  </si>
  <si>
    <t>EMI.ktCO2.PL.Ser.BldNew.Thermal.SH.TotalCirculation.Elec</t>
  </si>
  <si>
    <t>EMI.ktCO2.PL.Ser.BldNew.Thermal.SC</t>
  </si>
  <si>
    <t>EMI.ktCO2.PL.Ser.BldNew.Thermal.SC.GasHP.NG_Biogas</t>
  </si>
  <si>
    <t>EMI.ktCO2.PL.Ser.BldNew.Thermal.SC.AC.Elec</t>
  </si>
  <si>
    <t>EMI.ktCO2.PL.Ser.BldNew.Thermal.HW</t>
  </si>
  <si>
    <t>EMI.ktCO2.PL.Ser.BldNew.Thermal.HW.Solids.Solids</t>
  </si>
  <si>
    <t>EMI.ktCO2.PL.Ser.BldNew.Thermal.HW.LPG.LPG</t>
  </si>
  <si>
    <t>EMI.ktCO2.PL.Ser.BldNew.Thermal.HW.Oil.Oil_LiqBio</t>
  </si>
  <si>
    <t>EMI.ktCO2.PL.Ser.BldNew.Thermal.HW.Gas.NG_Biogas</t>
  </si>
  <si>
    <t>EMI.ktCO2.PL.Ser.BldNew.Thermal.HW.Biomass.Biomass_Waste</t>
  </si>
  <si>
    <t>EMI.ktCO2.PL.Ser.BldNew.Thermal.HW.DistrHeat.Steam_Distr</t>
  </si>
  <si>
    <t>EMI.ktCO2.PL.Ser.BldNew.Thermal.HW.Elc.Elec</t>
  </si>
  <si>
    <t>EMI.ktCO2.PL.Ser.BldNew.Thermal.HW.TotalSolar.Solar</t>
  </si>
  <si>
    <t>EMI.ktCO2.PL.Ser.BldNew.Thermal.CA</t>
  </si>
  <si>
    <t>EMI.ktCO2.PL.Ser.BldNew.Thermal.CA.LPG</t>
  </si>
  <si>
    <t>EMI.ktCO2.PL.Ser.BldNew.Thermal.CA.Gas.NG_Biogas</t>
  </si>
  <si>
    <t>EMI.ktCO2.PL.Ser.BldNew.Thermal.CA.Biomass.Biomass_Waste</t>
  </si>
  <si>
    <t>EMI.ktCO2.PL.Ser.BldNew.Thermal.CA.Elc.Elec</t>
  </si>
  <si>
    <t>PL - Final energy consumption of new and renovated buildings (per building)</t>
  </si>
  <si>
    <t>FEC_per_building.kWh.PL.Ser.BldNew.Thermal</t>
  </si>
  <si>
    <t>FEC_per_building.kWh.PL.Ser.BldNew.Thermal.SH</t>
  </si>
  <si>
    <t>FEC_per_building.kWh.PL.Ser.BldNew.Thermal.SH.Solids.Solids</t>
  </si>
  <si>
    <t>FEC_per_building.kWh.PL.Ser.BldNew.Thermal.SH.LPG.LPG</t>
  </si>
  <si>
    <t>FEC_per_building.kWh.PL.Ser.BldNew.Thermal.SH.Oil.Oil_LiqBio</t>
  </si>
  <si>
    <t>FEC_per_building.kWh.PL.Ser.BldNew.Thermal.SH.GasHP.NG_Biogas</t>
  </si>
  <si>
    <t>FEC_per_building.kWh.PL.Ser.BldNew.Thermal.SH.GasTH.NG_Biogas</t>
  </si>
  <si>
    <t>FEC_per_building.kWh.PL.Ser.BldNew.Thermal.SH.Biomass.Biomass_Waste</t>
  </si>
  <si>
    <t>FEC_per_building.kWh.PL.Ser.BldNew.Thermal.SH.Geo.Geo</t>
  </si>
  <si>
    <t>FEC_per_building.kWh.PL.Ser.BldNew.Thermal.SH.DistrHeat.Steam_Distr</t>
  </si>
  <si>
    <t>FEC_per_building.kWh.PL.Ser.BldNew.Thermal.SH.AdvElc.Elec</t>
  </si>
  <si>
    <t>FEC_per_building.kWh.PL.Ser.BldNew.Thermal.SH.ConvElc.Elec</t>
  </si>
  <si>
    <t>FEC_per_building.kWh.PL.Ser.BldNew.Thermal.SH.TotalCirculation.Elec</t>
  </si>
  <si>
    <t>FEC_per_building.kWh.PL.Ser.BldNew.Thermal.SC</t>
  </si>
  <si>
    <t>FEC_per_building.kWh.PL.Ser.BldNew.Thermal.SC.GasHP.NG_Biogas</t>
  </si>
  <si>
    <t>FEC_per_building.kWh.PL.Ser.BldNew.Thermal.SC.AC.Elec</t>
  </si>
  <si>
    <t>FEC_per_building.kWh.PL.Ser.BldNew.Thermal.HW</t>
  </si>
  <si>
    <t>FEC_per_building.kWh.PL.Ser.BldNew.Thermal.HW.Solids.Solids</t>
  </si>
  <si>
    <t>FEC_per_building.kWh.PL.Ser.BldNew.Thermal.HW.LPG.LPG</t>
  </si>
  <si>
    <t>FEC_per_building.kWh.PL.Ser.BldNew.Thermal.HW.Oil.Oil_LiqBio</t>
  </si>
  <si>
    <t>FEC_per_building.kWh.PL.Ser.BldNew.Thermal.HW.Gas.NG_Biogas</t>
  </si>
  <si>
    <t>FEC_per_building.kWh.PL.Ser.BldNew.Thermal.HW.Biomass.Biomass_Waste</t>
  </si>
  <si>
    <t>FEC_per_building.kWh.PL.Ser.BldNew.Thermal.HW.DistrHeat.Steam_Distr</t>
  </si>
  <si>
    <t>FEC_per_building.kWh.PL.Ser.BldNew.Thermal.HW.Elc.Elec</t>
  </si>
  <si>
    <t>FEC_per_building.kWh.PL.Ser.BldNew.Thermal.HW.TotalSolar.Solar</t>
  </si>
  <si>
    <t>FEC_per_building.kWh.PL.Ser.BldNew.Thermal.CA</t>
  </si>
  <si>
    <t>FEC_per_building.kWh.PL.Ser.BldNew.Thermal.CA.LPG</t>
  </si>
  <si>
    <t>FEC_per_building.kWh.PL.Ser.BldNew.Thermal.CA.Gas.NG_Biogas</t>
  </si>
  <si>
    <t>FEC_per_building.kWh.PL.Ser.BldNew.Thermal.CA.Biomass.Biomass_Waste</t>
  </si>
  <si>
    <t>FEC_per_building.kWh.PL.Ser.BldNew.Thermal.CA.Elc.Elec</t>
  </si>
  <si>
    <t>PL - Thermal energy service of new and renovated buildings (per building)</t>
  </si>
  <si>
    <t>TES_per_building.kWh.PL.Ser.BldNew.Thermal</t>
  </si>
  <si>
    <t>TES_per_building.kWh.PL.Ser.BldNew.Thermal.SH</t>
  </si>
  <si>
    <t>TES_per_building.kWh.PL.Ser.BldNew.Thermal.SH.Solids.Solids</t>
  </si>
  <si>
    <t>TES_per_building.kWh.PL.Ser.BldNew.Thermal.SH.LPG.LPG</t>
  </si>
  <si>
    <t>TES_per_building.kWh.PL.Ser.BldNew.Thermal.SH.Oil.Oil_LiqBio</t>
  </si>
  <si>
    <t>TES_per_building.kWh.PL.Ser.BldNew.Thermal.SH.GasHP.NG_Biogas</t>
  </si>
  <si>
    <t>TES_per_building.kWh.PL.Ser.BldNew.Thermal.SH.GasTH.NG_Biogas</t>
  </si>
  <si>
    <t>TES_per_building.kWh.PL.Ser.BldNew.Thermal.SH.Biomass.Biomass_Waste</t>
  </si>
  <si>
    <t>TES_per_building.kWh.PL.Ser.BldNew.Thermal.SH.Geo.Geo</t>
  </si>
  <si>
    <t>TES_per_building.kWh.PL.Ser.BldNew.Thermal.SH.DistrHeat.Steam_Distr</t>
  </si>
  <si>
    <t>TES_per_building.kWh.PL.Ser.BldNew.Thermal.SH.AdvElc.Elec</t>
  </si>
  <si>
    <t>TES_per_building.kWh.PL.Ser.BldNew.Thermal.SH.ConvElc.Elec</t>
  </si>
  <si>
    <t>TES_per_building.kWh.PL.Ser.BldNew.Thermal.SH.TotalCirculation.Elec</t>
  </si>
  <si>
    <t>TES_per_building.kWh.PL.Ser.BldNew.Thermal.SC</t>
  </si>
  <si>
    <t>TES_per_building.kWh.PL.Ser.BldNew.Thermal.SC.GasHP.NG_Biogas</t>
  </si>
  <si>
    <t>TES_per_building.kWh.PL.Ser.BldNew.Thermal.SC.AC.Elec</t>
  </si>
  <si>
    <t>TES_per_building.kWh.PL.Ser.BldNew.Thermal.HW</t>
  </si>
  <si>
    <t>TES_per_building.kWh.PL.Ser.BldNew.Thermal.HW.Solids.Solids</t>
  </si>
  <si>
    <t>TES_per_building.kWh.PL.Ser.BldNew.Thermal.HW.LPG.LPG</t>
  </si>
  <si>
    <t>TES_per_building.kWh.PL.Ser.BldNew.Thermal.HW.Oil.Oil_LiqBio</t>
  </si>
  <si>
    <t>TES_per_building.kWh.PL.Ser.BldNew.Thermal.HW.Gas.NG_Biogas</t>
  </si>
  <si>
    <t>TES_per_building.kWh.PL.Ser.BldNew.Thermal.HW.Biomass.Biomass_Waste</t>
  </si>
  <si>
    <t>TES_per_building.kWh.PL.Ser.BldNew.Thermal.HW.DistrHeat.Steam_Distr</t>
  </si>
  <si>
    <t>TES_per_building.kWh.PL.Ser.BldNew.Thermal.HW.Elc.Elec</t>
  </si>
  <si>
    <t>TES_per_building.kWh.PL.Ser.BldNew.Thermal.HW.TotalSolar.Solar</t>
  </si>
  <si>
    <t>TES_per_building.kWh.PL.Ser.BldNew.Thermal.CA</t>
  </si>
  <si>
    <t>TES_per_building.kWh.PL.Ser.BldNew.Thermal.CA.LPG</t>
  </si>
  <si>
    <t>TES_per_building.kWh.PL.Ser.BldNew.Thermal.CA.Gas.NG_Biogas</t>
  </si>
  <si>
    <t>TES_per_building.kWh.PL.Ser.BldNew.Thermal.CA.Biomass.Biomass_Waste</t>
  </si>
  <si>
    <t>TES_per_building.kWh.PL.Ser.BldNew.Thermal.CA.Elc.Elec</t>
  </si>
  <si>
    <t>PL - CO2 emissions in new and renovated buildings (per building)</t>
  </si>
  <si>
    <t>EMI_per_building.kgCO2.PL.Ser.BldNew.Thermal</t>
  </si>
  <si>
    <t>EMI_per_building.kgCO2.PL.Ser.BldNew.Thermal.SH</t>
  </si>
  <si>
    <t>EMI_per_building.kgCO2.PL.Ser.BldNew.Thermal.SH.Solids.Solids</t>
  </si>
  <si>
    <t>EMI_per_building.kgCO2.PL.Ser.BldNew.Thermal.SH.LPG.LPG</t>
  </si>
  <si>
    <t>EMI_per_building.kgCO2.PL.Ser.BldNew.Thermal.SH.Oil.Oil_LiqBio</t>
  </si>
  <si>
    <t>EMI_per_building.kgCO2.PL.Ser.BldNew.Thermal.SH.GasHP.NG_Biogas</t>
  </si>
  <si>
    <t>EMI_per_building.kgCO2.PL.Ser.BldNew.Thermal.SH.GasTH.NG_Biogas</t>
  </si>
  <si>
    <t>EMI_per_building.kgCO2.PL.Ser.BldNew.Thermal.SH.Biomass.Biomass_Waste</t>
  </si>
  <si>
    <t>EMI_per_building.kgCO2.PL.Ser.BldNew.Thermal.SH.Geo.Geo</t>
  </si>
  <si>
    <t>EMI_per_building.kgCO2.PL.Ser.BldNew.Thermal.SH.DistrHeat.Steam_Distr</t>
  </si>
  <si>
    <t>EMI_per_building.kgCO2.PL.Ser.BldNew.Thermal.SH.AdvElc.Elec</t>
  </si>
  <si>
    <t>EMI_per_building.kgCO2.PL.Ser.BldNew.Thermal.SH.ConvElc.Elec</t>
  </si>
  <si>
    <t>EMI_per_building.kgCO2.PL.Ser.BldNew.Thermal.SH.TotalCirculation.Elec</t>
  </si>
  <si>
    <t>EMI_per_building.kgCO2.PL.Ser.BldNew.Thermal.SC</t>
  </si>
  <si>
    <t>EMI_per_building.kgCO2.PL.Ser.BldNew.Thermal.SC.GasHP.NG_Biogas</t>
  </si>
  <si>
    <t>EMI_per_building.kgCO2.PL.Ser.BldNew.Thermal.SC.AC.Elec</t>
  </si>
  <si>
    <t>EMI_per_building.kgCO2.PL.Ser.BldNew.Thermal.HW</t>
  </si>
  <si>
    <t>EMI_per_building.kgCO2.PL.Ser.BldNew.Thermal.HW.Solids.Solids</t>
  </si>
  <si>
    <t>EMI_per_building.kgCO2.PL.Ser.BldNew.Thermal.HW.LPG.LPG</t>
  </si>
  <si>
    <t>EMI_per_building.kgCO2.PL.Ser.BldNew.Thermal.HW.Oil.Oil_LiqBio</t>
  </si>
  <si>
    <t>EMI_per_building.kgCO2.PL.Ser.BldNew.Thermal.HW.Gas.NG_Biogas</t>
  </si>
  <si>
    <t>EMI_per_building.kgCO2.PL.Ser.BldNew.Thermal.HW.Biomass.Biomass_Waste</t>
  </si>
  <si>
    <t>EMI_per_building.kgCO2.PL.Ser.BldNew.Thermal.HW.DistrHeat.Steam_Distr</t>
  </si>
  <si>
    <t>EMI_per_building.kgCO2.PL.Ser.BldNew.Thermal.HW.Elc.Elec</t>
  </si>
  <si>
    <t>EMI_per_building.kgCO2.PL.Ser.BldNew.Thermal.HW.TotalSolar.Solar</t>
  </si>
  <si>
    <t>EMI_per_building.kgCO2.PL.Ser.BldNew.Thermal.CA</t>
  </si>
  <si>
    <t>EMI_per_building.kgCO2.PL.Ser.BldNew.Thermal.CA.LPG</t>
  </si>
  <si>
    <t>EMI_per_building.kgCO2.PL.Ser.BldNew.Thermal.CA.Gas.NG_Biogas</t>
  </si>
  <si>
    <t>EMI_per_building.kgCO2.PL.Ser.BldNew.Thermal.CA.Biomass.Biomass_Waste</t>
  </si>
  <si>
    <t>EMI_per_building.kgCO2.PL.Ser.BldNew.Thermal.CA.Elc.Elec</t>
  </si>
  <si>
    <t>PL - Final energy consumption in new and renovated buildings per surface area</t>
  </si>
  <si>
    <t>FEC_per_sqm.kWh.PL.Ser.BldNew.Thermal</t>
  </si>
  <si>
    <t>FEC_per_sqm.kWh.PL.Ser.BldNew.Thermal.SH</t>
  </si>
  <si>
    <t>FEC_per_sqm.kWh.PL.Ser.BldNew.Thermal.SH.Solids.Solids</t>
  </si>
  <si>
    <t>FEC_per_sqm.kWh.PL.Ser.BldNew.Thermal.SH.LPG.LPG</t>
  </si>
  <si>
    <t>FEC_per_sqm.kWh.PL.Ser.BldNew.Thermal.SH.Oil.Oil_LiqBio</t>
  </si>
  <si>
    <t>FEC_per_sqm.kWh.PL.Ser.BldNew.Thermal.SH.GasHP.NG_Biogas</t>
  </si>
  <si>
    <t>FEC_per_sqm.kWh.PL.Ser.BldNew.Thermal.SH.GasTH.NG_Biogas</t>
  </si>
  <si>
    <t>FEC_per_sqm.kWh.PL.Ser.BldNew.Thermal.SH.Biomass.Biomass_Waste</t>
  </si>
  <si>
    <t>FEC_per_sqm.kWh.PL.Ser.BldNew.Thermal.SH.Geo.Geo</t>
  </si>
  <si>
    <t>FEC_per_sqm.kWh.PL.Ser.BldNew.Thermal.SH.DistrHeat.Steam_Distr</t>
  </si>
  <si>
    <t>FEC_per_sqm.kWh.PL.Ser.BldNew.Thermal.SH.AdvElc.Elec</t>
  </si>
  <si>
    <t>FEC_per_sqm.kWh.PL.Ser.BldNew.Thermal.SH.ConvElc.Elec</t>
  </si>
  <si>
    <t>FEC_per_sqm.kWh.PL.Ser.BldNew.Thermal.SH.TotalCirculation.Elec</t>
  </si>
  <si>
    <t>FEC_per_sqm.kWh.PL.Ser.BldNew.Thermal.SC</t>
  </si>
  <si>
    <t>FEC_per_sqm.kWh.PL.Ser.BldNew.Thermal.SC.GasHP.NG_Biogas</t>
  </si>
  <si>
    <t>FEC_per_sqm.kWh.PL.Ser.BldNew.Thermal.SC.AC.Elec</t>
  </si>
  <si>
    <t>FEC_per_sqm.kWh.PL.Ser.BldNew.Thermal.HW</t>
  </si>
  <si>
    <t>FEC_per_sqm.kWh.PL.Ser.BldNew.Thermal.HW.Solids.Solids</t>
  </si>
  <si>
    <t>FEC_per_sqm.kWh.PL.Ser.BldNew.Thermal.HW.LPG.LPG</t>
  </si>
  <si>
    <t>FEC_per_sqm.kWh.PL.Ser.BldNew.Thermal.HW.Oil.Oil_LiqBio</t>
  </si>
  <si>
    <t>FEC_per_sqm.kWh.PL.Ser.BldNew.Thermal.HW.Gas.NG_Biogas</t>
  </si>
  <si>
    <t>FEC_per_sqm.kWh.PL.Ser.BldNew.Thermal.HW.Biomass.Biomass_Waste</t>
  </si>
  <si>
    <t>FEC_per_sqm.kWh.PL.Ser.BldNew.Thermal.HW.DistrHeat.Steam_Distr</t>
  </si>
  <si>
    <t>FEC_per_sqm.kWh.PL.Ser.BldNew.Thermal.HW.Elc.Elec</t>
  </si>
  <si>
    <t>FEC_per_sqm.kWh.PL.Ser.BldNew.Thermal.HW.TotalSolar.Solar</t>
  </si>
  <si>
    <t>FEC_per_sqm.kWh.PL.Ser.BldNew.Thermal.CA</t>
  </si>
  <si>
    <t>FEC_per_sqm.kWh.PL.Ser.BldNew.Thermal.CA.LPG</t>
  </si>
  <si>
    <t>FEC_per_sqm.kWh.PL.Ser.BldNew.Thermal.CA.Gas.NG_Biogas</t>
  </si>
  <si>
    <t>FEC_per_sqm.kWh.PL.Ser.BldNew.Thermal.CA.Biomass.Biomass_Waste</t>
  </si>
  <si>
    <t>FEC_per_sqm.kWh.PL.Ser.BldNew.Thermal.CA.Elc.Elec</t>
  </si>
  <si>
    <t>PL - Thermal energy service in new and renovated buildings per surface area</t>
  </si>
  <si>
    <t>TES_per_sqm.kWh.PL.Ser.BldNew.Thermal</t>
  </si>
  <si>
    <t>TES_per_sqm.kWh.PL.Ser.BldNew.Thermal.SH</t>
  </si>
  <si>
    <t>TES_per_sqm.kWh.PL.Ser.BldNew.Thermal.SH.Solids.Solids</t>
  </si>
  <si>
    <t>TES_per_sqm.kWh.PL.Ser.BldNew.Thermal.SH.LPG.LPG</t>
  </si>
  <si>
    <t>TES_per_sqm.kWh.PL.Ser.BldNew.Thermal.SH.Oil.Oil_LiqBio</t>
  </si>
  <si>
    <t>TES_per_sqm.kWh.PL.Ser.BldNew.Thermal.SH.GasHP.NG_Biogas</t>
  </si>
  <si>
    <t>TES_per_sqm.kWh.PL.Ser.BldNew.Thermal.SH.GasTH.NG_Biogas</t>
  </si>
  <si>
    <t>TES_per_sqm.kWh.PL.Ser.BldNew.Thermal.SH.Biomass.Biomass_Waste</t>
  </si>
  <si>
    <t>TES_per_sqm.kWh.PL.Ser.BldNew.Thermal.SH.Geo.Geo</t>
  </si>
  <si>
    <t>TES_per_sqm.kWh.PL.Ser.BldNew.Thermal.SH.DistrHeat.Steam_Distr</t>
  </si>
  <si>
    <t>TES_per_sqm.kWh.PL.Ser.BldNew.Thermal.SH.AdvElc.Elec</t>
  </si>
  <si>
    <t>TES_per_sqm.kWh.PL.Ser.BldNew.Thermal.SH.ConvElc.Elec</t>
  </si>
  <si>
    <t>TES_per_sqm.kWh.PL.Ser.BldNew.Thermal.SH.TotalCirculation.Elec</t>
  </si>
  <si>
    <t>TES_per_sqm.kWh.PL.Ser.BldNew.Thermal.SC</t>
  </si>
  <si>
    <t>TES_per_sqm.kWh.PL.Ser.BldNew.Thermal.SC.GasHP.NG_Biogas</t>
  </si>
  <si>
    <t>TES_per_sqm.kWh.PL.Ser.BldNew.Thermal.SC.AC.Elec</t>
  </si>
  <si>
    <t>TES_per_sqm.kWh.PL.Ser.BldNew.Thermal.HW</t>
  </si>
  <si>
    <t>TES_per_sqm.kWh.PL.Ser.BldNew.Thermal.HW.Solids.Solids</t>
  </si>
  <si>
    <t>TES_per_sqm.kWh.PL.Ser.BldNew.Thermal.HW.LPG.LPG</t>
  </si>
  <si>
    <t>TES_per_sqm.kWh.PL.Ser.BldNew.Thermal.HW.Oil.Oil_LiqBio</t>
  </si>
  <si>
    <t>TES_per_sqm.kWh.PL.Ser.BldNew.Thermal.HW.Gas.NG_Biogas</t>
  </si>
  <si>
    <t>TES_per_sqm.kWh.PL.Ser.BldNew.Thermal.HW.Biomass.Biomass_Waste</t>
  </si>
  <si>
    <t>TES_per_sqm.kWh.PL.Ser.BldNew.Thermal.HW.DistrHeat.Steam_Distr</t>
  </si>
  <si>
    <t>TES_per_sqm.kWh.PL.Ser.BldNew.Thermal.HW.Elc.Elec</t>
  </si>
  <si>
    <t>TES_per_sqm.kWh.PL.Ser.BldNew.Thermal.HW.TotalSolar.Solar</t>
  </si>
  <si>
    <t>TES_per_sqm.kWh.PL.Ser.BldNew.Thermal.CA</t>
  </si>
  <si>
    <t>TES_per_sqm.kWh.PL.Ser.BldNew.Thermal.CA.LPG</t>
  </si>
  <si>
    <t>TES_per_sqm.kWh.PL.Ser.BldNew.Thermal.CA.Gas.NG_Biogas</t>
  </si>
  <si>
    <t>TES_per_sqm.kWh.PL.Ser.BldNew.Thermal.CA.Biomass.Biomass_Waste</t>
  </si>
  <si>
    <t>TES_per_sqm.kWh.PL.Ser.BldNew.Thermal.CA.Elc.Elec</t>
  </si>
  <si>
    <t>PL - CO2 emissions in new and renovated buildings per surface area</t>
  </si>
  <si>
    <t>EMI_per_sqm.kgCO2.PL.Ser.BldNew.Thermal</t>
  </si>
  <si>
    <t>EMI_per_sqm.kgCO2.PL.Ser.BldNew.Thermal.SH</t>
  </si>
  <si>
    <t>EMI_per_sqm.kgCO2.PL.Ser.BldNew.Thermal.SH.Solids.Solids</t>
  </si>
  <si>
    <t>EMI_per_sqm.kgCO2.PL.Ser.BldNew.Thermal.SH.LPG.LPG</t>
  </si>
  <si>
    <t>EMI_per_sqm.kgCO2.PL.Ser.BldNew.Thermal.SH.Oil.Oil_LiqBio</t>
  </si>
  <si>
    <t>EMI_per_sqm.kgCO2.PL.Ser.BldNew.Thermal.SH.GasHP.NG_Biogas</t>
  </si>
  <si>
    <t>EMI_per_sqm.kgCO2.PL.Ser.BldNew.Thermal.SH.GasTH.NG_Biogas</t>
  </si>
  <si>
    <t>EMI_per_sqm.kgCO2.PL.Ser.BldNew.Thermal.SH.Biomass.Biomass_Waste</t>
  </si>
  <si>
    <t>EMI_per_sqm.kgCO2.PL.Ser.BldNew.Thermal.SH.Geo.Geo</t>
  </si>
  <si>
    <t>EMI_per_sqm.kgCO2.PL.Ser.BldNew.Thermal.SH.DistrHeat.Steam_Distr</t>
  </si>
  <si>
    <t>EMI_per_sqm.kgCO2.PL.Ser.BldNew.Thermal.SH.AdvElc.Elec</t>
  </si>
  <si>
    <t>EMI_per_sqm.kgCO2.PL.Ser.BldNew.Thermal.SH.ConvElc.Elec</t>
  </si>
  <si>
    <t>EMI_per_sqm.kgCO2.PL.Ser.BldNew.Thermal.SH.TotalCirculation.Elec</t>
  </si>
  <si>
    <t>EMI_per_sqm.kgCO2.PL.Ser.BldNew.Thermal.SC</t>
  </si>
  <si>
    <t>EMI_per_sqm.kgCO2.PL.Ser.BldNew.Thermal.SC.GasHP.NG_Biogas</t>
  </si>
  <si>
    <t>EMI_per_sqm.kgCO2.PL.Ser.BldNew.Thermal.SC.AC.Elec</t>
  </si>
  <si>
    <t>EMI_per_sqm.kgCO2.PL.Ser.BldNew.Thermal.HW</t>
  </si>
  <si>
    <t>EMI_per_sqm.kgCO2.PL.Ser.BldNew.Thermal.HW.Solids.Solids</t>
  </si>
  <si>
    <t>EMI_per_sqm.kgCO2.PL.Ser.BldNew.Thermal.HW.LPG.LPG</t>
  </si>
  <si>
    <t>EMI_per_sqm.kgCO2.PL.Ser.BldNew.Thermal.HW.Oil.Oil_LiqBio</t>
  </si>
  <si>
    <t>EMI_per_sqm.kgCO2.PL.Ser.BldNew.Thermal.HW.Gas.NG_Biogas</t>
  </si>
  <si>
    <t>EMI_per_sqm.kgCO2.PL.Ser.BldNew.Thermal.HW.Biomass.Biomass_Waste</t>
  </si>
  <si>
    <t>EMI_per_sqm.kgCO2.PL.Ser.BldNew.Thermal.HW.DistrHeat.Steam_Distr</t>
  </si>
  <si>
    <t>EMI_per_sqm.kgCO2.PL.Ser.BldNew.Thermal.HW.Elc.Elec</t>
  </si>
  <si>
    <t>EMI_per_sqm.kgCO2.PL.Ser.BldNew.Thermal.HW.TotalSolar.Solar</t>
  </si>
  <si>
    <t>EMI_per_sqm.kgCO2.PL.Ser.BldNew.Thermal.CA</t>
  </si>
  <si>
    <t>EMI_per_sqm.kgCO2.PL.Ser.BldNew.Thermal.CA.LPG</t>
  </si>
  <si>
    <t>EMI_per_sqm.kgCO2.PL.Ser.BldNew.Thermal.CA.Gas.NG_Biogas</t>
  </si>
  <si>
    <t>EMI_per_sqm.kgCO2.PL.Ser.BldNew.Thermal.CA.Biomass.Biomass_Waste</t>
  </si>
  <si>
    <t>EMI_per_sqm.kgCO2.PL.Ser.BldNew.Thermal.CA.Elc.Elec</t>
  </si>
  <si>
    <t>FEC.ktoe.PL.Ser.SEU.VE</t>
  </si>
  <si>
    <t>FEC.ktoe.PL.Ser.SEU.SL</t>
  </si>
  <si>
    <t>FEC.ktoe.PL.Ser.SEU.BL</t>
  </si>
  <si>
    <t>FEC.ktoe.PL.Ser.SEU.CR</t>
  </si>
  <si>
    <t>FEC.ktoe.PL.Ser.SEU.BT</t>
  </si>
  <si>
    <t>FEC.ktoe.PL.Ser.SEU.IT</t>
  </si>
  <si>
    <t>Size.MW.PL.Ser.SEU</t>
  </si>
  <si>
    <t>Size.MW.PL.Ser.SEU.VE</t>
  </si>
  <si>
    <t>Size.MW.PL.Ser.SEU.SL</t>
  </si>
  <si>
    <t>Size.MW.PL.Ser.SEU.BL</t>
  </si>
  <si>
    <t>Size.MW.PL.Ser.SEU.CR</t>
  </si>
  <si>
    <t>Size.MW.PL.Ser.SEU.BT</t>
  </si>
  <si>
    <t>Size.MW.PL.Ser.SEU.IT</t>
  </si>
  <si>
    <t>NUM.Msqm.PL.Ser.SEU.VE</t>
  </si>
  <si>
    <t>NUM.k.PL.Ser.SEU.SL</t>
  </si>
  <si>
    <t>NUM.M.PL.Ser.SEU.BL</t>
  </si>
  <si>
    <t>NUM.k.PL.Ser.SEU.CR</t>
  </si>
  <si>
    <t>NUM.Msqm.PL.Ser.SEU.BT</t>
  </si>
  <si>
    <t>NUM.k.PL.Ser.SEU.IT</t>
  </si>
  <si>
    <t>NUM.Msqm.PL.Ser.SEUnew.VE</t>
  </si>
  <si>
    <t>NUM.k.PL.Ser.SEUnew.SL</t>
  </si>
  <si>
    <t>NUM.M.PL.Ser.SEUnew.BL</t>
  </si>
  <si>
    <t>NUM.k.PL.Ser.SEUnew.CR</t>
  </si>
  <si>
    <t>NUM.Msqm.PL.Ser.SEUnew.BT</t>
  </si>
  <si>
    <t>NUM.k.PL.Ser.SEUnew.IT</t>
  </si>
  <si>
    <t>NUM.Msqm.PL.Ser.SEUrepl.VE</t>
  </si>
  <si>
    <t>NUM.k.PL.Ser.SEUrepl.SL</t>
  </si>
  <si>
    <t>NUM.M.PL.Ser.SEUrepl.BL</t>
  </si>
  <si>
    <t>NUM.k.PL.Ser.SEUrepl.CR</t>
  </si>
  <si>
    <t>NUM.Msqm.PL.Ser.SEUrepl.BT</t>
  </si>
  <si>
    <t>NUM.k.PL.Ser.SEUrepl.IT</t>
  </si>
  <si>
    <t>Op.hours.PL.Ser.SEU.VE</t>
  </si>
  <si>
    <t>Op.hours.PL.Ser.SEU.SL</t>
  </si>
  <si>
    <t>Op.hours.PL.Ser.SEU.BL</t>
  </si>
  <si>
    <t>Op.hours.PL.Ser.SEU.CR</t>
  </si>
  <si>
    <t>Op.hours.PL.Ser.SEU.BT</t>
  </si>
  <si>
    <t>Op.hours.PL.Ser.SEU.IT</t>
  </si>
  <si>
    <t>Size_per_appl.W.PL.Ser.SEU.VE</t>
  </si>
  <si>
    <t>Size_per_appl.W.PL.Ser.SEU.SL</t>
  </si>
  <si>
    <t>Size_per_appl.W.PL.Ser.SEU.BL</t>
  </si>
  <si>
    <t>Size_per_appl.W.PL.Ser.SEU.CR</t>
  </si>
  <si>
    <t>Size_per_appl.W.PL.Ser.SEU.BT</t>
  </si>
  <si>
    <t>Size_per_appl.W.PL.Ser.SEU.IT</t>
  </si>
  <si>
    <t>Size_per_appl.W.PL.Ser.SEUnew.VE</t>
  </si>
  <si>
    <t>Size_per_appl.W.PL.Ser.SEUnew.SL</t>
  </si>
  <si>
    <t>Size_per_appl.W.PL.Ser.SEUnew.BL</t>
  </si>
  <si>
    <t>Size_per_appl.W.PL.Ser.SEUnew.CR</t>
  </si>
  <si>
    <t>Size_per_appl.W.PL.Ser.SEUnew.BT</t>
  </si>
  <si>
    <t>Size_per_appl.W.PL.Ser.SEUnew.IT</t>
  </si>
  <si>
    <t>NUM.sqm_per_building.PL.Ser.SEU.VE</t>
  </si>
  <si>
    <t>NUM.number_per_capita.PL.Ser.SEU.SL</t>
  </si>
  <si>
    <t>NUM.number_per_building.PL.Ser.SEU.BL</t>
  </si>
  <si>
    <t>NUM.number_per_capita.PL.Ser.SEU.CR</t>
  </si>
  <si>
    <t>NUM.sqm_per_building.PL.Ser.SEU.BT</t>
  </si>
  <si>
    <t>NUM.number_per_capita.PL.Ser.SEU.IT</t>
  </si>
  <si>
    <t>Lumens_per_sqm.lumen.PL.Ser.SEU.BL</t>
  </si>
  <si>
    <t>FEC.ktoe.PL.Ser.SEU.IT.DataCenters</t>
  </si>
  <si>
    <t>PL - Services / specific electric uses</t>
  </si>
  <si>
    <t>PL - Ventilation and others</t>
  </si>
  <si>
    <t>PL - Street lighting</t>
  </si>
  <si>
    <t>PL - Building lighting</t>
  </si>
  <si>
    <t>PL - Commercial refrigeration</t>
  </si>
  <si>
    <t>PL - Miscellaneous building technologies</t>
  </si>
  <si>
    <t>PL - ICT and multimedia</t>
  </si>
  <si>
    <t>PL - Agriculture, forestry and fishing</t>
  </si>
  <si>
    <t>VA.Meuro2015.Meuro2023.PL.AGR.AGR</t>
  </si>
  <si>
    <t>OUTPUT.index.index.PL.AGR.AGR</t>
  </si>
  <si>
    <t>CAP.index.index.PL.AGR.AGR</t>
  </si>
  <si>
    <t>NEWCAP.index.index.PL.AGR.AGR</t>
  </si>
  <si>
    <t>CAPOUT.index.PL.AGR.AGR</t>
  </si>
  <si>
    <t>CAPIDLE.index.PL.AGR.AGR</t>
  </si>
  <si>
    <t>FEC.ktoe.PL.ES.AGR</t>
  </si>
  <si>
    <t>FEC.ktoe.PL.ES.AGR.Solids</t>
  </si>
  <si>
    <t>FEC.ktoe.PL.ES.AGR.LPG</t>
  </si>
  <si>
    <t>FEC.ktoe.PL.ES.AGR.Diesel</t>
  </si>
  <si>
    <t>FEC.ktoe.PL.ES.AGR.RFO</t>
  </si>
  <si>
    <t>FEC.ktoe.PL.ES.AGR.NG</t>
  </si>
  <si>
    <t>FEC.ktoe.PL.ES.AGR.Biomass_Waste</t>
  </si>
  <si>
    <t>FEC.ktoe.PL.ES.AGR.Biogas</t>
  </si>
  <si>
    <t>FEC.ktoe.PL.ES.AGR.LiqBio</t>
  </si>
  <si>
    <t>FEC.ktoe.PL.ES.AGR.Solar</t>
  </si>
  <si>
    <t>FEC.ktoe.PL.ES.AGR.Geo</t>
  </si>
  <si>
    <t>FEC.ktoe.PL.ES.AGR.Ambient</t>
  </si>
  <si>
    <t>FEC.ktoe.PL.ES.AGR.Steam_Distr</t>
  </si>
  <si>
    <t>FEC.ktoe.PL.ES.AGR.Elec</t>
  </si>
  <si>
    <t>PL - Agriculture, forestry and fishing / final energy consumption</t>
  </si>
  <si>
    <t>FEC.ktoe.ktoe.PL.AGR.AGR.LIGHT.GENERIC.ELEC</t>
  </si>
  <si>
    <t>FEC.ktoe.ktoe.PL.AGR.AGR.FANS.GENERIC.ELEC</t>
  </si>
  <si>
    <t>FEC.ktoe.ktoe.PL.AGR.AGR.MOTOR.GENERIC.ELEC</t>
  </si>
  <si>
    <t>FEC.ktoe.ktoe.PL.AGR.AGR.LOW_ENTH.THERM.DIESEL_LIQBIO</t>
  </si>
  <si>
    <t>FEC.ktoe.ktoe.PL.AGR.AGR.LOW_ENTH.THERM.NG_BIOGAS</t>
  </si>
  <si>
    <t>FEC.ktoe.ktoe.PL.AGR.AGR.LOW_ENTH.THERM.SOLAR_GEO</t>
  </si>
  <si>
    <t>FEC.ktoe.ktoe.PL.AGR.AGR.LOW_ENTH.HP.AMBIENT</t>
  </si>
  <si>
    <t>FEC.ktoe.ktoe.PL.AGR.AGR.LOW_ENTH.THERM.STEAM_DISTR</t>
  </si>
  <si>
    <t>FEC.ktoe.ktoe.PL.AGR.AGR.LOW_ENTH.THERM.ELEC</t>
  </si>
  <si>
    <t>FEC.ktoe.ktoe.PL.AGR.AGR.FARM_DRIVES.MECH.DIESEL_LIQBIO</t>
  </si>
  <si>
    <t>FEC.ktoe.ktoe.PL.AGR.AGR.HEAT_USE.THERM.SOLIDS</t>
  </si>
  <si>
    <t>FEC.ktoe.ktoe.PL.AGR.AGR.HEAT_USE.THERM.LPG</t>
  </si>
  <si>
    <t>FEC.ktoe.ktoe.PL.AGR.AGR.HEAT_USE.THERM.DIESEL_LIQBIO</t>
  </si>
  <si>
    <t>FEC.ktoe.ktoe.PL.AGR.AGR.HEAT_USE.THERM.RFO</t>
  </si>
  <si>
    <t>FEC.ktoe.ktoe.PL.AGR.AGR.HEAT_USE.THERM.NG_BIOGAS</t>
  </si>
  <si>
    <t>FEC.ktoe.ktoe.PL.AGR.AGR.HEAT_USE.THERM.BIOMASS_WASTE</t>
  </si>
  <si>
    <t>FEC.ktoe.ktoe.PL.AGR.AGR.HEAT_USE.THERM.SOLAR_GEO</t>
  </si>
  <si>
    <t>FEC.ktoe.ktoe.PL.AGR.AGR.FARM_PUMP.MECH.DIESEL_LIQBIO</t>
  </si>
  <si>
    <t>FEC.ktoe.ktoe.PL.AGR.AGR.FARM_PUMP_ELEC.MECH.ELEC</t>
  </si>
  <si>
    <t>FEC.ktoe.ktoe.PL.AGR.AGR.GENERIC.MECH.ELEC</t>
  </si>
  <si>
    <t>PL - Agriculture, forestry and fishing / useful energy demand</t>
  </si>
  <si>
    <t>UED.ktoe.ktoe.PL.AGR.AGR.LIGHT.GENERIC.ELEC</t>
  </si>
  <si>
    <t>UED.ktoe.ktoe.PL.AGR.AGR.FANS.GENERIC.ELEC</t>
  </si>
  <si>
    <t>UED.ktoe.ktoe.PL.AGR.AGR.MOTOR.GENERIC.ELEC</t>
  </si>
  <si>
    <t>UED.ktoe.ktoe.PL.AGR.AGR.LOW_ENTH.THERM.DIESEL_LIQBIO</t>
  </si>
  <si>
    <t>UED.ktoe.ktoe.PL.AGR.AGR.LOW_ENTH.THERM.NG_BIOGAS</t>
  </si>
  <si>
    <t>UED.ktoe.ktoe.PL.AGR.AGR.LOW_ENTH.THERM.SOLAR_GEO</t>
  </si>
  <si>
    <t>UED.ktoe.ktoe.PL.AGR.AGR.LOW_ENTH.HP.AMBIENT</t>
  </si>
  <si>
    <t>UED.ktoe.ktoe.PL.AGR.AGR.LOW_ENTH.THERM.STEAM_DISTR</t>
  </si>
  <si>
    <t>UED.ktoe.ktoe.PL.AGR.AGR.LOW_ENTH.THERM.ELEC</t>
  </si>
  <si>
    <t>UED.ktoe.ktoe.PL.AGR.AGR.FARM_DRIVES.MECH.DIESEL_LIQBIO</t>
  </si>
  <si>
    <t>UED.ktoe.ktoe.PL.AGR.AGR.HEAT_USE.THERM.SOLIDS</t>
  </si>
  <si>
    <t>UED.ktoe.ktoe.PL.AGR.AGR.HEAT_USE.THERM.LPG</t>
  </si>
  <si>
    <t>UED.ktoe.ktoe.PL.AGR.AGR.HEAT_USE.THERM.DIESEL_LIQBIO</t>
  </si>
  <si>
    <t>UED.ktoe.ktoe.PL.AGR.AGR.HEAT_USE.THERM.RFO</t>
  </si>
  <si>
    <t>UED.ktoe.ktoe.PL.AGR.AGR.HEAT_USE.THERM.NG_BIOGAS</t>
  </si>
  <si>
    <t>UED.ktoe.ktoe.PL.AGR.AGR.HEAT_USE.THERM.BIOMASS_WASTE</t>
  </si>
  <si>
    <t>UED.ktoe.ktoe.PL.AGR.AGR.HEAT_USE.THERM.SOLAR_GEO</t>
  </si>
  <si>
    <t>UED.ktoe.ktoe.PL.AGR.AGR.FARM_PUMP.MECH.DIESEL_LIQBIO</t>
  </si>
  <si>
    <t>UED.ktoe.ktoe.PL.AGR.AGR.FARM_PUMP_ELEC.MECH.ELEC</t>
  </si>
  <si>
    <t>UED.ktoe.ktoe.PL.AGR.AGR.GENERIC.MECH.ELEC</t>
  </si>
  <si>
    <t>PL - Agriculture, forestry and fishing / CO2 emissions</t>
  </si>
  <si>
    <t>FUEL_EMI.ktCO2.ktCO2.PL.AGR.AGR.LIGHT.GENERIC.ELEC</t>
  </si>
  <si>
    <t>FUEL_EMI.ktCO2.ktCO2.PL.AGR.AGR.FANS.GENERIC.ELEC</t>
  </si>
  <si>
    <t>FUEL_EMI.ktCO2.ktCO2.PL.AGR.AGR.MOTOR.GENERIC.ELEC</t>
  </si>
  <si>
    <t>FUEL_EMI.ktCO2.ktCO2.PL.AGR.AGR.LOW_ENTH.THERM.DIESEL_LIQBIO</t>
  </si>
  <si>
    <t>FUEL_EMI.ktCO2.ktCO2.PL.AGR.AGR.LOW_ENTH.THERM.NG_BIOGAS</t>
  </si>
  <si>
    <t>FUEL_EMI.ktCO2.ktCO2.PL.AGR.AGR.LOW_ENTH.THERM.SOLAR_GEO</t>
  </si>
  <si>
    <t>FUEL_EMI.ktCO2.ktCO2.PL.AGR.AGR.LOW_ENTH.HP.AMBIENT</t>
  </si>
  <si>
    <t>FUEL_EMI.ktCO2.ktCO2.PL.AGR.AGR.LOW_ENTH.THERM.STEAM_DISTR</t>
  </si>
  <si>
    <t>FUEL_EMI.ktCO2.ktCO2.PL.AGR.AGR.LOW_ENTH.THERM.ELEC</t>
  </si>
  <si>
    <t>FUEL_EMI.ktCO2.ktCO2.PL.AGR.AGR.FARM_DRIVES.MECH.DIESEL_LIQBIO</t>
  </si>
  <si>
    <t>FUEL_EMI.ktCO2.ktCO2.PL.AGR.AGR.HEAT_USE.THERM.SOLIDS</t>
  </si>
  <si>
    <t>FUEL_EMI.ktCO2.ktCO2.PL.AGR.AGR.HEAT_USE.THERM.LPG</t>
  </si>
  <si>
    <t>FUEL_EMI.ktCO2.ktCO2.PL.AGR.AGR.HEAT_USE.THERM.DIESEL_LIQBIO</t>
  </si>
  <si>
    <t>FUEL_EMI.ktCO2.ktCO2.PL.AGR.AGR.HEAT_USE.THERM.RFO</t>
  </si>
  <si>
    <t>FUEL_EMI.ktCO2.ktCO2.PL.AGR.AGR.HEAT_USE.THERM.NG_BIOGAS</t>
  </si>
  <si>
    <t>FUEL_EMI.ktCO2.ktCO2.PL.AGR.AGR.HEAT_USE.THERM.BIOMASS_WASTE</t>
  </si>
  <si>
    <t>FUEL_EMI.ktCO2.ktCO2.PL.AGR.AGR.HEAT_USE.THERM.SOLAR_GEO</t>
  </si>
  <si>
    <t>FUEL_EMI.ktCO2.ktCO2.PL.AGR.AGR.FARM_PUMP.MECH.DIESEL_LIQBIO</t>
  </si>
  <si>
    <t>FUEL_EMI.ktCO2.ktCO2.PL.AGR.AGR.FARM_PUMP_ELEC.MECH.ELEC</t>
  </si>
  <si>
    <t>FUEL_EMI.ktCO2.ktCO2.PL.AGR.AGR.GENERIC.MECH.ELEC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</si>
</sst>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45967.478761574072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38263303</v>
      </c>
      <c r="C3" s="34">
        <v>38253955</v>
      </c>
      <c r="D3" s="34">
        <v>38242197</v>
      </c>
      <c r="E3" s="34">
        <v>38218531</v>
      </c>
      <c r="F3" s="34">
        <v>38190608</v>
      </c>
      <c r="G3" s="34">
        <v>38173835</v>
      </c>
      <c r="H3" s="34">
        <v>38157055</v>
      </c>
      <c r="I3" s="34">
        <v>38125479</v>
      </c>
      <c r="J3" s="34">
        <v>38115641</v>
      </c>
      <c r="K3" s="34">
        <v>38135876</v>
      </c>
      <c r="L3" s="34">
        <v>38022869</v>
      </c>
      <c r="M3" s="34">
        <v>38062718</v>
      </c>
      <c r="N3" s="34">
        <v>38063792</v>
      </c>
      <c r="O3" s="34">
        <v>38062535</v>
      </c>
      <c r="P3" s="34">
        <v>38017856</v>
      </c>
      <c r="Q3" s="34">
        <v>38005614</v>
      </c>
      <c r="R3" s="34">
        <v>37967209</v>
      </c>
      <c r="S3" s="34">
        <v>37972964</v>
      </c>
      <c r="T3" s="34">
        <v>37976687</v>
      </c>
      <c r="U3" s="34">
        <v>37972812</v>
      </c>
      <c r="V3" s="34">
        <v>37958138</v>
      </c>
      <c r="W3" s="34">
        <v>37073357</v>
      </c>
      <c r="X3" s="34">
        <v>36889761</v>
      </c>
      <c r="Y3" s="34">
        <v>36753736</v>
      </c>
      <c r="DA3" s="88" t="s">
        <v>188</v>
      </c>
    </row>
    <row r="4" spans="1:105" ht="12" customHeight="1" x14ac:dyDescent="0.25">
      <c r="A4" s="35" t="s">
        <v>178</v>
      </c>
      <c r="B4" s="36">
        <v>333356.7786692786</v>
      </c>
      <c r="C4" s="36">
        <v>337469.58513634285</v>
      </c>
      <c r="D4" s="36">
        <v>343885.49795038567</v>
      </c>
      <c r="E4" s="36">
        <v>356002.40481152968</v>
      </c>
      <c r="F4" s="36">
        <v>374122.2892880353</v>
      </c>
      <c r="G4" s="36">
        <v>386323.48055848264</v>
      </c>
      <c r="H4" s="36">
        <v>410283.41556976311</v>
      </c>
      <c r="I4" s="36">
        <v>438019.82730171253</v>
      </c>
      <c r="J4" s="36">
        <v>457221.29024427419</v>
      </c>
      <c r="K4" s="36">
        <v>469181.70841635606</v>
      </c>
      <c r="L4" s="36">
        <v>484046.13775289204</v>
      </c>
      <c r="M4" s="36">
        <v>509483.99109736813</v>
      </c>
      <c r="N4" s="36">
        <v>517190.44485772343</v>
      </c>
      <c r="O4" s="36">
        <v>520728.82383641956</v>
      </c>
      <c r="P4" s="36">
        <v>541141.54272180132</v>
      </c>
      <c r="Q4" s="36">
        <v>565124.87000200001</v>
      </c>
      <c r="R4" s="36">
        <v>582252.89506017196</v>
      </c>
      <c r="S4" s="36">
        <v>612257.16344820708</v>
      </c>
      <c r="T4" s="36">
        <v>650493.65041686432</v>
      </c>
      <c r="U4" s="36">
        <v>680293.37279900222</v>
      </c>
      <c r="V4" s="36">
        <v>666443.10266698641</v>
      </c>
      <c r="W4" s="36">
        <v>712610.59031645523</v>
      </c>
      <c r="X4" s="36">
        <v>750058.8536294871</v>
      </c>
      <c r="Y4" s="36">
        <v>751931.7</v>
      </c>
      <c r="DA4" s="89" t="s">
        <v>189</v>
      </c>
    </row>
    <row r="5" spans="1:105" ht="12" customHeight="1" x14ac:dyDescent="0.25">
      <c r="A5" s="35" t="s">
        <v>179</v>
      </c>
      <c r="B5" s="36">
        <v>198055.95079719104</v>
      </c>
      <c r="C5" s="36">
        <v>205004.82630872479</v>
      </c>
      <c r="D5" s="36">
        <v>212329.12275005979</v>
      </c>
      <c r="E5" s="36">
        <v>216715.80647944653</v>
      </c>
      <c r="F5" s="36">
        <v>219871.71690756679</v>
      </c>
      <c r="G5" s="36">
        <v>228282.29927384263</v>
      </c>
      <c r="H5" s="36">
        <v>241986.61319581285</v>
      </c>
      <c r="I5" s="36">
        <v>256202.96739550252</v>
      </c>
      <c r="J5" s="36">
        <v>272047.22247659304</v>
      </c>
      <c r="K5" s="36">
        <v>275519.84418891824</v>
      </c>
      <c r="L5" s="36">
        <v>283071.78668993741</v>
      </c>
      <c r="M5" s="36">
        <v>292612.01262702438</v>
      </c>
      <c r="N5" s="36">
        <v>301088.33075393981</v>
      </c>
      <c r="O5" s="36">
        <v>309619.95156172343</v>
      </c>
      <c r="P5" s="36">
        <v>316364.66165666102</v>
      </c>
      <c r="Q5" s="36">
        <v>328823.48951050569</v>
      </c>
      <c r="R5" s="36">
        <v>338109.22351563553</v>
      </c>
      <c r="S5" s="36">
        <v>363209.99067794619</v>
      </c>
      <c r="T5" s="36">
        <v>388743.34356345783</v>
      </c>
      <c r="U5" s="36">
        <v>406992.24609943555</v>
      </c>
      <c r="V5" s="36">
        <v>400366.54346983408</v>
      </c>
      <c r="W5" s="36">
        <v>426842.18501847546</v>
      </c>
      <c r="X5" s="36">
        <v>445356.87332335627</v>
      </c>
      <c r="Y5" s="36">
        <v>450633.45036589314</v>
      </c>
      <c r="DA5" s="89" t="s">
        <v>190</v>
      </c>
    </row>
    <row r="6" spans="1:105" ht="12" customHeight="1" x14ac:dyDescent="0.25">
      <c r="A6" s="37" t="s">
        <v>70</v>
      </c>
      <c r="B6" s="38">
        <v>7599199.9999999991</v>
      </c>
      <c r="C6" s="38">
        <v>7366900</v>
      </c>
      <c r="D6" s="38">
        <v>7363900</v>
      </c>
      <c r="E6" s="38">
        <v>7399200.0000000009</v>
      </c>
      <c r="F6" s="38">
        <v>7484500</v>
      </c>
      <c r="G6" s="38">
        <v>7690500</v>
      </c>
      <c r="H6" s="38">
        <v>8075900</v>
      </c>
      <c r="I6" s="38">
        <v>8489599.9999999981</v>
      </c>
      <c r="J6" s="38">
        <v>8784000</v>
      </c>
      <c r="K6" s="38">
        <v>9042800.0000000019</v>
      </c>
      <c r="L6" s="38">
        <v>8967100</v>
      </c>
      <c r="M6" s="38">
        <v>8987500</v>
      </c>
      <c r="N6" s="38">
        <v>9111900</v>
      </c>
      <c r="O6" s="38">
        <v>9194300</v>
      </c>
      <c r="P6" s="38">
        <v>9448000</v>
      </c>
      <c r="Q6" s="38">
        <v>9596200</v>
      </c>
      <c r="R6" s="38">
        <v>9712200</v>
      </c>
      <c r="S6" s="38">
        <v>9863300</v>
      </c>
      <c r="T6" s="38">
        <v>9975700</v>
      </c>
      <c r="U6" s="38">
        <v>10410800.000000002</v>
      </c>
      <c r="V6" s="38">
        <v>10447699.999999998</v>
      </c>
      <c r="W6" s="38">
        <v>10946099.999999998</v>
      </c>
      <c r="X6" s="38">
        <v>11126800.000000002</v>
      </c>
      <c r="Y6" s="38">
        <v>11393700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316998.958075264</v>
      </c>
      <c r="C8" s="34">
        <v>316300.00792216929</v>
      </c>
      <c r="D8" s="34">
        <v>317187.84473148535</v>
      </c>
      <c r="E8" s="34">
        <v>322747.8400647089</v>
      </c>
      <c r="F8" s="34">
        <v>331864.8607370918</v>
      </c>
      <c r="G8" s="34">
        <v>339240.46016186127</v>
      </c>
      <c r="H8" s="34">
        <v>352266.77411296434</v>
      </c>
      <c r="I8" s="34">
        <v>366786.45187718206</v>
      </c>
      <c r="J8" s="34">
        <v>380791.70948488422</v>
      </c>
      <c r="K8" s="34">
        <v>392273.44070145849</v>
      </c>
      <c r="L8" s="34">
        <v>392855.14571397949</v>
      </c>
      <c r="M8" s="34">
        <v>402977.54654720309</v>
      </c>
      <c r="N8" s="34">
        <v>411102.738266734</v>
      </c>
      <c r="O8" s="34">
        <v>413655.81204958679</v>
      </c>
      <c r="P8" s="34">
        <v>422760.44919738406</v>
      </c>
      <c r="Q8" s="34">
        <v>427986.61226523196</v>
      </c>
      <c r="R8" s="34">
        <v>434554.64327125327</v>
      </c>
      <c r="S8" s="34">
        <v>443275.39987805078</v>
      </c>
      <c r="T8" s="34">
        <v>451890.24237310432</v>
      </c>
      <c r="U8" s="34">
        <v>459762.47164623742</v>
      </c>
      <c r="V8" s="34">
        <v>466814.47</v>
      </c>
      <c r="W8" s="34">
        <v>473456.09571925015</v>
      </c>
      <c r="X8" s="34">
        <v>479889.33865428285</v>
      </c>
      <c r="Y8" s="34">
        <v>485956.3459994148</v>
      </c>
      <c r="DA8" s="88" t="s">
        <v>192</v>
      </c>
    </row>
    <row r="9" spans="1:105" ht="12" customHeight="1" x14ac:dyDescent="0.25">
      <c r="A9" s="39" t="s">
        <v>68</v>
      </c>
      <c r="B9" s="40">
        <v>285299.06226773758</v>
      </c>
      <c r="C9" s="40">
        <v>284670.00712995237</v>
      </c>
      <c r="D9" s="40">
        <v>285469.06025833683</v>
      </c>
      <c r="E9" s="40">
        <v>290473.05605823803</v>
      </c>
      <c r="F9" s="40">
        <v>298678.37466338265</v>
      </c>
      <c r="G9" s="40">
        <v>305316.41414567514</v>
      </c>
      <c r="H9" s="40">
        <v>317040.09670166794</v>
      </c>
      <c r="I9" s="40">
        <v>330107.80668946385</v>
      </c>
      <c r="J9" s="40">
        <v>342712.53853639582</v>
      </c>
      <c r="K9" s="40">
        <v>353046.09663131263</v>
      </c>
      <c r="L9" s="40">
        <v>353569.63114258152</v>
      </c>
      <c r="M9" s="40">
        <v>362679.79189248278</v>
      </c>
      <c r="N9" s="40">
        <v>369992.4644400606</v>
      </c>
      <c r="O9" s="40">
        <v>372290.23084462812</v>
      </c>
      <c r="P9" s="40">
        <v>380484.40427764563</v>
      </c>
      <c r="Q9" s="40">
        <v>385187.95103870874</v>
      </c>
      <c r="R9" s="40">
        <v>391099.17894412793</v>
      </c>
      <c r="S9" s="40">
        <v>398947.85989024572</v>
      </c>
      <c r="T9" s="40">
        <v>406701.21813579393</v>
      </c>
      <c r="U9" s="40">
        <v>413786.22448161367</v>
      </c>
      <c r="V9" s="40">
        <v>420133.02299999999</v>
      </c>
      <c r="W9" s="40">
        <v>426110.48614732514</v>
      </c>
      <c r="X9" s="40">
        <v>431900.40478885453</v>
      </c>
      <c r="Y9" s="40">
        <v>437360.71139947331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1267.8297614244789</v>
      </c>
      <c r="D10" s="41">
        <v>2153.2066759765426</v>
      </c>
      <c r="E10" s="41">
        <v>6828.809052553629</v>
      </c>
      <c r="F10" s="41">
        <v>10407.973444589961</v>
      </c>
      <c r="G10" s="41">
        <v>8702.9586394855578</v>
      </c>
      <c r="H10" s="41">
        <v>14383.191902988548</v>
      </c>
      <c r="I10" s="41">
        <v>15928.705485102244</v>
      </c>
      <c r="J10" s="41">
        <v>15472.33884501998</v>
      </c>
      <c r="K10" s="41">
        <v>13004.898054513726</v>
      </c>
      <c r="L10" s="41">
        <v>2150.6258930730637</v>
      </c>
      <c r="M10" s="41">
        <v>11693.781608539855</v>
      </c>
      <c r="N10" s="41">
        <v>9736.9147689785077</v>
      </c>
      <c r="O10" s="41">
        <v>4197.2674431868309</v>
      </c>
      <c r="P10" s="41">
        <v>10759.162366140397</v>
      </c>
      <c r="Q10" s="41">
        <v>6917.0947286999772</v>
      </c>
      <c r="R10" s="41">
        <v>8785.5782198308789</v>
      </c>
      <c r="S10" s="41">
        <v>10972.335069342822</v>
      </c>
      <c r="T10" s="41">
        <v>10911.606224991705</v>
      </c>
      <c r="U10" s="41">
        <v>10213.629492682863</v>
      </c>
      <c r="V10" s="41">
        <v>9434.1873260228531</v>
      </c>
      <c r="W10" s="41">
        <v>9060.3535430842676</v>
      </c>
      <c r="X10" s="41">
        <v>8886.3833273604669</v>
      </c>
      <c r="Y10" s="41">
        <v>8553.4806024079971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1141.0467852820309</v>
      </c>
      <c r="D11" s="42">
        <v>1937.8860083788884</v>
      </c>
      <c r="E11" s="42">
        <v>6145.9281472982666</v>
      </c>
      <c r="F11" s="42">
        <v>9367.176100130966</v>
      </c>
      <c r="G11" s="42">
        <v>7832.6627755370027</v>
      </c>
      <c r="H11" s="42">
        <v>12944.872712689694</v>
      </c>
      <c r="I11" s="42">
        <v>14335.834936592018</v>
      </c>
      <c r="J11" s="42">
        <v>13925.104960517981</v>
      </c>
      <c r="K11" s="42">
        <v>11704.408249062353</v>
      </c>
      <c r="L11" s="42">
        <v>1935.5633037657574</v>
      </c>
      <c r="M11" s="42">
        <v>10524.403447685869</v>
      </c>
      <c r="N11" s="42">
        <v>8763.2232920806582</v>
      </c>
      <c r="O11" s="42">
        <v>3777.5406988681475</v>
      </c>
      <c r="P11" s="42">
        <v>9683.2461295263583</v>
      </c>
      <c r="Q11" s="42">
        <v>6225.3852558299795</v>
      </c>
      <c r="R11" s="42">
        <v>7907.0203978477903</v>
      </c>
      <c r="S11" s="42">
        <v>9875.1015624085394</v>
      </c>
      <c r="T11" s="42">
        <v>9820.445602492533</v>
      </c>
      <c r="U11" s="42">
        <v>9192.2665434145765</v>
      </c>
      <c r="V11" s="42">
        <v>8490.7685934205674</v>
      </c>
      <c r="W11" s="42">
        <v>8154.3181887758419</v>
      </c>
      <c r="X11" s="42">
        <v>7997.7449946244196</v>
      </c>
      <c r="Y11" s="42">
        <v>7698.1325421671982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3104.32</v>
      </c>
      <c r="C13" s="43">
        <v>3588.96</v>
      </c>
      <c r="D13" s="43">
        <v>3344.88</v>
      </c>
      <c r="E13" s="43">
        <v>3597.66</v>
      </c>
      <c r="F13" s="43">
        <v>3515.39</v>
      </c>
      <c r="G13" s="43">
        <v>3544.15</v>
      </c>
      <c r="H13" s="43">
        <v>3462.59</v>
      </c>
      <c r="I13" s="43">
        <v>3232.13</v>
      </c>
      <c r="J13" s="43">
        <v>3174.47</v>
      </c>
      <c r="K13" s="43">
        <v>3448.86</v>
      </c>
      <c r="L13" s="43">
        <v>3923.03</v>
      </c>
      <c r="M13" s="43">
        <v>3315.94</v>
      </c>
      <c r="N13" s="43">
        <v>3551.16</v>
      </c>
      <c r="O13" s="43">
        <v>3502.91</v>
      </c>
      <c r="P13" s="43">
        <v>3094.64</v>
      </c>
      <c r="Q13" s="43">
        <v>3112.56</v>
      </c>
      <c r="R13" s="43">
        <v>3286.01</v>
      </c>
      <c r="S13" s="43">
        <v>3288.37</v>
      </c>
      <c r="T13" s="43">
        <v>3123.43</v>
      </c>
      <c r="U13" s="43">
        <v>2951.82</v>
      </c>
      <c r="V13" s="43">
        <v>3005.65</v>
      </c>
      <c r="W13" s="43">
        <v>3491.49</v>
      </c>
      <c r="X13" s="43">
        <v>3200.52</v>
      </c>
      <c r="Y13" s="43">
        <v>2972.75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3341.3776190476192</v>
      </c>
      <c r="C14" s="44">
        <f t="shared" ref="C14:Y14" si="0">AVERAGE($B$13:$V$13)</f>
        <v>3341.3776190476192</v>
      </c>
      <c r="D14" s="44">
        <f t="shared" si="0"/>
        <v>3341.3776190476192</v>
      </c>
      <c r="E14" s="44">
        <f t="shared" si="0"/>
        <v>3341.3776190476192</v>
      </c>
      <c r="F14" s="44">
        <f t="shared" si="0"/>
        <v>3341.3776190476192</v>
      </c>
      <c r="G14" s="44">
        <f t="shared" si="0"/>
        <v>3341.3776190476192</v>
      </c>
      <c r="H14" s="44">
        <f t="shared" si="0"/>
        <v>3341.3776190476192</v>
      </c>
      <c r="I14" s="44">
        <f t="shared" si="0"/>
        <v>3341.3776190476192</v>
      </c>
      <c r="J14" s="44">
        <f t="shared" si="0"/>
        <v>3341.3776190476192</v>
      </c>
      <c r="K14" s="44">
        <f t="shared" si="0"/>
        <v>3341.3776190476192</v>
      </c>
      <c r="L14" s="44">
        <f t="shared" si="0"/>
        <v>3341.3776190476192</v>
      </c>
      <c r="M14" s="44">
        <f t="shared" si="0"/>
        <v>3341.3776190476192</v>
      </c>
      <c r="N14" s="44">
        <f t="shared" si="0"/>
        <v>3341.3776190476192</v>
      </c>
      <c r="O14" s="44">
        <f t="shared" si="0"/>
        <v>3341.3776190476192</v>
      </c>
      <c r="P14" s="44">
        <f t="shared" si="0"/>
        <v>3341.3776190476192</v>
      </c>
      <c r="Q14" s="44">
        <f t="shared" si="0"/>
        <v>3341.3776190476192</v>
      </c>
      <c r="R14" s="44">
        <f t="shared" si="0"/>
        <v>3341.3776190476192</v>
      </c>
      <c r="S14" s="44">
        <f t="shared" si="0"/>
        <v>3341.3776190476192</v>
      </c>
      <c r="T14" s="44">
        <f t="shared" si="0"/>
        <v>3341.3776190476192</v>
      </c>
      <c r="U14" s="44">
        <f t="shared" si="0"/>
        <v>3341.3776190476192</v>
      </c>
      <c r="V14" s="44">
        <f t="shared" si="0"/>
        <v>3341.3776190476192</v>
      </c>
      <c r="W14" s="44">
        <f t="shared" si="0"/>
        <v>3341.3776190476192</v>
      </c>
      <c r="X14" s="44">
        <f t="shared" si="0"/>
        <v>3341.3776190476192</v>
      </c>
      <c r="Y14" s="44">
        <f t="shared" si="0"/>
        <v>3341.3776190476192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0.92905392742913429</v>
      </c>
      <c r="C15" s="46">
        <f t="shared" ref="C15:W15" si="1">C13/C14</f>
        <v>1.0740958997094583</v>
      </c>
      <c r="D15" s="46">
        <f t="shared" si="1"/>
        <v>1.001048184716512</v>
      </c>
      <c r="E15" s="46">
        <f t="shared" si="1"/>
        <v>1.0766996161976532</v>
      </c>
      <c r="F15" s="46">
        <f t="shared" si="1"/>
        <v>1.0520780351075611</v>
      </c>
      <c r="G15" s="46">
        <f t="shared" si="1"/>
        <v>1.0606852634064678</v>
      </c>
      <c r="H15" s="46">
        <f t="shared" si="1"/>
        <v>1.036276169524033</v>
      </c>
      <c r="I15" s="46">
        <f t="shared" si="1"/>
        <v>0.96730461758501951</v>
      </c>
      <c r="J15" s="46">
        <f t="shared" si="1"/>
        <v>0.95004826210118909</v>
      </c>
      <c r="K15" s="46">
        <f t="shared" si="1"/>
        <v>1.0321670859168011</v>
      </c>
      <c r="L15" s="46">
        <f t="shared" si="1"/>
        <v>1.1740756200785734</v>
      </c>
      <c r="M15" s="46">
        <f t="shared" si="1"/>
        <v>0.9923870864212978</v>
      </c>
      <c r="N15" s="46">
        <f t="shared" si="1"/>
        <v>1.0627832004848869</v>
      </c>
      <c r="O15" s="46">
        <f t="shared" si="1"/>
        <v>1.048343048696909</v>
      </c>
      <c r="P15" s="46">
        <f t="shared" si="1"/>
        <v>0.92615691873882067</v>
      </c>
      <c r="Q15" s="46">
        <f t="shared" si="1"/>
        <v>0.93151997614898785</v>
      </c>
      <c r="R15" s="46">
        <f t="shared" si="1"/>
        <v>0.98342970314639255</v>
      </c>
      <c r="S15" s="46">
        <f t="shared" si="1"/>
        <v>0.98413599865353507</v>
      </c>
      <c r="T15" s="46">
        <f t="shared" si="1"/>
        <v>0.93477312537044521</v>
      </c>
      <c r="U15" s="46">
        <f t="shared" si="1"/>
        <v>0.88341406944640599</v>
      </c>
      <c r="V15" s="46">
        <f t="shared" si="1"/>
        <v>0.89952419111991588</v>
      </c>
      <c r="W15" s="46">
        <f t="shared" si="1"/>
        <v>1.0449252967089564</v>
      </c>
      <c r="X15" s="46">
        <f t="shared" ref="X15:Y15" si="2">X13/X14</f>
        <v>0.95784444767791099</v>
      </c>
      <c r="Y15" s="46">
        <f t="shared" si="2"/>
        <v>0.8896779529059371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8712.1798834062665</v>
      </c>
      <c r="C19" s="34">
        <f t="shared" si="3"/>
        <v>8821.8220870585228</v>
      </c>
      <c r="D19" s="34">
        <f t="shared" ref="D19:W19" si="4">D4*1000000/D3</f>
        <v>8992.3049648634387</v>
      </c>
      <c r="E19" s="34">
        <f t="shared" si="4"/>
        <v>9314.9159713001445</v>
      </c>
      <c r="F19" s="34">
        <f t="shared" si="4"/>
        <v>9796.1857346716042</v>
      </c>
      <c r="G19" s="34">
        <f t="shared" si="4"/>
        <v>10120.111866111505</v>
      </c>
      <c r="H19" s="34">
        <f t="shared" si="4"/>
        <v>10752.491657696411</v>
      </c>
      <c r="I19" s="34">
        <f t="shared" si="4"/>
        <v>11488.900304746663</v>
      </c>
      <c r="J19" s="34">
        <f t="shared" si="4"/>
        <v>11995.634292081673</v>
      </c>
      <c r="K19" s="34">
        <f t="shared" si="4"/>
        <v>12302.895793356263</v>
      </c>
      <c r="L19" s="34">
        <f t="shared" si="4"/>
        <v>12730.394903995593</v>
      </c>
      <c r="M19" s="34">
        <f t="shared" si="4"/>
        <v>13385.381230456745</v>
      </c>
      <c r="N19" s="34">
        <f t="shared" si="4"/>
        <v>13587.465086445498</v>
      </c>
      <c r="O19" s="34">
        <f t="shared" si="4"/>
        <v>13680.876059264565</v>
      </c>
      <c r="P19" s="34">
        <f t="shared" si="4"/>
        <v>14233.878489144714</v>
      </c>
      <c r="Q19" s="34">
        <f t="shared" si="4"/>
        <v>14869.510330815863</v>
      </c>
      <c r="R19" s="34">
        <f t="shared" si="4"/>
        <v>15335.678086323702</v>
      </c>
      <c r="S19" s="34">
        <f t="shared" si="4"/>
        <v>16123.502064474267</v>
      </c>
      <c r="T19" s="34">
        <f t="shared" si="4"/>
        <v>17128.762454104126</v>
      </c>
      <c r="U19" s="34">
        <f t="shared" si="4"/>
        <v>17915.275086791102</v>
      </c>
      <c r="V19" s="34">
        <f t="shared" si="4"/>
        <v>17557.318082014099</v>
      </c>
      <c r="W19" s="34">
        <f t="shared" si="4"/>
        <v>19221.636452195446</v>
      </c>
      <c r="X19" s="34">
        <f t="shared" ref="X19:Y19" si="5">X4*1000000/X3</f>
        <v>20332.44004019129</v>
      </c>
      <c r="Y19" s="34">
        <f t="shared" si="5"/>
        <v>20458.646707371463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26062.736971943239</v>
      </c>
      <c r="C20" s="36">
        <f t="shared" si="6"/>
        <v>27827.828029255834</v>
      </c>
      <c r="D20" s="36">
        <f t="shared" ref="D20:W20" si="7">D5*1000000/D6</f>
        <v>28833.786818134384</v>
      </c>
      <c r="E20" s="36">
        <f t="shared" si="7"/>
        <v>29289.086182215171</v>
      </c>
      <c r="F20" s="36">
        <f t="shared" si="7"/>
        <v>29376.941266292579</v>
      </c>
      <c r="G20" s="36">
        <f t="shared" si="7"/>
        <v>29683.674569123286</v>
      </c>
      <c r="H20" s="36">
        <f t="shared" si="7"/>
        <v>29964.042793473527</v>
      </c>
      <c r="I20" s="36">
        <f t="shared" si="7"/>
        <v>30178.449796869416</v>
      </c>
      <c r="J20" s="36">
        <f t="shared" si="7"/>
        <v>30970.76758613309</v>
      </c>
      <c r="K20" s="36">
        <f t="shared" si="7"/>
        <v>30468.421748674984</v>
      </c>
      <c r="L20" s="36">
        <f t="shared" si="7"/>
        <v>31567.818658199125</v>
      </c>
      <c r="M20" s="36">
        <f t="shared" si="7"/>
        <v>32557.664826372667</v>
      </c>
      <c r="N20" s="36">
        <f t="shared" si="7"/>
        <v>33043.419128166446</v>
      </c>
      <c r="O20" s="36">
        <f t="shared" si="7"/>
        <v>33675.206547722337</v>
      </c>
      <c r="P20" s="36">
        <f t="shared" si="7"/>
        <v>33484.828710484864</v>
      </c>
      <c r="Q20" s="36">
        <f t="shared" si="7"/>
        <v>34266.010453148716</v>
      </c>
      <c r="R20" s="36">
        <f t="shared" si="7"/>
        <v>34812.835764876705</v>
      </c>
      <c r="S20" s="36">
        <f t="shared" si="7"/>
        <v>36824.388458015688</v>
      </c>
      <c r="T20" s="36">
        <f t="shared" si="7"/>
        <v>38969.029097051614</v>
      </c>
      <c r="U20" s="36">
        <f t="shared" si="7"/>
        <v>39093.272956875117</v>
      </c>
      <c r="V20" s="36">
        <f t="shared" si="7"/>
        <v>38321.022183814064</v>
      </c>
      <c r="W20" s="36">
        <f t="shared" si="7"/>
        <v>38994.910060978385</v>
      </c>
      <c r="X20" s="36">
        <f t="shared" ref="X20:Y20" si="8">X5*1000000/X6</f>
        <v>40025.60244844485</v>
      </c>
      <c r="Y20" s="36">
        <f t="shared" si="8"/>
        <v>39551.107222929611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5176.1331424313012</v>
      </c>
      <c r="C21" s="36">
        <f t="shared" si="9"/>
        <v>5359.0491835086013</v>
      </c>
      <c r="D21" s="36">
        <f t="shared" ref="D21:W21" si="10">D5*1000000/D3</f>
        <v>5552.2208295213732</v>
      </c>
      <c r="E21" s="36">
        <f t="shared" si="10"/>
        <v>5670.437895152133</v>
      </c>
      <c r="F21" s="36">
        <f t="shared" si="10"/>
        <v>5757.219599844203</v>
      </c>
      <c r="G21" s="36">
        <f t="shared" si="10"/>
        <v>5980.0724573216867</v>
      </c>
      <c r="H21" s="36">
        <f t="shared" si="10"/>
        <v>6341.8577035311782</v>
      </c>
      <c r="I21" s="36">
        <f t="shared" si="10"/>
        <v>6719.9934037681869</v>
      </c>
      <c r="J21" s="36">
        <f t="shared" si="10"/>
        <v>7137.4169590009797</v>
      </c>
      <c r="K21" s="36">
        <f t="shared" si="10"/>
        <v>7224.6890090821098</v>
      </c>
      <c r="L21" s="36">
        <f t="shared" si="10"/>
        <v>7444.7771600280184</v>
      </c>
      <c r="M21" s="36">
        <f t="shared" si="10"/>
        <v>7687.6278942303688</v>
      </c>
      <c r="N21" s="36">
        <f t="shared" si="10"/>
        <v>7910.0981519113966</v>
      </c>
      <c r="O21" s="36">
        <f t="shared" si="10"/>
        <v>8134.5068467384908</v>
      </c>
      <c r="P21" s="36">
        <f t="shared" si="10"/>
        <v>8321.4756154755542</v>
      </c>
      <c r="Q21" s="36">
        <f t="shared" si="10"/>
        <v>8651.9715090119498</v>
      </c>
      <c r="R21" s="36">
        <f t="shared" si="10"/>
        <v>8905.2957122983553</v>
      </c>
      <c r="S21" s="36">
        <f t="shared" si="10"/>
        <v>9564.9628687912318</v>
      </c>
      <c r="T21" s="36">
        <f t="shared" si="10"/>
        <v>10236.368000280219</v>
      </c>
      <c r="U21" s="36">
        <f t="shared" si="10"/>
        <v>10717.990706072427</v>
      </c>
      <c r="V21" s="36">
        <f t="shared" si="10"/>
        <v>10547.581218810947</v>
      </c>
      <c r="W21" s="36">
        <f t="shared" si="10"/>
        <v>11513.448458915535</v>
      </c>
      <c r="X21" s="36">
        <f t="shared" ref="X21:Y21" si="11">X5*1000000/X3</f>
        <v>12072.641872723336</v>
      </c>
      <c r="Y21" s="36">
        <f t="shared" si="11"/>
        <v>12260.888263601097</v>
      </c>
      <c r="DA21" s="89"/>
    </row>
    <row r="22" spans="1:105" ht="12" customHeight="1" x14ac:dyDescent="0.25">
      <c r="A22" s="51" t="s">
        <v>148</v>
      </c>
      <c r="B22" s="52">
        <v>0.28241944554839365</v>
      </c>
      <c r="C22" s="52">
        <v>0.28510766954554506</v>
      </c>
      <c r="D22" s="52">
        <v>0.28954236814826717</v>
      </c>
      <c r="E22" s="52">
        <v>0.29247578947500386</v>
      </c>
      <c r="F22" s="52">
        <v>0.29021889702250925</v>
      </c>
      <c r="G22" s="52">
        <v>0.29508585704430562</v>
      </c>
      <c r="H22" s="52">
        <v>0.30363805681544503</v>
      </c>
      <c r="I22" s="52">
        <v>0.31217754812050863</v>
      </c>
      <c r="J22" s="52">
        <v>0.32716286293098268</v>
      </c>
      <c r="K22" s="52">
        <v>0.33882678534246585</v>
      </c>
      <c r="L22" s="52">
        <v>0.34397411914055365</v>
      </c>
      <c r="M22" s="52">
        <v>0.34819810116011335</v>
      </c>
      <c r="N22" s="52">
        <v>0.35941377989832762</v>
      </c>
      <c r="O22" s="52">
        <v>0.36748337718275509</v>
      </c>
      <c r="P22" s="52">
        <v>0.3698167637464066</v>
      </c>
      <c r="Q22" s="52">
        <v>0.37821861049327382</v>
      </c>
      <c r="R22" s="52">
        <v>0.3828492554853502</v>
      </c>
      <c r="S22" s="52">
        <v>0.40044585481646705</v>
      </c>
      <c r="T22" s="52">
        <v>0.41950749445627428</v>
      </c>
      <c r="U22" s="52">
        <v>0.43107491153715366</v>
      </c>
      <c r="V22" s="52">
        <v>0.44822073883205316</v>
      </c>
      <c r="W22" s="52">
        <v>0.46102128648802715</v>
      </c>
      <c r="X22" s="52">
        <v>0.46882052700473686</v>
      </c>
      <c r="Y22" s="52">
        <v>0.47502285238169761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23.972318540541533</v>
      </c>
      <c r="C23" s="53">
        <f t="shared" si="12"/>
        <v>23.290862521295747</v>
      </c>
      <c r="D23" s="53">
        <f t="shared" ref="D23:W23" si="13">D6/D8</f>
        <v>23.216211220937211</v>
      </c>
      <c r="E23" s="53">
        <f t="shared" si="13"/>
        <v>22.925637545758658</v>
      </c>
      <c r="F23" s="53">
        <f t="shared" si="13"/>
        <v>22.552854747491118</v>
      </c>
      <c r="G23" s="53">
        <f t="shared" si="13"/>
        <v>22.669760547815091</v>
      </c>
      <c r="H23" s="53">
        <f t="shared" si="13"/>
        <v>22.925522908982138</v>
      </c>
      <c r="I23" s="53">
        <f t="shared" si="13"/>
        <v>23.145893084520825</v>
      </c>
      <c r="J23" s="53">
        <f t="shared" si="13"/>
        <v>23.067729105453875</v>
      </c>
      <c r="K23" s="53">
        <f t="shared" si="13"/>
        <v>23.052287159257531</v>
      </c>
      <c r="L23" s="53">
        <f t="shared" si="13"/>
        <v>22.825461490909298</v>
      </c>
      <c r="M23" s="53">
        <f t="shared" si="13"/>
        <v>22.302731447463518</v>
      </c>
      <c r="N23" s="53">
        <f t="shared" si="13"/>
        <v>22.164532492332771</v>
      </c>
      <c r="O23" s="53">
        <f t="shared" si="13"/>
        <v>22.226932952891371</v>
      </c>
      <c r="P23" s="53">
        <f t="shared" si="13"/>
        <v>22.348353584014646</v>
      </c>
      <c r="Q23" s="53">
        <f t="shared" si="13"/>
        <v>22.421729383565484</v>
      </c>
      <c r="R23" s="53">
        <f t="shared" si="13"/>
        <v>22.349778446476176</v>
      </c>
      <c r="S23" s="53">
        <f t="shared" si="13"/>
        <v>22.250952799802302</v>
      </c>
      <c r="T23" s="53">
        <f t="shared" si="13"/>
        <v>22.075493260515103</v>
      </c>
      <c r="U23" s="53">
        <f t="shared" si="13"/>
        <v>22.643866435472258</v>
      </c>
      <c r="V23" s="53">
        <f t="shared" si="13"/>
        <v>22.38084007978587</v>
      </c>
      <c r="W23" s="53">
        <f t="shared" si="13"/>
        <v>23.119567155157746</v>
      </c>
      <c r="X23" s="53">
        <f t="shared" ref="X23:Y23" si="14">X6/X8</f>
        <v>23.186178778636844</v>
      </c>
      <c r="Y23" s="53">
        <f t="shared" si="14"/>
        <v>23.445933145636339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7.456205813380449</v>
      </c>
      <c r="C24" s="54">
        <f t="shared" si="15"/>
        <v>7.4415836775557551</v>
      </c>
      <c r="D24" s="54">
        <f t="shared" ref="D24:W24" si="16">D9*1000/D3</f>
        <v>7.4647662177551366</v>
      </c>
      <c r="E24" s="54">
        <f t="shared" si="16"/>
        <v>7.6003197521704333</v>
      </c>
      <c r="F24" s="54">
        <f t="shared" si="16"/>
        <v>7.8207284540581981</v>
      </c>
      <c r="G24" s="54">
        <f t="shared" si="16"/>
        <v>7.9980545351462622</v>
      </c>
      <c r="H24" s="54">
        <f t="shared" si="16"/>
        <v>8.3088198683485395</v>
      </c>
      <c r="I24" s="54">
        <f t="shared" si="16"/>
        <v>8.6584566370815654</v>
      </c>
      <c r="J24" s="54">
        <f t="shared" si="16"/>
        <v>8.9913885624118421</v>
      </c>
      <c r="K24" s="54">
        <f t="shared" si="16"/>
        <v>9.2575845545363276</v>
      </c>
      <c r="L24" s="54">
        <f t="shared" si="16"/>
        <v>9.2988677719869468</v>
      </c>
      <c r="M24" s="54">
        <f t="shared" si="16"/>
        <v>9.5284785467102679</v>
      </c>
      <c r="N24" s="54">
        <f t="shared" si="16"/>
        <v>9.7203259317952515</v>
      </c>
      <c r="O24" s="54">
        <f t="shared" si="16"/>
        <v>9.7810151332439652</v>
      </c>
      <c r="P24" s="54">
        <f t="shared" si="16"/>
        <v>10.008044753434955</v>
      </c>
      <c r="Q24" s="54">
        <f t="shared" si="16"/>
        <v>10.135027710345865</v>
      </c>
      <c r="R24" s="54">
        <f t="shared" si="16"/>
        <v>10.300972582528463</v>
      </c>
      <c r="S24" s="54">
        <f t="shared" si="16"/>
        <v>10.506102707448534</v>
      </c>
      <c r="T24" s="54">
        <f t="shared" si="16"/>
        <v>10.709233750058132</v>
      </c>
      <c r="U24" s="54">
        <f t="shared" si="16"/>
        <v>10.896907621211032</v>
      </c>
      <c r="V24" s="54">
        <f t="shared" si="16"/>
        <v>11.068325400998331</v>
      </c>
      <c r="W24" s="54">
        <f t="shared" si="16"/>
        <v>11.493711943790933</v>
      </c>
      <c r="X24" s="54">
        <f t="shared" ref="X24:Y24" si="17">X9*1000/X3</f>
        <v>11.707866711005652</v>
      </c>
      <c r="Y24" s="54">
        <f t="shared" si="17"/>
        <v>11.899762010574198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37.543302224936518</v>
      </c>
      <c r="C25" s="54">
        <f t="shared" si="18"/>
        <v>38.641763445947738</v>
      </c>
      <c r="D25" s="54">
        <f t="shared" ref="D25:W25" si="19">D9*1000/D6</f>
        <v>38.766015325892099</v>
      </c>
      <c r="E25" s="54">
        <f t="shared" si="19"/>
        <v>39.257359722434586</v>
      </c>
      <c r="F25" s="54">
        <f t="shared" si="19"/>
        <v>39.906256217968156</v>
      </c>
      <c r="G25" s="54">
        <f t="shared" si="19"/>
        <v>39.700463447848009</v>
      </c>
      <c r="H25" s="54">
        <f t="shared" si="19"/>
        <v>39.257556024922046</v>
      </c>
      <c r="I25" s="54">
        <f t="shared" si="19"/>
        <v>38.883788009972662</v>
      </c>
      <c r="J25" s="54">
        <f t="shared" si="19"/>
        <v>39.015544004598802</v>
      </c>
      <c r="K25" s="54">
        <f t="shared" si="19"/>
        <v>39.04167919574828</v>
      </c>
      <c r="L25" s="54">
        <f t="shared" si="19"/>
        <v>39.429651854287506</v>
      </c>
      <c r="M25" s="54">
        <f t="shared" si="19"/>
        <v>40.353801601388902</v>
      </c>
      <c r="N25" s="54">
        <f t="shared" si="19"/>
        <v>40.605413189352454</v>
      </c>
      <c r="O25" s="54">
        <f t="shared" si="19"/>
        <v>40.49141651290779</v>
      </c>
      <c r="P25" s="54">
        <f t="shared" si="19"/>
        <v>40.271422976042089</v>
      </c>
      <c r="Q25" s="54">
        <f t="shared" si="19"/>
        <v>40.139633504794475</v>
      </c>
      <c r="R25" s="54">
        <f t="shared" si="19"/>
        <v>40.268855557353426</v>
      </c>
      <c r="S25" s="54">
        <f t="shared" si="19"/>
        <v>40.447706131846921</v>
      </c>
      <c r="T25" s="54">
        <f t="shared" si="19"/>
        <v>40.769190947582018</v>
      </c>
      <c r="U25" s="54">
        <f t="shared" si="19"/>
        <v>39.745862419949823</v>
      </c>
      <c r="V25" s="54">
        <f t="shared" si="19"/>
        <v>40.212967734525307</v>
      </c>
      <c r="W25" s="54">
        <f t="shared" si="19"/>
        <v>38.928064438231445</v>
      </c>
      <c r="X25" s="54">
        <f t="shared" ref="X25:Y25" si="20">X9*1000/X6</f>
        <v>38.816227917177848</v>
      </c>
      <c r="Y25" s="54">
        <f t="shared" si="20"/>
        <v>38.386188103905958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900.00000000000011</v>
      </c>
      <c r="E26" s="55">
        <f t="shared" si="22"/>
        <v>900.00000000000011</v>
      </c>
      <c r="F26" s="55">
        <f t="shared" si="22"/>
        <v>900.00000000000011</v>
      </c>
      <c r="G26" s="55">
        <f t="shared" si="22"/>
        <v>900</v>
      </c>
      <c r="H26" s="55">
        <f t="shared" si="22"/>
        <v>900.00000000000011</v>
      </c>
      <c r="I26" s="55">
        <f t="shared" si="22"/>
        <v>900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899.99999999999989</v>
      </c>
      <c r="M26" s="55">
        <f t="shared" si="22"/>
        <v>899.99999999999989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899.99999999999989</v>
      </c>
      <c r="S26" s="55">
        <f t="shared" si="22"/>
        <v>900.00000000000011</v>
      </c>
      <c r="T26" s="55">
        <f t="shared" si="22"/>
        <v>900.00000000000011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899.99999999999989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900.00000000000011</v>
      </c>
      <c r="E27" s="57">
        <f t="shared" si="25"/>
        <v>900</v>
      </c>
      <c r="F27" s="57">
        <f t="shared" si="25"/>
        <v>900.00000000000011</v>
      </c>
      <c r="G27" s="57">
        <f t="shared" si="25"/>
        <v>900.00000000000011</v>
      </c>
      <c r="H27" s="57">
        <f t="shared" si="25"/>
        <v>900</v>
      </c>
      <c r="I27" s="57">
        <f t="shared" si="25"/>
        <v>899.99999999999989</v>
      </c>
      <c r="J27" s="57">
        <f t="shared" si="25"/>
        <v>900</v>
      </c>
      <c r="K27" s="57">
        <f t="shared" si="25"/>
        <v>900</v>
      </c>
      <c r="L27" s="57">
        <f t="shared" si="25"/>
        <v>900.00000000000011</v>
      </c>
      <c r="M27" s="57">
        <f t="shared" si="25"/>
        <v>900</v>
      </c>
      <c r="N27" s="57">
        <f t="shared" si="25"/>
        <v>900.00000000000011</v>
      </c>
      <c r="O27" s="57">
        <f t="shared" si="25"/>
        <v>900</v>
      </c>
      <c r="P27" s="57">
        <f t="shared" si="25"/>
        <v>900</v>
      </c>
      <c r="Q27" s="57">
        <f t="shared" si="25"/>
        <v>900</v>
      </c>
      <c r="R27" s="57">
        <f t="shared" si="25"/>
        <v>899.99999999999989</v>
      </c>
      <c r="S27" s="57">
        <f t="shared" si="25"/>
        <v>899.99999999999989</v>
      </c>
      <c r="T27" s="57">
        <f t="shared" si="25"/>
        <v>899.99999999999989</v>
      </c>
      <c r="U27" s="57">
        <f t="shared" si="25"/>
        <v>899.99999999999989</v>
      </c>
      <c r="V27" s="57">
        <f t="shared" si="25"/>
        <v>899.99999999999989</v>
      </c>
      <c r="W27" s="57">
        <f t="shared" si="25"/>
        <v>900.00000000000011</v>
      </c>
      <c r="X27" s="57">
        <f t="shared" ref="X27:Y27" si="26">IF(SUM(X11)=0,"",X11*1000/X10)</f>
        <v>900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4964.7274226568952</v>
      </c>
      <c r="C31" s="80">
        <f t="shared" ref="C31:W31" si="27">SUM(C32:C33,C36:C37,C44:C45)</f>
        <v>5383.6506920356933</v>
      </c>
      <c r="D31" s="80">
        <f t="shared" si="27"/>
        <v>6090.8399893522073</v>
      </c>
      <c r="E31" s="80">
        <f t="shared" si="27"/>
        <v>6314.1500788847879</v>
      </c>
      <c r="F31" s="80">
        <f t="shared" si="27"/>
        <v>6729.2043890601035</v>
      </c>
      <c r="G31" s="80">
        <f t="shared" si="27"/>
        <v>6724.8339257368943</v>
      </c>
      <c r="H31" s="80">
        <f t="shared" si="27"/>
        <v>7456.9408503422919</v>
      </c>
      <c r="I31" s="80">
        <f t="shared" si="27"/>
        <v>7106.9090483221153</v>
      </c>
      <c r="J31" s="80">
        <f t="shared" si="27"/>
        <v>7975.174775283278</v>
      </c>
      <c r="K31" s="80">
        <f t="shared" si="27"/>
        <v>8030.8419433708459</v>
      </c>
      <c r="L31" s="80">
        <f t="shared" si="27"/>
        <v>8826.8645670367841</v>
      </c>
      <c r="M31" s="80">
        <f t="shared" si="27"/>
        <v>8419.0782759434096</v>
      </c>
      <c r="N31" s="80">
        <f t="shared" si="27"/>
        <v>8352.9160040576298</v>
      </c>
      <c r="O31" s="80">
        <f t="shared" si="27"/>
        <v>8066.5151210258173</v>
      </c>
      <c r="P31" s="80">
        <f t="shared" si="27"/>
        <v>7772.0677674355966</v>
      </c>
      <c r="Q31" s="80">
        <f t="shared" si="27"/>
        <v>7824.33992983184</v>
      </c>
      <c r="R31" s="80">
        <f t="shared" si="27"/>
        <v>8483.5967147278388</v>
      </c>
      <c r="S31" s="80">
        <f t="shared" si="27"/>
        <v>8023.4988573480887</v>
      </c>
      <c r="T31" s="80">
        <f t="shared" si="27"/>
        <v>7907.2209778185415</v>
      </c>
      <c r="U31" s="80">
        <f t="shared" si="27"/>
        <v>7787.1461150443129</v>
      </c>
      <c r="V31" s="80">
        <f t="shared" si="27"/>
        <v>7538.7939569847913</v>
      </c>
      <c r="W31" s="80">
        <f t="shared" si="27"/>
        <v>8361.8963687396899</v>
      </c>
      <c r="X31" s="80">
        <f t="shared" ref="X31:Y31" si="28">SUM(X32:X33,X36:X37,X44:X45)</f>
        <v>7956.0369671601165</v>
      </c>
      <c r="Y31" s="80">
        <f t="shared" si="28"/>
        <v>7862.4931228236674</v>
      </c>
      <c r="DA31" s="103" t="s">
        <v>199</v>
      </c>
    </row>
    <row r="32" spans="1:105" ht="12" customHeight="1" x14ac:dyDescent="0.25">
      <c r="A32" s="58" t="s">
        <v>29</v>
      </c>
      <c r="B32" s="59">
        <v>524.28280309544289</v>
      </c>
      <c r="C32" s="59">
        <v>412.27291487532244</v>
      </c>
      <c r="D32" s="59">
        <v>711.58641444539978</v>
      </c>
      <c r="E32" s="59">
        <v>710.24067067927774</v>
      </c>
      <c r="F32" s="59">
        <v>675.85245055889936</v>
      </c>
      <c r="G32" s="59">
        <v>669.4687876182287</v>
      </c>
      <c r="H32" s="59">
        <v>767.76560619088559</v>
      </c>
      <c r="I32" s="59">
        <v>664.59939810834044</v>
      </c>
      <c r="J32" s="59">
        <v>735.39587274290625</v>
      </c>
      <c r="K32" s="59">
        <v>799.29957007738608</v>
      </c>
      <c r="L32" s="59">
        <v>908.74746345657763</v>
      </c>
      <c r="M32" s="59">
        <v>802.02467755803946</v>
      </c>
      <c r="N32" s="59">
        <v>814.72906276870162</v>
      </c>
      <c r="O32" s="59">
        <v>756.98177128116924</v>
      </c>
      <c r="P32" s="59">
        <v>669.5527085124678</v>
      </c>
      <c r="Q32" s="59">
        <v>646.78572656921756</v>
      </c>
      <c r="R32" s="59">
        <v>678.16827171109196</v>
      </c>
      <c r="S32" s="59">
        <v>667.88013757523652</v>
      </c>
      <c r="T32" s="59">
        <v>609.10834049871028</v>
      </c>
      <c r="U32" s="59">
        <v>491.23490971625102</v>
      </c>
      <c r="V32" s="59">
        <v>507.99690455717973</v>
      </c>
      <c r="W32" s="59">
        <v>630.78572656921745</v>
      </c>
      <c r="X32" s="59">
        <v>296.44591573516772</v>
      </c>
      <c r="Y32" s="59">
        <v>256.10791057609629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397.0191745485813</v>
      </c>
      <c r="C33" s="55">
        <f t="shared" ref="C33:W33" si="29">SUM(C34:C35)</f>
        <v>511.68675838349088</v>
      </c>
      <c r="D33" s="55">
        <f t="shared" si="29"/>
        <v>548.14419604471186</v>
      </c>
      <c r="E33" s="55">
        <f t="shared" si="29"/>
        <v>578.42751504729154</v>
      </c>
      <c r="F33" s="55">
        <f t="shared" si="29"/>
        <v>513.15322441960438</v>
      </c>
      <c r="G33" s="55">
        <f t="shared" si="29"/>
        <v>429.30163370593289</v>
      </c>
      <c r="H33" s="55">
        <f t="shared" si="29"/>
        <v>685.4447119518486</v>
      </c>
      <c r="I33" s="55">
        <f t="shared" si="29"/>
        <v>668.29320722269995</v>
      </c>
      <c r="J33" s="55">
        <f t="shared" si="29"/>
        <v>656.99578675838347</v>
      </c>
      <c r="K33" s="55">
        <f t="shared" si="29"/>
        <v>613.39931212381771</v>
      </c>
      <c r="L33" s="55">
        <f t="shared" si="29"/>
        <v>739.29733447979379</v>
      </c>
      <c r="M33" s="55">
        <f t="shared" si="29"/>
        <v>692.30911435941539</v>
      </c>
      <c r="N33" s="55">
        <f t="shared" si="29"/>
        <v>536.22098022355965</v>
      </c>
      <c r="O33" s="55">
        <f t="shared" si="29"/>
        <v>430.08976784178844</v>
      </c>
      <c r="P33" s="55">
        <f t="shared" si="29"/>
        <v>423.04385210662088</v>
      </c>
      <c r="Q33" s="55">
        <f t="shared" si="29"/>
        <v>419.58065348237318</v>
      </c>
      <c r="R33" s="55">
        <f t="shared" si="29"/>
        <v>424.04694754944114</v>
      </c>
      <c r="S33" s="55">
        <f t="shared" si="29"/>
        <v>438.89303525365438</v>
      </c>
      <c r="T33" s="55">
        <f t="shared" si="29"/>
        <v>447.48856405846948</v>
      </c>
      <c r="U33" s="55">
        <f t="shared" si="29"/>
        <v>408.46732588134137</v>
      </c>
      <c r="V33" s="55">
        <f t="shared" si="29"/>
        <v>386.38727429062772</v>
      </c>
      <c r="W33" s="55">
        <f t="shared" si="29"/>
        <v>421.83104041272571</v>
      </c>
      <c r="X33" s="55">
        <f t="shared" ref="X33:Y33" si="30">SUM(X34:X35)</f>
        <v>365.90171969045571</v>
      </c>
      <c r="Y33" s="55">
        <f t="shared" si="30"/>
        <v>264.92080825451421</v>
      </c>
      <c r="DA33" s="101"/>
    </row>
    <row r="34" spans="1:105" ht="12" customHeight="1" x14ac:dyDescent="0.25">
      <c r="A34" s="61" t="s">
        <v>52</v>
      </c>
      <c r="B34" s="55">
        <v>56.487016337059323</v>
      </c>
      <c r="C34" s="55">
        <v>80.211607910576092</v>
      </c>
      <c r="D34" s="55">
        <v>82.471109200343932</v>
      </c>
      <c r="E34" s="55">
        <v>135.56895958727429</v>
      </c>
      <c r="F34" s="55">
        <v>123.14178847807391</v>
      </c>
      <c r="G34" s="55">
        <v>112.9741186586414</v>
      </c>
      <c r="H34" s="55">
        <v>128.79045571797079</v>
      </c>
      <c r="I34" s="55">
        <v>120.88228718830609</v>
      </c>
      <c r="J34" s="55">
        <v>109.58486672398971</v>
      </c>
      <c r="K34" s="55">
        <v>90.092691315563201</v>
      </c>
      <c r="L34" s="55">
        <v>81.303181427343077</v>
      </c>
      <c r="M34" s="55">
        <v>79.105760963026654</v>
      </c>
      <c r="N34" s="55">
        <v>96.684780739466888</v>
      </c>
      <c r="O34" s="55">
        <v>68.118830610490107</v>
      </c>
      <c r="P34" s="55">
        <v>71.414961306964742</v>
      </c>
      <c r="Q34" s="55">
        <v>71.414961306964742</v>
      </c>
      <c r="R34" s="55">
        <v>76.908340498710217</v>
      </c>
      <c r="S34" s="55">
        <v>78.517970765262248</v>
      </c>
      <c r="T34" s="55">
        <v>73.057437661220973</v>
      </c>
      <c r="U34" s="55">
        <v>82.507308684436794</v>
      </c>
      <c r="V34" s="55">
        <v>54.934565778159929</v>
      </c>
      <c r="W34" s="55">
        <v>51.638521066208092</v>
      </c>
      <c r="X34" s="55">
        <v>41.75030094582975</v>
      </c>
      <c r="Y34" s="55">
        <v>38.827773000859843</v>
      </c>
      <c r="DA34" s="101" t="s">
        <v>201</v>
      </c>
    </row>
    <row r="35" spans="1:105" ht="12" customHeight="1" x14ac:dyDescent="0.25">
      <c r="A35" s="61" t="s">
        <v>163</v>
      </c>
      <c r="B35" s="55">
        <v>340.53215821152196</v>
      </c>
      <c r="C35" s="55">
        <v>431.47515047291478</v>
      </c>
      <c r="D35" s="55">
        <v>465.67308684436796</v>
      </c>
      <c r="E35" s="55">
        <v>442.85855546001721</v>
      </c>
      <c r="F35" s="55">
        <v>390.01143594153046</v>
      </c>
      <c r="G35" s="55">
        <v>316.32751504729151</v>
      </c>
      <c r="H35" s="55">
        <v>556.65425623387785</v>
      </c>
      <c r="I35" s="55">
        <v>547.41092003439383</v>
      </c>
      <c r="J35" s="55">
        <v>547.41092003439371</v>
      </c>
      <c r="K35" s="55">
        <v>523.30662080825448</v>
      </c>
      <c r="L35" s="55">
        <v>657.99415305245066</v>
      </c>
      <c r="M35" s="55">
        <v>613.20335339638871</v>
      </c>
      <c r="N35" s="55">
        <v>439.53619948409278</v>
      </c>
      <c r="O35" s="55">
        <v>361.97093723129831</v>
      </c>
      <c r="P35" s="55">
        <v>351.62889079965612</v>
      </c>
      <c r="Q35" s="55">
        <v>348.16569217540842</v>
      </c>
      <c r="R35" s="55">
        <v>347.13860705073091</v>
      </c>
      <c r="S35" s="55">
        <v>360.37506448839213</v>
      </c>
      <c r="T35" s="55">
        <v>374.43112639724848</v>
      </c>
      <c r="U35" s="55">
        <v>325.96001719690457</v>
      </c>
      <c r="V35" s="55">
        <v>331.45270851246778</v>
      </c>
      <c r="W35" s="55">
        <v>370.1925193465176</v>
      </c>
      <c r="X35" s="55">
        <v>324.15141874462597</v>
      </c>
      <c r="Y35" s="55">
        <v>226.09303525365436</v>
      </c>
      <c r="DA35" s="101" t="s">
        <v>202</v>
      </c>
    </row>
    <row r="36" spans="1:105" ht="12" customHeight="1" x14ac:dyDescent="0.25">
      <c r="A36" s="60" t="s">
        <v>149</v>
      </c>
      <c r="B36" s="55">
        <v>921.28116938950973</v>
      </c>
      <c r="C36" s="55">
        <v>1193.6156491831468</v>
      </c>
      <c r="D36" s="55">
        <v>1457.0507308684435</v>
      </c>
      <c r="E36" s="55">
        <v>1601.7196904557177</v>
      </c>
      <c r="F36" s="55">
        <v>1661.5649183147036</v>
      </c>
      <c r="G36" s="55">
        <v>1634.0068787618225</v>
      </c>
      <c r="H36" s="55">
        <v>1517.1539122957868</v>
      </c>
      <c r="I36" s="55">
        <v>1564.5098882201207</v>
      </c>
      <c r="J36" s="55">
        <v>1702.2355975924329</v>
      </c>
      <c r="K36" s="55">
        <v>1809.6087704213239</v>
      </c>
      <c r="L36" s="55">
        <v>1993.2404127257093</v>
      </c>
      <c r="M36" s="55">
        <v>1870.0095442820289</v>
      </c>
      <c r="N36" s="55">
        <v>1932.3852966466031</v>
      </c>
      <c r="O36" s="55">
        <v>1827.4092003439384</v>
      </c>
      <c r="P36" s="55">
        <v>1610.5432502149615</v>
      </c>
      <c r="Q36" s="55">
        <v>1715.526655202063</v>
      </c>
      <c r="R36" s="55">
        <v>1933.920292347377</v>
      </c>
      <c r="S36" s="55">
        <v>1452.392433361995</v>
      </c>
      <c r="T36" s="55">
        <v>1345.284350816853</v>
      </c>
      <c r="U36" s="55">
        <v>1348.5777300085981</v>
      </c>
      <c r="V36" s="55">
        <v>1158.0070507308678</v>
      </c>
      <c r="W36" s="55">
        <v>1616.7606190885645</v>
      </c>
      <c r="X36" s="55">
        <v>1551.5750644883915</v>
      </c>
      <c r="Y36" s="55">
        <v>1413.2195184866721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221.14746345657778</v>
      </c>
      <c r="C37" s="55">
        <f t="shared" ref="C37:W37" si="31">SUM(C38:C42)</f>
        <v>160.19398108340502</v>
      </c>
      <c r="D37" s="55">
        <f t="shared" si="31"/>
        <v>157.47119518486673</v>
      </c>
      <c r="E37" s="55">
        <f t="shared" si="31"/>
        <v>157.82940670679281</v>
      </c>
      <c r="F37" s="55">
        <f t="shared" si="31"/>
        <v>177.74909716251074</v>
      </c>
      <c r="G37" s="55">
        <f t="shared" si="31"/>
        <v>189.18985382631124</v>
      </c>
      <c r="H37" s="55">
        <f t="shared" si="31"/>
        <v>150.49681857265693</v>
      </c>
      <c r="I37" s="55">
        <f t="shared" si="31"/>
        <v>168.29088564058469</v>
      </c>
      <c r="J37" s="55">
        <f t="shared" si="31"/>
        <v>168.21908856405847</v>
      </c>
      <c r="K37" s="55">
        <f t="shared" si="31"/>
        <v>217.94694754944109</v>
      </c>
      <c r="L37" s="55">
        <f t="shared" si="31"/>
        <v>241.42545141874464</v>
      </c>
      <c r="M37" s="55">
        <f t="shared" si="31"/>
        <v>240.32682717110919</v>
      </c>
      <c r="N37" s="55">
        <f t="shared" si="31"/>
        <v>226.06766981943244</v>
      </c>
      <c r="O37" s="55">
        <f t="shared" si="31"/>
        <v>247.7548581255374</v>
      </c>
      <c r="P37" s="55">
        <f t="shared" si="31"/>
        <v>223.17755803955291</v>
      </c>
      <c r="Q37" s="55">
        <f t="shared" si="31"/>
        <v>240.37454858125531</v>
      </c>
      <c r="R37" s="55">
        <f t="shared" si="31"/>
        <v>271.98899398108341</v>
      </c>
      <c r="S37" s="55">
        <f t="shared" si="31"/>
        <v>269.77497850386919</v>
      </c>
      <c r="T37" s="55">
        <f t="shared" si="31"/>
        <v>260.06208082545129</v>
      </c>
      <c r="U37" s="55">
        <f t="shared" si="31"/>
        <v>259.21711092003437</v>
      </c>
      <c r="V37" s="55">
        <f t="shared" si="31"/>
        <v>270.79527085124676</v>
      </c>
      <c r="W37" s="55">
        <f t="shared" si="31"/>
        <v>291.74565778159928</v>
      </c>
      <c r="X37" s="55">
        <f t="shared" ref="X37:Y37" si="32">SUM(X38:X42)</f>
        <v>250.66208082545148</v>
      </c>
      <c r="Y37" s="55">
        <f t="shared" si="32"/>
        <v>270.11908856405836</v>
      </c>
      <c r="DA37" s="101"/>
    </row>
    <row r="38" spans="1:105" ht="12" customHeight="1" x14ac:dyDescent="0.25">
      <c r="A38" s="61" t="s">
        <v>164</v>
      </c>
      <c r="B38" s="55">
        <v>204.38048151332757</v>
      </c>
      <c r="C38" s="55">
        <v>139.17549441100604</v>
      </c>
      <c r="D38" s="55">
        <v>139.91599312123819</v>
      </c>
      <c r="E38" s="55">
        <v>139.41444539982805</v>
      </c>
      <c r="F38" s="55">
        <v>144.33456577815991</v>
      </c>
      <c r="G38" s="55">
        <v>148.63379191745483</v>
      </c>
      <c r="H38" s="55">
        <v>110.06018916595012</v>
      </c>
      <c r="I38" s="55">
        <v>131.62803095442817</v>
      </c>
      <c r="J38" s="55">
        <v>120.97540842648321</v>
      </c>
      <c r="K38" s="55">
        <v>172.61392949269131</v>
      </c>
      <c r="L38" s="55">
        <v>192.39036973344798</v>
      </c>
      <c r="M38" s="55">
        <v>187.82846087704212</v>
      </c>
      <c r="N38" s="55">
        <v>164.08718830610485</v>
      </c>
      <c r="O38" s="55">
        <v>187.5895958727429</v>
      </c>
      <c r="P38" s="55">
        <v>162.10464316423048</v>
      </c>
      <c r="Q38" s="55">
        <v>172.87669819432497</v>
      </c>
      <c r="R38" s="55">
        <v>195.87755803955292</v>
      </c>
      <c r="S38" s="55">
        <v>198.06612209802228</v>
      </c>
      <c r="T38" s="55">
        <v>186.15726569217529</v>
      </c>
      <c r="U38" s="55">
        <v>179.23267411865857</v>
      </c>
      <c r="V38" s="55">
        <v>192.28426483233019</v>
      </c>
      <c r="W38" s="55">
        <v>217.26577815993119</v>
      </c>
      <c r="X38" s="55">
        <v>165.91556319862431</v>
      </c>
      <c r="Y38" s="55">
        <v>186.03662940670677</v>
      </c>
      <c r="DA38" s="101" t="s">
        <v>204</v>
      </c>
    </row>
    <row r="39" spans="1:105" ht="12" customHeight="1" x14ac:dyDescent="0.25">
      <c r="A39" s="61" t="s">
        <v>50</v>
      </c>
      <c r="B39" s="55">
        <v>16.193723129836631</v>
      </c>
      <c r="C39" s="55">
        <v>20.540756663800519</v>
      </c>
      <c r="D39" s="55">
        <v>16.313155631986241</v>
      </c>
      <c r="E39" s="55">
        <v>16.71917454858125</v>
      </c>
      <c r="F39" s="55">
        <v>31.647119518486669</v>
      </c>
      <c r="G39" s="55">
        <v>38.263112639724852</v>
      </c>
      <c r="H39" s="55">
        <v>37.785382631126403</v>
      </c>
      <c r="I39" s="55">
        <v>34.346001719690463</v>
      </c>
      <c r="J39" s="55">
        <v>42.872828890799653</v>
      </c>
      <c r="K39" s="55">
        <v>40.006706792777301</v>
      </c>
      <c r="L39" s="55">
        <v>43.708770421324161</v>
      </c>
      <c r="M39" s="55">
        <v>46.885468615649181</v>
      </c>
      <c r="N39" s="55">
        <v>54.456835769561472</v>
      </c>
      <c r="O39" s="55">
        <v>50.706964746345648</v>
      </c>
      <c r="P39" s="55">
        <v>50.587532244196041</v>
      </c>
      <c r="Q39" s="55">
        <v>56.391487532244192</v>
      </c>
      <c r="R39" s="55">
        <v>64.488392089423897</v>
      </c>
      <c r="S39" s="55">
        <v>59.755803955288037</v>
      </c>
      <c r="T39" s="55">
        <v>61.33525365434221</v>
      </c>
      <c r="U39" s="55">
        <v>66.800859845227862</v>
      </c>
      <c r="V39" s="55">
        <v>65.492605331040409</v>
      </c>
      <c r="W39" s="55">
        <v>60.799742046431639</v>
      </c>
      <c r="X39" s="55">
        <v>70.240842648323294</v>
      </c>
      <c r="Y39" s="55">
        <v>70.517798796216667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0.37343078245915728</v>
      </c>
      <c r="S40" s="55">
        <v>0.45812553740326739</v>
      </c>
      <c r="T40" s="55">
        <v>0.5766122098022356</v>
      </c>
      <c r="U40" s="55">
        <v>1.0587274290627691</v>
      </c>
      <c r="V40" s="55">
        <v>0.99982803095442818</v>
      </c>
      <c r="W40" s="55">
        <v>1.128890799656062</v>
      </c>
      <c r="X40" s="55">
        <v>1.125795356835769</v>
      </c>
      <c r="Y40" s="55">
        <v>0.1026655202063628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2.3903697334479789E-2</v>
      </c>
      <c r="E41" s="55">
        <v>2.3903697334479789E-2</v>
      </c>
      <c r="F41" s="55">
        <v>9.5528804815133275E-2</v>
      </c>
      <c r="G41" s="55">
        <v>0.14333619948409279</v>
      </c>
      <c r="H41" s="55">
        <v>0.26276870163370591</v>
      </c>
      <c r="I41" s="55">
        <v>0.35829750644883918</v>
      </c>
      <c r="J41" s="55">
        <v>1.2897678417884779</v>
      </c>
      <c r="K41" s="55">
        <v>1.982459157351677</v>
      </c>
      <c r="L41" s="55">
        <v>2.3884780739466889</v>
      </c>
      <c r="M41" s="55">
        <v>3.2005159071367149</v>
      </c>
      <c r="N41" s="55">
        <v>3.9171109200343932</v>
      </c>
      <c r="O41" s="55">
        <v>4.275322441960447</v>
      </c>
      <c r="P41" s="55">
        <v>4.7769561478933786</v>
      </c>
      <c r="Q41" s="55">
        <v>5.4934651762682716</v>
      </c>
      <c r="R41" s="55">
        <v>5.8755803955288046</v>
      </c>
      <c r="S41" s="55">
        <v>5.9107480653482369</v>
      </c>
      <c r="T41" s="55">
        <v>6.0751504729148742</v>
      </c>
      <c r="U41" s="55">
        <v>5.8527944969905414</v>
      </c>
      <c r="V41" s="55">
        <v>5.6086844368013757</v>
      </c>
      <c r="W41" s="55">
        <v>5.4502149613069646</v>
      </c>
      <c r="X41" s="55">
        <v>5.5125537403267408</v>
      </c>
      <c r="Y41" s="55">
        <v>5.2678417884780737</v>
      </c>
      <c r="DA41" s="101" t="s">
        <v>207</v>
      </c>
    </row>
    <row r="42" spans="1:105" ht="12" customHeight="1" x14ac:dyDescent="0.25">
      <c r="A42" s="61" t="s">
        <v>25</v>
      </c>
      <c r="B42" s="55">
        <v>0.57325881341358553</v>
      </c>
      <c r="C42" s="55">
        <v>0.47773000859845233</v>
      </c>
      <c r="D42" s="55">
        <v>1.218142734307825</v>
      </c>
      <c r="E42" s="55">
        <v>1.671883061049011</v>
      </c>
      <c r="F42" s="55">
        <v>1.671883061049011</v>
      </c>
      <c r="G42" s="55">
        <v>2.1496130696474629</v>
      </c>
      <c r="H42" s="55">
        <v>2.3884780739466889</v>
      </c>
      <c r="I42" s="55">
        <v>1.958555460017197</v>
      </c>
      <c r="J42" s="55">
        <v>3.0810834049871021</v>
      </c>
      <c r="K42" s="55">
        <v>3.3438521066208078</v>
      </c>
      <c r="L42" s="55">
        <v>2.937833190025795</v>
      </c>
      <c r="M42" s="55">
        <v>2.412381771281169</v>
      </c>
      <c r="N42" s="55">
        <v>3.6065348237317281</v>
      </c>
      <c r="O42" s="55">
        <v>5.1829750644883914</v>
      </c>
      <c r="P42" s="55">
        <v>5.7084264832330174</v>
      </c>
      <c r="Q42" s="55">
        <v>5.6128976784178848</v>
      </c>
      <c r="R42" s="55">
        <v>5.3740326741186584</v>
      </c>
      <c r="S42" s="55">
        <v>5.5841788478073946</v>
      </c>
      <c r="T42" s="55">
        <v>5.9177987962166796</v>
      </c>
      <c r="U42" s="55">
        <v>6.2720550300945828</v>
      </c>
      <c r="V42" s="55">
        <v>6.4098882201203784</v>
      </c>
      <c r="W42" s="55">
        <v>7.1010318142734299</v>
      </c>
      <c r="X42" s="55">
        <v>7.8673258813413582</v>
      </c>
      <c r="Y42" s="55">
        <v>8.1941530524505577</v>
      </c>
      <c r="DA42" s="101" t="s">
        <v>208</v>
      </c>
    </row>
    <row r="43" spans="1:105" ht="12" customHeight="1" x14ac:dyDescent="0.25">
      <c r="A43" s="61" t="s">
        <v>151</v>
      </c>
      <c r="B43" s="309">
        <v>0.38378553904619417</v>
      </c>
      <c r="C43" s="309">
        <v>0.54119987930605484</v>
      </c>
      <c r="D43" s="55">
        <v>0.60623161506224588</v>
      </c>
      <c r="E43" s="55">
        <v>0.96109431777932763</v>
      </c>
      <c r="F43" s="55">
        <v>1.2305361143707287</v>
      </c>
      <c r="G43" s="55">
        <v>2.1180185539769369</v>
      </c>
      <c r="H43" s="55">
        <v>3.0553015206658753</v>
      </c>
      <c r="I43" s="55">
        <v>4.0857005551699341</v>
      </c>
      <c r="J43" s="55">
        <v>4.906635878519241</v>
      </c>
      <c r="K43" s="55">
        <v>5.7159931212381725</v>
      </c>
      <c r="L43" s="55">
        <v>5.9262252794496924</v>
      </c>
      <c r="M43" s="55">
        <v>6.3435941530524484</v>
      </c>
      <c r="N43" s="55">
        <v>7.3564918314703416</v>
      </c>
      <c r="O43" s="55">
        <v>8.107996560619096</v>
      </c>
      <c r="P43" s="55">
        <v>12.089767841788483</v>
      </c>
      <c r="Q43" s="55">
        <v>13.847033533963879</v>
      </c>
      <c r="R43" s="55">
        <v>14.966981943250207</v>
      </c>
      <c r="S43" s="55">
        <v>15.977300085984535</v>
      </c>
      <c r="T43" s="55">
        <v>16.844368013757528</v>
      </c>
      <c r="U43" s="55">
        <v>18.45631986242471</v>
      </c>
      <c r="V43" s="55">
        <v>20.127343078245872</v>
      </c>
      <c r="W43" s="55">
        <v>24.194754944110038</v>
      </c>
      <c r="X43" s="55">
        <v>26.44574376612211</v>
      </c>
      <c r="Y43" s="55">
        <v>29.917282889079964</v>
      </c>
      <c r="DA43" s="101" t="s">
        <v>209</v>
      </c>
    </row>
    <row r="44" spans="1:105" ht="12" customHeight="1" x14ac:dyDescent="0.25">
      <c r="A44" s="60" t="s">
        <v>162</v>
      </c>
      <c r="B44" s="55">
        <v>515.71607910576097</v>
      </c>
      <c r="C44" s="55">
        <v>602.75150472914868</v>
      </c>
      <c r="D44" s="55">
        <v>755.63680137575238</v>
      </c>
      <c r="E44" s="55">
        <v>696.21186586414444</v>
      </c>
      <c r="F44" s="55">
        <v>1034.3460017196901</v>
      </c>
      <c r="G44" s="55">
        <v>940.07360275150472</v>
      </c>
      <c r="H44" s="55">
        <v>1184.5084264832331</v>
      </c>
      <c r="I44" s="55">
        <v>848.23731728288897</v>
      </c>
      <c r="J44" s="55">
        <v>1183.648581255374</v>
      </c>
      <c r="K44" s="55">
        <v>1107.7195184866721</v>
      </c>
      <c r="L44" s="55">
        <v>1193.2502149613069</v>
      </c>
      <c r="M44" s="55">
        <v>1018.749441100602</v>
      </c>
      <c r="N44" s="55">
        <v>1031.3843508168529</v>
      </c>
      <c r="O44" s="55">
        <v>1099.8614789337919</v>
      </c>
      <c r="P44" s="55">
        <v>965.82115219260527</v>
      </c>
      <c r="Q44" s="55">
        <v>898.8726569217539</v>
      </c>
      <c r="R44" s="55">
        <v>1069.695270851247</v>
      </c>
      <c r="S44" s="55">
        <v>1156.7361134995699</v>
      </c>
      <c r="T44" s="55">
        <v>998.59750644883911</v>
      </c>
      <c r="U44" s="55">
        <v>1061.226655202064</v>
      </c>
      <c r="V44" s="55">
        <v>1091.60619088564</v>
      </c>
      <c r="W44" s="55">
        <v>974.82734307824592</v>
      </c>
      <c r="X44" s="55">
        <v>1117.8614789337919</v>
      </c>
      <c r="Y44" s="55">
        <v>962.34144453998283</v>
      </c>
      <c r="DA44" s="101" t="s">
        <v>210</v>
      </c>
    </row>
    <row r="45" spans="1:105" ht="12" customHeight="1" x14ac:dyDescent="0.25">
      <c r="A45" s="62" t="s">
        <v>24</v>
      </c>
      <c r="B45" s="63">
        <v>2385.2807330610221</v>
      </c>
      <c r="C45" s="63">
        <v>2503.1298837811787</v>
      </c>
      <c r="D45" s="63">
        <v>2460.9506514330324</v>
      </c>
      <c r="E45" s="63">
        <v>2569.7209301315634</v>
      </c>
      <c r="F45" s="63">
        <v>2666.5386968846947</v>
      </c>
      <c r="G45" s="63">
        <v>2862.7931690730938</v>
      </c>
      <c r="H45" s="63">
        <v>3151.5713748478802</v>
      </c>
      <c r="I45" s="63">
        <v>3192.9783518474801</v>
      </c>
      <c r="J45" s="63">
        <v>3528.6798483701236</v>
      </c>
      <c r="K45" s="63">
        <v>3482.8678247122057</v>
      </c>
      <c r="L45" s="63">
        <v>3750.9036899946518</v>
      </c>
      <c r="M45" s="63">
        <v>3795.6586714722139</v>
      </c>
      <c r="N45" s="63">
        <v>3812.1286437824801</v>
      </c>
      <c r="O45" s="63">
        <v>3704.4180444995914</v>
      </c>
      <c r="P45" s="63">
        <v>3879.9292463693882</v>
      </c>
      <c r="Q45" s="63">
        <v>3903.199689075178</v>
      </c>
      <c r="R45" s="63">
        <v>4105.7769382875986</v>
      </c>
      <c r="S45" s="63">
        <v>4037.8221591537636</v>
      </c>
      <c r="T45" s="63">
        <v>4246.6801351702188</v>
      </c>
      <c r="U45" s="63">
        <v>4218.422383316024</v>
      </c>
      <c r="V45" s="63">
        <v>4124.0012656692288</v>
      </c>
      <c r="W45" s="63">
        <v>4425.9459818093364</v>
      </c>
      <c r="X45" s="63">
        <v>4373.5907074868583</v>
      </c>
      <c r="Y45" s="63">
        <v>4695.7843524023438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4964.7274226568943</v>
      </c>
      <c r="C47" s="82">
        <f t="shared" ref="C47:W47" si="34">SUM(C48,C53)</f>
        <v>5383.6506920356933</v>
      </c>
      <c r="D47" s="82">
        <f t="shared" si="34"/>
        <v>6090.8399893522073</v>
      </c>
      <c r="E47" s="82">
        <f t="shared" si="34"/>
        <v>6314.150078884787</v>
      </c>
      <c r="F47" s="82">
        <f t="shared" si="34"/>
        <v>6729.2043890601035</v>
      </c>
      <c r="G47" s="82">
        <f t="shared" si="34"/>
        <v>6724.8339257368943</v>
      </c>
      <c r="H47" s="82">
        <f t="shared" si="34"/>
        <v>7456.940850342291</v>
      </c>
      <c r="I47" s="82">
        <f t="shared" si="34"/>
        <v>7106.9090483221153</v>
      </c>
      <c r="J47" s="82">
        <f t="shared" si="34"/>
        <v>7975.1747752832798</v>
      </c>
      <c r="K47" s="82">
        <f t="shared" si="34"/>
        <v>8030.8419433708459</v>
      </c>
      <c r="L47" s="82">
        <f t="shared" si="34"/>
        <v>8826.8645670367823</v>
      </c>
      <c r="M47" s="82">
        <f t="shared" si="34"/>
        <v>8419.0782759434078</v>
      </c>
      <c r="N47" s="82">
        <f t="shared" si="34"/>
        <v>8352.9160040576317</v>
      </c>
      <c r="O47" s="82">
        <f t="shared" si="34"/>
        <v>8066.5151210258155</v>
      </c>
      <c r="P47" s="82">
        <f t="shared" si="34"/>
        <v>7772.0677674355957</v>
      </c>
      <c r="Q47" s="82">
        <f t="shared" si="34"/>
        <v>7824.3399298318409</v>
      </c>
      <c r="R47" s="82">
        <f t="shared" si="34"/>
        <v>8483.5967147278388</v>
      </c>
      <c r="S47" s="82">
        <f t="shared" si="34"/>
        <v>8023.4988573480896</v>
      </c>
      <c r="T47" s="82">
        <f t="shared" si="34"/>
        <v>7907.2209778185388</v>
      </c>
      <c r="U47" s="82">
        <f t="shared" si="34"/>
        <v>7787.1461150443101</v>
      </c>
      <c r="V47" s="82">
        <f t="shared" si="34"/>
        <v>7538.7939569847922</v>
      </c>
      <c r="W47" s="82">
        <f t="shared" si="34"/>
        <v>8361.8963687396899</v>
      </c>
      <c r="X47" s="82">
        <f t="shared" ref="X47:Y47" si="35">SUM(X48,X53)</f>
        <v>7956.0369671601184</v>
      </c>
      <c r="Y47" s="82">
        <f t="shared" si="35"/>
        <v>7862.4931228236655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3791.3072977392826</v>
      </c>
      <c r="C48" s="64">
        <f t="shared" ref="C48:W48" si="37">SUM(C49:C52)</f>
        <v>4164.3321036325042</v>
      </c>
      <c r="D48" s="64">
        <f t="shared" si="37"/>
        <v>4825.8488657213211</v>
      </c>
      <c r="E48" s="64">
        <f t="shared" si="37"/>
        <v>4989.9384828560651</v>
      </c>
      <c r="F48" s="64">
        <f t="shared" si="37"/>
        <v>5326.2375334729923</v>
      </c>
      <c r="G48" s="64">
        <f t="shared" si="37"/>
        <v>5247.6063064377286</v>
      </c>
      <c r="H48" s="64">
        <f t="shared" si="37"/>
        <v>5893.9809309868388</v>
      </c>
      <c r="I48" s="64">
        <f t="shared" si="37"/>
        <v>5455.5436580602673</v>
      </c>
      <c r="J48" s="64">
        <f t="shared" si="37"/>
        <v>6241.0464190187777</v>
      </c>
      <c r="K48" s="64">
        <f t="shared" si="37"/>
        <v>6228.876570660279</v>
      </c>
      <c r="L48" s="64">
        <f t="shared" si="37"/>
        <v>6987.4406399322424</v>
      </c>
      <c r="M48" s="64">
        <f t="shared" si="37"/>
        <v>6535.3466122195068</v>
      </c>
      <c r="N48" s="64">
        <f t="shared" si="37"/>
        <v>6429.6832800495058</v>
      </c>
      <c r="O48" s="64">
        <f t="shared" si="37"/>
        <v>6108.5105814373173</v>
      </c>
      <c r="P48" s="64">
        <f t="shared" si="37"/>
        <v>5755.3393661795089</v>
      </c>
      <c r="Q48" s="64">
        <f t="shared" si="37"/>
        <v>5749.8510842228961</v>
      </c>
      <c r="R48" s="64">
        <f t="shared" si="37"/>
        <v>6360.591239895266</v>
      </c>
      <c r="S48" s="64">
        <f t="shared" si="37"/>
        <v>5895.0572563394262</v>
      </c>
      <c r="T48" s="64">
        <f t="shared" si="37"/>
        <v>5792.7416802852313</v>
      </c>
      <c r="U48" s="64">
        <f t="shared" si="37"/>
        <v>5702.6052469024926</v>
      </c>
      <c r="V48" s="64">
        <f t="shared" si="37"/>
        <v>5495.4577546539358</v>
      </c>
      <c r="W48" s="64">
        <f t="shared" si="37"/>
        <v>6257.7723954004914</v>
      </c>
      <c r="X48" s="64">
        <f t="shared" ref="X48:Y48" si="38">SUM(X49:X52)</f>
        <v>5888.628047756707</v>
      </c>
      <c r="Y48" s="64">
        <f t="shared" si="38"/>
        <v>5832.723085198224</v>
      </c>
      <c r="DA48" s="108" t="s">
        <v>213</v>
      </c>
    </row>
    <row r="49" spans="1:105" ht="12" customHeight="1" x14ac:dyDescent="0.25">
      <c r="A49" s="61" t="s">
        <v>32</v>
      </c>
      <c r="B49" s="65">
        <v>3019.4390978724905</v>
      </c>
      <c r="C49" s="65">
        <v>3293.1013745805567</v>
      </c>
      <c r="D49" s="65">
        <v>3807.4152733217666</v>
      </c>
      <c r="E49" s="65">
        <v>3859.4819436607345</v>
      </c>
      <c r="F49" s="65">
        <v>4127.8734716976478</v>
      </c>
      <c r="G49" s="65">
        <v>4009.6170732852297</v>
      </c>
      <c r="H49" s="65">
        <v>4562.9520609548717</v>
      </c>
      <c r="I49" s="65">
        <v>4009.4991635814854</v>
      </c>
      <c r="J49" s="65">
        <v>4713.1332033961771</v>
      </c>
      <c r="K49" s="65">
        <v>4676.7240625451232</v>
      </c>
      <c r="L49" s="65">
        <v>5416.3181696275415</v>
      </c>
      <c r="M49" s="65">
        <v>4924.2365516130649</v>
      </c>
      <c r="N49" s="65">
        <v>4782.0548236585255</v>
      </c>
      <c r="O49" s="65">
        <v>4440.8917926787981</v>
      </c>
      <c r="P49" s="65">
        <v>4056.4578345260761</v>
      </c>
      <c r="Q49" s="65">
        <v>4015.5325780233125</v>
      </c>
      <c r="R49" s="65">
        <v>4614.9788284812839</v>
      </c>
      <c r="S49" s="65">
        <v>4178.5508508877047</v>
      </c>
      <c r="T49" s="65">
        <v>4078.9520213136611</v>
      </c>
      <c r="U49" s="65">
        <v>3992.615586504879</v>
      </c>
      <c r="V49" s="65">
        <v>3910.8020197896044</v>
      </c>
      <c r="W49" s="65">
        <v>4578.1875468949183</v>
      </c>
      <c r="X49" s="65">
        <v>4191.5803255916926</v>
      </c>
      <c r="Y49" s="65">
        <v>4153.3575317979021</v>
      </c>
      <c r="DA49" s="109" t="s">
        <v>214</v>
      </c>
    </row>
    <row r="50" spans="1:105" ht="12" customHeight="1" x14ac:dyDescent="0.25">
      <c r="A50" s="61" t="s">
        <v>31</v>
      </c>
      <c r="B50" s="65">
        <v>20.266030201405446</v>
      </c>
      <c r="C50" s="65">
        <v>20.068774565526027</v>
      </c>
      <c r="D50" s="65">
        <v>20.812917186969074</v>
      </c>
      <c r="E50" s="65">
        <v>21.026529331938846</v>
      </c>
      <c r="F50" s="65">
        <v>22.233885205889216</v>
      </c>
      <c r="G50" s="65">
        <v>23.872853930668136</v>
      </c>
      <c r="H50" s="65">
        <v>27.461879210423668</v>
      </c>
      <c r="I50" s="65">
        <v>29.427466272127614</v>
      </c>
      <c r="J50" s="65">
        <v>31.137077652795679</v>
      </c>
      <c r="K50" s="65">
        <v>34.262683765234371</v>
      </c>
      <c r="L50" s="65">
        <v>40.963742501265379</v>
      </c>
      <c r="M50" s="65">
        <v>38.021481333216393</v>
      </c>
      <c r="N50" s="65">
        <v>41.058544789758244</v>
      </c>
      <c r="O50" s="65">
        <v>40.971958921393188</v>
      </c>
      <c r="P50" s="65">
        <v>40.553358876294702</v>
      </c>
      <c r="Q50" s="65">
        <v>46.743029498731246</v>
      </c>
      <c r="R50" s="65">
        <v>39.894488921587943</v>
      </c>
      <c r="S50" s="65">
        <v>39.71284705690352</v>
      </c>
      <c r="T50" s="65">
        <v>40.942633782708796</v>
      </c>
      <c r="U50" s="65">
        <v>44.675190004214137</v>
      </c>
      <c r="V50" s="65">
        <v>38.667811911759763</v>
      </c>
      <c r="W50" s="65">
        <v>40.917167859396017</v>
      </c>
      <c r="X50" s="65">
        <v>42.973518307718052</v>
      </c>
      <c r="Y50" s="65">
        <v>40.925095758909151</v>
      </c>
      <c r="DA50" s="109" t="s">
        <v>215</v>
      </c>
    </row>
    <row r="51" spans="1:105" ht="12" customHeight="1" x14ac:dyDescent="0.25">
      <c r="A51" s="61" t="s">
        <v>35</v>
      </c>
      <c r="B51" s="65">
        <v>349.93351418844327</v>
      </c>
      <c r="C51" s="65">
        <v>384.20455576383597</v>
      </c>
      <c r="D51" s="65">
        <v>463.49859413666553</v>
      </c>
      <c r="E51" s="65">
        <v>507.00217486343757</v>
      </c>
      <c r="F51" s="65">
        <v>550.25787972381465</v>
      </c>
      <c r="G51" s="65">
        <v>563.37874306841172</v>
      </c>
      <c r="H51" s="65">
        <v>614.54311971554091</v>
      </c>
      <c r="I51" s="65">
        <v>674.33594037531475</v>
      </c>
      <c r="J51" s="65">
        <v>716.0042697290487</v>
      </c>
      <c r="K51" s="65">
        <v>735.399102739932</v>
      </c>
      <c r="L51" s="65">
        <v>738.77937381975278</v>
      </c>
      <c r="M51" s="65">
        <v>755.41960019017813</v>
      </c>
      <c r="N51" s="65">
        <v>778.03530560610761</v>
      </c>
      <c r="O51" s="65">
        <v>793.21555226792987</v>
      </c>
      <c r="P51" s="65">
        <v>807.37877591319568</v>
      </c>
      <c r="Q51" s="65">
        <v>826.48853042490578</v>
      </c>
      <c r="R51" s="65">
        <v>843.5308729215642</v>
      </c>
      <c r="S51" s="65">
        <v>827.7391685059107</v>
      </c>
      <c r="T51" s="65">
        <v>814.21156505709882</v>
      </c>
      <c r="U51" s="65">
        <v>804.08879654125099</v>
      </c>
      <c r="V51" s="65">
        <v>742.49043455860351</v>
      </c>
      <c r="W51" s="65">
        <v>806.62705852193665</v>
      </c>
      <c r="X51" s="65">
        <v>800.03772715498928</v>
      </c>
      <c r="Y51" s="65">
        <v>779.2560339212107</v>
      </c>
      <c r="DA51" s="109" t="s">
        <v>216</v>
      </c>
    </row>
    <row r="52" spans="1:105" ht="12" customHeight="1" x14ac:dyDescent="0.25">
      <c r="A52" s="66" t="s">
        <v>34</v>
      </c>
      <c r="B52" s="67">
        <v>401.66865547694346</v>
      </c>
      <c r="C52" s="67">
        <v>466.95739872258548</v>
      </c>
      <c r="D52" s="67">
        <v>534.1220810759196</v>
      </c>
      <c r="E52" s="67">
        <v>602.42783499995426</v>
      </c>
      <c r="F52" s="67">
        <v>625.87229684564022</v>
      </c>
      <c r="G52" s="67">
        <v>650.73763615341909</v>
      </c>
      <c r="H52" s="67">
        <v>689.02387110600171</v>
      </c>
      <c r="I52" s="67">
        <v>742.28108783133916</v>
      </c>
      <c r="J52" s="67">
        <v>780.77186824075534</v>
      </c>
      <c r="K52" s="67">
        <v>782.49072160998935</v>
      </c>
      <c r="L52" s="67">
        <v>791.37935398368336</v>
      </c>
      <c r="M52" s="67">
        <v>817.66897908304713</v>
      </c>
      <c r="N52" s="67">
        <v>828.53460599511459</v>
      </c>
      <c r="O52" s="67">
        <v>833.43127756919716</v>
      </c>
      <c r="P52" s="67">
        <v>850.94939686394275</v>
      </c>
      <c r="Q52" s="67">
        <v>861.08694627594684</v>
      </c>
      <c r="R52" s="67">
        <v>862.1870495708298</v>
      </c>
      <c r="S52" s="67">
        <v>849.05438988890705</v>
      </c>
      <c r="T52" s="67">
        <v>858.63546013176301</v>
      </c>
      <c r="U52" s="67">
        <v>861.22567385214847</v>
      </c>
      <c r="V52" s="67">
        <v>803.49748839396875</v>
      </c>
      <c r="W52" s="67">
        <v>832.04062212424083</v>
      </c>
      <c r="X52" s="67">
        <v>854.03647670230612</v>
      </c>
      <c r="Y52" s="67">
        <v>859.18442372020263</v>
      </c>
      <c r="DA52" s="110" t="s">
        <v>217</v>
      </c>
    </row>
    <row r="53" spans="1:105" ht="12" customHeight="1" x14ac:dyDescent="0.25">
      <c r="A53" s="78" t="s">
        <v>33</v>
      </c>
      <c r="B53" s="68">
        <v>1173.4201249176117</v>
      </c>
      <c r="C53" s="68">
        <v>1219.3185884031886</v>
      </c>
      <c r="D53" s="68">
        <v>1264.9911236308867</v>
      </c>
      <c r="E53" s="68">
        <v>1324.2115960287222</v>
      </c>
      <c r="F53" s="68">
        <v>1402.9668555871117</v>
      </c>
      <c r="G53" s="68">
        <v>1477.227619299166</v>
      </c>
      <c r="H53" s="68">
        <v>1562.9599193554523</v>
      </c>
      <c r="I53" s="68">
        <v>1651.3653902618485</v>
      </c>
      <c r="J53" s="68">
        <v>1734.1283562645021</v>
      </c>
      <c r="K53" s="68">
        <v>1801.9653727105674</v>
      </c>
      <c r="L53" s="68">
        <v>1839.4239271045399</v>
      </c>
      <c r="M53" s="68">
        <v>1883.7316637239016</v>
      </c>
      <c r="N53" s="68">
        <v>1923.2327240081249</v>
      </c>
      <c r="O53" s="68">
        <v>1958.0045395884986</v>
      </c>
      <c r="P53" s="68">
        <v>2016.7284012560863</v>
      </c>
      <c r="Q53" s="68">
        <v>2074.4888456089448</v>
      </c>
      <c r="R53" s="68">
        <v>2123.0054748325738</v>
      </c>
      <c r="S53" s="68">
        <v>2128.4416010086638</v>
      </c>
      <c r="T53" s="68">
        <v>2114.4792975333075</v>
      </c>
      <c r="U53" s="68">
        <v>2084.5408681418176</v>
      </c>
      <c r="V53" s="68">
        <v>2043.3362023308562</v>
      </c>
      <c r="W53" s="68">
        <v>2104.1239733391981</v>
      </c>
      <c r="X53" s="68">
        <v>2067.4089194034113</v>
      </c>
      <c r="Y53" s="68">
        <v>2029.7700376254415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0.76364863062519328</v>
      </c>
      <c r="C56" s="70">
        <f t="shared" ref="C56:W56" si="43">IF(C48=0,0,C48/C$47)</f>
        <v>0.77351454279769882</v>
      </c>
      <c r="D56" s="70">
        <f t="shared" si="43"/>
        <v>0.79231253392926115</v>
      </c>
      <c r="E56" s="70">
        <f t="shared" si="43"/>
        <v>0.79027872643429375</v>
      </c>
      <c r="F56" s="70">
        <f t="shared" si="43"/>
        <v>0.79151073819841733</v>
      </c>
      <c r="G56" s="70">
        <f t="shared" si="43"/>
        <v>0.78033247577377252</v>
      </c>
      <c r="H56" s="70">
        <f t="shared" si="43"/>
        <v>0.79040199584207393</v>
      </c>
      <c r="I56" s="70">
        <f t="shared" si="43"/>
        <v>0.76763943663360623</v>
      </c>
      <c r="J56" s="70">
        <f t="shared" si="43"/>
        <v>0.78255920338712504</v>
      </c>
      <c r="K56" s="70">
        <f t="shared" si="43"/>
        <v>0.77561937024572858</v>
      </c>
      <c r="L56" s="70">
        <f t="shared" si="43"/>
        <v>0.79161072279575684</v>
      </c>
      <c r="M56" s="70">
        <f t="shared" si="43"/>
        <v>0.77625440671974066</v>
      </c>
      <c r="N56" s="70">
        <f t="shared" si="43"/>
        <v>0.76975313494426745</v>
      </c>
      <c r="O56" s="70">
        <f t="shared" si="43"/>
        <v>0.75726760438533713</v>
      </c>
      <c r="P56" s="70">
        <f t="shared" si="43"/>
        <v>0.7405158496293569</v>
      </c>
      <c r="Q56" s="70">
        <f t="shared" si="43"/>
        <v>0.73486723938213028</v>
      </c>
      <c r="R56" s="70">
        <f t="shared" si="43"/>
        <v>0.74975172132511247</v>
      </c>
      <c r="S56" s="70">
        <f t="shared" si="43"/>
        <v>0.73472401020417777</v>
      </c>
      <c r="T56" s="70">
        <f t="shared" si="43"/>
        <v>0.73258881932541431</v>
      </c>
      <c r="U56" s="70">
        <f t="shared" si="43"/>
        <v>0.73231003536525319</v>
      </c>
      <c r="V56" s="70">
        <f t="shared" si="43"/>
        <v>0.72895714964624037</v>
      </c>
      <c r="W56" s="70">
        <f t="shared" si="43"/>
        <v>0.7483676093851982</v>
      </c>
      <c r="X56" s="70">
        <f t="shared" ref="X56:Y56" si="44">IF(X48=0,0,X48/X$47)</f>
        <v>0.74014588821834415</v>
      </c>
      <c r="Y56" s="70">
        <f t="shared" si="44"/>
        <v>0.74184142282639121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0.60817822225104656</v>
      </c>
      <c r="C57" s="71">
        <f t="shared" ref="C57:W57" si="46">IF(C49=0,0,C49/C$47)</f>
        <v>0.61168555743265585</v>
      </c>
      <c r="D57" s="71">
        <f t="shared" si="46"/>
        <v>0.62510512178578925</v>
      </c>
      <c r="E57" s="71">
        <f t="shared" si="46"/>
        <v>0.61124330201894739</v>
      </c>
      <c r="F57" s="71">
        <f t="shared" si="46"/>
        <v>0.61342667469106338</v>
      </c>
      <c r="G57" s="71">
        <f t="shared" si="46"/>
        <v>0.59624031129450739</v>
      </c>
      <c r="H57" s="71">
        <f t="shared" si="46"/>
        <v>0.61190669907827167</v>
      </c>
      <c r="I57" s="71">
        <f t="shared" si="46"/>
        <v>0.56416919596404524</v>
      </c>
      <c r="J57" s="71">
        <f t="shared" si="46"/>
        <v>0.59097553799111135</v>
      </c>
      <c r="K57" s="71">
        <f t="shared" si="46"/>
        <v>0.58234542474162132</v>
      </c>
      <c r="L57" s="71">
        <f t="shared" si="46"/>
        <v>0.61361745481564844</v>
      </c>
      <c r="M57" s="71">
        <f t="shared" si="46"/>
        <v>0.58489022078385122</v>
      </c>
      <c r="N57" s="71">
        <f t="shared" si="46"/>
        <v>0.57250124643124944</v>
      </c>
      <c r="O57" s="71">
        <f t="shared" si="46"/>
        <v>0.55053411864354773</v>
      </c>
      <c r="P57" s="71">
        <f t="shared" si="46"/>
        <v>0.52192774894762783</v>
      </c>
      <c r="Q57" s="71">
        <f t="shared" si="46"/>
        <v>0.51321039398011092</v>
      </c>
      <c r="R57" s="71">
        <f t="shared" si="46"/>
        <v>0.54398847371769921</v>
      </c>
      <c r="S57" s="71">
        <f t="shared" si="46"/>
        <v>0.52078911272741069</v>
      </c>
      <c r="T57" s="71">
        <f t="shared" si="46"/>
        <v>0.51585152770562526</v>
      </c>
      <c r="U57" s="71">
        <f t="shared" si="46"/>
        <v>0.5127187197362818</v>
      </c>
      <c r="V57" s="71">
        <f t="shared" si="46"/>
        <v>0.51875698448638385</v>
      </c>
      <c r="W57" s="71">
        <f t="shared" si="46"/>
        <v>0.54750589399913185</v>
      </c>
      <c r="X57" s="71">
        <f t="shared" ref="X57:Y57" si="47">IF(X49=0,0,X49/X$47)</f>
        <v>0.52684274129106567</v>
      </c>
      <c r="Y57" s="71">
        <f t="shared" si="47"/>
        <v>0.52824943270745939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4.082002590700135E-3</v>
      </c>
      <c r="C58" s="72">
        <f t="shared" ref="C58:W58" si="49">IF(C50=0,0,C50/C$47)</f>
        <v>3.7277259825223767E-3</v>
      </c>
      <c r="D58" s="72">
        <f t="shared" si="49"/>
        <v>3.4170848722595709E-3</v>
      </c>
      <c r="E58" s="72">
        <f t="shared" si="49"/>
        <v>3.3300648653021214E-3</v>
      </c>
      <c r="F58" s="72">
        <f t="shared" si="49"/>
        <v>3.3040882577494005E-3</v>
      </c>
      <c r="G58" s="72">
        <f t="shared" si="49"/>
        <v>3.5499544218190035E-3</v>
      </c>
      <c r="H58" s="72">
        <f t="shared" si="49"/>
        <v>3.6827272418505376E-3</v>
      </c>
      <c r="I58" s="72">
        <f t="shared" si="49"/>
        <v>4.1406842372740376E-3</v>
      </c>
      <c r="J58" s="72">
        <f t="shared" si="49"/>
        <v>3.9042501926473058E-3</v>
      </c>
      <c r="K58" s="72">
        <f t="shared" si="49"/>
        <v>4.2663875104050472E-3</v>
      </c>
      <c r="L58" s="72">
        <f t="shared" si="49"/>
        <v>4.6408033328438269E-3</v>
      </c>
      <c r="M58" s="72">
        <f t="shared" si="49"/>
        <v>4.5161097316149916E-3</v>
      </c>
      <c r="N58" s="72">
        <f t="shared" si="49"/>
        <v>4.9154744007737011E-3</v>
      </c>
      <c r="O58" s="72">
        <f t="shared" si="49"/>
        <v>5.0792638836810117E-3</v>
      </c>
      <c r="P58" s="72">
        <f t="shared" si="49"/>
        <v>5.2178339265401613E-3</v>
      </c>
      <c r="Q58" s="72">
        <f t="shared" si="49"/>
        <v>5.9740540311284552E-3</v>
      </c>
      <c r="R58" s="72">
        <f t="shared" si="49"/>
        <v>4.7025442466318125E-3</v>
      </c>
      <c r="S58" s="72">
        <f t="shared" si="49"/>
        <v>4.9495672353132647E-3</v>
      </c>
      <c r="T58" s="72">
        <f t="shared" si="49"/>
        <v>5.1778790421516891E-3</v>
      </c>
      <c r="U58" s="72">
        <f t="shared" si="49"/>
        <v>5.737042729672721E-3</v>
      </c>
      <c r="V58" s="72">
        <f t="shared" si="49"/>
        <v>5.1291774430223718E-3</v>
      </c>
      <c r="W58" s="72">
        <f t="shared" si="49"/>
        <v>4.8932880838324809E-3</v>
      </c>
      <c r="X58" s="72">
        <f t="shared" ref="X58:Y58" si="50">IF(X50=0,0,X50/X$47)</f>
        <v>5.4013723773655752E-3</v>
      </c>
      <c r="Y58" s="72">
        <f t="shared" si="50"/>
        <v>5.2051041723788086E-3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7.0483932832142257E-2</v>
      </c>
      <c r="C59" s="72">
        <f t="shared" ref="C59:W59" si="52">IF(C51=0,0,C51/C$47)</f>
        <v>7.1365060205746483E-2</v>
      </c>
      <c r="D59" s="72">
        <f t="shared" si="52"/>
        <v>7.6097647442214464E-2</v>
      </c>
      <c r="E59" s="72">
        <f t="shared" si="52"/>
        <v>8.0296186902320973E-2</v>
      </c>
      <c r="F59" s="72">
        <f t="shared" si="52"/>
        <v>8.1771610417776516E-2</v>
      </c>
      <c r="G59" s="72">
        <f t="shared" si="52"/>
        <v>8.3775859640530498E-2</v>
      </c>
      <c r="H59" s="72">
        <f t="shared" si="52"/>
        <v>8.2412229364449363E-2</v>
      </c>
      <c r="I59" s="72">
        <f t="shared" si="52"/>
        <v>9.4884560332810244E-2</v>
      </c>
      <c r="J59" s="72">
        <f t="shared" si="52"/>
        <v>8.9779132107310602E-2</v>
      </c>
      <c r="K59" s="72">
        <f t="shared" si="52"/>
        <v>9.1571856092495504E-2</v>
      </c>
      <c r="L59" s="72">
        <f t="shared" si="52"/>
        <v>8.3696692999988359E-2</v>
      </c>
      <c r="M59" s="72">
        <f t="shared" si="52"/>
        <v>8.9727114469134547E-2</v>
      </c>
      <c r="N59" s="72">
        <f t="shared" si="52"/>
        <v>9.314535250063069E-2</v>
      </c>
      <c r="O59" s="72">
        <f t="shared" si="52"/>
        <v>9.8334353852553985E-2</v>
      </c>
      <c r="P59" s="72">
        <f t="shared" si="52"/>
        <v>0.10388210706242869</v>
      </c>
      <c r="Q59" s="72">
        <f t="shared" si="52"/>
        <v>0.10563044778688041</v>
      </c>
      <c r="R59" s="72">
        <f t="shared" si="52"/>
        <v>9.9430807626341225E-2</v>
      </c>
      <c r="S59" s="72">
        <f t="shared" si="52"/>
        <v>0.10316436547477659</v>
      </c>
      <c r="T59" s="72">
        <f t="shared" si="52"/>
        <v>0.10297063498555788</v>
      </c>
      <c r="U59" s="72">
        <f t="shared" si="52"/>
        <v>0.10325847038978742</v>
      </c>
      <c r="V59" s="72">
        <f t="shared" si="52"/>
        <v>9.8489286057576397E-2</v>
      </c>
      <c r="W59" s="72">
        <f t="shared" si="52"/>
        <v>9.6464608379679309E-2</v>
      </c>
      <c r="X59" s="72">
        <f t="shared" ref="X59:Y59" si="53">IF(X51=0,0,X51/X$47)</f>
        <v>0.10055731647015714</v>
      </c>
      <c r="Y59" s="72">
        <f t="shared" si="53"/>
        <v>9.9110552053666617E-2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8.0904472951304304E-2</v>
      </c>
      <c r="C60" s="73">
        <f t="shared" ref="C60:W60" si="55">IF(C52=0,0,C52/C$47)</f>
        <v>8.6736199176774081E-2</v>
      </c>
      <c r="D60" s="73">
        <f t="shared" si="55"/>
        <v>8.7692679828997824E-2</v>
      </c>
      <c r="E60" s="73">
        <f t="shared" si="55"/>
        <v>9.5409172647723292E-2</v>
      </c>
      <c r="F60" s="73">
        <f t="shared" si="55"/>
        <v>9.3008364831827978E-2</v>
      </c>
      <c r="G60" s="73">
        <f t="shared" si="55"/>
        <v>9.6766350416915684E-2</v>
      </c>
      <c r="H60" s="73">
        <f t="shared" si="55"/>
        <v>9.2400340157502245E-2</v>
      </c>
      <c r="I60" s="73">
        <f t="shared" si="55"/>
        <v>0.10444499609947673</v>
      </c>
      <c r="J60" s="73">
        <f t="shared" si="55"/>
        <v>9.7900283096055682E-2</v>
      </c>
      <c r="K60" s="73">
        <f t="shared" si="55"/>
        <v>9.743570190120672E-2</v>
      </c>
      <c r="L60" s="73">
        <f t="shared" si="55"/>
        <v>8.9655771647276214E-2</v>
      </c>
      <c r="M60" s="73">
        <f t="shared" si="55"/>
        <v>9.7120961735139885E-2</v>
      </c>
      <c r="N60" s="73">
        <f t="shared" si="55"/>
        <v>9.9191061611613687E-2</v>
      </c>
      <c r="O60" s="73">
        <f t="shared" si="55"/>
        <v>0.10331986800555455</v>
      </c>
      <c r="P60" s="73">
        <f t="shared" si="55"/>
        <v>0.1094881596927602</v>
      </c>
      <c r="Q60" s="73">
        <f t="shared" si="55"/>
        <v>0.11005234358401056</v>
      </c>
      <c r="R60" s="73">
        <f t="shared" si="55"/>
        <v>0.10162989573444021</v>
      </c>
      <c r="S60" s="73">
        <f t="shared" si="55"/>
        <v>0.10582096476667721</v>
      </c>
      <c r="T60" s="73">
        <f t="shared" si="55"/>
        <v>0.10858877759207954</v>
      </c>
      <c r="U60" s="73">
        <f t="shared" si="55"/>
        <v>0.11059580250951127</v>
      </c>
      <c r="V60" s="73">
        <f t="shared" si="55"/>
        <v>0.1065817016592578</v>
      </c>
      <c r="W60" s="73">
        <f t="shared" si="55"/>
        <v>9.9503818922554582E-2</v>
      </c>
      <c r="X60" s="73">
        <f t="shared" ref="X60:Y60" si="56">IF(X52=0,0,X52/X$47)</f>
        <v>0.10734445807975572</v>
      </c>
      <c r="Y60" s="73">
        <f t="shared" si="56"/>
        <v>0.10927633389288649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0.23635136937480669</v>
      </c>
      <c r="C61" s="70">
        <f t="shared" ref="C61:W61" si="58">IF(C53=0,0,C53/C$47)</f>
        <v>0.22648545720230109</v>
      </c>
      <c r="D61" s="70">
        <f t="shared" si="58"/>
        <v>0.20768746607073899</v>
      </c>
      <c r="E61" s="70">
        <f t="shared" si="58"/>
        <v>0.20972127356570625</v>
      </c>
      <c r="F61" s="70">
        <f t="shared" si="58"/>
        <v>0.20848926180158275</v>
      </c>
      <c r="G61" s="70">
        <f t="shared" si="58"/>
        <v>0.21966752422622754</v>
      </c>
      <c r="H61" s="70">
        <f t="shared" si="58"/>
        <v>0.20959800415792607</v>
      </c>
      <c r="I61" s="70">
        <f t="shared" si="58"/>
        <v>0.23236056336639382</v>
      </c>
      <c r="J61" s="70">
        <f t="shared" si="58"/>
        <v>0.21744079661287494</v>
      </c>
      <c r="K61" s="70">
        <f t="shared" si="58"/>
        <v>0.22438062975427142</v>
      </c>
      <c r="L61" s="70">
        <f t="shared" si="58"/>
        <v>0.20838927720424316</v>
      </c>
      <c r="M61" s="70">
        <f t="shared" si="58"/>
        <v>0.22374559328025945</v>
      </c>
      <c r="N61" s="70">
        <f t="shared" si="58"/>
        <v>0.23024686505573239</v>
      </c>
      <c r="O61" s="70">
        <f t="shared" si="58"/>
        <v>0.24273239561466289</v>
      </c>
      <c r="P61" s="70">
        <f t="shared" si="58"/>
        <v>0.2594841503706431</v>
      </c>
      <c r="Q61" s="70">
        <f t="shared" si="58"/>
        <v>0.26513276061786967</v>
      </c>
      <c r="R61" s="70">
        <f t="shared" si="58"/>
        <v>0.25024827867488769</v>
      </c>
      <c r="S61" s="70">
        <f t="shared" si="58"/>
        <v>0.26527598979582234</v>
      </c>
      <c r="T61" s="70">
        <f t="shared" si="58"/>
        <v>0.26741118067458569</v>
      </c>
      <c r="U61" s="70">
        <f t="shared" si="58"/>
        <v>0.26768996463474681</v>
      </c>
      <c r="V61" s="70">
        <f t="shared" si="58"/>
        <v>0.27104285035375958</v>
      </c>
      <c r="W61" s="70">
        <f t="shared" si="58"/>
        <v>0.25163239061480175</v>
      </c>
      <c r="X61" s="70">
        <f t="shared" ref="X61:Y61" si="59">IF(X53=0,0,X53/X$47)</f>
        <v>0.25985411178165579</v>
      </c>
      <c r="Y61" s="70">
        <f t="shared" si="59"/>
        <v>0.25815857717360879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5564.9049011410661</v>
      </c>
      <c r="C65" s="80">
        <v>6053.5794638810939</v>
      </c>
      <c r="D65" s="80">
        <v>8033.7274994673744</v>
      </c>
      <c r="E65" s="80">
        <v>8432.6680077526034</v>
      </c>
      <c r="F65" s="80">
        <v>8196.749757226542</v>
      </c>
      <c r="G65" s="80">
        <v>7810.9536642045359</v>
      </c>
      <c r="H65" s="80">
        <v>8711.4783252655725</v>
      </c>
      <c r="I65" s="80">
        <v>8362.6883262225783</v>
      </c>
      <c r="J65" s="80">
        <v>8934.4987620150387</v>
      </c>
      <c r="K65" s="80">
        <v>9324.8304902917916</v>
      </c>
      <c r="L65" s="80">
        <v>10591.515302949012</v>
      </c>
      <c r="M65" s="80">
        <v>9725.2575364293389</v>
      </c>
      <c r="N65" s="80">
        <v>9410.16536261279</v>
      </c>
      <c r="O65" s="80">
        <v>8678.8180638022877</v>
      </c>
      <c r="P65" s="80">
        <v>7762.5261673783198</v>
      </c>
      <c r="Q65" s="80">
        <v>7905.3568300663792</v>
      </c>
      <c r="R65" s="80">
        <v>8573.8662275163333</v>
      </c>
      <c r="S65" s="80">
        <v>7432.7519414491153</v>
      </c>
      <c r="T65" s="80">
        <v>6972.9088688224556</v>
      </c>
      <c r="U65" s="80">
        <v>6381.9704471452842</v>
      </c>
      <c r="V65" s="80">
        <v>5983.769514008799</v>
      </c>
      <c r="W65" s="80">
        <v>7692.4882320488741</v>
      </c>
      <c r="X65" s="80">
        <v>5966.3722032364449</v>
      </c>
      <c r="Y65" s="80">
        <v>5280.609682301767</v>
      </c>
      <c r="DA65" s="103" t="s">
        <v>219</v>
      </c>
    </row>
    <row r="66" spans="1:105" ht="12" customHeight="1" x14ac:dyDescent="0.25">
      <c r="A66" s="58" t="s">
        <v>29</v>
      </c>
      <c r="B66" s="59">
        <v>2192.6458618318711</v>
      </c>
      <c r="C66" s="59">
        <v>1688.9369161610946</v>
      </c>
      <c r="D66" s="59">
        <v>2934.7019911027046</v>
      </c>
      <c r="E66" s="59">
        <v>2929.7417836183076</v>
      </c>
      <c r="F66" s="59">
        <v>2760.1245711465417</v>
      </c>
      <c r="G66" s="59">
        <v>2690.0489965245365</v>
      </c>
      <c r="H66" s="59">
        <v>3080.8148513455731</v>
      </c>
      <c r="I66" s="59">
        <v>2670.4908018225779</v>
      </c>
      <c r="J66" s="59">
        <v>2943.5702607190619</v>
      </c>
      <c r="K66" s="59">
        <v>3196.0469384372172</v>
      </c>
      <c r="L66" s="59">
        <v>3649.9886458536703</v>
      </c>
      <c r="M66" s="59">
        <v>3215.6299868209544</v>
      </c>
      <c r="N66" s="59">
        <v>3247.5753437963781</v>
      </c>
      <c r="O66" s="59">
        <v>3023.9443495846049</v>
      </c>
      <c r="P66" s="59">
        <v>2668.7686214083797</v>
      </c>
      <c r="Q66" s="59">
        <v>2579.8024858003864</v>
      </c>
      <c r="R66" s="59">
        <v>2705.4062970919254</v>
      </c>
      <c r="S66" s="59">
        <v>2662.7679901565189</v>
      </c>
      <c r="T66" s="59">
        <v>2428.9180081867344</v>
      </c>
      <c r="U66" s="59">
        <v>1958.377896444387</v>
      </c>
      <c r="V66" s="59">
        <v>2021.0029793055962</v>
      </c>
      <c r="W66" s="59">
        <v>2520.8745773962164</v>
      </c>
      <c r="X66" s="59">
        <v>1181.1648221478149</v>
      </c>
      <c r="Y66" s="59">
        <v>1020.3959243633697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1204.9972477200001</v>
      </c>
      <c r="C67" s="55">
        <f t="shared" ref="C67:W67" si="60">SUM(C68:C69)</f>
        <v>1548.1133233199998</v>
      </c>
      <c r="D67" s="55">
        <f t="shared" si="60"/>
        <v>1662.3015145199997</v>
      </c>
      <c r="E67" s="55">
        <f t="shared" si="60"/>
        <v>1730.7055029600003</v>
      </c>
      <c r="F67" s="55">
        <f t="shared" si="60"/>
        <v>1533.6955072799999</v>
      </c>
      <c r="G67" s="55">
        <f t="shared" si="60"/>
        <v>1279.8434548800001</v>
      </c>
      <c r="H67" s="55">
        <f t="shared" si="60"/>
        <v>2067.2223739199999</v>
      </c>
      <c r="I67" s="55">
        <f t="shared" si="60"/>
        <v>2017.6533144</v>
      </c>
      <c r="J67" s="55">
        <f t="shared" si="60"/>
        <v>1987.8069891600003</v>
      </c>
      <c r="K67" s="55">
        <f t="shared" si="60"/>
        <v>1861.5295490400001</v>
      </c>
      <c r="L67" s="55">
        <f t="shared" si="60"/>
        <v>2256.3819280799999</v>
      </c>
      <c r="M67" s="55">
        <f t="shared" si="60"/>
        <v>2111.5328104800001</v>
      </c>
      <c r="N67" s="55">
        <f t="shared" si="60"/>
        <v>1619.0540675999998</v>
      </c>
      <c r="O67" s="55">
        <f t="shared" si="60"/>
        <v>1302.9465902399998</v>
      </c>
      <c r="P67" s="55">
        <f t="shared" si="60"/>
        <v>1279.5691824</v>
      </c>
      <c r="Q67" s="55">
        <f t="shared" si="60"/>
        <v>1268.82488988</v>
      </c>
      <c r="R67" s="55">
        <f t="shared" si="60"/>
        <v>1280.1512397600002</v>
      </c>
      <c r="S67" s="55">
        <f t="shared" si="60"/>
        <v>1325.4687093600003</v>
      </c>
      <c r="T67" s="55">
        <f t="shared" si="60"/>
        <v>1354.65047712</v>
      </c>
      <c r="U67" s="55">
        <f t="shared" si="60"/>
        <v>1229.23548972</v>
      </c>
      <c r="V67" s="55">
        <f t="shared" si="60"/>
        <v>1173.4223644800004</v>
      </c>
      <c r="W67" s="55">
        <f t="shared" si="60"/>
        <v>1284.8722477200001</v>
      </c>
      <c r="X67" s="55">
        <f t="shared" ref="X67:Y67" si="61">SUM(X68:X69)</f>
        <v>1115.9288974799999</v>
      </c>
      <c r="Y67" s="55">
        <f t="shared" si="61"/>
        <v>803.99990556000012</v>
      </c>
      <c r="DA67" s="101"/>
    </row>
    <row r="68" spans="1:105" ht="12" customHeight="1" x14ac:dyDescent="0.25">
      <c r="A68" s="61" t="s">
        <v>52</v>
      </c>
      <c r="B68" s="55">
        <v>149.23139904000001</v>
      </c>
      <c r="C68" s="55">
        <v>211.90870476000003</v>
      </c>
      <c r="D68" s="55">
        <v>217.87801524000002</v>
      </c>
      <c r="E68" s="55">
        <v>358.15567572000003</v>
      </c>
      <c r="F68" s="55">
        <v>325.32469523999993</v>
      </c>
      <c r="G68" s="55">
        <v>298.46302523999992</v>
      </c>
      <c r="H68" s="55">
        <v>340.24774428000012</v>
      </c>
      <c r="I68" s="55">
        <v>319.35538475999999</v>
      </c>
      <c r="J68" s="55">
        <v>289.50905952000011</v>
      </c>
      <c r="K68" s="55">
        <v>238.01325048000004</v>
      </c>
      <c r="L68" s="55">
        <v>214.79250096000004</v>
      </c>
      <c r="M68" s="55">
        <v>208.98720000000003</v>
      </c>
      <c r="N68" s="55">
        <v>255.42869904000003</v>
      </c>
      <c r="O68" s="55">
        <v>179.96114952000002</v>
      </c>
      <c r="P68" s="55">
        <v>188.66910096000001</v>
      </c>
      <c r="Q68" s="55">
        <v>188.66910096000001</v>
      </c>
      <c r="R68" s="55">
        <v>203.18189903999999</v>
      </c>
      <c r="S68" s="55">
        <v>207.43433424000003</v>
      </c>
      <c r="T68" s="55">
        <v>193.00831128000002</v>
      </c>
      <c r="U68" s="55">
        <v>217.97364960000002</v>
      </c>
      <c r="V68" s="55">
        <v>145.13002524000001</v>
      </c>
      <c r="W68" s="55">
        <v>136.42230096000006</v>
      </c>
      <c r="X68" s="55">
        <v>110.29890096000001</v>
      </c>
      <c r="Y68" s="55">
        <v>102.57795972000001</v>
      </c>
      <c r="DA68" s="101" t="s">
        <v>221</v>
      </c>
    </row>
    <row r="69" spans="1:105" ht="12" customHeight="1" x14ac:dyDescent="0.25">
      <c r="A69" s="61" t="s">
        <v>163</v>
      </c>
      <c r="B69" s="55">
        <v>1055.7658486800001</v>
      </c>
      <c r="C69" s="55">
        <v>1336.2046185599997</v>
      </c>
      <c r="D69" s="55">
        <v>1444.4234992799998</v>
      </c>
      <c r="E69" s="55">
        <v>1372.5498272400002</v>
      </c>
      <c r="F69" s="55">
        <v>1208.3708120399999</v>
      </c>
      <c r="G69" s="55">
        <v>981.3804296400001</v>
      </c>
      <c r="H69" s="55">
        <v>1726.9746296399999</v>
      </c>
      <c r="I69" s="55">
        <v>1698.2979296399999</v>
      </c>
      <c r="J69" s="55">
        <v>1698.2979296400001</v>
      </c>
      <c r="K69" s="55">
        <v>1623.51629856</v>
      </c>
      <c r="L69" s="55">
        <v>2041.5894271199998</v>
      </c>
      <c r="M69" s="55">
        <v>1902.5456104800001</v>
      </c>
      <c r="N69" s="55">
        <v>1363.6253685599997</v>
      </c>
      <c r="O69" s="55">
        <v>1122.9854407199998</v>
      </c>
      <c r="P69" s="55">
        <v>1090.9000814400001</v>
      </c>
      <c r="Q69" s="55">
        <v>1080.1557889200001</v>
      </c>
      <c r="R69" s="55">
        <v>1076.9693407200002</v>
      </c>
      <c r="S69" s="55">
        <v>1118.0343751200003</v>
      </c>
      <c r="T69" s="55">
        <v>1161.64216584</v>
      </c>
      <c r="U69" s="55">
        <v>1011.26184012</v>
      </c>
      <c r="V69" s="55">
        <v>1028.2923392400003</v>
      </c>
      <c r="W69" s="55">
        <v>1148.4499467600001</v>
      </c>
      <c r="X69" s="55">
        <v>1005.62999652</v>
      </c>
      <c r="Y69" s="55">
        <v>701.42194584000015</v>
      </c>
      <c r="DA69" s="101" t="s">
        <v>222</v>
      </c>
    </row>
    <row r="70" spans="1:105" ht="12" customHeight="1" x14ac:dyDescent="0.25">
      <c r="A70" s="60" t="s">
        <v>149</v>
      </c>
      <c r="B70" s="55">
        <v>2163.8372399999998</v>
      </c>
      <c r="C70" s="55">
        <v>2803.51611</v>
      </c>
      <c r="D70" s="55">
        <v>3422.2815900000001</v>
      </c>
      <c r="E70" s="55">
        <v>3762.0687599999997</v>
      </c>
      <c r="F70" s="55">
        <v>3902.6434500000009</v>
      </c>
      <c r="G70" s="55">
        <v>3837.9152699999995</v>
      </c>
      <c r="H70" s="55">
        <v>3563.4411000000005</v>
      </c>
      <c r="I70" s="55">
        <v>3674.5442100000014</v>
      </c>
      <c r="J70" s="55">
        <v>3997.9809899999996</v>
      </c>
      <c r="K70" s="55">
        <v>4250.1785400000008</v>
      </c>
      <c r="L70" s="55">
        <v>4681.502116560001</v>
      </c>
      <c r="M70" s="55">
        <v>4392.0475635600005</v>
      </c>
      <c r="N70" s="55">
        <v>4538.5975263599994</v>
      </c>
      <c r="O70" s="55">
        <v>4292.0933972400007</v>
      </c>
      <c r="P70" s="55">
        <v>3782.8040212800011</v>
      </c>
      <c r="Q70" s="55">
        <v>4029.4200869999991</v>
      </c>
      <c r="R70" s="55">
        <v>4542.3819262799998</v>
      </c>
      <c r="S70" s="55">
        <v>3411.371795040001</v>
      </c>
      <c r="T70" s="55">
        <v>3159.7968877200005</v>
      </c>
      <c r="U70" s="55">
        <v>3167.5323596399994</v>
      </c>
      <c r="V70" s="55">
        <v>2713.1003211599991</v>
      </c>
      <c r="W70" s="55">
        <v>3792.9384550800014</v>
      </c>
      <c r="X70" s="55">
        <v>3639.2280155999993</v>
      </c>
      <c r="Y70" s="55">
        <v>3319.3626562799996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3.4245515891947087</v>
      </c>
      <c r="C71" s="55">
        <f t="shared" ref="C71:W71" si="62">SUM(C72:C76)</f>
        <v>13.013114400000001</v>
      </c>
      <c r="D71" s="55">
        <f t="shared" si="62"/>
        <v>14.442403844669446</v>
      </c>
      <c r="E71" s="55">
        <f t="shared" si="62"/>
        <v>10.151961174295083</v>
      </c>
      <c r="F71" s="55">
        <f t="shared" si="62"/>
        <v>0.28622880000000006</v>
      </c>
      <c r="G71" s="55">
        <f t="shared" si="62"/>
        <v>3.1459427999999998</v>
      </c>
      <c r="H71" s="55">
        <f t="shared" si="62"/>
        <v>0</v>
      </c>
      <c r="I71" s="55">
        <f t="shared" si="62"/>
        <v>0</v>
      </c>
      <c r="J71" s="55">
        <f t="shared" si="62"/>
        <v>5.1405221359785527</v>
      </c>
      <c r="K71" s="55">
        <f t="shared" si="62"/>
        <v>17.07546281457325</v>
      </c>
      <c r="L71" s="55">
        <f t="shared" si="62"/>
        <v>3.6426124553424661</v>
      </c>
      <c r="M71" s="55">
        <f t="shared" si="62"/>
        <v>6.0471755683851018</v>
      </c>
      <c r="N71" s="55">
        <f t="shared" si="62"/>
        <v>4.9384248564127091</v>
      </c>
      <c r="O71" s="55">
        <f t="shared" si="62"/>
        <v>59.833726737683641</v>
      </c>
      <c r="P71" s="55">
        <f t="shared" si="62"/>
        <v>31.38434228993874</v>
      </c>
      <c r="Q71" s="55">
        <f t="shared" si="62"/>
        <v>27.309367385992612</v>
      </c>
      <c r="R71" s="55">
        <f t="shared" si="62"/>
        <v>45.926764384406354</v>
      </c>
      <c r="S71" s="55">
        <f t="shared" si="62"/>
        <v>33.143446892595193</v>
      </c>
      <c r="T71" s="55">
        <f t="shared" si="62"/>
        <v>29.543495795721284</v>
      </c>
      <c r="U71" s="55">
        <f t="shared" si="62"/>
        <v>26.824701340897846</v>
      </c>
      <c r="V71" s="55">
        <f t="shared" si="62"/>
        <v>76.24384906320401</v>
      </c>
      <c r="W71" s="55">
        <f t="shared" si="62"/>
        <v>93.802951852656477</v>
      </c>
      <c r="X71" s="55">
        <f t="shared" ref="X71:Y71" si="63">SUM(X72:X76)</f>
        <v>30.050468008631803</v>
      </c>
      <c r="Y71" s="55">
        <f t="shared" si="63"/>
        <v>136.85119609839805</v>
      </c>
      <c r="DA71" s="101"/>
    </row>
    <row r="72" spans="1:105" ht="12" customHeight="1" x14ac:dyDescent="0.25">
      <c r="A72" s="61" t="s">
        <v>164</v>
      </c>
      <c r="B72" s="55">
        <v>3.4245515891947087</v>
      </c>
      <c r="C72" s="55">
        <v>13.013114400000001</v>
      </c>
      <c r="D72" s="55">
        <v>14.442403844669446</v>
      </c>
      <c r="E72" s="55">
        <v>10.151961174295083</v>
      </c>
      <c r="F72" s="55">
        <v>0.28622880000000006</v>
      </c>
      <c r="G72" s="55">
        <v>3.1459427999999998</v>
      </c>
      <c r="H72" s="55">
        <v>0</v>
      </c>
      <c r="I72" s="55">
        <v>0</v>
      </c>
      <c r="J72" s="55">
        <v>5.1405221359785527</v>
      </c>
      <c r="K72" s="55">
        <v>17.07546281457325</v>
      </c>
      <c r="L72" s="55">
        <v>3.6426124553424661</v>
      </c>
      <c r="M72" s="55">
        <v>6.0471755683851018</v>
      </c>
      <c r="N72" s="55">
        <v>4.9384248564127091</v>
      </c>
      <c r="O72" s="55">
        <v>59.833726737683641</v>
      </c>
      <c r="P72" s="55">
        <v>31.38434228993874</v>
      </c>
      <c r="Q72" s="55">
        <v>27.309367385992612</v>
      </c>
      <c r="R72" s="55">
        <v>45.926764384406354</v>
      </c>
      <c r="S72" s="55">
        <v>33.143446892595193</v>
      </c>
      <c r="T72" s="55">
        <v>29.543495795721284</v>
      </c>
      <c r="U72" s="55">
        <v>26.824701340897846</v>
      </c>
      <c r="V72" s="55">
        <v>76.24384906320401</v>
      </c>
      <c r="W72" s="55">
        <v>93.802951852656477</v>
      </c>
      <c r="X72" s="55">
        <v>30.050468008631803</v>
      </c>
      <c r="Y72" s="55">
        <v>136.85119609839805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5564.9049011410661</v>
      </c>
      <c r="C81" s="82">
        <f t="shared" ref="C81:W81" si="65">C82+C87</f>
        <v>6053.579463881093</v>
      </c>
      <c r="D81" s="82">
        <f t="shared" si="65"/>
        <v>8033.7274994673744</v>
      </c>
      <c r="E81" s="82">
        <f t="shared" si="65"/>
        <v>8432.6680077526016</v>
      </c>
      <c r="F81" s="82">
        <f t="shared" si="65"/>
        <v>8196.7497572265456</v>
      </c>
      <c r="G81" s="82">
        <f t="shared" si="65"/>
        <v>7810.9536642045377</v>
      </c>
      <c r="H81" s="82">
        <f t="shared" si="65"/>
        <v>8711.4783252655707</v>
      </c>
      <c r="I81" s="82">
        <f t="shared" si="65"/>
        <v>8362.6883262225801</v>
      </c>
      <c r="J81" s="82">
        <f t="shared" si="65"/>
        <v>8934.4987620150387</v>
      </c>
      <c r="K81" s="82">
        <f t="shared" si="65"/>
        <v>9324.8304902917916</v>
      </c>
      <c r="L81" s="82">
        <f t="shared" si="65"/>
        <v>10591.515302949014</v>
      </c>
      <c r="M81" s="82">
        <f t="shared" si="65"/>
        <v>9725.2575364293371</v>
      </c>
      <c r="N81" s="82">
        <f t="shared" si="65"/>
        <v>9410.16536261279</v>
      </c>
      <c r="O81" s="82">
        <f t="shared" si="65"/>
        <v>8678.8180638022877</v>
      </c>
      <c r="P81" s="82">
        <f t="shared" si="65"/>
        <v>7762.5261673783189</v>
      </c>
      <c r="Q81" s="82">
        <f t="shared" si="65"/>
        <v>7905.3568300663746</v>
      </c>
      <c r="R81" s="82">
        <f t="shared" si="65"/>
        <v>8573.8662275163369</v>
      </c>
      <c r="S81" s="82">
        <f t="shared" si="65"/>
        <v>7432.751941449118</v>
      </c>
      <c r="T81" s="82">
        <f t="shared" si="65"/>
        <v>6972.9088688224547</v>
      </c>
      <c r="U81" s="82">
        <f t="shared" si="65"/>
        <v>6381.9704471452824</v>
      </c>
      <c r="V81" s="82">
        <f t="shared" si="65"/>
        <v>5983.7695140088026</v>
      </c>
      <c r="W81" s="82">
        <f t="shared" si="65"/>
        <v>7692.4882320488723</v>
      </c>
      <c r="X81" s="82">
        <f t="shared" ref="X81:Y81" si="66">X82+X87</f>
        <v>5966.3722032364476</v>
      </c>
      <c r="Y81" s="82">
        <f t="shared" si="66"/>
        <v>5280.6096823017688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5564.9049011410661</v>
      </c>
      <c r="C82" s="64">
        <f t="shared" ref="C82:W82" si="68">SUM(C83:C86)</f>
        <v>6053.579463881093</v>
      </c>
      <c r="D82" s="64">
        <f t="shared" si="68"/>
        <v>8033.7274994673744</v>
      </c>
      <c r="E82" s="64">
        <f t="shared" si="68"/>
        <v>8432.6680077526016</v>
      </c>
      <c r="F82" s="64">
        <f t="shared" si="68"/>
        <v>8196.7497572265456</v>
      </c>
      <c r="G82" s="64">
        <f t="shared" si="68"/>
        <v>7810.9536642045377</v>
      </c>
      <c r="H82" s="64">
        <f t="shared" si="68"/>
        <v>8711.4783252655707</v>
      </c>
      <c r="I82" s="64">
        <f t="shared" si="68"/>
        <v>8362.6883262225801</v>
      </c>
      <c r="J82" s="64">
        <f t="shared" si="68"/>
        <v>8934.4987620150387</v>
      </c>
      <c r="K82" s="64">
        <f t="shared" si="68"/>
        <v>9324.8304902917916</v>
      </c>
      <c r="L82" s="64">
        <f t="shared" si="68"/>
        <v>10591.515302949014</v>
      </c>
      <c r="M82" s="64">
        <f t="shared" si="68"/>
        <v>9725.2575364293371</v>
      </c>
      <c r="N82" s="64">
        <f t="shared" si="68"/>
        <v>9410.16536261279</v>
      </c>
      <c r="O82" s="64">
        <f t="shared" si="68"/>
        <v>8678.8180638022877</v>
      </c>
      <c r="P82" s="64">
        <f t="shared" si="68"/>
        <v>7762.5261673783189</v>
      </c>
      <c r="Q82" s="64">
        <f t="shared" si="68"/>
        <v>7905.3568300663746</v>
      </c>
      <c r="R82" s="64">
        <f t="shared" si="68"/>
        <v>8573.8662275163369</v>
      </c>
      <c r="S82" s="64">
        <f t="shared" si="68"/>
        <v>7432.751941449118</v>
      </c>
      <c r="T82" s="64">
        <f t="shared" si="68"/>
        <v>6972.9088688224547</v>
      </c>
      <c r="U82" s="64">
        <f t="shared" si="68"/>
        <v>6381.9704471452824</v>
      </c>
      <c r="V82" s="64">
        <f t="shared" si="68"/>
        <v>5983.7695140088026</v>
      </c>
      <c r="W82" s="64">
        <f t="shared" si="68"/>
        <v>7692.4882320488723</v>
      </c>
      <c r="X82" s="64">
        <f t="shared" ref="X82:Y82" si="69">SUM(X83:X86)</f>
        <v>5966.3722032364476</v>
      </c>
      <c r="Y82" s="64">
        <f t="shared" si="69"/>
        <v>5280.6096823017688</v>
      </c>
      <c r="DA82" s="108" t="s">
        <v>233</v>
      </c>
    </row>
    <row r="83" spans="1:105" ht="12" customHeight="1" x14ac:dyDescent="0.25">
      <c r="A83" s="61" t="s">
        <v>32</v>
      </c>
      <c r="B83" s="65">
        <v>5025.1863102817906</v>
      </c>
      <c r="C83" s="65">
        <v>5339.6964514865522</v>
      </c>
      <c r="D83" s="65">
        <v>7197.1771114780549</v>
      </c>
      <c r="E83" s="65">
        <v>7354.7154406274294</v>
      </c>
      <c r="F83" s="65">
        <v>7122.4242057090869</v>
      </c>
      <c r="G83" s="65">
        <v>6721.2566121707523</v>
      </c>
      <c r="H83" s="65">
        <v>7544.5522378192545</v>
      </c>
      <c r="I83" s="65">
        <v>7142.6031094084301</v>
      </c>
      <c r="J83" s="65">
        <v>7695.608744310347</v>
      </c>
      <c r="K83" s="65">
        <v>8104.4784564982647</v>
      </c>
      <c r="L83" s="65">
        <v>9338.4861533063595</v>
      </c>
      <c r="M83" s="65">
        <v>8407.5158730398234</v>
      </c>
      <c r="N83" s="65">
        <v>7991.9154905900832</v>
      </c>
      <c r="O83" s="65">
        <v>7307.4956063748677</v>
      </c>
      <c r="P83" s="65">
        <v>6380.4462893510863</v>
      </c>
      <c r="Q83" s="65">
        <v>6497.2774366565372</v>
      </c>
      <c r="R83" s="65">
        <v>7164.6921156181234</v>
      </c>
      <c r="S83" s="65">
        <v>6159.8942887999265</v>
      </c>
      <c r="T83" s="65">
        <v>5810.9853546607856</v>
      </c>
      <c r="U83" s="65">
        <v>5262.8186243747205</v>
      </c>
      <c r="V83" s="65">
        <v>5045.8949545517316</v>
      </c>
      <c r="W83" s="65">
        <v>6490.0007848738042</v>
      </c>
      <c r="X83" s="65">
        <v>4884.3306878851854</v>
      </c>
      <c r="Y83" s="65">
        <v>4241.0036825464813</v>
      </c>
      <c r="DA83" s="109" t="s">
        <v>234</v>
      </c>
    </row>
    <row r="84" spans="1:105" ht="12" customHeight="1" x14ac:dyDescent="0.25">
      <c r="A84" s="61" t="s">
        <v>31</v>
      </c>
      <c r="B84" s="65">
        <v>0.10286815743624028</v>
      </c>
      <c r="C84" s="65">
        <v>0.110181134329699</v>
      </c>
      <c r="D84" s="65">
        <v>0.12883456713161703</v>
      </c>
      <c r="E84" s="65">
        <v>0.14398786535738553</v>
      </c>
      <c r="F84" s="65">
        <v>0.17704779576792229</v>
      </c>
      <c r="G84" s="65">
        <v>0.21459843724848907</v>
      </c>
      <c r="H84" s="65">
        <v>0.26276354268470664</v>
      </c>
      <c r="I84" s="65">
        <v>0.31824920325041339</v>
      </c>
      <c r="J84" s="65">
        <v>0.3552012497406366</v>
      </c>
      <c r="K84" s="65">
        <v>0.40617258587665966</v>
      </c>
      <c r="L84" s="65">
        <v>0.48830317282143687</v>
      </c>
      <c r="M84" s="65">
        <v>0.50751319330684685</v>
      </c>
      <c r="N84" s="65">
        <v>0.6084786463635633</v>
      </c>
      <c r="O84" s="65">
        <v>0.74886781906594535</v>
      </c>
      <c r="P84" s="65">
        <v>0.98492434678737462</v>
      </c>
      <c r="Q84" s="65">
        <v>1.363993220359079</v>
      </c>
      <c r="R84" s="65">
        <v>1.7423203334488619</v>
      </c>
      <c r="S84" s="65">
        <v>2.0784992065469825</v>
      </c>
      <c r="T84" s="65">
        <v>2.3758146700600449</v>
      </c>
      <c r="U84" s="65">
        <v>2.7561570337675994</v>
      </c>
      <c r="V84" s="65">
        <v>2.3891821910248559</v>
      </c>
      <c r="W84" s="65">
        <v>2.5820312778594428</v>
      </c>
      <c r="X84" s="65">
        <v>2.8973296780602169</v>
      </c>
      <c r="Y84" s="65">
        <v>2.7900796022133676</v>
      </c>
      <c r="DA84" s="109" t="s">
        <v>235</v>
      </c>
    </row>
    <row r="85" spans="1:105" ht="12" customHeight="1" x14ac:dyDescent="0.25">
      <c r="A85" s="61" t="s">
        <v>35</v>
      </c>
      <c r="B85" s="65">
        <v>329.5156830241404</v>
      </c>
      <c r="C85" s="65">
        <v>432.41418179893589</v>
      </c>
      <c r="D85" s="65">
        <v>506.09982408399907</v>
      </c>
      <c r="E85" s="65">
        <v>663.67224982783671</v>
      </c>
      <c r="F85" s="65">
        <v>647.07370533791254</v>
      </c>
      <c r="G85" s="65">
        <v>624.04641647077858</v>
      </c>
      <c r="H85" s="65">
        <v>658.09539942208949</v>
      </c>
      <c r="I85" s="65">
        <v>690.02062317740513</v>
      </c>
      <c r="J85" s="65">
        <v>716.41200165950738</v>
      </c>
      <c r="K85" s="65">
        <v>716.74018723420113</v>
      </c>
      <c r="L85" s="65">
        <v>763.95462075769046</v>
      </c>
      <c r="M85" s="65">
        <v>764.85674631827339</v>
      </c>
      <c r="N85" s="65">
        <v>811.77086320166813</v>
      </c>
      <c r="O85" s="65">
        <v>748.98796802159097</v>
      </c>
      <c r="P85" s="65">
        <v>768.0997567998229</v>
      </c>
      <c r="Q85" s="65">
        <v>763.96112405218389</v>
      </c>
      <c r="R85" s="65">
        <v>782.36015416059388</v>
      </c>
      <c r="S85" s="65">
        <v>677.44613802393985</v>
      </c>
      <c r="T85" s="65">
        <v>588.05977473330324</v>
      </c>
      <c r="U85" s="65">
        <v>520.60400787832282</v>
      </c>
      <c r="V85" s="65">
        <v>456.42835150869678</v>
      </c>
      <c r="W85" s="65">
        <v>554.9620101921704</v>
      </c>
      <c r="X85" s="65">
        <v>447.57278707965338</v>
      </c>
      <c r="Y85" s="65">
        <v>403.54716717553185</v>
      </c>
      <c r="DA85" s="109" t="s">
        <v>236</v>
      </c>
    </row>
    <row r="86" spans="1:105" ht="12" customHeight="1" x14ac:dyDescent="0.25">
      <c r="A86" s="66" t="s">
        <v>34</v>
      </c>
      <c r="B86" s="67">
        <v>210.10003967769887</v>
      </c>
      <c r="C86" s="67">
        <v>281.35864946127589</v>
      </c>
      <c r="D86" s="67">
        <v>330.32172933818873</v>
      </c>
      <c r="E86" s="67">
        <v>414.13632943197888</v>
      </c>
      <c r="F86" s="67">
        <v>427.07479838377765</v>
      </c>
      <c r="G86" s="67">
        <v>465.43603712575867</v>
      </c>
      <c r="H86" s="67">
        <v>508.56792448154243</v>
      </c>
      <c r="I86" s="67">
        <v>529.74634443349441</v>
      </c>
      <c r="J86" s="67">
        <v>522.12281479544367</v>
      </c>
      <c r="K86" s="67">
        <v>503.2056739734486</v>
      </c>
      <c r="L86" s="67">
        <v>488.58622571214005</v>
      </c>
      <c r="M86" s="67">
        <v>552.37740387793428</v>
      </c>
      <c r="N86" s="67">
        <v>605.87053017467667</v>
      </c>
      <c r="O86" s="67">
        <v>621.58562158676341</v>
      </c>
      <c r="P86" s="67">
        <v>612.99519688062219</v>
      </c>
      <c r="Q86" s="67">
        <v>642.75427613729505</v>
      </c>
      <c r="R86" s="67">
        <v>625.07163740417036</v>
      </c>
      <c r="S86" s="67">
        <v>593.33301541870424</v>
      </c>
      <c r="T86" s="67">
        <v>571.48792475830555</v>
      </c>
      <c r="U86" s="67">
        <v>595.79165785847158</v>
      </c>
      <c r="V86" s="67">
        <v>479.05702575734966</v>
      </c>
      <c r="W86" s="67">
        <v>644.94340570503834</v>
      </c>
      <c r="X86" s="67">
        <v>631.57139859354766</v>
      </c>
      <c r="Y86" s="67">
        <v>633.26875297754179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0.90301386987788279</v>
      </c>
      <c r="C91" s="71">
        <f t="shared" ref="C91:W91" si="77">IF(C83=0,0,C83/C$81)</f>
        <v>0.882072579264227</v>
      </c>
      <c r="D91" s="71">
        <f t="shared" si="77"/>
        <v>0.89587020619696378</v>
      </c>
      <c r="E91" s="71">
        <f t="shared" si="77"/>
        <v>0.87216945264130485</v>
      </c>
      <c r="F91" s="71">
        <f t="shared" si="77"/>
        <v>0.86893273756829104</v>
      </c>
      <c r="G91" s="71">
        <f t="shared" si="77"/>
        <v>0.86049116421883687</v>
      </c>
      <c r="H91" s="71">
        <f t="shared" si="77"/>
        <v>0.86604729485902243</v>
      </c>
      <c r="I91" s="71">
        <f t="shared" si="77"/>
        <v>0.85410370813553183</v>
      </c>
      <c r="J91" s="71">
        <f t="shared" si="77"/>
        <v>0.86133637144012776</v>
      </c>
      <c r="K91" s="71">
        <f t="shared" si="77"/>
        <v>0.86912877021581758</v>
      </c>
      <c r="L91" s="71">
        <f t="shared" si="77"/>
        <v>0.88169500644598309</v>
      </c>
      <c r="M91" s="71">
        <f t="shared" si="77"/>
        <v>0.86450316010106121</v>
      </c>
      <c r="N91" s="71">
        <f t="shared" si="77"/>
        <v>0.8492853401219167</v>
      </c>
      <c r="O91" s="71">
        <f t="shared" si="77"/>
        <v>0.84199202617843238</v>
      </c>
      <c r="P91" s="71">
        <f t="shared" si="77"/>
        <v>0.8219548832137451</v>
      </c>
      <c r="Q91" s="71">
        <f t="shared" si="77"/>
        <v>0.82188287971334817</v>
      </c>
      <c r="R91" s="71">
        <f t="shared" si="77"/>
        <v>0.83564309559954253</v>
      </c>
      <c r="S91" s="71">
        <f t="shared" si="77"/>
        <v>0.82875015032439914</v>
      </c>
      <c r="T91" s="71">
        <f t="shared" si="77"/>
        <v>0.83336602614198685</v>
      </c>
      <c r="U91" s="71">
        <f t="shared" si="77"/>
        <v>0.82463851375695896</v>
      </c>
      <c r="V91" s="71">
        <f t="shared" si="77"/>
        <v>0.84326358873593288</v>
      </c>
      <c r="W91" s="71">
        <f t="shared" si="77"/>
        <v>0.84368030071658762</v>
      </c>
      <c r="X91" s="71">
        <f t="shared" ref="X91:Y91" si="78">IF(X83=0,0,X83/X$81)</f>
        <v>0.81864330978809685</v>
      </c>
      <c r="Y91" s="71">
        <f t="shared" si="78"/>
        <v>0.80312765716436496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1.8485159991709382E-5</v>
      </c>
      <c r="C92" s="72">
        <f t="shared" ref="C92:W92" si="80">IF(C84=0,0,C84/C$81)</f>
        <v>1.8200989181210692E-5</v>
      </c>
      <c r="D92" s="72">
        <f t="shared" si="80"/>
        <v>1.6036711120729275E-5</v>
      </c>
      <c r="E92" s="72">
        <f t="shared" si="80"/>
        <v>1.7075007011423883E-5</v>
      </c>
      <c r="F92" s="72">
        <f t="shared" si="80"/>
        <v>2.1599756124289467E-5</v>
      </c>
      <c r="G92" s="72">
        <f t="shared" si="80"/>
        <v>2.7474037931108841E-5</v>
      </c>
      <c r="H92" s="72">
        <f t="shared" si="80"/>
        <v>3.0162910687916595E-5</v>
      </c>
      <c r="I92" s="72">
        <f t="shared" si="80"/>
        <v>3.8055848889225116E-5</v>
      </c>
      <c r="J92" s="72">
        <f t="shared" si="80"/>
        <v>3.9756147401438159E-5</v>
      </c>
      <c r="K92" s="72">
        <f t="shared" si="80"/>
        <v>4.3558173663267284E-5</v>
      </c>
      <c r="L92" s="72">
        <f t="shared" si="80"/>
        <v>4.6103240079866363E-5</v>
      </c>
      <c r="M92" s="72">
        <f t="shared" si="80"/>
        <v>5.218506465312405E-5</v>
      </c>
      <c r="N92" s="72">
        <f t="shared" si="80"/>
        <v>6.4661844177689933E-5</v>
      </c>
      <c r="O92" s="72">
        <f t="shared" si="80"/>
        <v>8.6286843849087198E-5</v>
      </c>
      <c r="P92" s="72">
        <f t="shared" si="80"/>
        <v>1.2688193579642626E-4</v>
      </c>
      <c r="Q92" s="72">
        <f t="shared" si="80"/>
        <v>1.7254037353145343E-4</v>
      </c>
      <c r="R92" s="72">
        <f t="shared" si="80"/>
        <v>2.0321291319628791E-4</v>
      </c>
      <c r="S92" s="72">
        <f t="shared" si="80"/>
        <v>2.796405991912802E-4</v>
      </c>
      <c r="T92" s="72">
        <f t="shared" si="80"/>
        <v>3.4072074004622106E-4</v>
      </c>
      <c r="U92" s="72">
        <f t="shared" si="80"/>
        <v>4.3186615428475624E-4</v>
      </c>
      <c r="V92" s="72">
        <f t="shared" si="80"/>
        <v>3.9927710875752509E-4</v>
      </c>
      <c r="W92" s="72">
        <f t="shared" si="80"/>
        <v>3.356561882151526E-4</v>
      </c>
      <c r="X92" s="72">
        <f t="shared" ref="X92:Y92" si="81">IF(X84=0,0,X84/X$81)</f>
        <v>4.8560994510006697E-4</v>
      </c>
      <c r="Y92" s="72">
        <f t="shared" si="81"/>
        <v>5.2836315692191015E-4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5.9213174147248096E-2</v>
      </c>
      <c r="C93" s="72">
        <f t="shared" ref="C93:W93" si="83">IF(C85=0,0,C85/C$81)</f>
        <v>7.1431156455275951E-2</v>
      </c>
      <c r="D93" s="72">
        <f t="shared" si="83"/>
        <v>6.2996887076086763E-2</v>
      </c>
      <c r="E93" s="72">
        <f t="shared" si="83"/>
        <v>7.8702523236736863E-2</v>
      </c>
      <c r="F93" s="72">
        <f t="shared" si="83"/>
        <v>7.8942718089865971E-2</v>
      </c>
      <c r="G93" s="72">
        <f t="shared" si="83"/>
        <v>7.9893754757580052E-2</v>
      </c>
      <c r="H93" s="72">
        <f t="shared" si="83"/>
        <v>7.5543481238246363E-2</v>
      </c>
      <c r="I93" s="72">
        <f t="shared" si="83"/>
        <v>8.2511818719075342E-2</v>
      </c>
      <c r="J93" s="72">
        <f t="shared" si="83"/>
        <v>8.0184912521934437E-2</v>
      </c>
      <c r="K93" s="72">
        <f t="shared" si="83"/>
        <v>7.6863615695792989E-2</v>
      </c>
      <c r="L93" s="72">
        <f t="shared" si="83"/>
        <v>7.2128925739736338E-2</v>
      </c>
      <c r="M93" s="72">
        <f t="shared" si="83"/>
        <v>7.864642591244872E-2</v>
      </c>
      <c r="N93" s="72">
        <f t="shared" si="83"/>
        <v>8.626531329905078E-2</v>
      </c>
      <c r="O93" s="72">
        <f t="shared" si="83"/>
        <v>8.6300687779765586E-2</v>
      </c>
      <c r="P93" s="72">
        <f t="shared" si="83"/>
        <v>9.8949715625788026E-2</v>
      </c>
      <c r="Q93" s="72">
        <f t="shared" si="83"/>
        <v>9.6638411203225791E-2</v>
      </c>
      <c r="R93" s="72">
        <f t="shared" si="83"/>
        <v>9.1249400608764408E-2</v>
      </c>
      <c r="S93" s="72">
        <f t="shared" si="83"/>
        <v>9.1143380454569878E-2</v>
      </c>
      <c r="T93" s="72">
        <f t="shared" si="83"/>
        <v>8.4334929051297275E-2</v>
      </c>
      <c r="U93" s="72">
        <f t="shared" si="83"/>
        <v>8.1574180292732959E-2</v>
      </c>
      <c r="V93" s="72">
        <f t="shared" si="83"/>
        <v>7.6277729354403967E-2</v>
      </c>
      <c r="W93" s="72">
        <f t="shared" si="83"/>
        <v>7.2143368108131364E-2</v>
      </c>
      <c r="X93" s="72">
        <f t="shared" ref="X93:Y93" si="84">IF(X85=0,0,X85/X$81)</f>
        <v>7.5015901092605045E-2</v>
      </c>
      <c r="Y93" s="72">
        <f t="shared" si="84"/>
        <v>7.6420563430022223E-2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3.7754470814877449E-2</v>
      </c>
      <c r="C94" s="73">
        <f t="shared" ref="C94:W94" si="86">IF(C86=0,0,C86/C$81)</f>
        <v>4.6478063291315944E-2</v>
      </c>
      <c r="D94" s="73">
        <f t="shared" si="86"/>
        <v>4.111687001582872E-2</v>
      </c>
      <c r="E94" s="73">
        <f t="shared" si="86"/>
        <v>4.9110949114946928E-2</v>
      </c>
      <c r="F94" s="73">
        <f t="shared" si="86"/>
        <v>5.2102944585718666E-2</v>
      </c>
      <c r="G94" s="73">
        <f t="shared" si="86"/>
        <v>5.9587606985652034E-2</v>
      </c>
      <c r="H94" s="73">
        <f t="shared" si="86"/>
        <v>5.8379060992043354E-2</v>
      </c>
      <c r="I94" s="73">
        <f t="shared" si="86"/>
        <v>6.334641729650356E-2</v>
      </c>
      <c r="J94" s="73">
        <f t="shared" si="86"/>
        <v>5.8438959890536366E-2</v>
      </c>
      <c r="K94" s="73">
        <f t="shared" si="86"/>
        <v>5.3964055914726056E-2</v>
      </c>
      <c r="L94" s="73">
        <f t="shared" si="86"/>
        <v>4.612996457420046E-2</v>
      </c>
      <c r="M94" s="73">
        <f t="shared" si="86"/>
        <v>5.679822892183703E-2</v>
      </c>
      <c r="N94" s="73">
        <f t="shared" si="86"/>
        <v>6.4384684734854966E-2</v>
      </c>
      <c r="O94" s="73">
        <f t="shared" si="86"/>
        <v>7.1620999197952978E-2</v>
      </c>
      <c r="P94" s="73">
        <f t="shared" si="86"/>
        <v>7.896851922467045E-2</v>
      </c>
      <c r="Q94" s="73">
        <f t="shared" si="86"/>
        <v>8.1306168709894697E-2</v>
      </c>
      <c r="R94" s="73">
        <f t="shared" si="86"/>
        <v>7.2904290878496716E-2</v>
      </c>
      <c r="S94" s="73">
        <f t="shared" si="86"/>
        <v>7.9826828621839596E-2</v>
      </c>
      <c r="T94" s="73">
        <f t="shared" si="86"/>
        <v>8.1958324066669641E-2</v>
      </c>
      <c r="U94" s="73">
        <f t="shared" si="86"/>
        <v>9.3355439796023343E-2</v>
      </c>
      <c r="V94" s="73">
        <f t="shared" si="86"/>
        <v>8.0059404800905731E-2</v>
      </c>
      <c r="W94" s="73">
        <f t="shared" si="86"/>
        <v>8.3840674987065864E-2</v>
      </c>
      <c r="X94" s="73">
        <f t="shared" ref="X94:Y94" si="87">IF(X86=0,0,X86/X$81)</f>
        <v>0.10585517917419783</v>
      </c>
      <c r="Y94" s="73">
        <f t="shared" si="87"/>
        <v>0.11992341624869078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182145.01484825296</v>
      </c>
      <c r="C99" s="82">
        <f t="shared" ref="C99:W99" si="92">C47*11630*1000/C$8</f>
        <v>197950.85671885841</v>
      </c>
      <c r="D99" s="82">
        <f t="shared" si="92"/>
        <v>223326.55633803565</v>
      </c>
      <c r="E99" s="82">
        <f t="shared" si="92"/>
        <v>227526.1250476753</v>
      </c>
      <c r="F99" s="82">
        <f t="shared" si="92"/>
        <v>235820.83041557155</v>
      </c>
      <c r="G99" s="82">
        <f t="shared" si="92"/>
        <v>230543.89950716362</v>
      </c>
      <c r="H99" s="82">
        <f t="shared" si="92"/>
        <v>246189.04893275647</v>
      </c>
      <c r="I99" s="82">
        <f t="shared" si="92"/>
        <v>225344.6162173475</v>
      </c>
      <c r="J99" s="82">
        <f t="shared" si="92"/>
        <v>243574.84768251333</v>
      </c>
      <c r="K99" s="82">
        <f t="shared" si="92"/>
        <v>238095.88442793518</v>
      </c>
      <c r="L99" s="82">
        <f t="shared" si="92"/>
        <v>261308.61727181601</v>
      </c>
      <c r="M99" s="82">
        <f t="shared" si="92"/>
        <v>242976.0198506559</v>
      </c>
      <c r="N99" s="82">
        <f t="shared" si="92"/>
        <v>236302.03373678448</v>
      </c>
      <c r="O99" s="82">
        <f t="shared" si="92"/>
        <v>226791.37612669246</v>
      </c>
      <c r="P99" s="82">
        <f t="shared" si="92"/>
        <v>213807.01129181049</v>
      </c>
      <c r="Q99" s="82">
        <f t="shared" si="92"/>
        <v>212616.63513799722</v>
      </c>
      <c r="R99" s="82">
        <f t="shared" si="92"/>
        <v>227046.77379479201</v>
      </c>
      <c r="S99" s="82">
        <f t="shared" si="92"/>
        <v>210508.61775011572</v>
      </c>
      <c r="T99" s="82">
        <f t="shared" si="92"/>
        <v>203502.91143507764</v>
      </c>
      <c r="U99" s="82">
        <f t="shared" si="92"/>
        <v>196981.08241346385</v>
      </c>
      <c r="V99" s="82">
        <f t="shared" si="92"/>
        <v>187818.02911921978</v>
      </c>
      <c r="W99" s="82">
        <f t="shared" si="92"/>
        <v>205402.05448344082</v>
      </c>
      <c r="X99" s="82">
        <f t="shared" ref="X99:Y99" si="93">X47*11630*1000/X$8</f>
        <v>192812.59756164491</v>
      </c>
      <c r="Y99" s="82">
        <f t="shared" si="93"/>
        <v>188166.68569351156</v>
      </c>
      <c r="DA99" s="107"/>
    </row>
    <row r="100" spans="1:105" ht="12" customHeight="1" x14ac:dyDescent="0.25">
      <c r="A100" s="77" t="s">
        <v>36</v>
      </c>
      <c r="B100" s="64">
        <f t="shared" si="91"/>
        <v>139094.79116407386</v>
      </c>
      <c r="C100" s="64">
        <f t="shared" ref="C100:W100" si="94">C48*11630*1000/C$8</f>
        <v>153117.86643130053</v>
      </c>
      <c r="D100" s="64">
        <f t="shared" si="94"/>
        <v>176944.4297458849</v>
      </c>
      <c r="E100" s="64">
        <f t="shared" si="94"/>
        <v>179809.05633320671</v>
      </c>
      <c r="F100" s="64">
        <f t="shared" si="94"/>
        <v>186654.71956479285</v>
      </c>
      <c r="G100" s="64">
        <f t="shared" si="94"/>
        <v>179900.89187696477</v>
      </c>
      <c r="H100" s="64">
        <f t="shared" si="94"/>
        <v>194588.31563091272</v>
      </c>
      <c r="I100" s="64">
        <f t="shared" si="94"/>
        <v>172983.41424150087</v>
      </c>
      <c r="J100" s="64">
        <f t="shared" si="94"/>
        <v>190611.73876756796</v>
      </c>
      <c r="K100" s="64">
        <f t="shared" si="94"/>
        <v>184671.77993809487</v>
      </c>
      <c r="L100" s="64">
        <f t="shared" si="94"/>
        <v>206854.70339130203</v>
      </c>
      <c r="M100" s="64">
        <f t="shared" si="94"/>
        <v>188611.20613629484</v>
      </c>
      <c r="N100" s="64">
        <f t="shared" si="94"/>
        <v>181894.23126259592</v>
      </c>
      <c r="O100" s="64">
        <f t="shared" si="94"/>
        <v>171741.76209471433</v>
      </c>
      <c r="P100" s="64">
        <f t="shared" si="94"/>
        <v>158327.48062346855</v>
      </c>
      <c r="Q100" s="64">
        <f t="shared" si="94"/>
        <v>156244.99971057766</v>
      </c>
      <c r="R100" s="64">
        <f t="shared" si="94"/>
        <v>170228.70947395873</v>
      </c>
      <c r="S100" s="64">
        <f t="shared" si="94"/>
        <v>154665.73581590338</v>
      </c>
      <c r="T100" s="64">
        <f t="shared" si="94"/>
        <v>149083.95761750784</v>
      </c>
      <c r="U100" s="64">
        <f t="shared" si="94"/>
        <v>144251.22342848955</v>
      </c>
      <c r="V100" s="64">
        <f t="shared" si="94"/>
        <v>136911.29515892101</v>
      </c>
      <c r="W100" s="64">
        <f t="shared" si="94"/>
        <v>153716.24447658085</v>
      </c>
      <c r="X100" s="64">
        <f t="shared" ref="X100:Y100" si="95">X48*11630*1000/X$8</f>
        <v>142709.45128194985</v>
      </c>
      <c r="Y100" s="64">
        <f t="shared" si="95"/>
        <v>139589.84184340097</v>
      </c>
      <c r="DA100" s="108"/>
    </row>
    <row r="101" spans="1:105" ht="12" customHeight="1" x14ac:dyDescent="0.25">
      <c r="A101" s="61" t="s">
        <v>32</v>
      </c>
      <c r="B101" s="65">
        <f t="shared" si="91"/>
        <v>110776.63132230098</v>
      </c>
      <c r="C101" s="65">
        <f t="shared" ref="C101:W101" si="96">C49*11630*1000/C$8</f>
        <v>121083.68013634669</v>
      </c>
      <c r="D101" s="65">
        <f t="shared" si="96"/>
        <v>139602.57419768869</v>
      </c>
      <c r="E101" s="65">
        <f t="shared" si="96"/>
        <v>139073.81996971698</v>
      </c>
      <c r="F101" s="65">
        <f t="shared" si="96"/>
        <v>144658.78782470923</v>
      </c>
      <c r="G101" s="65">
        <f t="shared" si="96"/>
        <v>137459.56640920084</v>
      </c>
      <c r="H101" s="65">
        <f t="shared" si="96"/>
        <v>150644.7282816621</v>
      </c>
      <c r="I101" s="65">
        <f t="shared" si="96"/>
        <v>127132.49094616729</v>
      </c>
      <c r="J101" s="65">
        <f t="shared" si="96"/>
        <v>143946.77665027633</v>
      </c>
      <c r="K101" s="65">
        <f t="shared" si="96"/>
        <v>138654.0489464179</v>
      </c>
      <c r="L101" s="65">
        <f t="shared" si="96"/>
        <v>160343.52865172815</v>
      </c>
      <c r="M101" s="65">
        <f t="shared" si="96"/>
        <v>142114.29789563152</v>
      </c>
      <c r="N101" s="65">
        <f t="shared" si="96"/>
        <v>135283.20884854827</v>
      </c>
      <c r="O101" s="65">
        <f t="shared" si="96"/>
        <v>124856.39037186594</v>
      </c>
      <c r="P101" s="65">
        <f t="shared" si="96"/>
        <v>111591.81211275471</v>
      </c>
      <c r="Q101" s="65">
        <f t="shared" si="96"/>
        <v>109117.06708589706</v>
      </c>
      <c r="R101" s="65">
        <f t="shared" si="96"/>
        <v>123510.82793915657</v>
      </c>
      <c r="S101" s="65">
        <f t="shared" si="96"/>
        <v>109630.59625955641</v>
      </c>
      <c r="T101" s="65">
        <f t="shared" si="96"/>
        <v>104977.28775632734</v>
      </c>
      <c r="U101" s="65">
        <f t="shared" si="96"/>
        <v>100995.88838729818</v>
      </c>
      <c r="V101" s="65">
        <f t="shared" si="96"/>
        <v>97431.914418062282</v>
      </c>
      <c r="W101" s="65">
        <f t="shared" si="96"/>
        <v>112458.83546921467</v>
      </c>
      <c r="X101" s="65">
        <f t="shared" ref="X101:Y101" si="97">X49*11630*1000/X$8</f>
        <v>101581.91745482804</v>
      </c>
      <c r="Y101" s="65">
        <f t="shared" si="97"/>
        <v>99398.944972040292</v>
      </c>
      <c r="DA101" s="109"/>
    </row>
    <row r="102" spans="1:105" ht="12" customHeight="1" x14ac:dyDescent="0.25">
      <c r="A102" s="61" t="s">
        <v>31</v>
      </c>
      <c r="B102" s="65">
        <f t="shared" si="91"/>
        <v>743.51642249368308</v>
      </c>
      <c r="C102" s="65">
        <f t="shared" ref="C102:W102" si="98">C50*11630*1000/C$8</f>
        <v>737.9065518534527</v>
      </c>
      <c r="D102" s="65">
        <f t="shared" si="98"/>
        <v>763.12579723652641</v>
      </c>
      <c r="E102" s="65">
        <f t="shared" si="98"/>
        <v>757.67675495960054</v>
      </c>
      <c r="F102" s="65">
        <f t="shared" si="98"/>
        <v>779.17283670880261</v>
      </c>
      <c r="G102" s="65">
        <f t="shared" si="98"/>
        <v>818.42033547885126</v>
      </c>
      <c r="H102" s="65">
        <f t="shared" si="98"/>
        <v>906.64711714993712</v>
      </c>
      <c r="I102" s="65">
        <f t="shared" si="98"/>
        <v>933.0809003257383</v>
      </c>
      <c r="J102" s="65">
        <f t="shared" si="98"/>
        <v>950.97714598849097</v>
      </c>
      <c r="K102" s="65">
        <f t="shared" si="98"/>
        <v>1015.8093076021861</v>
      </c>
      <c r="L102" s="65">
        <f t="shared" si="98"/>
        <v>1212.6819019358556</v>
      </c>
      <c r="M102" s="65">
        <f t="shared" si="98"/>
        <v>1097.3063677966245</v>
      </c>
      <c r="N102" s="65">
        <f t="shared" si="98"/>
        <v>1161.5365976839275</v>
      </c>
      <c r="O102" s="65">
        <f t="shared" si="98"/>
        <v>1151.9332458906249</v>
      </c>
      <c r="P102" s="65">
        <f t="shared" si="98"/>
        <v>1115.6094772505644</v>
      </c>
      <c r="Q102" s="65">
        <f t="shared" si="98"/>
        <v>1270.1832662311203</v>
      </c>
      <c r="R102" s="65">
        <f t="shared" si="98"/>
        <v>1067.6974998250134</v>
      </c>
      <c r="S102" s="65">
        <f t="shared" si="98"/>
        <v>1041.9265571670571</v>
      </c>
      <c r="T102" s="65">
        <f t="shared" si="98"/>
        <v>1053.7134601365397</v>
      </c>
      <c r="U102" s="65">
        <f t="shared" si="98"/>
        <v>1130.0888867432259</v>
      </c>
      <c r="V102" s="65">
        <f t="shared" si="98"/>
        <v>963.35199835122091</v>
      </c>
      <c r="W102" s="65">
        <f t="shared" si="98"/>
        <v>1005.091425598531</v>
      </c>
      <c r="X102" s="65">
        <f t="shared" ref="X102:Y102" si="99">X50*11630*1000/X$8</f>
        <v>1041.4526384775741</v>
      </c>
      <c r="Y102" s="65">
        <f t="shared" si="99"/>
        <v>979.42720080598883</v>
      </c>
      <c r="DA102" s="109"/>
    </row>
    <row r="103" spans="1:105" ht="12" customHeight="1" x14ac:dyDescent="0.25">
      <c r="A103" s="61" t="s">
        <v>35</v>
      </c>
      <c r="B103" s="65">
        <f t="shared" si="91"/>
        <v>12838.296992273814</v>
      </c>
      <c r="C103" s="65">
        <f t="shared" ref="C103:W103" si="100">C51*11630*1000/C$8</f>
        <v>14126.774807520425</v>
      </c>
      <c r="D103" s="65">
        <f t="shared" si="100"/>
        <v>16994.62554869568</v>
      </c>
      <c r="E103" s="65">
        <f t="shared" si="100"/>
        <v>18269.480261988989</v>
      </c>
      <c r="F103" s="65">
        <f t="shared" si="100"/>
        <v>19283.449073138661</v>
      </c>
      <c r="G103" s="65">
        <f t="shared" si="100"/>
        <v>19314.013366092706</v>
      </c>
      <c r="H103" s="65">
        <f t="shared" si="100"/>
        <v>20288.988367661972</v>
      </c>
      <c r="I103" s="65">
        <f t="shared" si="100"/>
        <v>21381.724833148881</v>
      </c>
      <c r="J103" s="65">
        <f t="shared" si="100"/>
        <v>21867.938428106423</v>
      </c>
      <c r="K103" s="65">
        <f t="shared" si="100"/>
        <v>21802.882065050318</v>
      </c>
      <c r="L103" s="65">
        <f t="shared" si="100"/>
        <v>21870.667118050638</v>
      </c>
      <c r="M103" s="65">
        <f t="shared" si="100"/>
        <v>21801.537146394508</v>
      </c>
      <c r="N103" s="65">
        <f t="shared" si="100"/>
        <v>22010.436229028717</v>
      </c>
      <c r="O103" s="65">
        <f t="shared" si="100"/>
        <v>22301.38343074984</v>
      </c>
      <c r="P103" s="65">
        <f t="shared" si="100"/>
        <v>22210.722837713754</v>
      </c>
      <c r="Q103" s="65">
        <f t="shared" si="100"/>
        <v>22458.790376566416</v>
      </c>
      <c r="R103" s="65">
        <f t="shared" si="100"/>
        <v>22575.444087371376</v>
      </c>
      <c r="S103" s="65">
        <f t="shared" si="100"/>
        <v>21716.987977162982</v>
      </c>
      <c r="T103" s="65">
        <f t="shared" si="100"/>
        <v>20954.824011879686</v>
      </c>
      <c r="U103" s="65">
        <f t="shared" si="100"/>
        <v>20339.965265738927</v>
      </c>
      <c r="V103" s="65">
        <f t="shared" si="100"/>
        <v>18498.063596693049</v>
      </c>
      <c r="W103" s="65">
        <f t="shared" si="100"/>
        <v>19814.028746126674</v>
      </c>
      <c r="X103" s="65">
        <f t="shared" ref="X103:Y103" si="101">X51*11630*1000/X$8</f>
        <v>19388.717392439379</v>
      </c>
      <c r="Y103" s="65">
        <f t="shared" si="101"/>
        <v>18649.304097192704</v>
      </c>
      <c r="DA103" s="109"/>
    </row>
    <row r="104" spans="1:105" ht="12" customHeight="1" x14ac:dyDescent="0.25">
      <c r="A104" s="66" t="s">
        <v>34</v>
      </c>
      <c r="B104" s="67">
        <f t="shared" si="91"/>
        <v>14736.346427005405</v>
      </c>
      <c r="C104" s="67">
        <f t="shared" ref="C104:W104" si="102">C52*11630*1000/C$8</f>
        <v>17169.504935579971</v>
      </c>
      <c r="D104" s="67">
        <f t="shared" si="102"/>
        <v>19584.104202264003</v>
      </c>
      <c r="E104" s="67">
        <f t="shared" si="102"/>
        <v>21708.079346541133</v>
      </c>
      <c r="F104" s="67">
        <f t="shared" si="102"/>
        <v>21933.309830236118</v>
      </c>
      <c r="G104" s="67">
        <f t="shared" si="102"/>
        <v>22308.891766192388</v>
      </c>
      <c r="H104" s="67">
        <f t="shared" si="102"/>
        <v>22747.951864438659</v>
      </c>
      <c r="I104" s="67">
        <f t="shared" si="102"/>
        <v>23536.117561858944</v>
      </c>
      <c r="J104" s="67">
        <f t="shared" si="102"/>
        <v>23846.046543196695</v>
      </c>
      <c r="K104" s="67">
        <f t="shared" si="102"/>
        <v>23199.039619024457</v>
      </c>
      <c r="L104" s="67">
        <f t="shared" si="102"/>
        <v>23427.825719587428</v>
      </c>
      <c r="M104" s="67">
        <f t="shared" si="102"/>
        <v>23598.064726472141</v>
      </c>
      <c r="N104" s="67">
        <f t="shared" si="102"/>
        <v>23439.049587335005</v>
      </c>
      <c r="O104" s="67">
        <f t="shared" si="102"/>
        <v>23432.055046207937</v>
      </c>
      <c r="P104" s="67">
        <f t="shared" si="102"/>
        <v>23409.336195749533</v>
      </c>
      <c r="Q104" s="67">
        <f t="shared" si="102"/>
        <v>23398.958981883083</v>
      </c>
      <c r="R104" s="67">
        <f t="shared" si="102"/>
        <v>23074.73994760574</v>
      </c>
      <c r="S104" s="67">
        <f t="shared" si="102"/>
        <v>22276.225022016915</v>
      </c>
      <c r="T104" s="67">
        <f t="shared" si="102"/>
        <v>22098.132389164304</v>
      </c>
      <c r="U104" s="67">
        <f t="shared" si="102"/>
        <v>21785.280888709214</v>
      </c>
      <c r="V104" s="67">
        <f t="shared" si="102"/>
        <v>20017.965145814476</v>
      </c>
      <c r="W104" s="67">
        <f t="shared" si="102"/>
        <v>20438.288835640986</v>
      </c>
      <c r="X104" s="67">
        <f t="shared" ref="X104:Y104" si="103">X52*11630*1000/X$8</f>
        <v>20697.363796204805</v>
      </c>
      <c r="Y104" s="67">
        <f t="shared" si="103"/>
        <v>20562.165573361992</v>
      </c>
      <c r="DA104" s="110"/>
    </row>
    <row r="105" spans="1:105" ht="12" customHeight="1" x14ac:dyDescent="0.25">
      <c r="A105" s="78" t="s">
        <v>33</v>
      </c>
      <c r="B105" s="68">
        <f t="shared" si="91"/>
        <v>43050.223684179087</v>
      </c>
      <c r="C105" s="68">
        <f t="shared" ref="C105:W105" si="104">C53*11630*1000/C$8</f>
        <v>44832.990287557841</v>
      </c>
      <c r="D105" s="68">
        <f t="shared" si="104"/>
        <v>46382.126592150758</v>
      </c>
      <c r="E105" s="68">
        <f t="shared" si="104"/>
        <v>47717.068714468609</v>
      </c>
      <c r="F105" s="68">
        <f t="shared" si="104"/>
        <v>49166.11085077875</v>
      </c>
      <c r="G105" s="68">
        <f t="shared" si="104"/>
        <v>50643.00763019883</v>
      </c>
      <c r="H105" s="68">
        <f t="shared" si="104"/>
        <v>51600.733301843749</v>
      </c>
      <c r="I105" s="68">
        <f t="shared" si="104"/>
        <v>52361.201975846678</v>
      </c>
      <c r="J105" s="68">
        <f t="shared" si="104"/>
        <v>52963.108914945369</v>
      </c>
      <c r="K105" s="68">
        <f t="shared" si="104"/>
        <v>53424.10448984032</v>
      </c>
      <c r="L105" s="68">
        <f t="shared" si="104"/>
        <v>54453.913880513945</v>
      </c>
      <c r="M105" s="68">
        <f t="shared" si="104"/>
        <v>54364.813714361109</v>
      </c>
      <c r="N105" s="68">
        <f t="shared" si="104"/>
        <v>54407.802474188538</v>
      </c>
      <c r="O105" s="68">
        <f t="shared" si="104"/>
        <v>55049.614031978126</v>
      </c>
      <c r="P105" s="68">
        <f t="shared" si="104"/>
        <v>55479.530668341933</v>
      </c>
      <c r="Q105" s="68">
        <f t="shared" si="104"/>
        <v>56371.635427419555</v>
      </c>
      <c r="R105" s="68">
        <f t="shared" si="104"/>
        <v>56818.064320833291</v>
      </c>
      <c r="S105" s="68">
        <f t="shared" si="104"/>
        <v>55842.881934212353</v>
      </c>
      <c r="T105" s="68">
        <f t="shared" si="104"/>
        <v>54418.953817569753</v>
      </c>
      <c r="U105" s="68">
        <f t="shared" si="104"/>
        <v>52729.858984974286</v>
      </c>
      <c r="V105" s="68">
        <f t="shared" si="104"/>
        <v>50906.733960298741</v>
      </c>
      <c r="W105" s="68">
        <f t="shared" si="104"/>
        <v>51685.810006859974</v>
      </c>
      <c r="X105" s="68">
        <f t="shared" ref="X105:Y105" si="105">X53*11630*1000/X$8</f>
        <v>50103.146279695102</v>
      </c>
      <c r="Y105" s="68">
        <f t="shared" si="105"/>
        <v>48576.843850110585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84866.324789417413</v>
      </c>
      <c r="C107" s="85">
        <f t="shared" ref="C107:W107" si="107">SUM(C108:C111)</f>
        <v>93940.000562148358</v>
      </c>
      <c r="D107" s="85">
        <f t="shared" si="107"/>
        <v>108257.59110837747</v>
      </c>
      <c r="E107" s="85">
        <f t="shared" si="107"/>
        <v>110270.44580236737</v>
      </c>
      <c r="F107" s="85">
        <f t="shared" si="107"/>
        <v>117543.76742761365</v>
      </c>
      <c r="G107" s="85">
        <f t="shared" si="107"/>
        <v>114546.93131591835</v>
      </c>
      <c r="H107" s="85">
        <f t="shared" si="107"/>
        <v>126245.14144728183</v>
      </c>
      <c r="I107" s="85">
        <f t="shared" si="107"/>
        <v>111909.15102049187</v>
      </c>
      <c r="J107" s="85">
        <f t="shared" si="107"/>
        <v>126386.39848265973</v>
      </c>
      <c r="K107" s="85">
        <f t="shared" si="107"/>
        <v>122778.43901920298</v>
      </c>
      <c r="L107" s="85">
        <f t="shared" si="107"/>
        <v>138573.27526080218</v>
      </c>
      <c r="M107" s="85">
        <f t="shared" si="107"/>
        <v>127696.53913797639</v>
      </c>
      <c r="N107" s="85">
        <f t="shared" si="107"/>
        <v>125428.1914887051</v>
      </c>
      <c r="O107" s="85">
        <f t="shared" si="107"/>
        <v>120446.19316109479</v>
      </c>
      <c r="P107" s="85">
        <f t="shared" si="107"/>
        <v>112531.43622555363</v>
      </c>
      <c r="Q107" s="85">
        <f t="shared" si="107"/>
        <v>111802.79676964979</v>
      </c>
      <c r="R107" s="85">
        <f t="shared" si="107"/>
        <v>122399.66943221005</v>
      </c>
      <c r="S107" s="85">
        <f t="shared" si="107"/>
        <v>113927.35324074204</v>
      </c>
      <c r="T107" s="85">
        <f t="shared" si="107"/>
        <v>111491.40471063417</v>
      </c>
      <c r="U107" s="85">
        <f t="shared" si="107"/>
        <v>110194.76637365308</v>
      </c>
      <c r="V107" s="85">
        <f t="shared" si="107"/>
        <v>106247.26855492707</v>
      </c>
      <c r="W107" s="85">
        <f t="shared" si="107"/>
        <v>119450.39187123007</v>
      </c>
      <c r="X107" s="85">
        <f t="shared" ref="X107:Y107" si="108">SUM(X108:X111)</f>
        <v>114592.8539116492</v>
      </c>
      <c r="Y107" s="85">
        <f t="shared" si="108"/>
        <v>114481.60586209534</v>
      </c>
      <c r="DA107" s="117"/>
    </row>
    <row r="108" spans="1:105" ht="12" customHeight="1" x14ac:dyDescent="0.25">
      <c r="A108" s="61" t="s">
        <v>32</v>
      </c>
      <c r="B108" s="65">
        <v>64804.055872732621</v>
      </c>
      <c r="C108" s="65">
        <v>71391.423418439561</v>
      </c>
      <c r="D108" s="65">
        <v>81981.299076996409</v>
      </c>
      <c r="E108" s="65">
        <v>81765.34351789378</v>
      </c>
      <c r="F108" s="65">
        <v>87842.837203137824</v>
      </c>
      <c r="G108" s="65">
        <v>84260.483337658588</v>
      </c>
      <c r="H108" s="65">
        <v>94602.686891914651</v>
      </c>
      <c r="I108" s="65">
        <v>78565.239567784272</v>
      </c>
      <c r="J108" s="65">
        <v>92066.555215631888</v>
      </c>
      <c r="K108" s="65">
        <v>88504.565568435472</v>
      </c>
      <c r="L108" s="65">
        <v>103315.4131751855</v>
      </c>
      <c r="M108" s="65">
        <v>92552.486598317104</v>
      </c>
      <c r="N108" s="65">
        <v>89928.360890848067</v>
      </c>
      <c r="O108" s="65">
        <v>84405.480311157386</v>
      </c>
      <c r="P108" s="65">
        <v>76391.721805141875</v>
      </c>
      <c r="Q108" s="65">
        <v>74692.728443767191</v>
      </c>
      <c r="R108" s="65">
        <v>85679.992834156976</v>
      </c>
      <c r="S108" s="65">
        <v>77841.828867902208</v>
      </c>
      <c r="T108" s="65">
        <v>75490.281764316343</v>
      </c>
      <c r="U108" s="65">
        <v>74069.140013857308</v>
      </c>
      <c r="V108" s="65">
        <v>72757.551770346894</v>
      </c>
      <c r="W108" s="65">
        <v>84383.105094195838</v>
      </c>
      <c r="X108" s="65">
        <v>78832.01067422163</v>
      </c>
      <c r="Y108" s="65">
        <v>79171.036187155682</v>
      </c>
      <c r="DA108" s="109"/>
    </row>
    <row r="109" spans="1:105" ht="12" customHeight="1" x14ac:dyDescent="0.25">
      <c r="A109" s="61" t="s">
        <v>31</v>
      </c>
      <c r="B109" s="65">
        <v>1364.4361572569651</v>
      </c>
      <c r="C109" s="65">
        <v>1393.3088813326115</v>
      </c>
      <c r="D109" s="65">
        <v>1501.3989057598876</v>
      </c>
      <c r="E109" s="65">
        <v>1561.1442491248486</v>
      </c>
      <c r="F109" s="65">
        <v>1694.9088342176804</v>
      </c>
      <c r="G109" s="65">
        <v>1880.9839020945635</v>
      </c>
      <c r="H109" s="65">
        <v>2208.640604551023</v>
      </c>
      <c r="I109" s="65">
        <v>2411.8728220489338</v>
      </c>
      <c r="J109" s="65">
        <v>2594.4145584791463</v>
      </c>
      <c r="K109" s="65">
        <v>2831.3290174680101</v>
      </c>
      <c r="L109" s="65">
        <v>3459.1660164630534</v>
      </c>
      <c r="M109" s="65">
        <v>3225.3574624171342</v>
      </c>
      <c r="N109" s="65">
        <v>3522.2348749845573</v>
      </c>
      <c r="O109" s="65">
        <v>3600.1730493421692</v>
      </c>
      <c r="P109" s="65">
        <v>3610.4049870577455</v>
      </c>
      <c r="Q109" s="65">
        <v>4268.5466986469282</v>
      </c>
      <c r="R109" s="65">
        <v>3709.299785080761</v>
      </c>
      <c r="S109" s="65">
        <v>3746.2469263990911</v>
      </c>
      <c r="T109" s="65">
        <v>3908.4462501905141</v>
      </c>
      <c r="U109" s="65">
        <v>4301.3269434600679</v>
      </c>
      <c r="V109" s="65">
        <v>3752.2774523269295</v>
      </c>
      <c r="W109" s="65">
        <v>3993.6193349297937</v>
      </c>
      <c r="X109" s="65">
        <v>4196.5333141364526</v>
      </c>
      <c r="Y109" s="65">
        <v>3993.0674931347889</v>
      </c>
      <c r="DA109" s="109"/>
    </row>
    <row r="110" spans="1:105" ht="12" customHeight="1" x14ac:dyDescent="0.25">
      <c r="A110" s="61" t="s">
        <v>35</v>
      </c>
      <c r="B110" s="65">
        <v>8008.2850851692583</v>
      </c>
      <c r="C110" s="65">
        <v>8780.4291894739508</v>
      </c>
      <c r="D110" s="65">
        <v>10654.491646501001</v>
      </c>
      <c r="E110" s="65">
        <v>11365.667078868302</v>
      </c>
      <c r="F110" s="65">
        <v>12229.141792235803</v>
      </c>
      <c r="G110" s="65">
        <v>12383.352716306632</v>
      </c>
      <c r="H110" s="65">
        <v>13093.59702044247</v>
      </c>
      <c r="I110" s="65">
        <v>13931.416679932323</v>
      </c>
      <c r="J110" s="65">
        <v>14374.081506880673</v>
      </c>
      <c r="K110" s="65">
        <v>14468.706220673817</v>
      </c>
      <c r="L110" s="65">
        <v>14578.587276816266</v>
      </c>
      <c r="M110" s="65">
        <v>14677.06620176435</v>
      </c>
      <c r="N110" s="65">
        <v>14944.263536792441</v>
      </c>
      <c r="O110" s="65">
        <v>15410.214260790466</v>
      </c>
      <c r="P110" s="65">
        <v>15425.56813550303</v>
      </c>
      <c r="Q110" s="65">
        <v>15738.77606815545</v>
      </c>
      <c r="R110" s="65">
        <v>16017.330851904437</v>
      </c>
      <c r="S110" s="65">
        <v>15781.317663593314</v>
      </c>
      <c r="T110" s="65">
        <v>15467.321584493189</v>
      </c>
      <c r="U110" s="65">
        <v>15339.251719687682</v>
      </c>
      <c r="V110" s="65">
        <v>14271.259284735181</v>
      </c>
      <c r="W110" s="65">
        <v>15489.542087526888</v>
      </c>
      <c r="X110" s="65">
        <v>15596.60049713021</v>
      </c>
      <c r="Y110" s="65">
        <v>15322.860978903409</v>
      </c>
      <c r="DA110" s="109"/>
    </row>
    <row r="111" spans="1:105" ht="12" customHeight="1" x14ac:dyDescent="0.25">
      <c r="A111" s="74" t="s">
        <v>34</v>
      </c>
      <c r="B111" s="68">
        <v>10689.547674258552</v>
      </c>
      <c r="C111" s="68">
        <v>12374.839072902236</v>
      </c>
      <c r="D111" s="68">
        <v>14120.40147912017</v>
      </c>
      <c r="E111" s="68">
        <v>15578.290956480443</v>
      </c>
      <c r="F111" s="68">
        <v>15776.879598022331</v>
      </c>
      <c r="G111" s="68">
        <v>16022.111359858563</v>
      </c>
      <c r="H111" s="68">
        <v>16340.216930373692</v>
      </c>
      <c r="I111" s="68">
        <v>17000.621950726345</v>
      </c>
      <c r="J111" s="68">
        <v>17351.347201668035</v>
      </c>
      <c r="K111" s="68">
        <v>16973.838212625673</v>
      </c>
      <c r="L111" s="68">
        <v>17220.108792337342</v>
      </c>
      <c r="M111" s="68">
        <v>17241.628875477803</v>
      </c>
      <c r="N111" s="68">
        <v>17033.332186080039</v>
      </c>
      <c r="O111" s="68">
        <v>17030.325539804777</v>
      </c>
      <c r="P111" s="68">
        <v>17103.741297850978</v>
      </c>
      <c r="Q111" s="68">
        <v>17102.745559080224</v>
      </c>
      <c r="R111" s="68">
        <v>16993.045961067884</v>
      </c>
      <c r="S111" s="68">
        <v>16557.959782847422</v>
      </c>
      <c r="T111" s="68">
        <v>16625.355111634137</v>
      </c>
      <c r="U111" s="68">
        <v>16485.047696648016</v>
      </c>
      <c r="V111" s="68">
        <v>15466.18004751807</v>
      </c>
      <c r="W111" s="68">
        <v>15584.125354577545</v>
      </c>
      <c r="X111" s="68">
        <v>15967.7094261609</v>
      </c>
      <c r="Y111" s="68">
        <v>15994.641202901455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17554.962751075698</v>
      </c>
      <c r="C113" s="82">
        <f t="shared" ref="C113:W113" si="110">C81*1000000/C$8</f>
        <v>19138.726880369457</v>
      </c>
      <c r="D113" s="82">
        <f t="shared" si="110"/>
        <v>25327.980352678107</v>
      </c>
      <c r="E113" s="82">
        <f t="shared" si="110"/>
        <v>26127.728712489308</v>
      </c>
      <c r="F113" s="82">
        <f t="shared" si="110"/>
        <v>24699.058945322115</v>
      </c>
      <c r="G113" s="82">
        <f t="shared" si="110"/>
        <v>23024.829233157241</v>
      </c>
      <c r="H113" s="82">
        <f t="shared" si="110"/>
        <v>24729.775742267389</v>
      </c>
      <c r="I113" s="82">
        <f t="shared" si="110"/>
        <v>22799.883374707675</v>
      </c>
      <c r="J113" s="82">
        <f t="shared" si="110"/>
        <v>23462.955047265019</v>
      </c>
      <c r="K113" s="82">
        <f t="shared" si="110"/>
        <v>23771.251180343093</v>
      </c>
      <c r="L113" s="82">
        <f t="shared" si="110"/>
        <v>26960.357827819393</v>
      </c>
      <c r="M113" s="82">
        <f t="shared" si="110"/>
        <v>24133.497312089472</v>
      </c>
      <c r="N113" s="82">
        <f t="shared" si="110"/>
        <v>22890.057610142292</v>
      </c>
      <c r="O113" s="82">
        <f t="shared" si="110"/>
        <v>20980.771479555373</v>
      </c>
      <c r="P113" s="82">
        <f t="shared" si="110"/>
        <v>18361.524078507275</v>
      </c>
      <c r="Q113" s="82">
        <f t="shared" si="110"/>
        <v>18471.037652848976</v>
      </c>
      <c r="R113" s="82">
        <f t="shared" si="110"/>
        <v>19730.237290697747</v>
      </c>
      <c r="S113" s="82">
        <f t="shared" si="110"/>
        <v>16767.797047826109</v>
      </c>
      <c r="T113" s="82">
        <f t="shared" si="110"/>
        <v>15430.536477628244</v>
      </c>
      <c r="U113" s="82">
        <f t="shared" si="110"/>
        <v>13881.016482910913</v>
      </c>
      <c r="V113" s="82">
        <f t="shared" si="110"/>
        <v>12818.303412935771</v>
      </c>
      <c r="W113" s="82">
        <f t="shared" si="110"/>
        <v>16247.521790511197</v>
      </c>
      <c r="X113" s="82">
        <f t="shared" ref="X113:Y113" si="111">X81*1000000/X$8</f>
        <v>12432.808405303378</v>
      </c>
      <c r="Y113" s="82">
        <f t="shared" si="111"/>
        <v>10866.428076871183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17554.962751075698</v>
      </c>
      <c r="C114" s="64">
        <f t="shared" ref="C114:W114" si="113">C82*1000000/C$8</f>
        <v>19138.726880369457</v>
      </c>
      <c r="D114" s="64">
        <f t="shared" si="113"/>
        <v>25327.980352678107</v>
      </c>
      <c r="E114" s="64">
        <f t="shared" si="113"/>
        <v>26127.728712489308</v>
      </c>
      <c r="F114" s="64">
        <f t="shared" si="113"/>
        <v>24699.058945322115</v>
      </c>
      <c r="G114" s="64">
        <f t="shared" si="113"/>
        <v>23024.829233157241</v>
      </c>
      <c r="H114" s="64">
        <f t="shared" si="113"/>
        <v>24729.775742267389</v>
      </c>
      <c r="I114" s="64">
        <f t="shared" si="113"/>
        <v>22799.883374707675</v>
      </c>
      <c r="J114" s="64">
        <f t="shared" si="113"/>
        <v>23462.955047265019</v>
      </c>
      <c r="K114" s="64">
        <f t="shared" si="113"/>
        <v>23771.251180343093</v>
      </c>
      <c r="L114" s="64">
        <f t="shared" si="113"/>
        <v>26960.357827819393</v>
      </c>
      <c r="M114" s="64">
        <f t="shared" si="113"/>
        <v>24133.497312089472</v>
      </c>
      <c r="N114" s="64">
        <f t="shared" si="113"/>
        <v>22890.057610142292</v>
      </c>
      <c r="O114" s="64">
        <f t="shared" si="113"/>
        <v>20980.771479555373</v>
      </c>
      <c r="P114" s="64">
        <f t="shared" si="113"/>
        <v>18361.524078507275</v>
      </c>
      <c r="Q114" s="64">
        <f t="shared" si="113"/>
        <v>18471.037652848976</v>
      </c>
      <c r="R114" s="64">
        <f t="shared" si="113"/>
        <v>19730.237290697747</v>
      </c>
      <c r="S114" s="64">
        <f t="shared" si="113"/>
        <v>16767.797047826109</v>
      </c>
      <c r="T114" s="64">
        <f t="shared" si="113"/>
        <v>15430.536477628244</v>
      </c>
      <c r="U114" s="64">
        <f t="shared" si="113"/>
        <v>13881.016482910913</v>
      </c>
      <c r="V114" s="64">
        <f t="shared" si="113"/>
        <v>12818.303412935771</v>
      </c>
      <c r="W114" s="64">
        <f t="shared" si="113"/>
        <v>16247.521790511197</v>
      </c>
      <c r="X114" s="64">
        <f t="shared" ref="X114:Y114" si="114">X82*1000000/X$8</f>
        <v>12432.808405303378</v>
      </c>
      <c r="Y114" s="64">
        <f t="shared" si="114"/>
        <v>10866.428076871183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15852.374849410948</v>
      </c>
      <c r="C115" s="65">
        <f t="shared" ref="C115:W115" si="116">C83*1000000/C$8</f>
        <v>16881.746183201078</v>
      </c>
      <c r="D115" s="65">
        <f t="shared" si="116"/>
        <v>22690.582981106381</v>
      </c>
      <c r="E115" s="65">
        <f t="shared" si="116"/>
        <v>22787.806849932302</v>
      </c>
      <c r="F115" s="65">
        <f t="shared" si="116"/>
        <v>21461.82090471933</v>
      </c>
      <c r="G115" s="65">
        <f t="shared" si="116"/>
        <v>19812.662112779384</v>
      </c>
      <c r="H115" s="65">
        <f t="shared" si="116"/>
        <v>21417.155384060945</v>
      </c>
      <c r="I115" s="65">
        <f t="shared" si="116"/>
        <v>19473.464935395488</v>
      </c>
      <c r="J115" s="65">
        <f t="shared" si="116"/>
        <v>20209.496563674082</v>
      </c>
      <c r="K115" s="65">
        <f t="shared" si="116"/>
        <v>20660.278304862895</v>
      </c>
      <c r="L115" s="65">
        <f t="shared" si="116"/>
        <v>23770.81286878523</v>
      </c>
      <c r="M115" s="65">
        <f t="shared" si="116"/>
        <v>20863.484690591817</v>
      </c>
      <c r="N115" s="65">
        <f t="shared" si="116"/>
        <v>19440.190362839967</v>
      </c>
      <c r="O115" s="65">
        <f t="shared" si="116"/>
        <v>17665.642288857493</v>
      </c>
      <c r="P115" s="65">
        <f t="shared" si="116"/>
        <v>15092.344379575816</v>
      </c>
      <c r="Q115" s="65">
        <f t="shared" si="116"/>
        <v>15181.029617417198</v>
      </c>
      <c r="R115" s="65">
        <f t="shared" si="116"/>
        <v>16487.436566512195</v>
      </c>
      <c r="S115" s="65">
        <f t="shared" si="116"/>
        <v>13896.314323994906</v>
      </c>
      <c r="T115" s="65">
        <f t="shared" si="116"/>
        <v>12859.284865600021</v>
      </c>
      <c r="U115" s="65">
        <f t="shared" si="116"/>
        <v>11446.820801903505</v>
      </c>
      <c r="V115" s="65">
        <f t="shared" si="116"/>
        <v>10809.208537498274</v>
      </c>
      <c r="W115" s="65">
        <f t="shared" si="116"/>
        <v>13707.714070117798</v>
      </c>
      <c r="X115" s="65">
        <f t="shared" ref="X115:Y115" si="117">X83*1000000/X$8</f>
        <v>10178.035422878829</v>
      </c>
      <c r="Y115" s="65">
        <f t="shared" si="117"/>
        <v>8727.128923122631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0.32450629510213291</v>
      </c>
      <c r="C116" s="65">
        <f t="shared" ref="C116:W116" si="119">C84*1000000/C$8</f>
        <v>0.34834376089175079</v>
      </c>
      <c r="D116" s="65">
        <f t="shared" si="119"/>
        <v>0.40617750418740556</v>
      </c>
      <c r="E116" s="65">
        <f t="shared" si="119"/>
        <v>0.44613115095833605</v>
      </c>
      <c r="F116" s="65">
        <f t="shared" si="119"/>
        <v>0.53349364971840796</v>
      </c>
      <c r="G116" s="65">
        <f t="shared" si="119"/>
        <v>0.63258503170906577</v>
      </c>
      <c r="H116" s="65">
        <f t="shared" si="119"/>
        <v>0.74592201704621752</v>
      </c>
      <c r="I116" s="65">
        <f t="shared" si="119"/>
        <v>0.86766891639983124</v>
      </c>
      <c r="J116" s="65">
        <f t="shared" si="119"/>
        <v>0.9327966993323854</v>
      </c>
      <c r="K116" s="65">
        <f t="shared" si="119"/>
        <v>1.0354322871065318</v>
      </c>
      <c r="L116" s="65">
        <f t="shared" si="119"/>
        <v>1.2429598495750618</v>
      </c>
      <c r="M116" s="65">
        <f t="shared" si="119"/>
        <v>1.2594081175373846</v>
      </c>
      <c r="N116" s="65">
        <f t="shared" si="119"/>
        <v>1.4801133384053664</v>
      </c>
      <c r="O116" s="65">
        <f t="shared" si="119"/>
        <v>1.8103645524897767</v>
      </c>
      <c r="P116" s="65">
        <f t="shared" si="119"/>
        <v>2.3297457192536948</v>
      </c>
      <c r="Q116" s="65">
        <f t="shared" si="119"/>
        <v>3.1869997361361033</v>
      </c>
      <c r="R116" s="65">
        <f t="shared" si="119"/>
        <v>4.0094389978967238</v>
      </c>
      <c r="S116" s="65">
        <f t="shared" si="119"/>
        <v>4.6889568135718722</v>
      </c>
      <c r="T116" s="65">
        <f t="shared" si="119"/>
        <v>5.257503807967705</v>
      </c>
      <c r="U116" s="65">
        <f t="shared" si="119"/>
        <v>5.9947412060380483</v>
      </c>
      <c r="V116" s="65">
        <f t="shared" si="119"/>
        <v>5.1180551258937106</v>
      </c>
      <c r="W116" s="65">
        <f t="shared" si="119"/>
        <v>5.4535812321456199</v>
      </c>
      <c r="X116" s="65">
        <f t="shared" ref="X116:Y116" si="120">X84*1000000/X$8</f>
        <v>6.0374954071390246</v>
      </c>
      <c r="Y116" s="65">
        <f t="shared" si="120"/>
        <v>5.7414202431605403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1039.4850665278989</v>
      </c>
      <c r="C117" s="65">
        <f t="shared" ref="C117:W117" si="122">C85*1000000/C$8</f>
        <v>1367.101394146466</v>
      </c>
      <c r="D117" s="65">
        <f t="shared" si="122"/>
        <v>1595.5839181430067</v>
      </c>
      <c r="E117" s="65">
        <f t="shared" si="122"/>
        <v>2056.3181761178471</v>
      </c>
      <c r="F117" s="65">
        <f t="shared" si="122"/>
        <v>1949.8108474055462</v>
      </c>
      <c r="G117" s="65">
        <f t="shared" si="122"/>
        <v>1839.5400600890246</v>
      </c>
      <c r="H117" s="65">
        <f t="shared" si="122"/>
        <v>1868.1733498120163</v>
      </c>
      <c r="I117" s="65">
        <f t="shared" si="122"/>
        <v>1881.2598438299394</v>
      </c>
      <c r="J117" s="65">
        <f t="shared" si="122"/>
        <v>1881.3749979710256</v>
      </c>
      <c r="K117" s="65">
        <f t="shared" si="122"/>
        <v>1827.1443153340567</v>
      </c>
      <c r="L117" s="65">
        <f t="shared" si="122"/>
        <v>1944.6216476795039</v>
      </c>
      <c r="M117" s="65">
        <f t="shared" si="122"/>
        <v>1898.0133083635253</v>
      </c>
      <c r="N117" s="65">
        <f t="shared" si="122"/>
        <v>1974.6179911722465</v>
      </c>
      <c r="O117" s="65">
        <f t="shared" si="122"/>
        <v>1810.6550088357187</v>
      </c>
      <c r="P117" s="65">
        <f t="shared" si="122"/>
        <v>1816.8675860243545</v>
      </c>
      <c r="Q117" s="65">
        <f t="shared" si="122"/>
        <v>1785.0117320462859</v>
      </c>
      <c r="R117" s="65">
        <f t="shared" si="122"/>
        <v>1800.372326644861</v>
      </c>
      <c r="S117" s="65">
        <f t="shared" si="122"/>
        <v>1528.2737057150287</v>
      </c>
      <c r="T117" s="65">
        <f t="shared" si="122"/>
        <v>1301.3331990642323</v>
      </c>
      <c r="U117" s="65">
        <f t="shared" si="122"/>
        <v>1132.3325412233726</v>
      </c>
      <c r="V117" s="65">
        <f t="shared" si="122"/>
        <v>977.75107851454743</v>
      </c>
      <c r="W117" s="65">
        <f t="shared" si="122"/>
        <v>1172.1509453777348</v>
      </c>
      <c r="X117" s="65">
        <f t="shared" ref="X117:Y117" si="123">X85*1000000/X$8</f>
        <v>932.65832563554693</v>
      </c>
      <c r="Y117" s="65">
        <f t="shared" si="123"/>
        <v>830.41855610630887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662.77832884174825</v>
      </c>
      <c r="C118" s="67">
        <f t="shared" ref="C118:W118" si="125">C86*1000000/C$8</f>
        <v>889.53095926102128</v>
      </c>
      <c r="D118" s="67">
        <f t="shared" si="125"/>
        <v>1041.4072759245291</v>
      </c>
      <c r="E118" s="67">
        <f t="shared" si="125"/>
        <v>1283.1575552882002</v>
      </c>
      <c r="F118" s="67">
        <f t="shared" si="125"/>
        <v>1286.8936995475171</v>
      </c>
      <c r="G118" s="67">
        <f t="shared" si="125"/>
        <v>1371.9944752571255</v>
      </c>
      <c r="H118" s="67">
        <f t="shared" si="125"/>
        <v>1443.7010863773819</v>
      </c>
      <c r="I118" s="67">
        <f t="shared" si="125"/>
        <v>1444.2909265658461</v>
      </c>
      <c r="J118" s="67">
        <f t="shared" si="125"/>
        <v>1371.1506889205782</v>
      </c>
      <c r="K118" s="67">
        <f t="shared" si="125"/>
        <v>1282.7931278590324</v>
      </c>
      <c r="L118" s="67">
        <f t="shared" si="125"/>
        <v>1243.6803515050765</v>
      </c>
      <c r="M118" s="67">
        <f t="shared" si="125"/>
        <v>1370.7399050165966</v>
      </c>
      <c r="N118" s="67">
        <f t="shared" si="125"/>
        <v>1473.7691427916793</v>
      </c>
      <c r="O118" s="67">
        <f t="shared" si="125"/>
        <v>1502.6638173096699</v>
      </c>
      <c r="P118" s="67">
        <f t="shared" si="125"/>
        <v>1449.982367187851</v>
      </c>
      <c r="Q118" s="67">
        <f t="shared" si="125"/>
        <v>1501.8093036493563</v>
      </c>
      <c r="R118" s="67">
        <f t="shared" si="125"/>
        <v>1438.4189585427914</v>
      </c>
      <c r="S118" s="67">
        <f t="shared" si="125"/>
        <v>1338.5200613026027</v>
      </c>
      <c r="T118" s="67">
        <f t="shared" si="125"/>
        <v>1264.6609091560226</v>
      </c>
      <c r="U118" s="67">
        <f t="shared" si="125"/>
        <v>1295.8683985779974</v>
      </c>
      <c r="V118" s="67">
        <f t="shared" si="125"/>
        <v>1026.2257417970563</v>
      </c>
      <c r="W118" s="67">
        <f t="shared" si="125"/>
        <v>1362.2031937835195</v>
      </c>
      <c r="X118" s="67">
        <f t="shared" ref="X118:Y118" si="126">X86*1000000/X$8</f>
        <v>1316.0771613818622</v>
      </c>
      <c r="Y118" s="67">
        <f t="shared" si="126"/>
        <v>1303.1391773990836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0.61013301849176027</v>
      </c>
      <c r="C121" s="86">
        <f t="shared" ref="C121:W121" si="131">IF(C107=0,"",C107/C100)</f>
        <v>0.61351429948442016</v>
      </c>
      <c r="D121" s="86">
        <f t="shared" si="131"/>
        <v>0.6118168922517051</v>
      </c>
      <c r="E121" s="86">
        <f t="shared" si="131"/>
        <v>0.6132641372524843</v>
      </c>
      <c r="F121" s="86">
        <f t="shared" si="131"/>
        <v>0.62973905884448356</v>
      </c>
      <c r="G121" s="86">
        <f t="shared" si="131"/>
        <v>0.63672242044390548</v>
      </c>
      <c r="H121" s="86">
        <f t="shared" si="131"/>
        <v>0.64878068879910822</v>
      </c>
      <c r="I121" s="86">
        <f t="shared" si="131"/>
        <v>0.64693572797826926</v>
      </c>
      <c r="J121" s="86">
        <f t="shared" si="131"/>
        <v>0.66305674193956832</v>
      </c>
      <c r="K121" s="86">
        <f t="shared" si="131"/>
        <v>0.66484678417222387</v>
      </c>
      <c r="L121" s="86">
        <f t="shared" si="131"/>
        <v>0.66990633033210023</v>
      </c>
      <c r="M121" s="86">
        <f t="shared" si="131"/>
        <v>0.67703580160396148</v>
      </c>
      <c r="N121" s="86">
        <f t="shared" si="131"/>
        <v>0.68956662681417158</v>
      </c>
      <c r="O121" s="86">
        <f t="shared" si="131"/>
        <v>0.70132151721297464</v>
      </c>
      <c r="P121" s="86">
        <f t="shared" si="131"/>
        <v>0.71075113292034109</v>
      </c>
      <c r="Q121" s="86">
        <f t="shared" si="131"/>
        <v>0.71556079859674915</v>
      </c>
      <c r="R121" s="86">
        <f t="shared" si="131"/>
        <v>0.71903070763122079</v>
      </c>
      <c r="S121" s="86">
        <f t="shared" si="131"/>
        <v>0.73660369984175611</v>
      </c>
      <c r="T121" s="86">
        <f t="shared" si="131"/>
        <v>0.74784307106119552</v>
      </c>
      <c r="U121" s="86">
        <f t="shared" si="131"/>
        <v>0.76390871255438975</v>
      </c>
      <c r="V121" s="86">
        <f t="shared" si="131"/>
        <v>0.77602997204576585</v>
      </c>
      <c r="W121" s="86">
        <f t="shared" si="131"/>
        <v>0.77708372513243851</v>
      </c>
      <c r="X121" s="86">
        <f t="shared" ref="X121:Y121" si="132">IF(X107=0,"",X107/X100)</f>
        <v>0.80298013118450773</v>
      </c>
      <c r="Y121" s="86">
        <f t="shared" si="132"/>
        <v>0.82012848750503398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0.58499753151174405</v>
      </c>
      <c r="C122" s="75">
        <f t="shared" ref="C122:W122" si="134">IF(C108=0,"",C108/C101)</f>
        <v>0.58960401053262501</v>
      </c>
      <c r="D122" s="75">
        <f t="shared" si="134"/>
        <v>0.58724776063874129</v>
      </c>
      <c r="E122" s="75">
        <f t="shared" si="134"/>
        <v>0.58792764544540455</v>
      </c>
      <c r="F122" s="75">
        <f t="shared" si="134"/>
        <v>0.60724162371373991</v>
      </c>
      <c r="G122" s="75">
        <f t="shared" si="134"/>
        <v>0.61298377070989096</v>
      </c>
      <c r="H122" s="75">
        <f t="shared" si="134"/>
        <v>0.62798537971428359</v>
      </c>
      <c r="I122" s="75">
        <f t="shared" si="134"/>
        <v>0.61797923554452938</v>
      </c>
      <c r="J122" s="75">
        <f t="shared" si="134"/>
        <v>0.63958747363486135</v>
      </c>
      <c r="K122" s="75">
        <f t="shared" si="134"/>
        <v>0.63831216066858298</v>
      </c>
      <c r="L122" s="75">
        <f t="shared" si="134"/>
        <v>0.64433790402349356</v>
      </c>
      <c r="M122" s="75">
        <f t="shared" si="134"/>
        <v>0.65125387078425756</v>
      </c>
      <c r="N122" s="75">
        <f t="shared" si="134"/>
        <v>0.66474148311727521</v>
      </c>
      <c r="O122" s="75">
        <f t="shared" si="134"/>
        <v>0.6760205069181352</v>
      </c>
      <c r="P122" s="75">
        <f t="shared" si="134"/>
        <v>0.6845638614413222</v>
      </c>
      <c r="Q122" s="75">
        <f t="shared" si="134"/>
        <v>0.6845192089425296</v>
      </c>
      <c r="R122" s="75">
        <f t="shared" si="134"/>
        <v>0.69370430320784771</v>
      </c>
      <c r="S122" s="75">
        <f t="shared" si="134"/>
        <v>0.7100374487028005</v>
      </c>
      <c r="T122" s="75">
        <f t="shared" si="134"/>
        <v>0.71911061314085334</v>
      </c>
      <c r="U122" s="75">
        <f t="shared" si="134"/>
        <v>0.73338767742521949</v>
      </c>
      <c r="V122" s="75">
        <f t="shared" si="134"/>
        <v>0.74675276786780287</v>
      </c>
      <c r="W122" s="75">
        <f t="shared" si="134"/>
        <v>0.75034660231116757</v>
      </c>
      <c r="X122" s="75">
        <f t="shared" ref="X122:Y122" si="135">IF(X108=0,"",X108/X101)</f>
        <v>0.77604373543428185</v>
      </c>
      <c r="Y122" s="75">
        <f t="shared" si="135"/>
        <v>0.79649775165546799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1.835112333740762</v>
      </c>
      <c r="C123" s="76">
        <f t="shared" ref="C123:W123" si="137">IF(C109=0,"",C109/C102)</f>
        <v>1.8881915031557015</v>
      </c>
      <c r="D123" s="76">
        <f t="shared" si="137"/>
        <v>1.9674330381659706</v>
      </c>
      <c r="E123" s="76">
        <f t="shared" si="137"/>
        <v>2.0604357186701461</v>
      </c>
      <c r="F123" s="76">
        <f t="shared" si="137"/>
        <v>2.175266839866894</v>
      </c>
      <c r="G123" s="76">
        <f t="shared" si="137"/>
        <v>2.298310318736172</v>
      </c>
      <c r="H123" s="76">
        <f t="shared" si="137"/>
        <v>2.4360531928827256</v>
      </c>
      <c r="I123" s="76">
        <f t="shared" si="137"/>
        <v>2.5848485605127589</v>
      </c>
      <c r="J123" s="76">
        <f t="shared" si="137"/>
        <v>2.7281565802324179</v>
      </c>
      <c r="K123" s="76">
        <f t="shared" si="137"/>
        <v>2.7872642987996943</v>
      </c>
      <c r="L123" s="76">
        <f t="shared" si="137"/>
        <v>2.8524924887070879</v>
      </c>
      <c r="M123" s="76">
        <f t="shared" si="137"/>
        <v>2.9393408778749786</v>
      </c>
      <c r="N123" s="76">
        <f t="shared" si="137"/>
        <v>3.0323925066225188</v>
      </c>
      <c r="O123" s="76">
        <f t="shared" si="137"/>
        <v>3.12533131775242</v>
      </c>
      <c r="P123" s="76">
        <f t="shared" si="137"/>
        <v>3.2362623845358867</v>
      </c>
      <c r="Q123" s="76">
        <f t="shared" si="137"/>
        <v>3.3605754477560805</v>
      </c>
      <c r="R123" s="76">
        <f t="shared" si="137"/>
        <v>3.4741111463581058</v>
      </c>
      <c r="S123" s="76">
        <f t="shared" si="137"/>
        <v>3.5954999905031091</v>
      </c>
      <c r="T123" s="76">
        <f t="shared" si="137"/>
        <v>3.7092116576778471</v>
      </c>
      <c r="U123" s="76">
        <f t="shared" si="137"/>
        <v>3.8061846231015966</v>
      </c>
      <c r="V123" s="76">
        <f t="shared" si="137"/>
        <v>3.8950222335646374</v>
      </c>
      <c r="W123" s="76">
        <f t="shared" si="137"/>
        <v>3.9733891198520541</v>
      </c>
      <c r="X123" s="76">
        <f t="shared" ref="X123:Y123" si="138">IF(X109=0,"",X109/X102)</f>
        <v>4.0294999110771546</v>
      </c>
      <c r="Y123" s="76">
        <f t="shared" si="138"/>
        <v>4.0769415938712132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0.62378094929480954</v>
      </c>
      <c r="C124" s="76">
        <f t="shared" ref="C124:W124" si="140">IF(C110=0,"",C110/C103)</f>
        <v>0.62154520823816528</v>
      </c>
      <c r="D124" s="76">
        <f t="shared" si="140"/>
        <v>0.62693300396481655</v>
      </c>
      <c r="E124" s="76">
        <f t="shared" si="140"/>
        <v>0.62211222847512615</v>
      </c>
      <c r="F124" s="76">
        <f t="shared" si="140"/>
        <v>0.63417813617537311</v>
      </c>
      <c r="G124" s="76">
        <f t="shared" si="140"/>
        <v>0.64115895964153147</v>
      </c>
      <c r="H124" s="76">
        <f t="shared" si="140"/>
        <v>0.6453548488061619</v>
      </c>
      <c r="I124" s="76">
        <f t="shared" si="140"/>
        <v>0.65155719609364404</v>
      </c>
      <c r="J124" s="76">
        <f t="shared" si="140"/>
        <v>0.65731305921393823</v>
      </c>
      <c r="K124" s="76">
        <f t="shared" si="140"/>
        <v>0.66361438719456856</v>
      </c>
      <c r="L124" s="76">
        <f t="shared" si="140"/>
        <v>0.66658173699621814</v>
      </c>
      <c r="M124" s="76">
        <f t="shared" si="140"/>
        <v>0.67321244842552819</v>
      </c>
      <c r="N124" s="76">
        <f t="shared" si="140"/>
        <v>0.67896262397030671</v>
      </c>
      <c r="O124" s="76">
        <f t="shared" si="140"/>
        <v>0.69099813061562743</v>
      </c>
      <c r="P124" s="76">
        <f t="shared" si="140"/>
        <v>0.69450995576381924</v>
      </c>
      <c r="Q124" s="76">
        <f t="shared" si="140"/>
        <v>0.70078467291708402</v>
      </c>
      <c r="R124" s="76">
        <f t="shared" si="140"/>
        <v>0.70950235972830655</v>
      </c>
      <c r="S124" s="76">
        <f t="shared" si="140"/>
        <v>0.72668077544586462</v>
      </c>
      <c r="T124" s="76">
        <f t="shared" si="140"/>
        <v>0.73812700959571276</v>
      </c>
      <c r="U124" s="76">
        <f t="shared" si="140"/>
        <v>0.75414345694706986</v>
      </c>
      <c r="V124" s="76">
        <f t="shared" si="140"/>
        <v>0.77150017406613813</v>
      </c>
      <c r="W124" s="76">
        <f t="shared" si="140"/>
        <v>0.78174622061930976</v>
      </c>
      <c r="X124" s="76">
        <f t="shared" ref="X124:Y124" si="141">IF(X110=0,"",X110/X103)</f>
        <v>0.8044163098283178</v>
      </c>
      <c r="Y124" s="76">
        <f t="shared" si="141"/>
        <v>0.82163178309747076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0.72538656221254372</v>
      </c>
      <c r="C125" s="56">
        <f t="shared" ref="C125:W125" si="143">IF(C111=0,"",C111/C104)</f>
        <v>0.72074524683924579</v>
      </c>
      <c r="D125" s="56">
        <f t="shared" si="143"/>
        <v>0.72101339603206327</v>
      </c>
      <c r="E125" s="56">
        <f t="shared" si="143"/>
        <v>0.71762640571712377</v>
      </c>
      <c r="F125" s="56">
        <f t="shared" si="143"/>
        <v>0.71931139076297312</v>
      </c>
      <c r="G125" s="56">
        <f t="shared" si="143"/>
        <v>0.71819396175201256</v>
      </c>
      <c r="H125" s="56">
        <f t="shared" si="143"/>
        <v>0.71831596214681515</v>
      </c>
      <c r="I125" s="56">
        <f t="shared" si="143"/>
        <v>0.72232057415775375</v>
      </c>
      <c r="J125" s="56">
        <f t="shared" si="143"/>
        <v>0.7276404149524901</v>
      </c>
      <c r="K125" s="56">
        <f t="shared" si="143"/>
        <v>0.73166124509336217</v>
      </c>
      <c r="L125" s="56">
        <f t="shared" si="143"/>
        <v>0.73502803881369294</v>
      </c>
      <c r="M125" s="56">
        <f t="shared" si="143"/>
        <v>0.73063740926756027</v>
      </c>
      <c r="N125" s="56">
        <f t="shared" si="143"/>
        <v>0.72670745981457308</v>
      </c>
      <c r="O125" s="56">
        <f t="shared" si="143"/>
        <v>0.72679607086194653</v>
      </c>
      <c r="P125" s="56">
        <f t="shared" si="143"/>
        <v>0.73063760351122342</v>
      </c>
      <c r="Q125" s="56">
        <f t="shared" si="143"/>
        <v>0.73091907944803114</v>
      </c>
      <c r="R125" s="56">
        <f t="shared" si="143"/>
        <v>0.73643499340199936</v>
      </c>
      <c r="S125" s="56">
        <f t="shared" si="143"/>
        <v>0.74330187302750839</v>
      </c>
      <c r="T125" s="56">
        <f t="shared" si="143"/>
        <v>0.75234209022054221</v>
      </c>
      <c r="U125" s="56">
        <f t="shared" si="143"/>
        <v>0.756705767571343</v>
      </c>
      <c r="V125" s="56">
        <f t="shared" si="143"/>
        <v>0.7726149953234317</v>
      </c>
      <c r="W125" s="56">
        <f t="shared" si="143"/>
        <v>0.76249658079992566</v>
      </c>
      <c r="X125" s="56">
        <f t="shared" ref="X125:Y125" si="144">IF(X111=0,"",X111/X104)</f>
        <v>0.77148517962895524</v>
      </c>
      <c r="Y125" s="56">
        <f t="shared" si="144"/>
        <v>0.77786754249378764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202.3833498313922</v>
      </c>
      <c r="C129" s="82">
        <f t="shared" ref="C129:W129" si="146">IF(C99=0,0,C99/C$26)</f>
        <v>219.94539635428711</v>
      </c>
      <c r="D129" s="82">
        <f t="shared" si="146"/>
        <v>248.14061815337291</v>
      </c>
      <c r="E129" s="82">
        <f t="shared" si="146"/>
        <v>252.80680560852809</v>
      </c>
      <c r="F129" s="82">
        <f t="shared" si="146"/>
        <v>262.02314490619057</v>
      </c>
      <c r="G129" s="82">
        <f t="shared" si="146"/>
        <v>256.15988834129291</v>
      </c>
      <c r="H129" s="82">
        <f t="shared" si="146"/>
        <v>273.54338770306271</v>
      </c>
      <c r="I129" s="82">
        <f t="shared" si="146"/>
        <v>250.3829069081639</v>
      </c>
      <c r="J129" s="82">
        <f t="shared" si="146"/>
        <v>270.638719647237</v>
      </c>
      <c r="K129" s="82">
        <f t="shared" si="146"/>
        <v>264.55098269770576</v>
      </c>
      <c r="L129" s="82">
        <f t="shared" si="146"/>
        <v>290.34290807979562</v>
      </c>
      <c r="M129" s="82">
        <f t="shared" si="146"/>
        <v>269.97335538961772</v>
      </c>
      <c r="N129" s="82">
        <f t="shared" si="146"/>
        <v>262.55781526309386</v>
      </c>
      <c r="O129" s="82">
        <f t="shared" si="146"/>
        <v>251.99041791854717</v>
      </c>
      <c r="P129" s="82">
        <f t="shared" si="146"/>
        <v>237.56334587978944</v>
      </c>
      <c r="Q129" s="82">
        <f t="shared" si="146"/>
        <v>236.2407057088858</v>
      </c>
      <c r="R129" s="82">
        <f t="shared" si="146"/>
        <v>252.27419310532449</v>
      </c>
      <c r="S129" s="82">
        <f t="shared" si="146"/>
        <v>233.89846416679521</v>
      </c>
      <c r="T129" s="82">
        <f t="shared" si="146"/>
        <v>226.11434603897513</v>
      </c>
      <c r="U129" s="82">
        <f t="shared" si="146"/>
        <v>218.86786934829317</v>
      </c>
      <c r="V129" s="82">
        <f t="shared" si="146"/>
        <v>208.68669902135531</v>
      </c>
      <c r="W129" s="82">
        <f t="shared" si="146"/>
        <v>228.22450498160092</v>
      </c>
      <c r="X129" s="82">
        <f t="shared" ref="X129:Y129" si="147">IF(X99=0,0,X99/X$26)</f>
        <v>214.23621951293882</v>
      </c>
      <c r="Y129" s="82">
        <f t="shared" si="147"/>
        <v>209.07409521501285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154.54976796008208</v>
      </c>
      <c r="C130" s="64">
        <f t="shared" ref="C130:W130" si="149">IF(C100=0,0,C100/C$26)</f>
        <v>170.13096270144504</v>
      </c>
      <c r="D130" s="64">
        <f t="shared" si="149"/>
        <v>196.6049219398721</v>
      </c>
      <c r="E130" s="64">
        <f t="shared" si="149"/>
        <v>199.78784037022965</v>
      </c>
      <c r="F130" s="64">
        <f t="shared" si="149"/>
        <v>207.39413284976979</v>
      </c>
      <c r="G130" s="64">
        <f t="shared" si="149"/>
        <v>199.8898798632942</v>
      </c>
      <c r="H130" s="64">
        <f t="shared" si="149"/>
        <v>216.20923958990301</v>
      </c>
      <c r="I130" s="64">
        <f t="shared" si="149"/>
        <v>192.20379360166763</v>
      </c>
      <c r="J130" s="64">
        <f t="shared" si="149"/>
        <v>211.79082085285327</v>
      </c>
      <c r="K130" s="64">
        <f t="shared" si="149"/>
        <v>205.19086659788323</v>
      </c>
      <c r="L130" s="64">
        <f t="shared" si="149"/>
        <v>229.83855932366896</v>
      </c>
      <c r="M130" s="64">
        <f t="shared" si="149"/>
        <v>209.5680068181054</v>
      </c>
      <c r="N130" s="64">
        <f t="shared" si="149"/>
        <v>202.10470140288436</v>
      </c>
      <c r="O130" s="64">
        <f t="shared" si="149"/>
        <v>190.82418010523816</v>
      </c>
      <c r="P130" s="64">
        <f t="shared" si="149"/>
        <v>175.91942291496505</v>
      </c>
      <c r="Q130" s="64">
        <f t="shared" si="149"/>
        <v>173.60555523397517</v>
      </c>
      <c r="R130" s="64">
        <f t="shared" si="149"/>
        <v>189.14301052662083</v>
      </c>
      <c r="S130" s="64">
        <f t="shared" si="149"/>
        <v>171.85081757322595</v>
      </c>
      <c r="T130" s="64">
        <f t="shared" si="149"/>
        <v>165.64884179723092</v>
      </c>
      <c r="U130" s="64">
        <f t="shared" si="149"/>
        <v>160.27913714276616</v>
      </c>
      <c r="V130" s="64">
        <f t="shared" si="149"/>
        <v>152.12366128769003</v>
      </c>
      <c r="W130" s="64">
        <f t="shared" si="149"/>
        <v>170.79582719620095</v>
      </c>
      <c r="X130" s="64">
        <f t="shared" ref="X130:Y130" si="150">IF(X100=0,0,X100/X$26)</f>
        <v>158.56605697994431</v>
      </c>
      <c r="Y130" s="64">
        <f t="shared" si="150"/>
        <v>155.09982427044551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123.08514591366777</v>
      </c>
      <c r="C131" s="65">
        <f t="shared" ref="C131:W131" si="152">IF(C101=0,0,C101/C$26)</f>
        <v>134.53742237371856</v>
      </c>
      <c r="D131" s="65">
        <f t="shared" si="152"/>
        <v>155.1139713307652</v>
      </c>
      <c r="E131" s="65">
        <f t="shared" si="152"/>
        <v>154.52646663301886</v>
      </c>
      <c r="F131" s="65">
        <f t="shared" si="152"/>
        <v>160.73198647189912</v>
      </c>
      <c r="G131" s="65">
        <f t="shared" si="152"/>
        <v>152.7328515657787</v>
      </c>
      <c r="H131" s="65">
        <f t="shared" si="152"/>
        <v>167.38303142406897</v>
      </c>
      <c r="I131" s="65">
        <f t="shared" si="152"/>
        <v>141.25832327351921</v>
      </c>
      <c r="J131" s="65">
        <f t="shared" si="152"/>
        <v>159.94086294475144</v>
      </c>
      <c r="K131" s="65">
        <f t="shared" si="152"/>
        <v>154.0600543849088</v>
      </c>
      <c r="L131" s="65">
        <f t="shared" si="152"/>
        <v>178.15947627969797</v>
      </c>
      <c r="M131" s="65">
        <f t="shared" si="152"/>
        <v>157.90477543959059</v>
      </c>
      <c r="N131" s="65">
        <f t="shared" si="152"/>
        <v>150.31467649838697</v>
      </c>
      <c r="O131" s="65">
        <f t="shared" si="152"/>
        <v>138.72932263540659</v>
      </c>
      <c r="P131" s="65">
        <f t="shared" si="152"/>
        <v>123.99090234750523</v>
      </c>
      <c r="Q131" s="65">
        <f t="shared" si="152"/>
        <v>121.24118565099673</v>
      </c>
      <c r="R131" s="65">
        <f t="shared" si="152"/>
        <v>137.23425326572954</v>
      </c>
      <c r="S131" s="65">
        <f t="shared" si="152"/>
        <v>121.81177362172933</v>
      </c>
      <c r="T131" s="65">
        <f t="shared" si="152"/>
        <v>116.6414308403637</v>
      </c>
      <c r="U131" s="65">
        <f t="shared" si="152"/>
        <v>112.21765376366464</v>
      </c>
      <c r="V131" s="65">
        <f t="shared" si="152"/>
        <v>108.25768268673588</v>
      </c>
      <c r="W131" s="65">
        <f t="shared" si="152"/>
        <v>124.95426163246074</v>
      </c>
      <c r="X131" s="65">
        <f t="shared" ref="X131:Y131" si="153">IF(X101=0,0,X101/X$26)</f>
        <v>112.86879717203118</v>
      </c>
      <c r="Y131" s="65">
        <f t="shared" si="153"/>
        <v>110.44327219115588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0.82612935832631462</v>
      </c>
      <c r="C132" s="65">
        <f t="shared" ref="C132:W132" si="155">IF(C102=0,0,C102/C$26)</f>
        <v>0.81989616872605853</v>
      </c>
      <c r="D132" s="65">
        <f t="shared" si="155"/>
        <v>0.8479175524850292</v>
      </c>
      <c r="E132" s="65">
        <f t="shared" si="155"/>
        <v>0.84186306106622277</v>
      </c>
      <c r="F132" s="65">
        <f t="shared" si="155"/>
        <v>0.86574759634311393</v>
      </c>
      <c r="G132" s="65">
        <f t="shared" si="155"/>
        <v>0.90935592830983469</v>
      </c>
      <c r="H132" s="65">
        <f t="shared" si="155"/>
        <v>1.0073856857221521</v>
      </c>
      <c r="I132" s="65">
        <f t="shared" si="155"/>
        <v>1.0367565559174869</v>
      </c>
      <c r="J132" s="65">
        <f t="shared" si="155"/>
        <v>1.0566412733205455</v>
      </c>
      <c r="K132" s="65">
        <f t="shared" si="155"/>
        <v>1.1286770084468736</v>
      </c>
      <c r="L132" s="65">
        <f t="shared" si="155"/>
        <v>1.3474243354842843</v>
      </c>
      <c r="M132" s="65">
        <f t="shared" si="155"/>
        <v>1.2192292975518051</v>
      </c>
      <c r="N132" s="65">
        <f t="shared" si="155"/>
        <v>1.2905962196488083</v>
      </c>
      <c r="O132" s="65">
        <f t="shared" si="155"/>
        <v>1.2799258287673609</v>
      </c>
      <c r="P132" s="65">
        <f t="shared" si="155"/>
        <v>1.2395660858339603</v>
      </c>
      <c r="Q132" s="65">
        <f t="shared" si="155"/>
        <v>1.4113147402568005</v>
      </c>
      <c r="R132" s="65">
        <f t="shared" si="155"/>
        <v>1.1863305553611261</v>
      </c>
      <c r="S132" s="65">
        <f t="shared" si="155"/>
        <v>1.1576961746300634</v>
      </c>
      <c r="T132" s="65">
        <f t="shared" si="155"/>
        <v>1.1707927334850439</v>
      </c>
      <c r="U132" s="65">
        <f t="shared" si="155"/>
        <v>1.2556543186035842</v>
      </c>
      <c r="V132" s="65">
        <f t="shared" si="155"/>
        <v>1.0703911092791343</v>
      </c>
      <c r="W132" s="65">
        <f t="shared" si="155"/>
        <v>1.1167682506650345</v>
      </c>
      <c r="X132" s="65">
        <f t="shared" ref="X132:Y132" si="156">IF(X102=0,0,X102/X$26)</f>
        <v>1.1571695983084158</v>
      </c>
      <c r="Y132" s="65">
        <f t="shared" si="156"/>
        <v>1.0882524453399876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14.264774435859795</v>
      </c>
      <c r="C133" s="65">
        <f t="shared" ref="C133:W133" si="158">IF(C103=0,0,C103/C$26)</f>
        <v>15.696416452800472</v>
      </c>
      <c r="D133" s="65">
        <f t="shared" si="158"/>
        <v>18.882917276328531</v>
      </c>
      <c r="E133" s="65">
        <f t="shared" si="158"/>
        <v>20.299422513321097</v>
      </c>
      <c r="F133" s="65">
        <f t="shared" si="158"/>
        <v>21.42605452570962</v>
      </c>
      <c r="G133" s="65">
        <f t="shared" si="158"/>
        <v>21.460014851214119</v>
      </c>
      <c r="H133" s="65">
        <f t="shared" si="158"/>
        <v>22.543320408513299</v>
      </c>
      <c r="I133" s="65">
        <f t="shared" si="158"/>
        <v>23.757472036832091</v>
      </c>
      <c r="J133" s="65">
        <f t="shared" si="158"/>
        <v>24.297709364562689</v>
      </c>
      <c r="K133" s="65">
        <f t="shared" si="158"/>
        <v>24.22542451672258</v>
      </c>
      <c r="L133" s="65">
        <f t="shared" si="158"/>
        <v>24.300741242278491</v>
      </c>
      <c r="M133" s="65">
        <f t="shared" si="158"/>
        <v>24.223930162660569</v>
      </c>
      <c r="N133" s="65">
        <f t="shared" si="158"/>
        <v>24.456040254476353</v>
      </c>
      <c r="O133" s="65">
        <f t="shared" si="158"/>
        <v>24.779314923055377</v>
      </c>
      <c r="P133" s="65">
        <f t="shared" si="158"/>
        <v>24.678580930793061</v>
      </c>
      <c r="Q133" s="65">
        <f t="shared" si="158"/>
        <v>24.95421152951824</v>
      </c>
      <c r="R133" s="65">
        <f t="shared" si="158"/>
        <v>25.083826763745975</v>
      </c>
      <c r="S133" s="65">
        <f t="shared" si="158"/>
        <v>24.129986641292199</v>
      </c>
      <c r="T133" s="65">
        <f t="shared" si="158"/>
        <v>23.283137790977424</v>
      </c>
      <c r="U133" s="65">
        <f t="shared" si="158"/>
        <v>22.599961406376586</v>
      </c>
      <c r="V133" s="65">
        <f t="shared" si="158"/>
        <v>20.55340399632561</v>
      </c>
      <c r="W133" s="65">
        <f t="shared" si="158"/>
        <v>22.015587495696305</v>
      </c>
      <c r="X133" s="65">
        <f t="shared" ref="X133:Y133" si="159">IF(X103=0,0,X103/X$26)</f>
        <v>21.543019324932647</v>
      </c>
      <c r="Y133" s="65">
        <f t="shared" si="159"/>
        <v>20.721448996880781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16.37371825222823</v>
      </c>
      <c r="C134" s="67">
        <f t="shared" ref="C134:W134" si="161">IF(C104=0,0,C104/C$26)</f>
        <v>19.077227706199967</v>
      </c>
      <c r="D134" s="67">
        <f t="shared" si="161"/>
        <v>21.760115780293333</v>
      </c>
      <c r="E134" s="67">
        <f t="shared" si="161"/>
        <v>24.120088162823478</v>
      </c>
      <c r="F134" s="67">
        <f t="shared" si="161"/>
        <v>24.370344255817905</v>
      </c>
      <c r="G134" s="67">
        <f t="shared" si="161"/>
        <v>24.787657517991541</v>
      </c>
      <c r="H134" s="67">
        <f t="shared" si="161"/>
        <v>25.275502071598506</v>
      </c>
      <c r="I134" s="67">
        <f t="shared" si="161"/>
        <v>26.151241735398827</v>
      </c>
      <c r="J134" s="67">
        <f t="shared" si="161"/>
        <v>26.495607270218546</v>
      </c>
      <c r="K134" s="67">
        <f t="shared" si="161"/>
        <v>25.776710687804957</v>
      </c>
      <c r="L134" s="67">
        <f t="shared" si="161"/>
        <v>26.030917466208258</v>
      </c>
      <c r="M134" s="67">
        <f t="shared" si="161"/>
        <v>26.220071918302381</v>
      </c>
      <c r="N134" s="67">
        <f t="shared" si="161"/>
        <v>26.043388430372229</v>
      </c>
      <c r="O134" s="67">
        <f t="shared" si="161"/>
        <v>26.035616718008818</v>
      </c>
      <c r="P134" s="67">
        <f t="shared" si="161"/>
        <v>26.010373550832814</v>
      </c>
      <c r="Q134" s="67">
        <f t="shared" si="161"/>
        <v>25.998843313203427</v>
      </c>
      <c r="R134" s="67">
        <f t="shared" si="161"/>
        <v>25.638599941784157</v>
      </c>
      <c r="S134" s="67">
        <f t="shared" si="161"/>
        <v>24.751361135574346</v>
      </c>
      <c r="T134" s="67">
        <f t="shared" si="161"/>
        <v>24.553480432404779</v>
      </c>
      <c r="U134" s="67">
        <f t="shared" si="161"/>
        <v>24.205867654121349</v>
      </c>
      <c r="V134" s="67">
        <f t="shared" si="161"/>
        <v>22.242183495349419</v>
      </c>
      <c r="W134" s="67">
        <f t="shared" si="161"/>
        <v>22.709209817378873</v>
      </c>
      <c r="X134" s="67">
        <f t="shared" ref="X134:Y134" si="162">IF(X104=0,0,X104/X$26)</f>
        <v>22.997070884672009</v>
      </c>
      <c r="Y134" s="67">
        <f t="shared" si="162"/>
        <v>22.846850637068879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47.833581871310102</v>
      </c>
      <c r="C135" s="68">
        <f t="shared" ref="C135:W135" si="164">IF(C105=0,0,C105/C$26)</f>
        <v>49.814433652842048</v>
      </c>
      <c r="D135" s="68">
        <f t="shared" si="164"/>
        <v>51.535696213500835</v>
      </c>
      <c r="E135" s="68">
        <f t="shared" si="164"/>
        <v>53.018965238298449</v>
      </c>
      <c r="F135" s="68">
        <f t="shared" si="164"/>
        <v>54.629012056420827</v>
      </c>
      <c r="G135" s="68">
        <f t="shared" si="164"/>
        <v>56.270008477998701</v>
      </c>
      <c r="H135" s="68">
        <f t="shared" si="164"/>
        <v>57.334148113159713</v>
      </c>
      <c r="I135" s="68">
        <f t="shared" si="164"/>
        <v>58.179113306496312</v>
      </c>
      <c r="J135" s="68">
        <f t="shared" si="164"/>
        <v>58.847898794383738</v>
      </c>
      <c r="K135" s="68">
        <f t="shared" si="164"/>
        <v>59.360116099822584</v>
      </c>
      <c r="L135" s="68">
        <f t="shared" si="164"/>
        <v>60.50434875612661</v>
      </c>
      <c r="M135" s="68">
        <f t="shared" si="164"/>
        <v>60.405348571512349</v>
      </c>
      <c r="N135" s="68">
        <f t="shared" si="164"/>
        <v>60.453113860209484</v>
      </c>
      <c r="O135" s="68">
        <f t="shared" si="164"/>
        <v>61.166237813309031</v>
      </c>
      <c r="P135" s="68">
        <f t="shared" si="164"/>
        <v>61.64392296482437</v>
      </c>
      <c r="Q135" s="68">
        <f t="shared" si="164"/>
        <v>62.635150474910617</v>
      </c>
      <c r="R135" s="68">
        <f t="shared" si="164"/>
        <v>63.131182578703665</v>
      </c>
      <c r="S135" s="68">
        <f t="shared" si="164"/>
        <v>62.047646593569276</v>
      </c>
      <c r="T135" s="68">
        <f t="shared" si="164"/>
        <v>60.465504241744163</v>
      </c>
      <c r="U135" s="68">
        <f t="shared" si="164"/>
        <v>58.588732205526981</v>
      </c>
      <c r="V135" s="68">
        <f t="shared" si="164"/>
        <v>56.563037733665269</v>
      </c>
      <c r="W135" s="68">
        <f t="shared" si="164"/>
        <v>57.428677785399969</v>
      </c>
      <c r="X135" s="68">
        <f t="shared" ref="X135:Y135" si="165">IF(X105=0,0,X105/X$26)</f>
        <v>55.670162532994567</v>
      </c>
      <c r="Y135" s="68">
        <f t="shared" si="165"/>
        <v>53.974270944567316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94.295916432686028</v>
      </c>
      <c r="C137" s="85">
        <f t="shared" ref="C137:W137" si="167">IF(C107=0,0,C107/C$26)</f>
        <v>104.37777840238707</v>
      </c>
      <c r="D137" s="85">
        <f t="shared" si="167"/>
        <v>120.28621234264162</v>
      </c>
      <c r="E137" s="85">
        <f t="shared" si="167"/>
        <v>122.52271755818595</v>
      </c>
      <c r="F137" s="85">
        <f t="shared" si="167"/>
        <v>130.60418603068183</v>
      </c>
      <c r="G137" s="85">
        <f t="shared" si="167"/>
        <v>127.27436812879817</v>
      </c>
      <c r="H137" s="85">
        <f t="shared" si="167"/>
        <v>140.27237938586867</v>
      </c>
      <c r="I137" s="85">
        <f t="shared" si="167"/>
        <v>124.34350113387985</v>
      </c>
      <c r="J137" s="85">
        <f t="shared" si="167"/>
        <v>140.42933164739969</v>
      </c>
      <c r="K137" s="85">
        <f t="shared" si="167"/>
        <v>136.42048779911445</v>
      </c>
      <c r="L137" s="85">
        <f t="shared" si="167"/>
        <v>153.97030584533579</v>
      </c>
      <c r="M137" s="85">
        <f t="shared" si="167"/>
        <v>141.88504348664046</v>
      </c>
      <c r="N137" s="85">
        <f t="shared" si="167"/>
        <v>139.36465720967232</v>
      </c>
      <c r="O137" s="85">
        <f t="shared" si="167"/>
        <v>133.82910351232755</v>
      </c>
      <c r="P137" s="85">
        <f t="shared" si="167"/>
        <v>125.03492913950403</v>
      </c>
      <c r="Q137" s="85">
        <f t="shared" si="167"/>
        <v>124.22532974405533</v>
      </c>
      <c r="R137" s="85">
        <f t="shared" si="167"/>
        <v>135.99963270245564</v>
      </c>
      <c r="S137" s="85">
        <f t="shared" si="167"/>
        <v>126.58594804526892</v>
      </c>
      <c r="T137" s="85">
        <f t="shared" si="167"/>
        <v>123.87933856737129</v>
      </c>
      <c r="U137" s="85">
        <f t="shared" si="167"/>
        <v>122.43862930405898</v>
      </c>
      <c r="V137" s="85">
        <f t="shared" si="167"/>
        <v>118.05252061658562</v>
      </c>
      <c r="W137" s="85">
        <f t="shared" si="167"/>
        <v>132.72265763470008</v>
      </c>
      <c r="X137" s="85">
        <f t="shared" ref="X137:Y137" si="168">IF(X107=0,0,X107/X$26)</f>
        <v>127.32539323516579</v>
      </c>
      <c r="Y137" s="85">
        <f t="shared" si="168"/>
        <v>127.20178429121705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72.004506525258478</v>
      </c>
      <c r="C138" s="65">
        <f t="shared" ref="C138:W138" si="170">IF(C108=0,0,C108/C$26)</f>
        <v>79.323803798266184</v>
      </c>
      <c r="D138" s="65">
        <f t="shared" si="170"/>
        <v>91.090332307773778</v>
      </c>
      <c r="E138" s="65">
        <f t="shared" si="170"/>
        <v>90.85038168654863</v>
      </c>
      <c r="F138" s="65">
        <f t="shared" si="170"/>
        <v>97.60315244793091</v>
      </c>
      <c r="G138" s="65">
        <f t="shared" si="170"/>
        <v>93.622759264065095</v>
      </c>
      <c r="H138" s="65">
        <f t="shared" si="170"/>
        <v>105.11409654657182</v>
      </c>
      <c r="I138" s="65">
        <f t="shared" si="170"/>
        <v>87.294710630871407</v>
      </c>
      <c r="J138" s="65">
        <f t="shared" si="170"/>
        <v>102.2961724618132</v>
      </c>
      <c r="K138" s="65">
        <f t="shared" si="170"/>
        <v>98.338406187150539</v>
      </c>
      <c r="L138" s="65">
        <f t="shared" si="170"/>
        <v>114.79490352798391</v>
      </c>
      <c r="M138" s="65">
        <f t="shared" si="170"/>
        <v>102.83609622035235</v>
      </c>
      <c r="N138" s="65">
        <f t="shared" si="170"/>
        <v>99.92040098983118</v>
      </c>
      <c r="O138" s="65">
        <f t="shared" si="170"/>
        <v>93.783867012397096</v>
      </c>
      <c r="P138" s="65">
        <f t="shared" si="170"/>
        <v>84.879690894602078</v>
      </c>
      <c r="Q138" s="65">
        <f t="shared" si="170"/>
        <v>82.991920493074659</v>
      </c>
      <c r="R138" s="65">
        <f t="shared" si="170"/>
        <v>95.199992037952214</v>
      </c>
      <c r="S138" s="65">
        <f t="shared" si="170"/>
        <v>86.490920964335771</v>
      </c>
      <c r="T138" s="65">
        <f t="shared" si="170"/>
        <v>83.878090849240365</v>
      </c>
      <c r="U138" s="65">
        <f t="shared" si="170"/>
        <v>82.299044459841454</v>
      </c>
      <c r="V138" s="65">
        <f t="shared" si="170"/>
        <v>80.841724189274331</v>
      </c>
      <c r="W138" s="65">
        <f t="shared" si="170"/>
        <v>93.759005660217596</v>
      </c>
      <c r="X138" s="65">
        <f t="shared" ref="X138:Y138" si="171">IF(X108=0,0,X108/X$26)</f>
        <v>87.591122971357379</v>
      </c>
      <c r="Y138" s="65">
        <f t="shared" si="171"/>
        <v>87.96781798572853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1.5160401747299614</v>
      </c>
      <c r="C139" s="65">
        <f t="shared" ref="C139:W139" si="173">IF(C109=0,0,C109/C$26)</f>
        <v>1.5481209792584572</v>
      </c>
      <c r="D139" s="65">
        <f t="shared" si="173"/>
        <v>1.6682210063998748</v>
      </c>
      <c r="E139" s="65">
        <f t="shared" si="173"/>
        <v>1.7346047212498314</v>
      </c>
      <c r="F139" s="65">
        <f t="shared" si="173"/>
        <v>1.8832320380196446</v>
      </c>
      <c r="G139" s="65">
        <f t="shared" si="173"/>
        <v>2.089982113438404</v>
      </c>
      <c r="H139" s="65">
        <f t="shared" si="173"/>
        <v>2.4540451161678032</v>
      </c>
      <c r="I139" s="65">
        <f t="shared" si="173"/>
        <v>2.679858691165482</v>
      </c>
      <c r="J139" s="65">
        <f t="shared" si="173"/>
        <v>2.8826828427546065</v>
      </c>
      <c r="K139" s="65">
        <f t="shared" si="173"/>
        <v>3.1459211305200117</v>
      </c>
      <c r="L139" s="65">
        <f t="shared" si="173"/>
        <v>3.8435177960700599</v>
      </c>
      <c r="M139" s="65">
        <f t="shared" si="173"/>
        <v>3.5837305137968163</v>
      </c>
      <c r="N139" s="65">
        <f t="shared" si="173"/>
        <v>3.913594305538397</v>
      </c>
      <c r="O139" s="65">
        <f t="shared" si="173"/>
        <v>4.000192277046855</v>
      </c>
      <c r="P139" s="65">
        <f t="shared" si="173"/>
        <v>4.0115610967308282</v>
      </c>
      <c r="Q139" s="65">
        <f t="shared" si="173"/>
        <v>4.7428296651632538</v>
      </c>
      <c r="R139" s="65">
        <f t="shared" si="173"/>
        <v>4.1214442056452905</v>
      </c>
      <c r="S139" s="65">
        <f t="shared" si="173"/>
        <v>4.1624965848878785</v>
      </c>
      <c r="T139" s="65">
        <f t="shared" si="173"/>
        <v>4.3427180557672376</v>
      </c>
      <c r="U139" s="65">
        <f t="shared" si="173"/>
        <v>4.7792521594000759</v>
      </c>
      <c r="V139" s="65">
        <f t="shared" si="173"/>
        <v>4.1691971692521435</v>
      </c>
      <c r="W139" s="65">
        <f t="shared" si="173"/>
        <v>4.4373548165886598</v>
      </c>
      <c r="X139" s="65">
        <f t="shared" ref="X139:Y139" si="174">IF(X109=0,0,X109/X$26)</f>
        <v>4.662814793484948</v>
      </c>
      <c r="Y139" s="65">
        <f t="shared" si="174"/>
        <v>4.4367416590386544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8.8980945390769541</v>
      </c>
      <c r="C140" s="65">
        <f t="shared" ref="C140:W140" si="176">IF(C110=0,0,C110/C$26)</f>
        <v>9.7560324327488335</v>
      </c>
      <c r="D140" s="65">
        <f t="shared" si="176"/>
        <v>11.838324051667778</v>
      </c>
      <c r="E140" s="65">
        <f t="shared" si="176"/>
        <v>12.628518976520335</v>
      </c>
      <c r="F140" s="65">
        <f t="shared" si="176"/>
        <v>13.587935324706446</v>
      </c>
      <c r="G140" s="65">
        <f t="shared" si="176"/>
        <v>13.759280795896258</v>
      </c>
      <c r="H140" s="65">
        <f t="shared" si="176"/>
        <v>14.548441133824966</v>
      </c>
      <c r="I140" s="65">
        <f t="shared" si="176"/>
        <v>15.47935186659147</v>
      </c>
      <c r="J140" s="65">
        <f t="shared" si="176"/>
        <v>15.971201674311857</v>
      </c>
      <c r="K140" s="65">
        <f t="shared" si="176"/>
        <v>16.076340245193133</v>
      </c>
      <c r="L140" s="65">
        <f t="shared" si="176"/>
        <v>16.198430307573631</v>
      </c>
      <c r="M140" s="65">
        <f t="shared" si="176"/>
        <v>16.307851335293723</v>
      </c>
      <c r="N140" s="65">
        <f t="shared" si="176"/>
        <v>16.604737263102713</v>
      </c>
      <c r="O140" s="65">
        <f t="shared" si="176"/>
        <v>17.122460289767183</v>
      </c>
      <c r="P140" s="65">
        <f t="shared" si="176"/>
        <v>17.139520150558923</v>
      </c>
      <c r="Q140" s="65">
        <f t="shared" si="176"/>
        <v>17.487528964617166</v>
      </c>
      <c r="R140" s="65">
        <f t="shared" si="176"/>
        <v>17.797034279893822</v>
      </c>
      <c r="S140" s="65">
        <f t="shared" si="176"/>
        <v>17.53479740399257</v>
      </c>
      <c r="T140" s="65">
        <f t="shared" si="176"/>
        <v>17.185912871659095</v>
      </c>
      <c r="U140" s="65">
        <f t="shared" si="176"/>
        <v>17.043613021875203</v>
      </c>
      <c r="V140" s="65">
        <f t="shared" si="176"/>
        <v>15.856954760816867</v>
      </c>
      <c r="W140" s="65">
        <f t="shared" si="176"/>
        <v>17.210602319474319</v>
      </c>
      <c r="X140" s="65">
        <f t="shared" ref="X140:Y140" si="177">IF(X110=0,0,X110/X$26)</f>
        <v>17.329556107922457</v>
      </c>
      <c r="Y140" s="65">
        <f t="shared" si="177"/>
        <v>17.025401087670453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11.877275193620616</v>
      </c>
      <c r="C141" s="68">
        <f t="shared" ref="C141:W141" si="179">IF(C111=0,0,C111/C$26)</f>
        <v>13.749821192113595</v>
      </c>
      <c r="D141" s="68">
        <f t="shared" si="179"/>
        <v>15.689334976800186</v>
      </c>
      <c r="E141" s="68">
        <f t="shared" si="179"/>
        <v>17.309212173867156</v>
      </c>
      <c r="F141" s="68">
        <f t="shared" si="179"/>
        <v>17.529866220024811</v>
      </c>
      <c r="G141" s="68">
        <f t="shared" si="179"/>
        <v>17.802345955398405</v>
      </c>
      <c r="H141" s="68">
        <f t="shared" si="179"/>
        <v>18.155796589304099</v>
      </c>
      <c r="I141" s="68">
        <f t="shared" si="179"/>
        <v>18.889579945251494</v>
      </c>
      <c r="J141" s="68">
        <f t="shared" si="179"/>
        <v>19.279274668520038</v>
      </c>
      <c r="K141" s="68">
        <f t="shared" si="179"/>
        <v>18.859820236250751</v>
      </c>
      <c r="L141" s="68">
        <f t="shared" si="179"/>
        <v>19.133454213708159</v>
      </c>
      <c r="M141" s="68">
        <f t="shared" si="179"/>
        <v>19.15736541719756</v>
      </c>
      <c r="N141" s="68">
        <f t="shared" si="179"/>
        <v>18.925924651200042</v>
      </c>
      <c r="O141" s="68">
        <f t="shared" si="179"/>
        <v>18.922583933116417</v>
      </c>
      <c r="P141" s="68">
        <f t="shared" si="179"/>
        <v>19.004156997612199</v>
      </c>
      <c r="Q141" s="68">
        <f t="shared" si="179"/>
        <v>19.003050621200249</v>
      </c>
      <c r="R141" s="68">
        <f t="shared" si="179"/>
        <v>18.881162178964317</v>
      </c>
      <c r="S141" s="68">
        <f t="shared" si="179"/>
        <v>18.39773309205269</v>
      </c>
      <c r="T141" s="68">
        <f t="shared" si="179"/>
        <v>18.472616790704596</v>
      </c>
      <c r="U141" s="68">
        <f t="shared" si="179"/>
        <v>18.316719662942241</v>
      </c>
      <c r="V141" s="68">
        <f t="shared" si="179"/>
        <v>17.184644497242299</v>
      </c>
      <c r="W141" s="68">
        <f t="shared" si="179"/>
        <v>17.315694838419496</v>
      </c>
      <c r="X141" s="68">
        <f t="shared" ref="X141:Y141" si="180">IF(X111=0,0,X111/X$26)</f>
        <v>17.741899362401004</v>
      </c>
      <c r="Y141" s="68">
        <f t="shared" si="180"/>
        <v>17.771823558779396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19.50551416786189</v>
      </c>
      <c r="C143" s="82">
        <f t="shared" ref="C143:W143" si="182">IF(C113=0,0,C113/C$26)</f>
        <v>21.265252089299395</v>
      </c>
      <c r="D143" s="82">
        <f t="shared" si="182"/>
        <v>28.142200391864559</v>
      </c>
      <c r="E143" s="82">
        <f t="shared" si="182"/>
        <v>29.030809680543673</v>
      </c>
      <c r="F143" s="82">
        <f t="shared" si="182"/>
        <v>27.443398828135681</v>
      </c>
      <c r="G143" s="82">
        <f t="shared" si="182"/>
        <v>25.583143592396933</v>
      </c>
      <c r="H143" s="82">
        <f t="shared" si="182"/>
        <v>27.477528602519318</v>
      </c>
      <c r="I143" s="82">
        <f t="shared" si="182"/>
        <v>25.333203749675196</v>
      </c>
      <c r="J143" s="82">
        <f t="shared" si="182"/>
        <v>26.069950052516685</v>
      </c>
      <c r="K143" s="82">
        <f t="shared" si="182"/>
        <v>26.412501311492328</v>
      </c>
      <c r="L143" s="82">
        <f t="shared" si="182"/>
        <v>29.955953142021553</v>
      </c>
      <c r="M143" s="82">
        <f t="shared" si="182"/>
        <v>26.814997013432752</v>
      </c>
      <c r="N143" s="82">
        <f t="shared" si="182"/>
        <v>25.433397344602547</v>
      </c>
      <c r="O143" s="82">
        <f t="shared" si="182"/>
        <v>23.311968310617083</v>
      </c>
      <c r="P143" s="82">
        <f t="shared" si="182"/>
        <v>20.401693420563639</v>
      </c>
      <c r="Q143" s="82">
        <f t="shared" si="182"/>
        <v>20.523375169832196</v>
      </c>
      <c r="R143" s="82">
        <f t="shared" si="182"/>
        <v>21.922485878553054</v>
      </c>
      <c r="S143" s="82">
        <f t="shared" si="182"/>
        <v>18.630885608695674</v>
      </c>
      <c r="T143" s="82">
        <f t="shared" si="182"/>
        <v>17.145040530698047</v>
      </c>
      <c r="U143" s="82">
        <f t="shared" si="182"/>
        <v>15.423351647678793</v>
      </c>
      <c r="V143" s="82">
        <f t="shared" si="182"/>
        <v>14.242559347706413</v>
      </c>
      <c r="W143" s="82">
        <f t="shared" si="182"/>
        <v>18.052801989456885</v>
      </c>
      <c r="X143" s="82">
        <f t="shared" ref="X143:Y143" si="183">IF(X113=0,0,X113/X$26)</f>
        <v>13.814231561448199</v>
      </c>
      <c r="Y143" s="82">
        <f t="shared" si="183"/>
        <v>12.073808974301315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19.50551416786189</v>
      </c>
      <c r="C144" s="64">
        <f t="shared" ref="C144:W144" si="185">IF(C114=0,0,C114/C$26)</f>
        <v>21.265252089299395</v>
      </c>
      <c r="D144" s="64">
        <f t="shared" si="185"/>
        <v>28.142200391864559</v>
      </c>
      <c r="E144" s="64">
        <f t="shared" si="185"/>
        <v>29.030809680543673</v>
      </c>
      <c r="F144" s="64">
        <f t="shared" si="185"/>
        <v>27.443398828135681</v>
      </c>
      <c r="G144" s="64">
        <f t="shared" si="185"/>
        <v>25.583143592396933</v>
      </c>
      <c r="H144" s="64">
        <f t="shared" si="185"/>
        <v>27.477528602519318</v>
      </c>
      <c r="I144" s="64">
        <f t="shared" si="185"/>
        <v>25.333203749675196</v>
      </c>
      <c r="J144" s="64">
        <f t="shared" si="185"/>
        <v>26.069950052516685</v>
      </c>
      <c r="K144" s="64">
        <f t="shared" si="185"/>
        <v>26.412501311492328</v>
      </c>
      <c r="L144" s="64">
        <f t="shared" si="185"/>
        <v>29.955953142021553</v>
      </c>
      <c r="M144" s="64">
        <f t="shared" si="185"/>
        <v>26.814997013432752</v>
      </c>
      <c r="N144" s="64">
        <f t="shared" si="185"/>
        <v>25.433397344602547</v>
      </c>
      <c r="O144" s="64">
        <f t="shared" si="185"/>
        <v>23.311968310617083</v>
      </c>
      <c r="P144" s="64">
        <f t="shared" si="185"/>
        <v>20.401693420563639</v>
      </c>
      <c r="Q144" s="64">
        <f t="shared" si="185"/>
        <v>20.523375169832196</v>
      </c>
      <c r="R144" s="64">
        <f t="shared" si="185"/>
        <v>21.922485878553054</v>
      </c>
      <c r="S144" s="64">
        <f t="shared" si="185"/>
        <v>18.630885608695674</v>
      </c>
      <c r="T144" s="64">
        <f t="shared" si="185"/>
        <v>17.145040530698047</v>
      </c>
      <c r="U144" s="64">
        <f t="shared" si="185"/>
        <v>15.423351647678793</v>
      </c>
      <c r="V144" s="64">
        <f t="shared" si="185"/>
        <v>14.242559347706413</v>
      </c>
      <c r="W144" s="64">
        <f t="shared" si="185"/>
        <v>18.052801989456885</v>
      </c>
      <c r="X144" s="64">
        <f t="shared" ref="X144:Y144" si="186">IF(X114=0,0,X114/X$26)</f>
        <v>13.814231561448199</v>
      </c>
      <c r="Y144" s="64">
        <f t="shared" si="186"/>
        <v>12.073808974301315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17.613749832678835</v>
      </c>
      <c r="C145" s="65">
        <f t="shared" ref="C145:W145" si="188">IF(C115=0,0,C115/C$26)</f>
        <v>18.757495759112309</v>
      </c>
      <c r="D145" s="65">
        <f t="shared" si="188"/>
        <v>25.211758867895977</v>
      </c>
      <c r="E145" s="65">
        <f t="shared" si="188"/>
        <v>25.319785388813667</v>
      </c>
      <c r="F145" s="65">
        <f t="shared" si="188"/>
        <v>23.846467671910364</v>
      </c>
      <c r="G145" s="65">
        <f t="shared" si="188"/>
        <v>22.014069014199315</v>
      </c>
      <c r="H145" s="65">
        <f t="shared" si="188"/>
        <v>23.79683931562327</v>
      </c>
      <c r="I145" s="65">
        <f t="shared" si="188"/>
        <v>21.637183261550543</v>
      </c>
      <c r="J145" s="65">
        <f t="shared" si="188"/>
        <v>22.454996181860089</v>
      </c>
      <c r="K145" s="65">
        <f t="shared" si="188"/>
        <v>22.955864783180999</v>
      </c>
      <c r="L145" s="65">
        <f t="shared" si="188"/>
        <v>26.412014298650259</v>
      </c>
      <c r="M145" s="65">
        <f t="shared" si="188"/>
        <v>23.181649656213132</v>
      </c>
      <c r="N145" s="65">
        <f t="shared" si="188"/>
        <v>21.600211514266629</v>
      </c>
      <c r="O145" s="65">
        <f t="shared" si="188"/>
        <v>19.628491432063882</v>
      </c>
      <c r="P145" s="65">
        <f t="shared" si="188"/>
        <v>16.769271532862017</v>
      </c>
      <c r="Q145" s="65">
        <f t="shared" si="188"/>
        <v>16.867810686019109</v>
      </c>
      <c r="R145" s="65">
        <f t="shared" si="188"/>
        <v>18.319373962791332</v>
      </c>
      <c r="S145" s="65">
        <f t="shared" si="188"/>
        <v>15.440349248883226</v>
      </c>
      <c r="T145" s="65">
        <f t="shared" si="188"/>
        <v>14.288094295111133</v>
      </c>
      <c r="U145" s="65">
        <f t="shared" si="188"/>
        <v>12.718689779892783</v>
      </c>
      <c r="V145" s="65">
        <f t="shared" si="188"/>
        <v>12.010231708331416</v>
      </c>
      <c r="W145" s="65">
        <f t="shared" si="188"/>
        <v>15.230793411241997</v>
      </c>
      <c r="X145" s="65">
        <f t="shared" ref="X145:Y145" si="189">IF(X115=0,0,X115/X$26)</f>
        <v>11.308928247643145</v>
      </c>
      <c r="Y145" s="65">
        <f t="shared" si="189"/>
        <v>9.696809914580701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3.6056255011348106E-4</v>
      </c>
      <c r="C146" s="65">
        <f t="shared" ref="C146:W146" si="191">IF(C116=0,0,C116/C$26)</f>
        <v>3.8704862321305644E-4</v>
      </c>
      <c r="D146" s="65">
        <f t="shared" si="191"/>
        <v>4.5130833798600614E-4</v>
      </c>
      <c r="E146" s="65">
        <f t="shared" si="191"/>
        <v>4.9570127884259558E-4</v>
      </c>
      <c r="F146" s="65">
        <f t="shared" si="191"/>
        <v>5.9277072190934215E-4</v>
      </c>
      <c r="G146" s="65">
        <f t="shared" si="191"/>
        <v>7.0287225745451756E-4</v>
      </c>
      <c r="H146" s="65">
        <f t="shared" si="191"/>
        <v>8.2880224116246382E-4</v>
      </c>
      <c r="I146" s="65">
        <f t="shared" si="191"/>
        <v>9.6407657377759024E-4</v>
      </c>
      <c r="J146" s="65">
        <f t="shared" si="191"/>
        <v>1.0364407770359838E-3</v>
      </c>
      <c r="K146" s="65">
        <f t="shared" si="191"/>
        <v>1.1504803190072576E-3</v>
      </c>
      <c r="L146" s="65">
        <f t="shared" si="191"/>
        <v>1.3810664995278466E-3</v>
      </c>
      <c r="M146" s="65">
        <f t="shared" si="191"/>
        <v>1.3993423528193163E-3</v>
      </c>
      <c r="N146" s="65">
        <f t="shared" si="191"/>
        <v>1.6445703760059626E-3</v>
      </c>
      <c r="O146" s="65">
        <f t="shared" si="191"/>
        <v>2.0115161694330853E-3</v>
      </c>
      <c r="P146" s="65">
        <f t="shared" si="191"/>
        <v>2.5886063547263275E-3</v>
      </c>
      <c r="Q146" s="65">
        <f t="shared" si="191"/>
        <v>3.5411108179290037E-3</v>
      </c>
      <c r="R146" s="65">
        <f t="shared" si="191"/>
        <v>4.4549322198852489E-3</v>
      </c>
      <c r="S146" s="65">
        <f t="shared" si="191"/>
        <v>5.209952015079857E-3</v>
      </c>
      <c r="T146" s="65">
        <f t="shared" si="191"/>
        <v>5.841670897741894E-3</v>
      </c>
      <c r="U146" s="65">
        <f t="shared" si="191"/>
        <v>6.6608235622644977E-3</v>
      </c>
      <c r="V146" s="65">
        <f t="shared" si="191"/>
        <v>5.6867279176596782E-3</v>
      </c>
      <c r="W146" s="65">
        <f t="shared" si="191"/>
        <v>6.0595347023840217E-3</v>
      </c>
      <c r="X146" s="65">
        <f t="shared" ref="X146:Y146" si="192">IF(X116=0,0,X116/X$26)</f>
        <v>6.7083282301544723E-3</v>
      </c>
      <c r="Y146" s="65">
        <f t="shared" si="192"/>
        <v>6.3793558257339341E-3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1.154983407253221</v>
      </c>
      <c r="C147" s="65">
        <f t="shared" ref="C147:W147" si="194">IF(C117=0,0,C117/C$26)</f>
        <v>1.5190015490516289</v>
      </c>
      <c r="D147" s="65">
        <f t="shared" si="194"/>
        <v>1.7728710201588962</v>
      </c>
      <c r="E147" s="65">
        <f t="shared" si="194"/>
        <v>2.2847979734642743</v>
      </c>
      <c r="F147" s="65">
        <f t="shared" si="194"/>
        <v>2.1664564971172733</v>
      </c>
      <c r="G147" s="65">
        <f t="shared" si="194"/>
        <v>2.0439334000989162</v>
      </c>
      <c r="H147" s="65">
        <f t="shared" si="194"/>
        <v>2.0757481664577955</v>
      </c>
      <c r="I147" s="65">
        <f t="shared" si="194"/>
        <v>2.0902887153665994</v>
      </c>
      <c r="J147" s="65">
        <f t="shared" si="194"/>
        <v>2.0904166644122504</v>
      </c>
      <c r="K147" s="65">
        <f t="shared" si="194"/>
        <v>2.0301603503711743</v>
      </c>
      <c r="L147" s="65">
        <f t="shared" si="194"/>
        <v>2.1606907196438936</v>
      </c>
      <c r="M147" s="65">
        <f t="shared" si="194"/>
        <v>2.108903675959473</v>
      </c>
      <c r="N147" s="65">
        <f t="shared" si="194"/>
        <v>2.1940199901913853</v>
      </c>
      <c r="O147" s="65">
        <f t="shared" si="194"/>
        <v>2.0118388987063542</v>
      </c>
      <c r="P147" s="65">
        <f t="shared" si="194"/>
        <v>2.0187417622492827</v>
      </c>
      <c r="Q147" s="65">
        <f t="shared" si="194"/>
        <v>1.9833463689403177</v>
      </c>
      <c r="R147" s="65">
        <f t="shared" si="194"/>
        <v>2.000413696272068</v>
      </c>
      <c r="S147" s="65">
        <f t="shared" si="194"/>
        <v>1.6980818952389205</v>
      </c>
      <c r="T147" s="65">
        <f t="shared" si="194"/>
        <v>1.4459257767380358</v>
      </c>
      <c r="U147" s="65">
        <f t="shared" si="194"/>
        <v>1.2581472680259695</v>
      </c>
      <c r="V147" s="65">
        <f t="shared" si="194"/>
        <v>1.086390087238386</v>
      </c>
      <c r="W147" s="65">
        <f t="shared" si="194"/>
        <v>1.3023899393085943</v>
      </c>
      <c r="X147" s="65">
        <f t="shared" ref="X147:Y147" si="195">IF(X117=0,0,X117/X$26)</f>
        <v>1.0362870284839412</v>
      </c>
      <c r="Y147" s="65">
        <f t="shared" si="195"/>
        <v>0.92268728456256544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0.73642036537972033</v>
      </c>
      <c r="C148" s="67">
        <f t="shared" ref="C148:W148" si="197">IF(C118=0,0,C118/C$26)</f>
        <v>0.98836773251224586</v>
      </c>
      <c r="D148" s="67">
        <f t="shared" si="197"/>
        <v>1.1571191954716988</v>
      </c>
      <c r="E148" s="67">
        <f t="shared" si="197"/>
        <v>1.4257306169868889</v>
      </c>
      <c r="F148" s="67">
        <f t="shared" si="197"/>
        <v>1.42988188838613</v>
      </c>
      <c r="G148" s="67">
        <f t="shared" si="197"/>
        <v>1.5244383058412505</v>
      </c>
      <c r="H148" s="67">
        <f t="shared" si="197"/>
        <v>1.6041123181970909</v>
      </c>
      <c r="I148" s="67">
        <f t="shared" si="197"/>
        <v>1.6047676961842734</v>
      </c>
      <c r="J148" s="67">
        <f t="shared" si="197"/>
        <v>1.5235007654673089</v>
      </c>
      <c r="K148" s="67">
        <f t="shared" si="197"/>
        <v>1.4253256976211472</v>
      </c>
      <c r="L148" s="67">
        <f t="shared" si="197"/>
        <v>1.3818670572278628</v>
      </c>
      <c r="M148" s="67">
        <f t="shared" si="197"/>
        <v>1.5230443389073298</v>
      </c>
      <c r="N148" s="67">
        <f t="shared" si="197"/>
        <v>1.6375212697685326</v>
      </c>
      <c r="O148" s="67">
        <f t="shared" si="197"/>
        <v>1.669626463677411</v>
      </c>
      <c r="P148" s="67">
        <f t="shared" si="197"/>
        <v>1.6110915190976123</v>
      </c>
      <c r="Q148" s="67">
        <f t="shared" si="197"/>
        <v>1.6686770040548402</v>
      </c>
      <c r="R148" s="67">
        <f t="shared" si="197"/>
        <v>1.5982432872697685</v>
      </c>
      <c r="S148" s="67">
        <f t="shared" si="197"/>
        <v>1.4872445125584473</v>
      </c>
      <c r="T148" s="67">
        <f t="shared" si="197"/>
        <v>1.4051787879511362</v>
      </c>
      <c r="U148" s="67">
        <f t="shared" si="197"/>
        <v>1.4398537761977748</v>
      </c>
      <c r="V148" s="67">
        <f t="shared" si="197"/>
        <v>1.1402508242189515</v>
      </c>
      <c r="W148" s="67">
        <f t="shared" si="197"/>
        <v>1.5135591042039105</v>
      </c>
      <c r="X148" s="67">
        <f t="shared" ref="X148:Y148" si="198">IF(X118=0,0,X118/X$26)</f>
        <v>1.4623079570909583</v>
      </c>
      <c r="Y148" s="67">
        <f t="shared" si="198"/>
        <v>1.4479324193323151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7598.1392680150129</v>
      </c>
      <c r="C153" s="82">
        <f t="shared" ref="C153:W153" si="203">IF(C99=0,0,C99/C$23)</f>
        <v>8499.0779769475776</v>
      </c>
      <c r="D153" s="82">
        <f t="shared" si="203"/>
        <v>9619.4230063099949</v>
      </c>
      <c r="E153" s="82">
        <f t="shared" si="203"/>
        <v>9924.5277080535816</v>
      </c>
      <c r="F153" s="82">
        <f t="shared" si="203"/>
        <v>10456.362755664239</v>
      </c>
      <c r="G153" s="82">
        <f t="shared" si="203"/>
        <v>10169.666283898328</v>
      </c>
      <c r="H153" s="82">
        <f t="shared" si="203"/>
        <v>10738.644867999956</v>
      </c>
      <c r="I153" s="82">
        <f t="shared" si="203"/>
        <v>9735.8358735377642</v>
      </c>
      <c r="J153" s="82">
        <f t="shared" si="203"/>
        <v>10559.116875745052</v>
      </c>
      <c r="K153" s="82">
        <f t="shared" si="203"/>
        <v>10328.514597403782</v>
      </c>
      <c r="L153" s="82">
        <f t="shared" si="203"/>
        <v>11448.119783947739</v>
      </c>
      <c r="M153" s="82">
        <f t="shared" si="203"/>
        <v>10894.451221053889</v>
      </c>
      <c r="N153" s="82">
        <f t="shared" si="203"/>
        <v>10661.268574851594</v>
      </c>
      <c r="O153" s="82">
        <f t="shared" si="203"/>
        <v>10203.448969201596</v>
      </c>
      <c r="P153" s="82">
        <f t="shared" si="203"/>
        <v>9567.0139855287853</v>
      </c>
      <c r="Q153" s="82">
        <f t="shared" si="203"/>
        <v>9482.6153460686855</v>
      </c>
      <c r="R153" s="82">
        <f t="shared" si="203"/>
        <v>10158.793043006197</v>
      </c>
      <c r="S153" s="82">
        <f t="shared" si="203"/>
        <v>9460.6563433088613</v>
      </c>
      <c r="T153" s="82">
        <f t="shared" si="203"/>
        <v>9218.4989496506114</v>
      </c>
      <c r="U153" s="82">
        <f t="shared" si="203"/>
        <v>8699.0922232648136</v>
      </c>
      <c r="V153" s="82">
        <f t="shared" si="203"/>
        <v>8391.9114943703553</v>
      </c>
      <c r="W153" s="82">
        <f t="shared" si="203"/>
        <v>8884.3382363072342</v>
      </c>
      <c r="X153" s="82">
        <f t="shared" ref="X153:Y153" si="204">IF(X99=0,0,X99/X$23)</f>
        <v>8315.8419247287766</v>
      </c>
      <c r="Y153" s="82">
        <f t="shared" si="204"/>
        <v>8025.5575465774273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5802.3086473191725</v>
      </c>
      <c r="C154" s="64">
        <f t="shared" ref="C154:W154" si="206">IF(C100=0,0,C100/C$23)</f>
        <v>6574.1604155405957</v>
      </c>
      <c r="D154" s="64">
        <f t="shared" si="206"/>
        <v>7621.5894170669017</v>
      </c>
      <c r="E154" s="64">
        <f t="shared" si="206"/>
        <v>7843.1431175824446</v>
      </c>
      <c r="F154" s="64">
        <f t="shared" si="206"/>
        <v>8276.3234036062404</v>
      </c>
      <c r="G154" s="64">
        <f t="shared" si="206"/>
        <v>7935.720869107442</v>
      </c>
      <c r="H154" s="64">
        <f t="shared" si="206"/>
        <v>8487.8463363064111</v>
      </c>
      <c r="I154" s="64">
        <f t="shared" si="206"/>
        <v>7473.6115651197842</v>
      </c>
      <c r="J154" s="64">
        <f t="shared" si="206"/>
        <v>8263.1340907545964</v>
      </c>
      <c r="K154" s="64">
        <f t="shared" si="206"/>
        <v>8010.9959876121366</v>
      </c>
      <c r="L154" s="64">
        <f t="shared" si="206"/>
        <v>9062.4543768232725</v>
      </c>
      <c r="M154" s="64">
        <f t="shared" si="206"/>
        <v>8456.8657691363424</v>
      </c>
      <c r="N154" s="64">
        <f t="shared" si="206"/>
        <v>8206.5449079748178</v>
      </c>
      <c r="O154" s="64">
        <f t="shared" si="206"/>
        <v>7726.7413573753302</v>
      </c>
      <c r="P154" s="64">
        <f t="shared" si="206"/>
        <v>7084.525489909789</v>
      </c>
      <c r="Q154" s="64">
        <f t="shared" si="206"/>
        <v>6968.4633614881186</v>
      </c>
      <c r="R154" s="64">
        <f t="shared" si="206"/>
        <v>7616.5725705794721</v>
      </c>
      <c r="S154" s="64">
        <f t="shared" si="206"/>
        <v>6950.9713677194786</v>
      </c>
      <c r="T154" s="64">
        <f t="shared" si="206"/>
        <v>6753.3692614771116</v>
      </c>
      <c r="U154" s="64">
        <f t="shared" si="206"/>
        <v>6370.4325336646534</v>
      </c>
      <c r="V154" s="64">
        <f t="shared" si="206"/>
        <v>6117.3438830197356</v>
      </c>
      <c r="W154" s="64">
        <f t="shared" si="206"/>
        <v>6648.7509668747525</v>
      </c>
      <c r="X154" s="64">
        <f t="shared" ref="X154:Y154" si="207">IF(X100=0,0,X100/X$23)</f>
        <v>6154.9362076617263</v>
      </c>
      <c r="Y154" s="64">
        <f t="shared" si="207"/>
        <v>5953.6910293280798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4621.0228324372392</v>
      </c>
      <c r="C155" s="65">
        <f t="shared" ref="C155:W155" si="209">IF(C101=0,0,C101/C$23)</f>
        <v>5198.7632499927877</v>
      </c>
      <c r="D155" s="65">
        <f t="shared" si="209"/>
        <v>6013.1505898684318</v>
      </c>
      <c r="E155" s="65">
        <f t="shared" si="209"/>
        <v>6066.3010872492068</v>
      </c>
      <c r="F155" s="65">
        <f t="shared" si="209"/>
        <v>6414.2118345705985</v>
      </c>
      <c r="G155" s="65">
        <f t="shared" si="209"/>
        <v>6063.5649908727937</v>
      </c>
      <c r="H155" s="65">
        <f t="shared" si="209"/>
        <v>6571.0487337516752</v>
      </c>
      <c r="I155" s="65">
        <f t="shared" si="209"/>
        <v>5492.658696811709</v>
      </c>
      <c r="J155" s="65">
        <f t="shared" si="209"/>
        <v>6240.1797763544555</v>
      </c>
      <c r="K155" s="65">
        <f t="shared" si="209"/>
        <v>6014.7632201751412</v>
      </c>
      <c r="L155" s="65">
        <f t="shared" si="209"/>
        <v>7024.7661242506838</v>
      </c>
      <c r="M155" s="65">
        <f t="shared" si="209"/>
        <v>6372.0579800011055</v>
      </c>
      <c r="N155" s="65">
        <f t="shared" si="209"/>
        <v>6103.5895476408487</v>
      </c>
      <c r="O155" s="65">
        <f t="shared" si="209"/>
        <v>5617.3467853838156</v>
      </c>
      <c r="P155" s="65">
        <f t="shared" si="209"/>
        <v>4993.2900736175134</v>
      </c>
      <c r="Q155" s="65">
        <f t="shared" si="209"/>
        <v>4866.5767577177558</v>
      </c>
      <c r="R155" s="65">
        <f t="shared" si="209"/>
        <v>5526.2663222789206</v>
      </c>
      <c r="S155" s="65">
        <f t="shared" si="209"/>
        <v>4927.0068228507707</v>
      </c>
      <c r="T155" s="65">
        <f t="shared" si="209"/>
        <v>4755.3767663299695</v>
      </c>
      <c r="U155" s="65">
        <f t="shared" si="209"/>
        <v>4460.1874275801792</v>
      </c>
      <c r="V155" s="65">
        <f t="shared" si="209"/>
        <v>4353.3627008961885</v>
      </c>
      <c r="W155" s="65">
        <f t="shared" si="209"/>
        <v>4864.2275486600629</v>
      </c>
      <c r="X155" s="65">
        <f t="shared" ref="X155:Y155" si="210">IF(X101=0,0,X101/X$23)</f>
        <v>4381.1409557672796</v>
      </c>
      <c r="Y155" s="65">
        <f t="shared" si="210"/>
        <v>4239.4962211405955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31.015624176537706</v>
      </c>
      <c r="C156" s="65">
        <f t="shared" ref="C156:W156" si="212">IF(C102=0,0,C102/C$23)</f>
        <v>31.682233802151202</v>
      </c>
      <c r="D156" s="65">
        <f t="shared" si="212"/>
        <v>32.870384834727567</v>
      </c>
      <c r="E156" s="65">
        <f t="shared" si="212"/>
        <v>33.049321025306625</v>
      </c>
      <c r="F156" s="65">
        <f t="shared" si="212"/>
        <v>34.548745399758374</v>
      </c>
      <c r="G156" s="65">
        <f t="shared" si="212"/>
        <v>36.101851792948494</v>
      </c>
      <c r="H156" s="65">
        <f t="shared" si="212"/>
        <v>39.547499995941905</v>
      </c>
      <c r="I156" s="65">
        <f t="shared" si="212"/>
        <v>40.313022138244932</v>
      </c>
      <c r="J156" s="65">
        <f t="shared" si="212"/>
        <v>41.225434096313045</v>
      </c>
      <c r="K156" s="65">
        <f t="shared" si="212"/>
        <v>44.065445679399708</v>
      </c>
      <c r="L156" s="65">
        <f t="shared" si="212"/>
        <v>53.128472448140023</v>
      </c>
      <c r="M156" s="65">
        <f t="shared" si="212"/>
        <v>49.2005371800063</v>
      </c>
      <c r="N156" s="65">
        <f t="shared" si="212"/>
        <v>52.405192759456135</v>
      </c>
      <c r="O156" s="65">
        <f t="shared" si="212"/>
        <v>51.826009838247913</v>
      </c>
      <c r="P156" s="65">
        <f t="shared" si="212"/>
        <v>49.919090149376316</v>
      </c>
      <c r="Q156" s="65">
        <f t="shared" si="212"/>
        <v>56.64965643382218</v>
      </c>
      <c r="R156" s="65">
        <f t="shared" si="212"/>
        <v>47.772173777112059</v>
      </c>
      <c r="S156" s="65">
        <f t="shared" si="212"/>
        <v>46.826154661400139</v>
      </c>
      <c r="T156" s="65">
        <f t="shared" si="212"/>
        <v>47.732272511493257</v>
      </c>
      <c r="U156" s="65">
        <f t="shared" si="212"/>
        <v>49.907063794233906</v>
      </c>
      <c r="V156" s="65">
        <f t="shared" si="212"/>
        <v>43.043603140764581</v>
      </c>
      <c r="W156" s="65">
        <f t="shared" si="212"/>
        <v>43.473626424459468</v>
      </c>
      <c r="X156" s="65">
        <f t="shared" ref="X156:Y156" si="213">IF(X102=0,0,X102/X$23)</f>
        <v>44.916958866768596</v>
      </c>
      <c r="Y156" s="65">
        <f t="shared" si="213"/>
        <v>41.773863071356402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535.54673781603265</v>
      </c>
      <c r="C157" s="65">
        <f t="shared" ref="C157:W157" si="215">IF(C103=0,0,C103/C$23)</f>
        <v>606.53721151819786</v>
      </c>
      <c r="D157" s="65">
        <f t="shared" si="215"/>
        <v>732.01546053170455</v>
      </c>
      <c r="E157" s="65">
        <f t="shared" si="215"/>
        <v>796.90173176313351</v>
      </c>
      <c r="F157" s="65">
        <f t="shared" si="215"/>
        <v>855.03362164312432</v>
      </c>
      <c r="G157" s="65">
        <f t="shared" si="215"/>
        <v>851.97253519090157</v>
      </c>
      <c r="H157" s="65">
        <f t="shared" si="215"/>
        <v>884.99566392497934</v>
      </c>
      <c r="I157" s="65">
        <f t="shared" si="215"/>
        <v>923.78050633303235</v>
      </c>
      <c r="J157" s="65">
        <f t="shared" si="215"/>
        <v>947.98834892404784</v>
      </c>
      <c r="K157" s="65">
        <f t="shared" si="215"/>
        <v>945.80125236269816</v>
      </c>
      <c r="L157" s="65">
        <f t="shared" si="215"/>
        <v>958.16976698416693</v>
      </c>
      <c r="M157" s="65">
        <f t="shared" si="215"/>
        <v>977.52767178990484</v>
      </c>
      <c r="N157" s="65">
        <f t="shared" si="215"/>
        <v>993.04761950844852</v>
      </c>
      <c r="O157" s="65">
        <f t="shared" si="215"/>
        <v>1003.349561453947</v>
      </c>
      <c r="P157" s="65">
        <f t="shared" si="215"/>
        <v>993.84157111245383</v>
      </c>
      <c r="Q157" s="65">
        <f t="shared" si="215"/>
        <v>1001.6529051959791</v>
      </c>
      <c r="R157" s="65">
        <f t="shared" si="215"/>
        <v>1010.0969967749627</v>
      </c>
      <c r="S157" s="65">
        <f t="shared" si="215"/>
        <v>976.00260863237895</v>
      </c>
      <c r="T157" s="65">
        <f t="shared" si="215"/>
        <v>949.23469045922161</v>
      </c>
      <c r="U157" s="65">
        <f t="shared" si="215"/>
        <v>898.25495675401953</v>
      </c>
      <c r="V157" s="65">
        <f t="shared" si="215"/>
        <v>826.51337173890533</v>
      </c>
      <c r="W157" s="65">
        <f t="shared" si="215"/>
        <v>857.02420867798821</v>
      </c>
      <c r="X157" s="65">
        <f t="shared" ref="X157:Y157" si="216">IF(X103=0,0,X103/X$23)</f>
        <v>836.21874814075227</v>
      </c>
      <c r="Y157" s="65">
        <f t="shared" si="216"/>
        <v>795.41743897975914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614.72345288936378</v>
      </c>
      <c r="C158" s="67">
        <f t="shared" ref="C158:W158" si="218">IF(C104=0,0,C104/C$23)</f>
        <v>737.17772022745919</v>
      </c>
      <c r="D158" s="67">
        <f t="shared" si="218"/>
        <v>843.55298183203797</v>
      </c>
      <c r="E158" s="67">
        <f t="shared" si="218"/>
        <v>946.89097754479769</v>
      </c>
      <c r="F158" s="67">
        <f t="shared" si="218"/>
        <v>972.52920199275786</v>
      </c>
      <c r="G158" s="67">
        <f t="shared" si="218"/>
        <v>984.08149125079819</v>
      </c>
      <c r="H158" s="67">
        <f t="shared" si="218"/>
        <v>992.25443863381156</v>
      </c>
      <c r="I158" s="67">
        <f t="shared" si="218"/>
        <v>1016.8593398367975</v>
      </c>
      <c r="J158" s="67">
        <f t="shared" si="218"/>
        <v>1033.7405313797794</v>
      </c>
      <c r="K158" s="67">
        <f t="shared" si="218"/>
        <v>1006.366069394897</v>
      </c>
      <c r="L158" s="67">
        <f t="shared" si="218"/>
        <v>1026.3900131402834</v>
      </c>
      <c r="M158" s="67">
        <f t="shared" si="218"/>
        <v>1058.0795801653228</v>
      </c>
      <c r="N158" s="67">
        <f t="shared" si="218"/>
        <v>1057.5025480660654</v>
      </c>
      <c r="O158" s="67">
        <f t="shared" si="218"/>
        <v>1054.2190006993205</v>
      </c>
      <c r="P158" s="67">
        <f t="shared" si="218"/>
        <v>1047.474755030446</v>
      </c>
      <c r="Q158" s="67">
        <f t="shared" si="218"/>
        <v>1043.5840421405621</v>
      </c>
      <c r="R158" s="67">
        <f t="shared" si="218"/>
        <v>1032.4370777484762</v>
      </c>
      <c r="S158" s="67">
        <f t="shared" si="218"/>
        <v>1001.1357815749282</v>
      </c>
      <c r="T158" s="67">
        <f t="shared" si="218"/>
        <v>1001.0255321764291</v>
      </c>
      <c r="U158" s="67">
        <f t="shared" si="218"/>
        <v>962.08308553622078</v>
      </c>
      <c r="V158" s="67">
        <f t="shared" si="218"/>
        <v>894.4242072438775</v>
      </c>
      <c r="W158" s="67">
        <f t="shared" si="218"/>
        <v>884.02558311224288</v>
      </c>
      <c r="X158" s="67">
        <f t="shared" ref="X158:Y158" si="219">IF(X104=0,0,X104/X$23)</f>
        <v>892.6595448869233</v>
      </c>
      <c r="Y158" s="67">
        <f t="shared" si="219"/>
        <v>877.00350613636965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1795.8306206958398</v>
      </c>
      <c r="C159" s="68">
        <f t="shared" ref="C159:W159" si="221">IF(C105=0,0,C105/C$23)</f>
        <v>1924.9175614069802</v>
      </c>
      <c r="D159" s="68">
        <f t="shared" si="221"/>
        <v>1997.833589243093</v>
      </c>
      <c r="E159" s="68">
        <f t="shared" si="221"/>
        <v>2081.384590471137</v>
      </c>
      <c r="F159" s="68">
        <f t="shared" si="221"/>
        <v>2180.039352058001</v>
      </c>
      <c r="G159" s="68">
        <f t="shared" si="221"/>
        <v>2233.9454147908855</v>
      </c>
      <c r="H159" s="68">
        <f t="shared" si="221"/>
        <v>2250.798531693546</v>
      </c>
      <c r="I159" s="68">
        <f t="shared" si="221"/>
        <v>2262.2243084179822</v>
      </c>
      <c r="J159" s="68">
        <f t="shared" si="221"/>
        <v>2295.982784990455</v>
      </c>
      <c r="K159" s="68">
        <f t="shared" si="221"/>
        <v>2317.5186097916458</v>
      </c>
      <c r="L159" s="68">
        <f t="shared" si="221"/>
        <v>2385.6654071244657</v>
      </c>
      <c r="M159" s="68">
        <f t="shared" si="221"/>
        <v>2437.5854519175496</v>
      </c>
      <c r="N159" s="68">
        <f t="shared" si="221"/>
        <v>2454.7236668767755</v>
      </c>
      <c r="O159" s="68">
        <f t="shared" si="221"/>
        <v>2476.7076118262662</v>
      </c>
      <c r="P159" s="68">
        <f t="shared" si="221"/>
        <v>2482.4884956189967</v>
      </c>
      <c r="Q159" s="68">
        <f t="shared" si="221"/>
        <v>2514.151984580566</v>
      </c>
      <c r="R159" s="68">
        <f t="shared" si="221"/>
        <v>2542.2204724267244</v>
      </c>
      <c r="S159" s="68">
        <f t="shared" si="221"/>
        <v>2509.6849755893832</v>
      </c>
      <c r="T159" s="68">
        <f t="shared" si="221"/>
        <v>2465.1296881734979</v>
      </c>
      <c r="U159" s="68">
        <f t="shared" si="221"/>
        <v>2328.6596896001588</v>
      </c>
      <c r="V159" s="68">
        <f t="shared" si="221"/>
        <v>2274.5676113506188</v>
      </c>
      <c r="W159" s="68">
        <f t="shared" si="221"/>
        <v>2235.5872694324808</v>
      </c>
      <c r="X159" s="68">
        <f t="shared" ref="X159:Y159" si="222">IF(X105=0,0,X105/X$23)</f>
        <v>2160.9057170670517</v>
      </c>
      <c r="Y159" s="68">
        <f t="shared" si="222"/>
        <v>2071.866517249347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3540.1800892096894</v>
      </c>
      <c r="C161" s="85">
        <f t="shared" ref="C161:W161" si="224">IF(C107=0,0,C107/C$23)</f>
        <v>4033.341422038593</v>
      </c>
      <c r="D161" s="85">
        <f t="shared" si="224"/>
        <v>4663.0171511683566</v>
      </c>
      <c r="E161" s="85">
        <f t="shared" si="224"/>
        <v>4809.9183973519584</v>
      </c>
      <c r="F161" s="85">
        <f t="shared" si="224"/>
        <v>5211.9241108795668</v>
      </c>
      <c r="G161" s="85">
        <f t="shared" si="224"/>
        <v>5052.8513997453038</v>
      </c>
      <c r="H161" s="85">
        <f t="shared" si="224"/>
        <v>5506.75079248986</v>
      </c>
      <c r="I161" s="85">
        <f t="shared" si="224"/>
        <v>4834.9463385075796</v>
      </c>
      <c r="J161" s="85">
        <f t="shared" si="224"/>
        <v>5478.926768425521</v>
      </c>
      <c r="K161" s="85">
        <f t="shared" si="224"/>
        <v>5326.0849203805183</v>
      </c>
      <c r="L161" s="85">
        <f t="shared" si="224"/>
        <v>6070.9955553797581</v>
      </c>
      <c r="M161" s="85">
        <f t="shared" si="224"/>
        <v>5725.6008950643254</v>
      </c>
      <c r="N161" s="85">
        <f t="shared" si="224"/>
        <v>5658.9594899912117</v>
      </c>
      <c r="O161" s="85">
        <f t="shared" si="224"/>
        <v>5418.9299718667062</v>
      </c>
      <c r="P161" s="85">
        <f t="shared" si="224"/>
        <v>5035.3345181564173</v>
      </c>
      <c r="Q161" s="85">
        <f t="shared" si="224"/>
        <v>4986.3592079386253</v>
      </c>
      <c r="R161" s="85">
        <f t="shared" si="224"/>
        <v>5476.5495651483043</v>
      </c>
      <c r="S161" s="85">
        <f t="shared" si="224"/>
        <v>5120.11122695628</v>
      </c>
      <c r="T161" s="85">
        <f t="shared" si="224"/>
        <v>5050.4604085133215</v>
      </c>
      <c r="U161" s="85">
        <f t="shared" si="224"/>
        <v>4866.4289152063648</v>
      </c>
      <c r="V161" s="85">
        <f t="shared" si="224"/>
        <v>4747.2422025341421</v>
      </c>
      <c r="W161" s="85">
        <f t="shared" si="224"/>
        <v>5166.6361688169354</v>
      </c>
      <c r="X161" s="85">
        <f t="shared" ref="X161:Y161" si="225">IF(X107=0,0,X107/X$23)</f>
        <v>4942.291483460489</v>
      </c>
      <c r="Y161" s="85">
        <f t="shared" si="225"/>
        <v>4882.791618955127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2703.2869500351926</v>
      </c>
      <c r="C162" s="65">
        <f t="shared" ref="C162:W162" si="227">IF(C108=0,0,C108/C$23)</f>
        <v>3065.2116620053716</v>
      </c>
      <c r="D162" s="65">
        <f t="shared" si="227"/>
        <v>3531.2092182837628</v>
      </c>
      <c r="E162" s="65">
        <f t="shared" si="227"/>
        <v>3566.5461147893234</v>
      </c>
      <c r="F162" s="65">
        <f t="shared" si="227"/>
        <v>3894.9764092685368</v>
      </c>
      <c r="G162" s="65">
        <f t="shared" si="227"/>
        <v>3716.8669320496906</v>
      </c>
      <c r="H162" s="65">
        <f t="shared" si="227"/>
        <v>4126.5225341861078</v>
      </c>
      <c r="I162" s="65">
        <f t="shared" si="227"/>
        <v>3394.3490225627111</v>
      </c>
      <c r="J162" s="65">
        <f t="shared" si="227"/>
        <v>3991.1408181859006</v>
      </c>
      <c r="K162" s="65">
        <f t="shared" si="227"/>
        <v>3839.2965069799188</v>
      </c>
      <c r="L162" s="65">
        <f t="shared" si="227"/>
        <v>4526.3230807549262</v>
      </c>
      <c r="M162" s="65">
        <f t="shared" si="227"/>
        <v>4149.8274243374381</v>
      </c>
      <c r="N162" s="65">
        <f t="shared" si="227"/>
        <v>4057.3091682378767</v>
      </c>
      <c r="O162" s="65">
        <f t="shared" si="227"/>
        <v>3797.4416213901241</v>
      </c>
      <c r="P162" s="65">
        <f t="shared" si="227"/>
        <v>3418.2259340922287</v>
      </c>
      <c r="Q162" s="65">
        <f t="shared" si="227"/>
        <v>3331.265272451059</v>
      </c>
      <c r="R162" s="65">
        <f t="shared" si="227"/>
        <v>3833.5947284374934</v>
      </c>
      <c r="S162" s="65">
        <f t="shared" si="227"/>
        <v>3498.3593542382519</v>
      </c>
      <c r="T162" s="65">
        <f t="shared" si="227"/>
        <v>3419.6419021513125</v>
      </c>
      <c r="U162" s="65">
        <f t="shared" si="227"/>
        <v>3271.046498394192</v>
      </c>
      <c r="V162" s="65">
        <f t="shared" si="227"/>
        <v>3250.8856464266828</v>
      </c>
      <c r="W162" s="65">
        <f t="shared" si="227"/>
        <v>3649.8566140054577</v>
      </c>
      <c r="X162" s="65">
        <f t="shared" ref="X162:Y162" si="228">IF(X108=0,0,X108/X$23)</f>
        <v>3399.9569927777598</v>
      </c>
      <c r="Y162" s="65">
        <f t="shared" si="228"/>
        <v>3376.7492082903373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56.91715446503251</v>
      </c>
      <c r="C163" s="65">
        <f t="shared" ref="C163:W163" si="230">IF(C109=0,0,C109/C$23)</f>
        <v>59.822124666214258</v>
      </c>
      <c r="D163" s="65">
        <f t="shared" si="230"/>
        <v>64.670281101072703</v>
      </c>
      <c r="E163" s="65">
        <f t="shared" si="230"/>
        <v>68.096001518338014</v>
      </c>
      <c r="F163" s="65">
        <f t="shared" si="230"/>
        <v>75.152740227098292</v>
      </c>
      <c r="G163" s="65">
        <f t="shared" si="230"/>
        <v>82.973258501217501</v>
      </c>
      <c r="H163" s="65">
        <f t="shared" si="230"/>
        <v>96.33981363564385</v>
      </c>
      <c r="I163" s="65">
        <f t="shared" si="230"/>
        <v>104.2030572439614</v>
      </c>
      <c r="J163" s="65">
        <f t="shared" si="230"/>
        <v>112.46943930279431</v>
      </c>
      <c r="K163" s="65">
        <f t="shared" si="230"/>
        <v>122.82204355288803</v>
      </c>
      <c r="L163" s="65">
        <f t="shared" si="230"/>
        <v>151.54856859480086</v>
      </c>
      <c r="M163" s="65">
        <f t="shared" si="230"/>
        <v>144.61715014660024</v>
      </c>
      <c r="N163" s="65">
        <f t="shared" si="230"/>
        <v>158.91311383188346</v>
      </c>
      <c r="O163" s="65">
        <f t="shared" si="230"/>
        <v>161.97345162162122</v>
      </c>
      <c r="P163" s="65">
        <f t="shared" si="230"/>
        <v>161.55127372068247</v>
      </c>
      <c r="Q163" s="65">
        <f t="shared" si="230"/>
        <v>190.37544453532013</v>
      </c>
      <c r="R163" s="65">
        <f t="shared" si="230"/>
        <v>165.96584140482142</v>
      </c>
      <c r="S163" s="65">
        <f t="shared" si="230"/>
        <v>168.36343864036132</v>
      </c>
      <c r="T163" s="65">
        <f t="shared" si="230"/>
        <v>177.04910164708662</v>
      </c>
      <c r="U163" s="65">
        <f t="shared" si="230"/>
        <v>189.95549879776351</v>
      </c>
      <c r="V163" s="65">
        <f t="shared" si="230"/>
        <v>167.65579124601072</v>
      </c>
      <c r="W163" s="65">
        <f t="shared" si="230"/>
        <v>172.73763423546001</v>
      </c>
      <c r="X163" s="65">
        <f t="shared" ref="X163:Y163" si="231">IF(X109=0,0,X109/X$23)</f>
        <v>180.99288175950028</v>
      </c>
      <c r="Y163" s="65">
        <f t="shared" si="231"/>
        <v>170.30959989229356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334.06385250662333</v>
      </c>
      <c r="C164" s="65">
        <f t="shared" ref="C164:W164" si="233">IF(C110=0,0,C110/C$23)</f>
        <v>376.99029743727442</v>
      </c>
      <c r="D164" s="65">
        <f t="shared" si="233"/>
        <v>458.92465161983012</v>
      </c>
      <c r="E164" s="65">
        <f t="shared" si="233"/>
        <v>495.76231222285026</v>
      </c>
      <c r="F164" s="65">
        <f t="shared" si="233"/>
        <v>542.24362854091578</v>
      </c>
      <c r="G164" s="65">
        <f t="shared" si="233"/>
        <v>546.24982430615648</v>
      </c>
      <c r="H164" s="65">
        <f t="shared" si="233"/>
        <v>571.13624288641392</v>
      </c>
      <c r="I164" s="65">
        <f t="shared" si="233"/>
        <v>601.89583651231737</v>
      </c>
      <c r="J164" s="65">
        <f t="shared" si="233"/>
        <v>623.12512173043626</v>
      </c>
      <c r="K164" s="65">
        <f t="shared" si="233"/>
        <v>627.64731849452744</v>
      </c>
      <c r="L164" s="65">
        <f t="shared" si="233"/>
        <v>638.69846761356757</v>
      </c>
      <c r="M164" s="65">
        <f t="shared" si="233"/>
        <v>658.08379732938795</v>
      </c>
      <c r="N164" s="65">
        <f t="shared" si="233"/>
        <v>674.24221746892295</v>
      </c>
      <c r="O164" s="65">
        <f t="shared" si="233"/>
        <v>693.31267131868697</v>
      </c>
      <c r="P164" s="65">
        <f t="shared" si="233"/>
        <v>690.23286558955499</v>
      </c>
      <c r="Q164" s="65">
        <f t="shared" si="233"/>
        <v>701.94300354421114</v>
      </c>
      <c r="R164" s="65">
        <f t="shared" si="233"/>
        <v>716.6662027663117</v>
      </c>
      <c r="S164" s="65">
        <f t="shared" si="233"/>
        <v>709.2423324781638</v>
      </c>
      <c r="T164" s="65">
        <f t="shared" si="233"/>
        <v>700.65576347317733</v>
      </c>
      <c r="U164" s="65">
        <f t="shared" si="233"/>
        <v>677.41309830631701</v>
      </c>
      <c r="V164" s="65">
        <f t="shared" si="233"/>
        <v>637.65521016455614</v>
      </c>
      <c r="W164" s="65">
        <f t="shared" si="233"/>
        <v>669.97543611327194</v>
      </c>
      <c r="X164" s="65">
        <f t="shared" ref="X164:Y164" si="234">IF(X110=0,0,X110/X$23)</f>
        <v>672.66799958863953</v>
      </c>
      <c r="Y164" s="65">
        <f t="shared" si="234"/>
        <v>653.54024869576313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445.91213220284016</v>
      </c>
      <c r="C165" s="68">
        <f t="shared" ref="C165:W165" si="236">IF(C111=0,0,C111/C$23)</f>
        <v>531.31733792973262</v>
      </c>
      <c r="D165" s="68">
        <f t="shared" si="236"/>
        <v>608.21300016369105</v>
      </c>
      <c r="E165" s="68">
        <f t="shared" si="236"/>
        <v>679.51396882144695</v>
      </c>
      <c r="F165" s="68">
        <f t="shared" si="236"/>
        <v>699.55133284301508</v>
      </c>
      <c r="G165" s="68">
        <f t="shared" si="236"/>
        <v>706.76138488823926</v>
      </c>
      <c r="H165" s="68">
        <f t="shared" si="236"/>
        <v>712.75220178169423</v>
      </c>
      <c r="I165" s="68">
        <f t="shared" si="236"/>
        <v>734.4984221885901</v>
      </c>
      <c r="J165" s="68">
        <f t="shared" si="236"/>
        <v>752.19138920639034</v>
      </c>
      <c r="K165" s="68">
        <f t="shared" si="236"/>
        <v>736.31905135318323</v>
      </c>
      <c r="L165" s="68">
        <f t="shared" si="236"/>
        <v>754.42543841646307</v>
      </c>
      <c r="M165" s="68">
        <f t="shared" si="236"/>
        <v>773.07252325089928</v>
      </c>
      <c r="N165" s="68">
        <f t="shared" si="236"/>
        <v>768.4949904525289</v>
      </c>
      <c r="O165" s="68">
        <f t="shared" si="236"/>
        <v>766.20222753627388</v>
      </c>
      <c r="P165" s="68">
        <f t="shared" si="236"/>
        <v>765.32444475395096</v>
      </c>
      <c r="Q165" s="68">
        <f t="shared" si="236"/>
        <v>762.77548740803502</v>
      </c>
      <c r="R165" s="68">
        <f t="shared" si="236"/>
        <v>760.32279253967852</v>
      </c>
      <c r="S165" s="68">
        <f t="shared" si="236"/>
        <v>744.14610159950257</v>
      </c>
      <c r="T165" s="68">
        <f t="shared" si="236"/>
        <v>753.11364124174531</v>
      </c>
      <c r="U165" s="68">
        <f t="shared" si="236"/>
        <v>728.013819708092</v>
      </c>
      <c r="V165" s="68">
        <f t="shared" si="236"/>
        <v>691.04555469689251</v>
      </c>
      <c r="W165" s="68">
        <f t="shared" si="236"/>
        <v>674.06648446274573</v>
      </c>
      <c r="X165" s="68">
        <f t="shared" ref="X165:Y165" si="237">IF(X111=0,0,X111/X$23)</f>
        <v>688.67360933458951</v>
      </c>
      <c r="Y165" s="68">
        <f t="shared" si="237"/>
        <v>682.19256207673322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732.30141345682</v>
      </c>
      <c r="C167" s="82">
        <f t="shared" ref="C167:W167" si="239">IF(C113=0,0,C113/C$23)</f>
        <v>821.72684085315302</v>
      </c>
      <c r="D167" s="82">
        <f t="shared" si="239"/>
        <v>1090.9609716953482</v>
      </c>
      <c r="E167" s="82">
        <f t="shared" si="239"/>
        <v>1139.6729386626394</v>
      </c>
      <c r="F167" s="82">
        <f t="shared" si="239"/>
        <v>1095.1633051274696</v>
      </c>
      <c r="G167" s="82">
        <f t="shared" si="239"/>
        <v>1015.6626570710016</v>
      </c>
      <c r="H167" s="82">
        <f t="shared" si="239"/>
        <v>1078.7006185398</v>
      </c>
      <c r="I167" s="82">
        <f t="shared" si="239"/>
        <v>985.0509242158148</v>
      </c>
      <c r="J167" s="82">
        <f t="shared" si="239"/>
        <v>1017.1332834716575</v>
      </c>
      <c r="K167" s="82">
        <f t="shared" si="239"/>
        <v>1031.1884029605642</v>
      </c>
      <c r="L167" s="82">
        <f t="shared" si="239"/>
        <v>1181.1528033532597</v>
      </c>
      <c r="M167" s="82">
        <f t="shared" si="239"/>
        <v>1082.0870694219011</v>
      </c>
      <c r="N167" s="82">
        <f t="shared" si="239"/>
        <v>1032.7336079865659</v>
      </c>
      <c r="O167" s="82">
        <f t="shared" si="239"/>
        <v>943.9346186009036</v>
      </c>
      <c r="P167" s="82">
        <f t="shared" si="239"/>
        <v>821.60522516705328</v>
      </c>
      <c r="Q167" s="82">
        <f t="shared" si="239"/>
        <v>823.80075759846352</v>
      </c>
      <c r="R167" s="82">
        <f t="shared" si="239"/>
        <v>882.79341730157307</v>
      </c>
      <c r="S167" s="82">
        <f t="shared" si="239"/>
        <v>753.57658607657868</v>
      </c>
      <c r="T167" s="82">
        <f t="shared" si="239"/>
        <v>698.98943120006152</v>
      </c>
      <c r="U167" s="82">
        <f t="shared" si="239"/>
        <v>613.01441264314769</v>
      </c>
      <c r="V167" s="82">
        <f t="shared" si="239"/>
        <v>572.73557950637974</v>
      </c>
      <c r="W167" s="82">
        <f t="shared" si="239"/>
        <v>702.76063913621044</v>
      </c>
      <c r="X167" s="82">
        <f t="shared" ref="X167:Y167" si="240">IF(X113=0,0,X113/X$23)</f>
        <v>536.21636078984488</v>
      </c>
      <c r="Y167" s="82">
        <f t="shared" si="240"/>
        <v>463.46750241815812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732.30141345682</v>
      </c>
      <c r="C168" s="64">
        <f t="shared" ref="C168:W168" si="242">IF(C114=0,0,C114/C$23)</f>
        <v>821.72684085315302</v>
      </c>
      <c r="D168" s="64">
        <f t="shared" si="242"/>
        <v>1090.9609716953482</v>
      </c>
      <c r="E168" s="64">
        <f t="shared" si="242"/>
        <v>1139.6729386626394</v>
      </c>
      <c r="F168" s="64">
        <f t="shared" si="242"/>
        <v>1095.1633051274696</v>
      </c>
      <c r="G168" s="64">
        <f t="shared" si="242"/>
        <v>1015.6626570710016</v>
      </c>
      <c r="H168" s="64">
        <f t="shared" si="242"/>
        <v>1078.7006185398</v>
      </c>
      <c r="I168" s="64">
        <f t="shared" si="242"/>
        <v>985.0509242158148</v>
      </c>
      <c r="J168" s="64">
        <f t="shared" si="242"/>
        <v>1017.1332834716575</v>
      </c>
      <c r="K168" s="64">
        <f t="shared" si="242"/>
        <v>1031.1884029605642</v>
      </c>
      <c r="L168" s="64">
        <f t="shared" si="242"/>
        <v>1181.1528033532597</v>
      </c>
      <c r="M168" s="64">
        <f t="shared" si="242"/>
        <v>1082.0870694219011</v>
      </c>
      <c r="N168" s="64">
        <f t="shared" si="242"/>
        <v>1032.7336079865659</v>
      </c>
      <c r="O168" s="64">
        <f t="shared" si="242"/>
        <v>943.9346186009036</v>
      </c>
      <c r="P168" s="64">
        <f t="shared" si="242"/>
        <v>821.60522516705328</v>
      </c>
      <c r="Q168" s="64">
        <f t="shared" si="242"/>
        <v>823.80075759846352</v>
      </c>
      <c r="R168" s="64">
        <f t="shared" si="242"/>
        <v>882.79341730157307</v>
      </c>
      <c r="S168" s="64">
        <f t="shared" si="242"/>
        <v>753.57658607657868</v>
      </c>
      <c r="T168" s="64">
        <f t="shared" si="242"/>
        <v>698.98943120006152</v>
      </c>
      <c r="U168" s="64">
        <f t="shared" si="242"/>
        <v>613.01441264314769</v>
      </c>
      <c r="V168" s="64">
        <f t="shared" si="242"/>
        <v>572.73557950637974</v>
      </c>
      <c r="W168" s="64">
        <f t="shared" si="242"/>
        <v>702.76063913621044</v>
      </c>
      <c r="X168" s="64">
        <f t="shared" ref="X168:Y168" si="243">IF(X114=0,0,X114/X$23)</f>
        <v>536.21636078984488</v>
      </c>
      <c r="Y168" s="64">
        <f t="shared" si="243"/>
        <v>463.46750241815812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661.2783332826865</v>
      </c>
      <c r="C169" s="65">
        <f t="shared" ref="C169:W169" si="245">IF(C115=0,0,C115/C$23)</f>
        <v>724.82271396198564</v>
      </c>
      <c r="D169" s="65">
        <f t="shared" si="245"/>
        <v>977.35943066555149</v>
      </c>
      <c r="E169" s="65">
        <f t="shared" si="245"/>
        <v>993.98792310350143</v>
      </c>
      <c r="F169" s="65">
        <f t="shared" si="245"/>
        <v>951.62324880874962</v>
      </c>
      <c r="G169" s="65">
        <f t="shared" si="245"/>
        <v>873.96874223662348</v>
      </c>
      <c r="H169" s="65">
        <f t="shared" si="245"/>
        <v>934.20575264914805</v>
      </c>
      <c r="I169" s="65">
        <f t="shared" si="245"/>
        <v>841.33564707506014</v>
      </c>
      <c r="J169" s="65">
        <f t="shared" si="245"/>
        <v>876.0938916564603</v>
      </c>
      <c r="K169" s="65">
        <f t="shared" si="245"/>
        <v>896.23550852592803</v>
      </c>
      <c r="L169" s="65">
        <f t="shared" si="245"/>
        <v>1041.4165285662434</v>
      </c>
      <c r="M169" s="65">
        <f t="shared" si="245"/>
        <v>935.46769101972995</v>
      </c>
      <c r="N169" s="65">
        <f t="shared" si="245"/>
        <v>877.08551351420488</v>
      </c>
      <c r="O169" s="65">
        <f t="shared" si="245"/>
        <v>794.7854220957405</v>
      </c>
      <c r="P169" s="65">
        <f t="shared" si="245"/>
        <v>675.32242689998805</v>
      </c>
      <c r="Q169" s="65">
        <f t="shared" si="245"/>
        <v>677.06773896506297</v>
      </c>
      <c r="R169" s="65">
        <f t="shared" si="245"/>
        <v>737.7002240087852</v>
      </c>
      <c r="S169" s="65">
        <f t="shared" si="245"/>
        <v>624.52670899191219</v>
      </c>
      <c r="T169" s="65">
        <f t="shared" si="245"/>
        <v>582.51404459444302</v>
      </c>
      <c r="U169" s="65">
        <f t="shared" si="245"/>
        <v>505.51529415364047</v>
      </c>
      <c r="V169" s="65">
        <f t="shared" si="245"/>
        <v>482.96706017130401</v>
      </c>
      <c r="W169" s="65">
        <f t="shared" si="245"/>
        <v>592.90530735821937</v>
      </c>
      <c r="X169" s="65">
        <f t="shared" ref="X169:Y169" si="246">IF(X115=0,0,X115/X$23)</f>
        <v>438.96993635952691</v>
      </c>
      <c r="Y169" s="65">
        <f t="shared" si="246"/>
        <v>372.22356938891505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1.3536708789904239E-2</v>
      </c>
      <c r="C170" s="65">
        <f t="shared" ref="C170:W170" si="248">IF(C116=0,0,C116/C$23)</f>
        <v>1.4956241340278681E-2</v>
      </c>
      <c r="D170" s="65">
        <f t="shared" si="248"/>
        <v>1.7495425947068405E-2</v>
      </c>
      <c r="E170" s="65">
        <f t="shared" si="248"/>
        <v>1.9459923418394628E-2</v>
      </c>
      <c r="F170" s="65">
        <f t="shared" si="248"/>
        <v>2.3655260307024157E-2</v>
      </c>
      <c r="G170" s="65">
        <f t="shared" si="248"/>
        <v>2.7904354365579493E-2</v>
      </c>
      <c r="H170" s="65">
        <f t="shared" si="248"/>
        <v>3.2536750416016377E-2</v>
      </c>
      <c r="I170" s="65">
        <f t="shared" si="248"/>
        <v>3.7486949120148591E-2</v>
      </c>
      <c r="J170" s="65">
        <f t="shared" si="248"/>
        <v>4.0437300744607989E-2</v>
      </c>
      <c r="K170" s="65">
        <f t="shared" si="248"/>
        <v>4.4916683535703494E-2</v>
      </c>
      <c r="L170" s="65">
        <f t="shared" si="248"/>
        <v>5.4454971264002512E-2</v>
      </c>
      <c r="M170" s="65">
        <f t="shared" si="248"/>
        <v>5.6468783678091439E-2</v>
      </c>
      <c r="N170" s="65">
        <f t="shared" si="248"/>
        <v>6.6778459636690837E-2</v>
      </c>
      <c r="O170" s="65">
        <f t="shared" si="248"/>
        <v>8.144913903896385E-2</v>
      </c>
      <c r="P170" s="65">
        <f t="shared" si="248"/>
        <v>0.10424686142965439</v>
      </c>
      <c r="Q170" s="65">
        <f t="shared" si="248"/>
        <v>0.14213889043153322</v>
      </c>
      <c r="R170" s="65">
        <f t="shared" si="248"/>
        <v>0.17939502208035893</v>
      </c>
      <c r="S170" s="65">
        <f t="shared" si="248"/>
        <v>0.2107306080669738</v>
      </c>
      <c r="T170" s="65">
        <f t="shared" si="248"/>
        <v>0.23816019628297211</v>
      </c>
      <c r="U170" s="65">
        <f t="shared" si="248"/>
        <v>0.26474017690932483</v>
      </c>
      <c r="V170" s="65">
        <f t="shared" si="248"/>
        <v>0.22868020626787294</v>
      </c>
      <c r="W170" s="65">
        <f t="shared" si="248"/>
        <v>0.23588595736010481</v>
      </c>
      <c r="X170" s="65">
        <f t="shared" ref="X170:Y170" si="249">IF(X116=0,0,X116/X$23)</f>
        <v>0.26039199752491426</v>
      </c>
      <c r="Y170" s="65">
        <f t="shared" si="249"/>
        <v>0.2448791527083711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43.361891123294619</v>
      </c>
      <c r="C171" s="65">
        <f t="shared" ref="C171:W171" si="251">IF(C117=0,0,C117/C$23)</f>
        <v>58.696898532481214</v>
      </c>
      <c r="D171" s="65">
        <f t="shared" si="251"/>
        <v>68.727145138309737</v>
      </c>
      <c r="E171" s="65">
        <f t="shared" si="251"/>
        <v>89.695135937376577</v>
      </c>
      <c r="F171" s="65">
        <f t="shared" si="251"/>
        <v>86.4551680590437</v>
      </c>
      <c r="G171" s="65">
        <f t="shared" si="251"/>
        <v>81.145103240462731</v>
      </c>
      <c r="H171" s="65">
        <f t="shared" si="251"/>
        <v>81.488799938346119</v>
      </c>
      <c r="I171" s="65">
        <f t="shared" si="251"/>
        <v>81.278343287952936</v>
      </c>
      <c r="J171" s="65">
        <f t="shared" si="251"/>
        <v>81.558743358322786</v>
      </c>
      <c r="K171" s="65">
        <f t="shared" si="251"/>
        <v>79.260869115119306</v>
      </c>
      <c r="L171" s="65">
        <f t="shared" si="251"/>
        <v>85.195282840348654</v>
      </c>
      <c r="M171" s="65">
        <f t="shared" si="251"/>
        <v>85.10228053610831</v>
      </c>
      <c r="N171" s="65">
        <f t="shared" si="251"/>
        <v>89.089088247420193</v>
      </c>
      <c r="O171" s="65">
        <f t="shared" si="251"/>
        <v>81.4622068043887</v>
      </c>
      <c r="P171" s="65">
        <f t="shared" si="251"/>
        <v>81.297603386941461</v>
      </c>
      <c r="Q171" s="65">
        <f t="shared" si="251"/>
        <v>79.610796362329253</v>
      </c>
      <c r="R171" s="65">
        <f t="shared" si="251"/>
        <v>80.554370190131365</v>
      </c>
      <c r="S171" s="65">
        <f t="shared" si="251"/>
        <v>68.68351748643353</v>
      </c>
      <c r="T171" s="65">
        <f t="shared" si="251"/>
        <v>58.949224087863819</v>
      </c>
      <c r="U171" s="65">
        <f t="shared" si="251"/>
        <v>50.006148218995918</v>
      </c>
      <c r="V171" s="65">
        <f t="shared" si="251"/>
        <v>43.686969525225351</v>
      </c>
      <c r="W171" s="65">
        <f t="shared" si="251"/>
        <v>50.699519481109299</v>
      </c>
      <c r="X171" s="65">
        <f t="shared" ref="X171:Y171" si="252">IF(X117=0,0,X117/X$23)</f>
        <v>40.224753485247625</v>
      </c>
      <c r="Y171" s="65">
        <f t="shared" si="252"/>
        <v>35.418447666300843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27.647652342049021</v>
      </c>
      <c r="C172" s="67">
        <f t="shared" ref="C172:W172" si="254">IF(C118=0,0,C118/C$23)</f>
        <v>38.192272117345951</v>
      </c>
      <c r="D172" s="67">
        <f t="shared" si="254"/>
        <v>44.856900465539816</v>
      </c>
      <c r="E172" s="67">
        <f t="shared" si="254"/>
        <v>55.970419698342909</v>
      </c>
      <c r="F172" s="67">
        <f t="shared" si="254"/>
        <v>57.061232999369054</v>
      </c>
      <c r="G172" s="67">
        <f t="shared" si="254"/>
        <v>60.520907239549921</v>
      </c>
      <c r="H172" s="67">
        <f t="shared" si="254"/>
        <v>62.973529201889868</v>
      </c>
      <c r="I172" s="67">
        <f t="shared" si="254"/>
        <v>62.3994469036815</v>
      </c>
      <c r="J172" s="67">
        <f t="shared" si="254"/>
        <v>59.440211156129742</v>
      </c>
      <c r="K172" s="67">
        <f t="shared" si="254"/>
        <v>55.647108635980949</v>
      </c>
      <c r="L172" s="67">
        <f t="shared" si="254"/>
        <v>54.486536975403425</v>
      </c>
      <c r="M172" s="67">
        <f t="shared" si="254"/>
        <v>61.460629082384898</v>
      </c>
      <c r="N172" s="67">
        <f t="shared" si="254"/>
        <v>66.492227765304335</v>
      </c>
      <c r="O172" s="67">
        <f t="shared" si="254"/>
        <v>67.605540561735353</v>
      </c>
      <c r="P172" s="67">
        <f t="shared" si="254"/>
        <v>64.880948018694127</v>
      </c>
      <c r="Q172" s="67">
        <f t="shared" si="254"/>
        <v>66.980083380639741</v>
      </c>
      <c r="R172" s="67">
        <f t="shared" si="254"/>
        <v>64.359428080576023</v>
      </c>
      <c r="S172" s="67">
        <f t="shared" si="254"/>
        <v>60.155628990166001</v>
      </c>
      <c r="T172" s="67">
        <f t="shared" si="254"/>
        <v>57.288002321471723</v>
      </c>
      <c r="U172" s="67">
        <f t="shared" si="254"/>
        <v>57.228230093601987</v>
      </c>
      <c r="V172" s="67">
        <f t="shared" si="254"/>
        <v>45.852869603582583</v>
      </c>
      <c r="W172" s="67">
        <f t="shared" si="254"/>
        <v>58.919926339521695</v>
      </c>
      <c r="X172" s="67">
        <f t="shared" ref="X172:Y172" si="255">IF(X118=0,0,X118/X$23)</f>
        <v>56.76127894754535</v>
      </c>
      <c r="Y172" s="67">
        <f t="shared" si="255"/>
        <v>55.580606210233881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316998.958075264</v>
      </c>
      <c r="C3" s="124">
        <f t="shared" si="0"/>
        <v>316300.00792216934</v>
      </c>
      <c r="D3" s="124">
        <f t="shared" si="0"/>
        <v>317187.84473148535</v>
      </c>
      <c r="E3" s="124">
        <f t="shared" si="0"/>
        <v>322747.8400647089</v>
      </c>
      <c r="F3" s="124">
        <f t="shared" si="0"/>
        <v>331864.8607370918</v>
      </c>
      <c r="G3" s="124">
        <f t="shared" si="0"/>
        <v>339240.46016186121</v>
      </c>
      <c r="H3" s="124">
        <f t="shared" si="0"/>
        <v>352266.77411296428</v>
      </c>
      <c r="I3" s="124">
        <f t="shared" si="0"/>
        <v>366786.45187718223</v>
      </c>
      <c r="J3" s="124">
        <f t="shared" si="0"/>
        <v>380791.70948488428</v>
      </c>
      <c r="K3" s="124">
        <f t="shared" si="0"/>
        <v>392273.44070145843</v>
      </c>
      <c r="L3" s="124">
        <f t="shared" si="0"/>
        <v>392855.14571397955</v>
      </c>
      <c r="M3" s="124">
        <f t="shared" si="0"/>
        <v>402977.54654720309</v>
      </c>
      <c r="N3" s="124">
        <f t="shared" si="0"/>
        <v>411102.738266734</v>
      </c>
      <c r="O3" s="124">
        <f t="shared" si="0"/>
        <v>413655.81204958691</v>
      </c>
      <c r="P3" s="124">
        <f t="shared" si="0"/>
        <v>422760.44919738389</v>
      </c>
      <c r="Q3" s="124">
        <f t="shared" si="0"/>
        <v>427986.61226523202</v>
      </c>
      <c r="R3" s="124">
        <f t="shared" si="0"/>
        <v>434554.64327125315</v>
      </c>
      <c r="S3" s="124">
        <f t="shared" si="0"/>
        <v>443275.39987805072</v>
      </c>
      <c r="T3" s="124">
        <f t="shared" si="0"/>
        <v>451890.24237310421</v>
      </c>
      <c r="U3" s="124">
        <f t="shared" si="0"/>
        <v>459762.47164623771</v>
      </c>
      <c r="V3" s="124">
        <f t="shared" si="0"/>
        <v>466814.47</v>
      </c>
      <c r="W3" s="124">
        <f t="shared" si="0"/>
        <v>473456.09571925038</v>
      </c>
      <c r="X3" s="124">
        <f t="shared" si="0"/>
        <v>479889.33865428285</v>
      </c>
      <c r="Y3" s="124">
        <f t="shared" si="0"/>
        <v>485956.34599941492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316998.958075264</v>
      </c>
      <c r="C4" s="139">
        <f t="shared" si="1"/>
        <v>316300.00792216934</v>
      </c>
      <c r="D4" s="139">
        <f t="shared" si="1"/>
        <v>317187.84473148535</v>
      </c>
      <c r="E4" s="139">
        <f t="shared" si="1"/>
        <v>322747.8400647089</v>
      </c>
      <c r="F4" s="139">
        <f t="shared" si="1"/>
        <v>331864.8607370918</v>
      </c>
      <c r="G4" s="139">
        <f t="shared" si="1"/>
        <v>339240.46016186121</v>
      </c>
      <c r="H4" s="139">
        <f t="shared" si="1"/>
        <v>352266.77411296428</v>
      </c>
      <c r="I4" s="139">
        <f t="shared" si="1"/>
        <v>366786.45187718223</v>
      </c>
      <c r="J4" s="139">
        <f t="shared" si="1"/>
        <v>380791.70948488428</v>
      </c>
      <c r="K4" s="139">
        <f t="shared" si="1"/>
        <v>392273.44070145843</v>
      </c>
      <c r="L4" s="139">
        <f t="shared" si="1"/>
        <v>392855.14571397955</v>
      </c>
      <c r="M4" s="139">
        <f t="shared" si="1"/>
        <v>402977.54654720309</v>
      </c>
      <c r="N4" s="139">
        <f t="shared" si="1"/>
        <v>411102.738266734</v>
      </c>
      <c r="O4" s="139">
        <f t="shared" si="1"/>
        <v>413655.81204958691</v>
      </c>
      <c r="P4" s="139">
        <f t="shared" si="1"/>
        <v>422760.44919738389</v>
      </c>
      <c r="Q4" s="139">
        <f t="shared" si="1"/>
        <v>427986.61226523202</v>
      </c>
      <c r="R4" s="139">
        <f t="shared" ref="R4:W4" si="2">SUM(R5:R14)</f>
        <v>434554.64327125315</v>
      </c>
      <c r="S4" s="139">
        <f t="shared" si="2"/>
        <v>443275.39987805072</v>
      </c>
      <c r="T4" s="139">
        <f t="shared" si="2"/>
        <v>451890.24237310421</v>
      </c>
      <c r="U4" s="139">
        <f t="shared" si="2"/>
        <v>459762.47164623771</v>
      </c>
      <c r="V4" s="139">
        <f t="shared" si="2"/>
        <v>466814.47</v>
      </c>
      <c r="W4" s="139">
        <f t="shared" si="2"/>
        <v>473456.09571925038</v>
      </c>
      <c r="X4" s="139">
        <f t="shared" ref="X4:Y4" si="3">SUM(X5:X14)</f>
        <v>479889.33865428285</v>
      </c>
      <c r="Y4" s="139">
        <f t="shared" si="3"/>
        <v>485956.34599941492</v>
      </c>
      <c r="DA4" s="169" t="s">
        <v>246</v>
      </c>
    </row>
    <row r="5" spans="1:105" ht="12" customHeight="1" x14ac:dyDescent="0.25">
      <c r="A5" s="131" t="s">
        <v>29</v>
      </c>
      <c r="B5" s="140">
        <v>44562.513151403247</v>
      </c>
      <c r="C5" s="140">
        <v>46104.59782960236</v>
      </c>
      <c r="D5" s="140">
        <v>48993.906030323349</v>
      </c>
      <c r="E5" s="140">
        <v>50605.321280260163</v>
      </c>
      <c r="F5" s="140">
        <v>50982.449204452241</v>
      </c>
      <c r="G5" s="140">
        <v>51481.246978837837</v>
      </c>
      <c r="H5" s="140">
        <v>52544.506299872723</v>
      </c>
      <c r="I5" s="140">
        <v>54561.591657009427</v>
      </c>
      <c r="J5" s="140">
        <v>56006.297469595505</v>
      </c>
      <c r="K5" s="140">
        <v>58958.784011646254</v>
      </c>
      <c r="L5" s="140">
        <v>60522.194040175098</v>
      </c>
      <c r="M5" s="140">
        <v>61892.789695740787</v>
      </c>
      <c r="N5" s="140">
        <v>63134.599665395472</v>
      </c>
      <c r="O5" s="140">
        <v>63427.389744875793</v>
      </c>
      <c r="P5" s="140">
        <v>62430.257086257603</v>
      </c>
      <c r="Q5" s="140">
        <v>61363.739064034387</v>
      </c>
      <c r="R5" s="140">
        <v>59934.244879306956</v>
      </c>
      <c r="S5" s="140">
        <v>59715.188000342088</v>
      </c>
      <c r="T5" s="140">
        <v>57602.146343360233</v>
      </c>
      <c r="U5" s="140">
        <v>54958.214096422736</v>
      </c>
      <c r="V5" s="140">
        <v>52162.886264549721</v>
      </c>
      <c r="W5" s="140">
        <v>44190.646065312634</v>
      </c>
      <c r="X5" s="140">
        <v>34440.015334622956</v>
      </c>
      <c r="Y5" s="140">
        <v>25934.812853981719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28143.992540879768</v>
      </c>
      <c r="C7" s="140">
        <v>28649.318377330455</v>
      </c>
      <c r="D7" s="140">
        <v>28549.423984051959</v>
      </c>
      <c r="E7" s="140">
        <v>26633.0892448415</v>
      </c>
      <c r="F7" s="140">
        <v>24601.782547720122</v>
      </c>
      <c r="G7" s="140">
        <v>25183.628121768772</v>
      </c>
      <c r="H7" s="140">
        <v>29841.265240399291</v>
      </c>
      <c r="I7" s="140">
        <v>33563.557550606718</v>
      </c>
      <c r="J7" s="140">
        <v>34362.664694383777</v>
      </c>
      <c r="K7" s="140">
        <v>34856.01493668223</v>
      </c>
      <c r="L7" s="140">
        <v>35055.787402785383</v>
      </c>
      <c r="M7" s="140">
        <v>34013.98767387151</v>
      </c>
      <c r="N7" s="140">
        <v>29926.183962883839</v>
      </c>
      <c r="O7" s="140">
        <v>26891.670756605559</v>
      </c>
      <c r="P7" s="140">
        <v>25573.811918876538</v>
      </c>
      <c r="Q7" s="140">
        <v>25558.776217281156</v>
      </c>
      <c r="R7" s="140">
        <v>25829.672983319982</v>
      </c>
      <c r="S7" s="140">
        <v>27374.22712010649</v>
      </c>
      <c r="T7" s="140">
        <v>28920.159742985044</v>
      </c>
      <c r="U7" s="140">
        <v>29311.775934724996</v>
      </c>
      <c r="V7" s="140">
        <v>29689.359412918744</v>
      </c>
      <c r="W7" s="140">
        <v>28506.310897415919</v>
      </c>
      <c r="X7" s="140">
        <v>26594.329317928565</v>
      </c>
      <c r="Y7" s="140">
        <v>22475.505562583545</v>
      </c>
      <c r="DA7" s="170" t="s">
        <v>249</v>
      </c>
    </row>
    <row r="8" spans="1:105" ht="12" customHeight="1" x14ac:dyDescent="0.25">
      <c r="A8" s="131" t="s">
        <v>73</v>
      </c>
      <c r="B8" s="140">
        <v>8.7861671395848209</v>
      </c>
      <c r="C8" s="140">
        <v>9.1883935681777995</v>
      </c>
      <c r="D8" s="140">
        <v>9.6910251138812828</v>
      </c>
      <c r="E8" s="140">
        <v>10.442181803621866</v>
      </c>
      <c r="F8" s="140">
        <v>10.791457207747557</v>
      </c>
      <c r="G8" s="140">
        <v>11.639089104537303</v>
      </c>
      <c r="H8" s="140">
        <v>12.185028374999677</v>
      </c>
      <c r="I8" s="140">
        <v>13.598340916089334</v>
      </c>
      <c r="J8" s="140">
        <v>13.908857126153345</v>
      </c>
      <c r="K8" s="140">
        <v>14.237486981729919</v>
      </c>
      <c r="L8" s="140">
        <v>13.55766179271648</v>
      </c>
      <c r="M8" s="140">
        <v>13.578038768300438</v>
      </c>
      <c r="N8" s="140">
        <v>15.009599455773083</v>
      </c>
      <c r="O8" s="140">
        <v>17.58006245549144</v>
      </c>
      <c r="P8" s="140">
        <v>21.323364492458456</v>
      </c>
      <c r="Q8" s="140">
        <v>23.421000332561412</v>
      </c>
      <c r="R8" s="140">
        <v>23.986007227587077</v>
      </c>
      <c r="S8" s="140">
        <v>24.616178090631436</v>
      </c>
      <c r="T8" s="140">
        <v>26.140281839718618</v>
      </c>
      <c r="U8" s="140">
        <v>29.029734421020141</v>
      </c>
      <c r="V8" s="140">
        <v>33.094437246431575</v>
      </c>
      <c r="W8" s="140">
        <v>38.213879510758559</v>
      </c>
      <c r="X8" s="140">
        <v>44.137179246819493</v>
      </c>
      <c r="Y8" s="140">
        <v>49.987741707191354</v>
      </c>
      <c r="DA8" s="170" t="s">
        <v>250</v>
      </c>
    </row>
    <row r="9" spans="1:105" ht="12" customHeight="1" x14ac:dyDescent="0.25">
      <c r="A9" s="131" t="s">
        <v>78</v>
      </c>
      <c r="B9" s="140">
        <v>78409.511688369108</v>
      </c>
      <c r="C9" s="140">
        <v>83700.36454053536</v>
      </c>
      <c r="D9" s="140">
        <v>91424.059655733552</v>
      </c>
      <c r="E9" s="140">
        <v>98371.413072603405</v>
      </c>
      <c r="F9" s="140">
        <v>99985.003871136301</v>
      </c>
      <c r="G9" s="140">
        <v>97361.028961497301</v>
      </c>
      <c r="H9" s="140">
        <v>95017.909241256551</v>
      </c>
      <c r="I9" s="140">
        <v>97540.589313463817</v>
      </c>
      <c r="J9" s="140">
        <v>104575.31087905</v>
      </c>
      <c r="K9" s="140">
        <v>111649.60050461581</v>
      </c>
      <c r="L9" s="140">
        <v>107408.68459010992</v>
      </c>
      <c r="M9" s="140">
        <v>114200.97229636507</v>
      </c>
      <c r="N9" s="140">
        <v>119212.84545549068</v>
      </c>
      <c r="O9" s="140">
        <v>118651.04902991865</v>
      </c>
      <c r="P9" s="140">
        <v>123410.56620602294</v>
      </c>
      <c r="Q9" s="140">
        <v>125519.33278926955</v>
      </c>
      <c r="R9" s="140">
        <v>123910.01481212032</v>
      </c>
      <c r="S9" s="140">
        <v>117139.59503534455</v>
      </c>
      <c r="T9" s="140">
        <v>111526.8796962394</v>
      </c>
      <c r="U9" s="140">
        <v>110683.61258480801</v>
      </c>
      <c r="V9" s="140">
        <v>112446.56574296407</v>
      </c>
      <c r="W9" s="140">
        <v>118557.90610464683</v>
      </c>
      <c r="X9" s="140">
        <v>125679.24671873703</v>
      </c>
      <c r="Y9" s="140">
        <v>126257.08162008534</v>
      </c>
      <c r="DA9" s="170" t="s">
        <v>251</v>
      </c>
    </row>
    <row r="10" spans="1:105" ht="12" customHeight="1" x14ac:dyDescent="0.25">
      <c r="A10" s="131" t="s">
        <v>128</v>
      </c>
      <c r="B10" s="140">
        <v>14035.370800951137</v>
      </c>
      <c r="C10" s="140">
        <v>11079.14349090828</v>
      </c>
      <c r="D10" s="140">
        <v>9512.0852992228447</v>
      </c>
      <c r="E10" s="140">
        <v>8616.8279601059694</v>
      </c>
      <c r="F10" s="140">
        <v>8172.8825353317425</v>
      </c>
      <c r="G10" s="140">
        <v>8000.6889613503754</v>
      </c>
      <c r="H10" s="140">
        <v>7707.8715774751081</v>
      </c>
      <c r="I10" s="140">
        <v>7785.2095733454971</v>
      </c>
      <c r="J10" s="140">
        <v>8119.1374075773228</v>
      </c>
      <c r="K10" s="140">
        <v>9750.8606657331366</v>
      </c>
      <c r="L10" s="140">
        <v>10475.791233188027</v>
      </c>
      <c r="M10" s="140">
        <v>11402.25249995712</v>
      </c>
      <c r="N10" s="140">
        <v>11672.107426150913</v>
      </c>
      <c r="O10" s="140">
        <v>12622.406957599193</v>
      </c>
      <c r="P10" s="140">
        <v>12956.240871877304</v>
      </c>
      <c r="Q10" s="140">
        <v>13639.06814137069</v>
      </c>
      <c r="R10" s="140">
        <v>13979.232698191207</v>
      </c>
      <c r="S10" s="140">
        <v>14550.297708718639</v>
      </c>
      <c r="T10" s="140">
        <v>14726.858112480702</v>
      </c>
      <c r="U10" s="140">
        <v>14847.132393398526</v>
      </c>
      <c r="V10" s="140">
        <v>14845.616654449042</v>
      </c>
      <c r="W10" s="140">
        <v>14488.809095938426</v>
      </c>
      <c r="X10" s="140">
        <v>14019.268744953008</v>
      </c>
      <c r="Y10" s="140">
        <v>13534.245082695512</v>
      </c>
      <c r="DA10" s="170" t="s">
        <v>252</v>
      </c>
    </row>
    <row r="11" spans="1:105" ht="12" customHeight="1" x14ac:dyDescent="0.25">
      <c r="A11" s="131" t="s">
        <v>25</v>
      </c>
      <c r="B11" s="140">
        <v>71.59634406606996</v>
      </c>
      <c r="C11" s="140">
        <v>82.970362667130686</v>
      </c>
      <c r="D11" s="140">
        <v>129.03228195671551</v>
      </c>
      <c r="E11" s="140">
        <v>167.32278984229825</v>
      </c>
      <c r="F11" s="140">
        <v>192.88549204931994</v>
      </c>
      <c r="G11" s="140">
        <v>219.9142313550056</v>
      </c>
      <c r="H11" s="140">
        <v>238.27860344692641</v>
      </c>
      <c r="I11" s="140">
        <v>264.01453303859461</v>
      </c>
      <c r="J11" s="140">
        <v>295.8942680902785</v>
      </c>
      <c r="K11" s="140">
        <v>309.18312604887984</v>
      </c>
      <c r="L11" s="140">
        <v>300.0949361952587</v>
      </c>
      <c r="M11" s="140">
        <v>326.92498465488143</v>
      </c>
      <c r="N11" s="140">
        <v>424.63229132359629</v>
      </c>
      <c r="O11" s="140">
        <v>561.7881127999982</v>
      </c>
      <c r="P11" s="140">
        <v>660.20708600935052</v>
      </c>
      <c r="Q11" s="140">
        <v>695.40083340218064</v>
      </c>
      <c r="R11" s="140">
        <v>686.84965004252979</v>
      </c>
      <c r="S11" s="140">
        <v>720.27596079745058</v>
      </c>
      <c r="T11" s="140">
        <v>770.95222646894649</v>
      </c>
      <c r="U11" s="140">
        <v>823.8753925588635</v>
      </c>
      <c r="V11" s="140">
        <v>867.325514248113</v>
      </c>
      <c r="W11" s="140">
        <v>922.65117387771261</v>
      </c>
      <c r="X11" s="140">
        <v>973.39257564012826</v>
      </c>
      <c r="Y11" s="140">
        <v>1030.2721221030645</v>
      </c>
      <c r="DA11" s="170" t="s">
        <v>253</v>
      </c>
    </row>
    <row r="12" spans="1:105" ht="12" customHeight="1" x14ac:dyDescent="0.25">
      <c r="A12" s="131" t="s">
        <v>162</v>
      </c>
      <c r="B12" s="140">
        <v>67692.587832750578</v>
      </c>
      <c r="C12" s="140">
        <v>71275.708733654188</v>
      </c>
      <c r="D12" s="140">
        <v>75818.431886875595</v>
      </c>
      <c r="E12" s="140">
        <v>79935.907399206451</v>
      </c>
      <c r="F12" s="140">
        <v>90836.481258907064</v>
      </c>
      <c r="G12" s="140">
        <v>94098.611034934715</v>
      </c>
      <c r="H12" s="140">
        <v>98290.372835171671</v>
      </c>
      <c r="I12" s="140">
        <v>100708.47459822369</v>
      </c>
      <c r="J12" s="140">
        <v>102238.26242439744</v>
      </c>
      <c r="K12" s="140">
        <v>101077.58152614243</v>
      </c>
      <c r="L12" s="140">
        <v>98907.068715603571</v>
      </c>
      <c r="M12" s="140">
        <v>97045.626000039585</v>
      </c>
      <c r="N12" s="140">
        <v>99318.633398898179</v>
      </c>
      <c r="O12" s="140">
        <v>103848.84417591007</v>
      </c>
      <c r="P12" s="140">
        <v>104828.36686558084</v>
      </c>
      <c r="Q12" s="140">
        <v>106289.50225923504</v>
      </c>
      <c r="R12" s="140">
        <v>109945.68032539832</v>
      </c>
      <c r="S12" s="140">
        <v>117165.68551959701</v>
      </c>
      <c r="T12" s="140">
        <v>120378.35796365239</v>
      </c>
      <c r="U12" s="140">
        <v>123069.50851936586</v>
      </c>
      <c r="V12" s="140">
        <v>123050.97397165366</v>
      </c>
      <c r="W12" s="140">
        <v>121883.96254004931</v>
      </c>
      <c r="X12" s="140">
        <v>119814.6426039097</v>
      </c>
      <c r="Y12" s="140">
        <v>115308.4651492197</v>
      </c>
      <c r="DA12" s="170" t="s">
        <v>254</v>
      </c>
    </row>
    <row r="13" spans="1:105" ht="12" customHeight="1" x14ac:dyDescent="0.25">
      <c r="A13" s="131" t="s">
        <v>77</v>
      </c>
      <c r="B13" s="140">
        <v>217.68076132335489</v>
      </c>
      <c r="C13" s="140">
        <v>236.72506944288062</v>
      </c>
      <c r="D13" s="140">
        <v>279.27424746757538</v>
      </c>
      <c r="E13" s="140">
        <v>366.57085791425845</v>
      </c>
      <c r="F13" s="140">
        <v>477.36125787527465</v>
      </c>
      <c r="G13" s="140">
        <v>683.15790646768289</v>
      </c>
      <c r="H13" s="140">
        <v>892.60557896518731</v>
      </c>
      <c r="I13" s="140">
        <v>1153.3469413915429</v>
      </c>
      <c r="J13" s="140">
        <v>1287.2835495772022</v>
      </c>
      <c r="K13" s="140">
        <v>1412.1247318007465</v>
      </c>
      <c r="L13" s="140">
        <v>1449.5590829400676</v>
      </c>
      <c r="M13" s="140">
        <v>1586.1133781834399</v>
      </c>
      <c r="N13" s="140">
        <v>1852.5059405500301</v>
      </c>
      <c r="O13" s="140">
        <v>2268.7697851839671</v>
      </c>
      <c r="P13" s="140">
        <v>2842.3374264179961</v>
      </c>
      <c r="Q13" s="140">
        <v>3252.6225746476916</v>
      </c>
      <c r="R13" s="140">
        <v>3462.3380165515896</v>
      </c>
      <c r="S13" s="140">
        <v>3727.9130634593585</v>
      </c>
      <c r="T13" s="140">
        <v>4005.0815072850801</v>
      </c>
      <c r="U13" s="140">
        <v>4333.0160088405801</v>
      </c>
      <c r="V13" s="140">
        <v>4672.0809323056428</v>
      </c>
      <c r="W13" s="140">
        <v>5021.1040129709809</v>
      </c>
      <c r="X13" s="140">
        <v>5501.6413147990961</v>
      </c>
      <c r="Y13" s="140">
        <v>5944.5630992186443</v>
      </c>
      <c r="DA13" s="170" t="s">
        <v>255</v>
      </c>
    </row>
    <row r="14" spans="1:105" ht="12" customHeight="1" x14ac:dyDescent="0.25">
      <c r="A14" s="60" t="s">
        <v>76</v>
      </c>
      <c r="B14" s="141">
        <v>83856.918788381139</v>
      </c>
      <c r="C14" s="141">
        <v>75161.991124460459</v>
      </c>
      <c r="D14" s="141">
        <v>62471.940320739908</v>
      </c>
      <c r="E14" s="141">
        <v>58040.945278131228</v>
      </c>
      <c r="F14" s="141">
        <v>56605.223112412015</v>
      </c>
      <c r="G14" s="141">
        <v>62200.544876544991</v>
      </c>
      <c r="H14" s="141">
        <v>67721.779708001879</v>
      </c>
      <c r="I14" s="141">
        <v>71196.069369186866</v>
      </c>
      <c r="J14" s="141">
        <v>73892.949935086566</v>
      </c>
      <c r="K14" s="141">
        <v>74245.053711807195</v>
      </c>
      <c r="L14" s="141">
        <v>78722.408051189574</v>
      </c>
      <c r="M14" s="141">
        <v>82495.301979622309</v>
      </c>
      <c r="N14" s="141">
        <v>85546.22052658553</v>
      </c>
      <c r="O14" s="141">
        <v>85366.313424238237</v>
      </c>
      <c r="P14" s="141">
        <v>90037.338371848848</v>
      </c>
      <c r="Q14" s="141">
        <v>91644.749385658724</v>
      </c>
      <c r="R14" s="141">
        <v>96782.623899094659</v>
      </c>
      <c r="S14" s="141">
        <v>102857.60129159458</v>
      </c>
      <c r="T14" s="141">
        <v>113933.66649879272</v>
      </c>
      <c r="U14" s="141">
        <v>121706.30698169708</v>
      </c>
      <c r="V14" s="141">
        <v>129046.56706966452</v>
      </c>
      <c r="W14" s="141">
        <v>139846.49194952782</v>
      </c>
      <c r="X14" s="141">
        <v>152822.6648644456</v>
      </c>
      <c r="Y14" s="141">
        <v>175421.41276782018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232924.35852555948</v>
      </c>
      <c r="C15" s="143">
        <f t="shared" si="4"/>
        <v>240901.29172826599</v>
      </c>
      <c r="D15" s="143">
        <f t="shared" si="4"/>
        <v>254436.63016327788</v>
      </c>
      <c r="E15" s="143">
        <f t="shared" si="4"/>
        <v>264340.32392866339</v>
      </c>
      <c r="F15" s="143">
        <f t="shared" si="4"/>
        <v>274782.27636680449</v>
      </c>
      <c r="G15" s="143">
        <f t="shared" si="4"/>
        <v>276356.75737884856</v>
      </c>
      <c r="H15" s="143">
        <f t="shared" si="4"/>
        <v>283652.38882599724</v>
      </c>
      <c r="I15" s="143">
        <f t="shared" si="4"/>
        <v>294437.03556660382</v>
      </c>
      <c r="J15" s="143">
        <f t="shared" si="4"/>
        <v>305611.47600022051</v>
      </c>
      <c r="K15" s="143">
        <f t="shared" si="4"/>
        <v>316616.2622578505</v>
      </c>
      <c r="L15" s="143">
        <f t="shared" si="4"/>
        <v>312683.17857984995</v>
      </c>
      <c r="M15" s="143">
        <f t="shared" si="4"/>
        <v>318896.1311893973</v>
      </c>
      <c r="N15" s="143">
        <f t="shared" si="4"/>
        <v>323704.01179959846</v>
      </c>
      <c r="O15" s="143">
        <f t="shared" si="4"/>
        <v>326020.72884016472</v>
      </c>
      <c r="P15" s="143">
        <f t="shared" si="4"/>
        <v>329880.77339911705</v>
      </c>
      <c r="Q15" s="143">
        <f t="shared" si="4"/>
        <v>333089.2403049256</v>
      </c>
      <c r="R15" s="143">
        <f t="shared" ref="R15:W15" si="5">SUM(R5:R12)</f>
        <v>334309.68135560694</v>
      </c>
      <c r="S15" s="143">
        <f t="shared" si="5"/>
        <v>336689.88552299683</v>
      </c>
      <c r="T15" s="143">
        <f t="shared" si="5"/>
        <v>333951.49436702643</v>
      </c>
      <c r="U15" s="143">
        <f t="shared" si="5"/>
        <v>333723.14865570003</v>
      </c>
      <c r="V15" s="143">
        <f t="shared" si="5"/>
        <v>333095.82199802977</v>
      </c>
      <c r="W15" s="143">
        <f t="shared" si="5"/>
        <v>328588.49975675158</v>
      </c>
      <c r="X15" s="143">
        <f t="shared" ref="X15:Y15" si="6">SUM(X5:X12)</f>
        <v>321565.0324750382</v>
      </c>
      <c r="Y15" s="143">
        <f t="shared" si="6"/>
        <v>304590.37013237609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17091.623587006728</v>
      </c>
      <c r="C16" s="139">
        <f t="shared" si="7"/>
        <v>17352.512496832238</v>
      </c>
      <c r="D16" s="139">
        <f t="shared" si="7"/>
        <v>18433.313607406981</v>
      </c>
      <c r="E16" s="139">
        <f t="shared" si="7"/>
        <v>19858.952302218735</v>
      </c>
      <c r="F16" s="139">
        <f t="shared" si="7"/>
        <v>22226.740585743446</v>
      </c>
      <c r="G16" s="139">
        <f t="shared" si="7"/>
        <v>25004.491766619263</v>
      </c>
      <c r="H16" s="139">
        <f t="shared" si="7"/>
        <v>28855.693824883459</v>
      </c>
      <c r="I16" s="139">
        <f t="shared" si="7"/>
        <v>34113.929366874429</v>
      </c>
      <c r="J16" s="139">
        <f t="shared" si="7"/>
        <v>38778.756328284493</v>
      </c>
      <c r="K16" s="139">
        <f t="shared" si="7"/>
        <v>43485.305304768997</v>
      </c>
      <c r="L16" s="139">
        <f t="shared" si="7"/>
        <v>46952.345125327876</v>
      </c>
      <c r="M16" s="139">
        <f t="shared" si="7"/>
        <v>50699.742677442133</v>
      </c>
      <c r="N16" s="139">
        <f t="shared" si="7"/>
        <v>53830.056292763787</v>
      </c>
      <c r="O16" s="139">
        <f t="shared" si="7"/>
        <v>55453.543060864838</v>
      </c>
      <c r="P16" s="139">
        <f t="shared" si="7"/>
        <v>57763.960015038014</v>
      </c>
      <c r="Q16" s="139">
        <f t="shared" si="7"/>
        <v>60375.036552539263</v>
      </c>
      <c r="R16" s="139">
        <f t="shared" ref="R16:W16" si="8">SUM(R17:R18)</f>
        <v>61485.027334448161</v>
      </c>
      <c r="S16" s="139">
        <f t="shared" si="8"/>
        <v>62876.942299469782</v>
      </c>
      <c r="T16" s="139">
        <f t="shared" si="8"/>
        <v>64985.701322023182</v>
      </c>
      <c r="U16" s="139">
        <f t="shared" si="8"/>
        <v>67125.867901420395</v>
      </c>
      <c r="V16" s="139">
        <f t="shared" si="8"/>
        <v>69131.034713214322</v>
      </c>
      <c r="W16" s="139">
        <f t="shared" si="8"/>
        <v>70532.924469883394</v>
      </c>
      <c r="X16" s="139">
        <f t="shared" ref="X16:Y16" si="9">SUM(X17:X18)</f>
        <v>70801.388815106882</v>
      </c>
      <c r="Y16" s="139">
        <f t="shared" si="9"/>
        <v>71036.552835652401</v>
      </c>
      <c r="DA16" s="169" t="s">
        <v>257</v>
      </c>
    </row>
    <row r="17" spans="1:105" ht="12.95" customHeight="1" x14ac:dyDescent="0.25">
      <c r="A17" s="131" t="s">
        <v>73</v>
      </c>
      <c r="B17" s="140">
        <v>22.497117631379584</v>
      </c>
      <c r="C17" s="140">
        <v>24.304771847169867</v>
      </c>
      <c r="D17" s="140">
        <v>28.269174297699987</v>
      </c>
      <c r="E17" s="140">
        <v>32.704725581203114</v>
      </c>
      <c r="F17" s="140">
        <v>41.526868626147085</v>
      </c>
      <c r="G17" s="140">
        <v>51.030835894454995</v>
      </c>
      <c r="H17" s="140">
        <v>60.140709211214222</v>
      </c>
      <c r="I17" s="140">
        <v>76.888212386898601</v>
      </c>
      <c r="J17" s="140">
        <v>88.838548238901325</v>
      </c>
      <c r="K17" s="140">
        <v>101.90067017615014</v>
      </c>
      <c r="L17" s="140">
        <v>108.93504553953406</v>
      </c>
      <c r="M17" s="140">
        <v>130.17178738685519</v>
      </c>
      <c r="N17" s="140">
        <v>151.40549040222132</v>
      </c>
      <c r="O17" s="140">
        <v>190.11746632240431</v>
      </c>
      <c r="P17" s="140">
        <v>260.6544993267317</v>
      </c>
      <c r="Q17" s="140">
        <v>320.44600250831292</v>
      </c>
      <c r="R17" s="140">
        <v>482.79260200825411</v>
      </c>
      <c r="S17" s="140">
        <v>583.55543590049547</v>
      </c>
      <c r="T17" s="140">
        <v>657.96721745271554</v>
      </c>
      <c r="U17" s="140">
        <v>713.82553239256947</v>
      </c>
      <c r="V17" s="140">
        <v>761.87322857954769</v>
      </c>
      <c r="W17" s="140">
        <v>781.1292865316625</v>
      </c>
      <c r="X17" s="140">
        <v>787.44613638597548</v>
      </c>
      <c r="Y17" s="140">
        <v>813.46524269760891</v>
      </c>
      <c r="DA17" s="170" t="s">
        <v>258</v>
      </c>
    </row>
    <row r="18" spans="1:105" ht="12" customHeight="1" x14ac:dyDescent="0.25">
      <c r="A18" s="131" t="s">
        <v>72</v>
      </c>
      <c r="B18" s="140">
        <v>17069.126469375347</v>
      </c>
      <c r="C18" s="140">
        <v>17328.207724985066</v>
      </c>
      <c r="D18" s="140">
        <v>18405.04443310928</v>
      </c>
      <c r="E18" s="140">
        <v>19826.247576637532</v>
      </c>
      <c r="F18" s="140">
        <v>22185.213717117298</v>
      </c>
      <c r="G18" s="140">
        <v>24953.460930724807</v>
      </c>
      <c r="H18" s="140">
        <v>28795.553115672246</v>
      </c>
      <c r="I18" s="140">
        <v>34037.041154487531</v>
      </c>
      <c r="J18" s="140">
        <v>38689.917780045595</v>
      </c>
      <c r="K18" s="140">
        <v>43383.404634592844</v>
      </c>
      <c r="L18" s="140">
        <v>46843.410079788344</v>
      </c>
      <c r="M18" s="140">
        <v>50569.570890055278</v>
      </c>
      <c r="N18" s="140">
        <v>53678.650802361568</v>
      </c>
      <c r="O18" s="140">
        <v>55263.425594542437</v>
      </c>
      <c r="P18" s="140">
        <v>57503.305515711283</v>
      </c>
      <c r="Q18" s="140">
        <v>60054.590550030953</v>
      </c>
      <c r="R18" s="140">
        <v>61002.234732439909</v>
      </c>
      <c r="S18" s="140">
        <v>62293.386863569285</v>
      </c>
      <c r="T18" s="140">
        <v>64327.734104570467</v>
      </c>
      <c r="U18" s="140">
        <v>66412.042369027826</v>
      </c>
      <c r="V18" s="140">
        <v>68369.16148463478</v>
      </c>
      <c r="W18" s="140">
        <v>69751.795183351729</v>
      </c>
      <c r="X18" s="140">
        <v>70013.942678720909</v>
      </c>
      <c r="Y18" s="140">
        <v>70223.087592954791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316998.958075264</v>
      </c>
      <c r="C19" s="139">
        <f t="shared" si="10"/>
        <v>316300.00792216929</v>
      </c>
      <c r="D19" s="139">
        <f t="shared" si="10"/>
        <v>317187.84473148541</v>
      </c>
      <c r="E19" s="139">
        <f t="shared" si="10"/>
        <v>322747.84006470884</v>
      </c>
      <c r="F19" s="139">
        <f t="shared" si="10"/>
        <v>331864.86073709186</v>
      </c>
      <c r="G19" s="139">
        <f t="shared" si="10"/>
        <v>339240.46016186115</v>
      </c>
      <c r="H19" s="139">
        <f t="shared" si="10"/>
        <v>352266.7741129644</v>
      </c>
      <c r="I19" s="139">
        <f t="shared" si="10"/>
        <v>366786.451877182</v>
      </c>
      <c r="J19" s="139">
        <f t="shared" si="10"/>
        <v>380791.70948488417</v>
      </c>
      <c r="K19" s="139">
        <f t="shared" si="10"/>
        <v>392273.44070145837</v>
      </c>
      <c r="L19" s="139">
        <f t="shared" si="10"/>
        <v>392855.14571397961</v>
      </c>
      <c r="M19" s="139">
        <f t="shared" si="10"/>
        <v>402977.54654720303</v>
      </c>
      <c r="N19" s="139">
        <f t="shared" si="10"/>
        <v>411102.73826673388</v>
      </c>
      <c r="O19" s="139">
        <f t="shared" si="10"/>
        <v>413655.81204958668</v>
      </c>
      <c r="P19" s="139">
        <f t="shared" si="10"/>
        <v>422760.44919738395</v>
      </c>
      <c r="Q19" s="139">
        <f t="shared" si="10"/>
        <v>427986.61226523196</v>
      </c>
      <c r="R19" s="139">
        <f t="shared" ref="R19:W19" si="11">SUM(R20:R26)</f>
        <v>434554.64327125333</v>
      </c>
      <c r="S19" s="139">
        <f t="shared" si="11"/>
        <v>443275.39987805055</v>
      </c>
      <c r="T19" s="139">
        <f t="shared" si="11"/>
        <v>451890.24237310432</v>
      </c>
      <c r="U19" s="139">
        <f t="shared" si="11"/>
        <v>459762.47164623765</v>
      </c>
      <c r="V19" s="139">
        <f t="shared" si="11"/>
        <v>466814.46999999974</v>
      </c>
      <c r="W19" s="139">
        <f t="shared" si="11"/>
        <v>473456.09571925009</v>
      </c>
      <c r="X19" s="139">
        <f t="shared" ref="X19:Y19" si="12">SUM(X20:X26)</f>
        <v>479889.33865428303</v>
      </c>
      <c r="Y19" s="139">
        <f t="shared" si="12"/>
        <v>485956.34599941468</v>
      </c>
      <c r="DA19" s="169" t="s">
        <v>260</v>
      </c>
    </row>
    <row r="20" spans="1:105" ht="12" customHeight="1" x14ac:dyDescent="0.25">
      <c r="A20" s="131" t="s">
        <v>29</v>
      </c>
      <c r="B20" s="140">
        <v>10385.20243011317</v>
      </c>
      <c r="C20" s="140">
        <v>14170.486237194227</v>
      </c>
      <c r="D20" s="140">
        <v>16268.875563747144</v>
      </c>
      <c r="E20" s="140">
        <v>17299.268463178512</v>
      </c>
      <c r="F20" s="140">
        <v>16836.192259707695</v>
      </c>
      <c r="G20" s="140">
        <v>16153.706505512549</v>
      </c>
      <c r="H20" s="140">
        <v>15372.3431178008</v>
      </c>
      <c r="I20" s="140">
        <v>15795.076035489456</v>
      </c>
      <c r="J20" s="140">
        <v>16339.478696610993</v>
      </c>
      <c r="K20" s="140">
        <v>17220.952607591837</v>
      </c>
      <c r="L20" s="140">
        <v>18061.924077086343</v>
      </c>
      <c r="M20" s="140">
        <v>18691.136379153064</v>
      </c>
      <c r="N20" s="140">
        <v>19170.663655644512</v>
      </c>
      <c r="O20" s="140">
        <v>19491.364308059652</v>
      </c>
      <c r="P20" s="140">
        <v>19950.448895030775</v>
      </c>
      <c r="Q20" s="140">
        <v>20092.637122454209</v>
      </c>
      <c r="R20" s="140">
        <v>19687.431971412378</v>
      </c>
      <c r="S20" s="140">
        <v>17417.118187342134</v>
      </c>
      <c r="T20" s="140">
        <v>14678.424810918426</v>
      </c>
      <c r="U20" s="140">
        <v>14270.613536720841</v>
      </c>
      <c r="V20" s="140">
        <v>13175.987041018809</v>
      </c>
      <c r="W20" s="140">
        <v>10891.813193685566</v>
      </c>
      <c r="X20" s="140">
        <v>8982.650860367623</v>
      </c>
      <c r="Y20" s="140">
        <v>6867.4992438847794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44415.504038732433</v>
      </c>
      <c r="C21" s="140">
        <v>44407.060608784152</v>
      </c>
      <c r="D21" s="140">
        <v>45317.973423491392</v>
      </c>
      <c r="E21" s="140">
        <v>46171.841062054533</v>
      </c>
      <c r="F21" s="140">
        <v>45165.512124253131</v>
      </c>
      <c r="G21" s="140">
        <v>41666.398378775288</v>
      </c>
      <c r="H21" s="140">
        <v>38391.092247021741</v>
      </c>
      <c r="I21" s="140">
        <v>34467.211434512908</v>
      </c>
      <c r="J21" s="140">
        <v>31330.060859998452</v>
      </c>
      <c r="K21" s="140">
        <v>28469.178547140033</v>
      </c>
      <c r="L21" s="140">
        <v>27816.90701499338</v>
      </c>
      <c r="M21" s="140">
        <v>27302.988537789322</v>
      </c>
      <c r="N21" s="140">
        <v>26772.88992210885</v>
      </c>
      <c r="O21" s="140">
        <v>24054.201675283224</v>
      </c>
      <c r="P21" s="140">
        <v>22771.658592451186</v>
      </c>
      <c r="Q21" s="140">
        <v>21281.881214794575</v>
      </c>
      <c r="R21" s="140">
        <v>21620.921760808211</v>
      </c>
      <c r="S21" s="140">
        <v>22098.553365762502</v>
      </c>
      <c r="T21" s="140">
        <v>21838.662017614071</v>
      </c>
      <c r="U21" s="140">
        <v>21194.108229280431</v>
      </c>
      <c r="V21" s="140">
        <v>18021.380756802897</v>
      </c>
      <c r="W21" s="140">
        <v>15219.885594497859</v>
      </c>
      <c r="X21" s="140">
        <v>12301.462361333473</v>
      </c>
      <c r="Y21" s="140">
        <v>11257.212243131778</v>
      </c>
      <c r="DA21" s="170" t="s">
        <v>262</v>
      </c>
    </row>
    <row r="22" spans="1:105" ht="12" customHeight="1" x14ac:dyDescent="0.25">
      <c r="A22" s="131" t="s">
        <v>161</v>
      </c>
      <c r="B22" s="140">
        <v>15955.874069576697</v>
      </c>
      <c r="C22" s="140">
        <v>15394.090552414616</v>
      </c>
      <c r="D22" s="140">
        <v>15139.53047696115</v>
      </c>
      <c r="E22" s="140">
        <v>14934.207426799816</v>
      </c>
      <c r="F22" s="140">
        <v>14865.785617979922</v>
      </c>
      <c r="G22" s="140">
        <v>14897.373160610377</v>
      </c>
      <c r="H22" s="140">
        <v>15298.428125734059</v>
      </c>
      <c r="I22" s="140">
        <v>15888.512891740324</v>
      </c>
      <c r="J22" s="140">
        <v>16637.814813953679</v>
      </c>
      <c r="K22" s="140">
        <v>17304.096657961145</v>
      </c>
      <c r="L22" s="140">
        <v>17947.533335052565</v>
      </c>
      <c r="M22" s="140">
        <v>18166.61152266528</v>
      </c>
      <c r="N22" s="140">
        <v>18177.96520451039</v>
      </c>
      <c r="O22" s="140">
        <v>18079.244357491509</v>
      </c>
      <c r="P22" s="140">
        <v>18012.960734245393</v>
      </c>
      <c r="Q22" s="140">
        <v>18162.163023896661</v>
      </c>
      <c r="R22" s="140">
        <v>18321.983385751002</v>
      </c>
      <c r="S22" s="140">
        <v>18580.413947340381</v>
      </c>
      <c r="T22" s="140">
        <v>18326.073197508547</v>
      </c>
      <c r="U22" s="140">
        <v>18301.799851095791</v>
      </c>
      <c r="V22" s="140">
        <v>18439.323400114521</v>
      </c>
      <c r="W22" s="140">
        <v>18603.014972314726</v>
      </c>
      <c r="X22" s="140">
        <v>18627.035649183912</v>
      </c>
      <c r="Y22" s="140">
        <v>18560.248788384371</v>
      </c>
      <c r="DA22" s="170" t="s">
        <v>263</v>
      </c>
    </row>
    <row r="23" spans="1:105" ht="12" customHeight="1" x14ac:dyDescent="0.25">
      <c r="A23" s="131" t="s">
        <v>149</v>
      </c>
      <c r="B23" s="140">
        <v>27528.220081203133</v>
      </c>
      <c r="C23" s="140">
        <v>30712.91107159555</v>
      </c>
      <c r="D23" s="140">
        <v>36358.187107265614</v>
      </c>
      <c r="E23" s="140">
        <v>42554.61714936536</v>
      </c>
      <c r="F23" s="140">
        <v>46345.202175408202</v>
      </c>
      <c r="G23" s="140">
        <v>49702.977603073006</v>
      </c>
      <c r="H23" s="140">
        <v>52017.158627883575</v>
      </c>
      <c r="I23" s="140">
        <v>54729.292922371809</v>
      </c>
      <c r="J23" s="140">
        <v>58446.224722461178</v>
      </c>
      <c r="K23" s="140">
        <v>62254.136674163237</v>
      </c>
      <c r="L23" s="140">
        <v>66555.920295948643</v>
      </c>
      <c r="M23" s="140">
        <v>68882.163875005397</v>
      </c>
      <c r="N23" s="140">
        <v>70053.746117878778</v>
      </c>
      <c r="O23" s="140">
        <v>70594.482846167186</v>
      </c>
      <c r="P23" s="140">
        <v>71265.305642888052</v>
      </c>
      <c r="Q23" s="140">
        <v>70080.927389819975</v>
      </c>
      <c r="R23" s="140">
        <v>66616.635765425934</v>
      </c>
      <c r="S23" s="140">
        <v>59096.430712596703</v>
      </c>
      <c r="T23" s="140">
        <v>52639.415425119725</v>
      </c>
      <c r="U23" s="140">
        <v>47528.458060275421</v>
      </c>
      <c r="V23" s="140">
        <v>45647.270850491419</v>
      </c>
      <c r="W23" s="140">
        <v>46278.908402001958</v>
      </c>
      <c r="X23" s="140">
        <v>46172.363877532465</v>
      </c>
      <c r="Y23" s="140">
        <v>46968.330188747481</v>
      </c>
      <c r="DA23" s="170" t="s">
        <v>264</v>
      </c>
    </row>
    <row r="24" spans="1:105" ht="12" customHeight="1" x14ac:dyDescent="0.25">
      <c r="A24" s="131" t="s">
        <v>128</v>
      </c>
      <c r="B24" s="140">
        <v>3889.0419769385562</v>
      </c>
      <c r="C24" s="140">
        <v>3772.0422692118495</v>
      </c>
      <c r="D24" s="140">
        <v>3666.3126538353977</v>
      </c>
      <c r="E24" s="140">
        <v>3549.3571122601907</v>
      </c>
      <c r="F24" s="140">
        <v>3523.3927749445497</v>
      </c>
      <c r="G24" s="140">
        <v>3686.7968881582356</v>
      </c>
      <c r="H24" s="140">
        <v>4093.8975065751697</v>
      </c>
      <c r="I24" s="140">
        <v>4643.0559255136222</v>
      </c>
      <c r="J24" s="140">
        <v>5126.5529459006184</v>
      </c>
      <c r="K24" s="140">
        <v>5476.6774947201739</v>
      </c>
      <c r="L24" s="140">
        <v>5717.6695485288528</v>
      </c>
      <c r="M24" s="140">
        <v>5912.6566528557196</v>
      </c>
      <c r="N24" s="140">
        <v>6072.5007401388848</v>
      </c>
      <c r="O24" s="140">
        <v>6217.1963294548159</v>
      </c>
      <c r="P24" s="140">
        <v>6492.2998904181868</v>
      </c>
      <c r="Q24" s="140">
        <v>6960.2960857243752</v>
      </c>
      <c r="R24" s="140">
        <v>7480.6690678522409</v>
      </c>
      <c r="S24" s="140">
        <v>7800.5661308129302</v>
      </c>
      <c r="T24" s="140">
        <v>8036.2410567693541</v>
      </c>
      <c r="U24" s="140">
        <v>8711.4908293530534</v>
      </c>
      <c r="V24" s="140">
        <v>9610.1883546766094</v>
      </c>
      <c r="W24" s="140">
        <v>9946.9252905239664</v>
      </c>
      <c r="X24" s="140">
        <v>9032.7346253549349</v>
      </c>
      <c r="Y24" s="140">
        <v>8272.838978673004</v>
      </c>
      <c r="DA24" s="170" t="s">
        <v>265</v>
      </c>
    </row>
    <row r="25" spans="1:105" ht="12" customHeight="1" x14ac:dyDescent="0.25">
      <c r="A25" s="131" t="s">
        <v>162</v>
      </c>
      <c r="B25" s="140">
        <v>52238.771136580566</v>
      </c>
      <c r="C25" s="140">
        <v>53549.872310678991</v>
      </c>
      <c r="D25" s="140">
        <v>56690.820720468677</v>
      </c>
      <c r="E25" s="140">
        <v>61433.258063045752</v>
      </c>
      <c r="F25" s="140">
        <v>68148.323893925583</v>
      </c>
      <c r="G25" s="140">
        <v>73114.98098898436</v>
      </c>
      <c r="H25" s="140">
        <v>76285.550816455376</v>
      </c>
      <c r="I25" s="140">
        <v>77957.883166312226</v>
      </c>
      <c r="J25" s="140">
        <v>79464.116451510999</v>
      </c>
      <c r="K25" s="140">
        <v>80456.267559646396</v>
      </c>
      <c r="L25" s="140">
        <v>80641.725034324932</v>
      </c>
      <c r="M25" s="140">
        <v>80398.249826080078</v>
      </c>
      <c r="N25" s="140">
        <v>79880.636841614833</v>
      </c>
      <c r="O25" s="140">
        <v>79130.695271296878</v>
      </c>
      <c r="P25" s="140">
        <v>78151.928410273962</v>
      </c>
      <c r="Q25" s="140">
        <v>79215.298053671839</v>
      </c>
      <c r="R25" s="140">
        <v>81422.419292488848</v>
      </c>
      <c r="S25" s="140">
        <v>83038.903203801223</v>
      </c>
      <c r="T25" s="140">
        <v>83099.647176316808</v>
      </c>
      <c r="U25" s="140">
        <v>81203.693849755902</v>
      </c>
      <c r="V25" s="140">
        <v>79922.159088645989</v>
      </c>
      <c r="W25" s="140">
        <v>78020.015618180914</v>
      </c>
      <c r="X25" s="140">
        <v>75813.306990192694</v>
      </c>
      <c r="Y25" s="140">
        <v>72938.207588390578</v>
      </c>
      <c r="DA25" s="170" t="s">
        <v>266</v>
      </c>
    </row>
    <row r="26" spans="1:105" ht="12" customHeight="1" x14ac:dyDescent="0.25">
      <c r="A26" s="131" t="s">
        <v>24</v>
      </c>
      <c r="B26" s="141">
        <v>162586.34434211944</v>
      </c>
      <c r="C26" s="141">
        <v>154293.54487228993</v>
      </c>
      <c r="D26" s="141">
        <v>143746.14478571602</v>
      </c>
      <c r="E26" s="141">
        <v>136805.29078800473</v>
      </c>
      <c r="F26" s="141">
        <v>136980.45189087282</v>
      </c>
      <c r="G26" s="141">
        <v>140018.22663674733</v>
      </c>
      <c r="H26" s="141">
        <v>150808.30367149363</v>
      </c>
      <c r="I26" s="141">
        <v>163305.41950124167</v>
      </c>
      <c r="J26" s="141">
        <v>173447.46099444825</v>
      </c>
      <c r="K26" s="141">
        <v>181092.13116023559</v>
      </c>
      <c r="L26" s="141">
        <v>176113.46640804491</v>
      </c>
      <c r="M26" s="141">
        <v>183623.73975365417</v>
      </c>
      <c r="N26" s="141">
        <v>190974.33578483766</v>
      </c>
      <c r="O26" s="141">
        <v>196088.6272618334</v>
      </c>
      <c r="P26" s="141">
        <v>206115.84703207639</v>
      </c>
      <c r="Q26" s="141">
        <v>212193.40937487033</v>
      </c>
      <c r="R26" s="141">
        <v>219404.5820275147</v>
      </c>
      <c r="S26" s="141">
        <v>235243.41433039465</v>
      </c>
      <c r="T26" s="141">
        <v>253271.77868885736</v>
      </c>
      <c r="U26" s="141">
        <v>268552.30728975619</v>
      </c>
      <c r="V26" s="141">
        <v>281998.16050824948</v>
      </c>
      <c r="W26" s="141">
        <v>294495.5326480451</v>
      </c>
      <c r="X26" s="141">
        <v>308959.78429031791</v>
      </c>
      <c r="Y26" s="141">
        <v>321092.00896820269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50.505600978232472</v>
      </c>
      <c r="E27" s="150">
        <v>47.345351404521018</v>
      </c>
      <c r="F27" s="150">
        <v>175.85128926518951</v>
      </c>
      <c r="G27" s="150">
        <v>260.57025351602522</v>
      </c>
      <c r="H27" s="150">
        <v>451.77465176946384</v>
      </c>
      <c r="I27" s="150">
        <v>578.96952055803763</v>
      </c>
      <c r="J27" s="150">
        <v>2019.9407945978614</v>
      </c>
      <c r="K27" s="150">
        <v>3053.8282097326041</v>
      </c>
      <c r="L27" s="150">
        <v>3819.4771595851785</v>
      </c>
      <c r="M27" s="150">
        <v>4887.233615711626</v>
      </c>
      <c r="N27" s="150">
        <v>5674.0295068455052</v>
      </c>
      <c r="O27" s="150">
        <v>6175.7065364140117</v>
      </c>
      <c r="P27" s="150">
        <v>6766.7024134398043</v>
      </c>
      <c r="Q27" s="150">
        <v>7737.1078657888102</v>
      </c>
      <c r="R27" s="150">
        <v>8063.114738189226</v>
      </c>
      <c r="S27" s="150">
        <v>8100.8692865436842</v>
      </c>
      <c r="T27" s="150">
        <v>9893.6647801292947</v>
      </c>
      <c r="U27" s="150">
        <v>8744.5214423534289</v>
      </c>
      <c r="V27" s="150">
        <v>8845.0101241810789</v>
      </c>
      <c r="W27" s="150">
        <v>8143.9136526800266</v>
      </c>
      <c r="X27" s="150">
        <v>6528.3653121833713</v>
      </c>
      <c r="Y27" s="150">
        <v>5448.4971566936129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316998.95807526394</v>
      </c>
      <c r="C29" s="139">
        <f t="shared" si="13"/>
        <v>316300.00792216929</v>
      </c>
      <c r="D29" s="139">
        <f t="shared" si="13"/>
        <v>317187.84473148535</v>
      </c>
      <c r="E29" s="139">
        <f t="shared" si="13"/>
        <v>322747.8400647089</v>
      </c>
      <c r="F29" s="139">
        <f t="shared" si="13"/>
        <v>331864.86073709186</v>
      </c>
      <c r="G29" s="139">
        <f t="shared" si="13"/>
        <v>339240.46016186127</v>
      </c>
      <c r="H29" s="139">
        <f t="shared" si="13"/>
        <v>352266.7741129644</v>
      </c>
      <c r="I29" s="139">
        <f t="shared" si="13"/>
        <v>366786.45187718223</v>
      </c>
      <c r="J29" s="139">
        <f t="shared" si="13"/>
        <v>380791.70948488428</v>
      </c>
      <c r="K29" s="139">
        <f t="shared" si="13"/>
        <v>392273.44070145849</v>
      </c>
      <c r="L29" s="139">
        <f t="shared" si="13"/>
        <v>392855.14571397944</v>
      </c>
      <c r="M29" s="139">
        <f t="shared" si="13"/>
        <v>402977.54654720315</v>
      </c>
      <c r="N29" s="139">
        <f t="shared" si="13"/>
        <v>411102.73826673394</v>
      </c>
      <c r="O29" s="139">
        <f t="shared" si="13"/>
        <v>413655.81204958691</v>
      </c>
      <c r="P29" s="139">
        <f t="shared" si="13"/>
        <v>422760.44919738389</v>
      </c>
      <c r="Q29" s="139">
        <f t="shared" si="13"/>
        <v>427986.61226523196</v>
      </c>
      <c r="R29" s="139">
        <f t="shared" ref="R29:W29" si="14">SUM(R30:R33)</f>
        <v>434554.64327125321</v>
      </c>
      <c r="S29" s="139">
        <f t="shared" si="14"/>
        <v>443275.39987805067</v>
      </c>
      <c r="T29" s="139">
        <f t="shared" si="14"/>
        <v>451890.24237310421</v>
      </c>
      <c r="U29" s="139">
        <f t="shared" si="14"/>
        <v>459762.47164623754</v>
      </c>
      <c r="V29" s="139">
        <f t="shared" si="14"/>
        <v>466814.47000000026</v>
      </c>
      <c r="W29" s="139">
        <f t="shared" si="14"/>
        <v>473456.09571925038</v>
      </c>
      <c r="X29" s="139">
        <f t="shared" ref="X29:Y29" si="15">SUM(X30:X33)</f>
        <v>479889.33865428285</v>
      </c>
      <c r="Y29" s="139">
        <f t="shared" si="15"/>
        <v>485956.34599941468</v>
      </c>
      <c r="DA29" s="169" t="s">
        <v>269</v>
      </c>
    </row>
    <row r="30" spans="1:105" ht="12" customHeight="1" x14ac:dyDescent="0.25">
      <c r="A30" s="131" t="s">
        <v>52</v>
      </c>
      <c r="B30" s="140">
        <v>3577.3352683037615</v>
      </c>
      <c r="C30" s="140">
        <v>6242.1302979665943</v>
      </c>
      <c r="D30" s="140">
        <v>9625.263836812841</v>
      </c>
      <c r="E30" s="140">
        <v>13333.799905240161</v>
      </c>
      <c r="F30" s="140">
        <v>15408.748439474914</v>
      </c>
      <c r="G30" s="140">
        <v>17030.717792799915</v>
      </c>
      <c r="H30" s="140">
        <v>17975.343576421372</v>
      </c>
      <c r="I30" s="140">
        <v>17508.310325402144</v>
      </c>
      <c r="J30" s="140">
        <v>15403.454793170589</v>
      </c>
      <c r="K30" s="140">
        <v>12414.974578969295</v>
      </c>
      <c r="L30" s="140">
        <v>10094.461467746652</v>
      </c>
      <c r="M30" s="140">
        <v>9091.2461619412879</v>
      </c>
      <c r="N30" s="140">
        <v>8869.5076456021543</v>
      </c>
      <c r="O30" s="140">
        <v>9079.6067834196856</v>
      </c>
      <c r="P30" s="140">
        <v>9323.7023782386386</v>
      </c>
      <c r="Q30" s="140">
        <v>10337.398263932946</v>
      </c>
      <c r="R30" s="140">
        <v>11377.857219492762</v>
      </c>
      <c r="S30" s="140">
        <v>12425.661888496963</v>
      </c>
      <c r="T30" s="140">
        <v>12669.160298196539</v>
      </c>
      <c r="U30" s="140">
        <v>12740.777610087054</v>
      </c>
      <c r="V30" s="140">
        <v>12238.790062677292</v>
      </c>
      <c r="W30" s="140">
        <v>10995.033756251254</v>
      </c>
      <c r="X30" s="140">
        <v>9450.2351701168027</v>
      </c>
      <c r="Y30" s="140">
        <v>7735.391974146457</v>
      </c>
      <c r="DA30" s="170" t="s">
        <v>270</v>
      </c>
    </row>
    <row r="31" spans="1:105" ht="12" customHeight="1" x14ac:dyDescent="0.25">
      <c r="A31" s="131" t="s">
        <v>149</v>
      </c>
      <c r="B31" s="140">
        <v>56965.598712735416</v>
      </c>
      <c r="C31" s="140">
        <v>58138.378203508335</v>
      </c>
      <c r="D31" s="140">
        <v>59441.792341334811</v>
      </c>
      <c r="E31" s="140">
        <v>61277.818045618427</v>
      </c>
      <c r="F31" s="140">
        <v>63695.655366574741</v>
      </c>
      <c r="G31" s="140">
        <v>67006.097370259697</v>
      </c>
      <c r="H31" s="140">
        <v>69680.939318991252</v>
      </c>
      <c r="I31" s="140">
        <v>71448.739659145271</v>
      </c>
      <c r="J31" s="140">
        <v>72754.825148780234</v>
      </c>
      <c r="K31" s="140">
        <v>75496.785713808466</v>
      </c>
      <c r="L31" s="140">
        <v>79522.948016308466</v>
      </c>
      <c r="M31" s="140">
        <v>86857.046295555803</v>
      </c>
      <c r="N31" s="140">
        <v>93863.054633715656</v>
      </c>
      <c r="O31" s="140">
        <v>98361.757695099426</v>
      </c>
      <c r="P31" s="140">
        <v>100020.13275994282</v>
      </c>
      <c r="Q31" s="140">
        <v>100387.39919288184</v>
      </c>
      <c r="R31" s="140">
        <v>98452.290977222292</v>
      </c>
      <c r="S31" s="140">
        <v>96419.444212948045</v>
      </c>
      <c r="T31" s="140">
        <v>93780.455259927287</v>
      </c>
      <c r="U31" s="140">
        <v>95524.696188681803</v>
      </c>
      <c r="V31" s="140">
        <v>98257.1275780945</v>
      </c>
      <c r="W31" s="140">
        <v>109502.34912939556</v>
      </c>
      <c r="X31" s="140">
        <v>115774.65662359202</v>
      </c>
      <c r="Y31" s="140">
        <v>118057.11235809668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256456.02409422479</v>
      </c>
      <c r="C33" s="152">
        <v>251919.49942069434</v>
      </c>
      <c r="D33" s="152">
        <v>248120.78855333768</v>
      </c>
      <c r="E33" s="152">
        <v>248136.22211385029</v>
      </c>
      <c r="F33" s="152">
        <v>252760.45693104219</v>
      </c>
      <c r="G33" s="152">
        <v>255203.64499880167</v>
      </c>
      <c r="H33" s="152">
        <v>264610.49121755175</v>
      </c>
      <c r="I33" s="152">
        <v>277829.40189263481</v>
      </c>
      <c r="J33" s="152">
        <v>292633.42954293347</v>
      </c>
      <c r="K33" s="152">
        <v>304361.68040868075</v>
      </c>
      <c r="L33" s="152">
        <v>303237.73622992431</v>
      </c>
      <c r="M33" s="152">
        <v>307029.25408970605</v>
      </c>
      <c r="N33" s="152">
        <v>308370.17598741612</v>
      </c>
      <c r="O33" s="152">
        <v>306214.44757106778</v>
      </c>
      <c r="P33" s="152">
        <v>313416.61405920243</v>
      </c>
      <c r="Q33" s="152">
        <v>317261.81480841717</v>
      </c>
      <c r="R33" s="152">
        <v>324724.49507453816</v>
      </c>
      <c r="S33" s="152">
        <v>334430.29377660569</v>
      </c>
      <c r="T33" s="152">
        <v>345440.62681498041</v>
      </c>
      <c r="U33" s="152">
        <v>351496.99784746871</v>
      </c>
      <c r="V33" s="152">
        <v>356318.55235922849</v>
      </c>
      <c r="W33" s="152">
        <v>352958.71283360355</v>
      </c>
      <c r="X33" s="152">
        <v>354664.44686057401</v>
      </c>
      <c r="Y33" s="152">
        <v>360163.84166717157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3791.3072977392826</v>
      </c>
      <c r="C3" s="125">
        <f t="shared" si="0"/>
        <v>4164.3321036325042</v>
      </c>
      <c r="D3" s="125">
        <f t="shared" si="0"/>
        <v>4825.8488657213211</v>
      </c>
      <c r="E3" s="125">
        <f t="shared" si="0"/>
        <v>4989.9384828560651</v>
      </c>
      <c r="F3" s="125">
        <f t="shared" si="0"/>
        <v>5326.2375334729923</v>
      </c>
      <c r="G3" s="125">
        <f t="shared" si="0"/>
        <v>5247.6063064377286</v>
      </c>
      <c r="H3" s="125">
        <f t="shared" si="0"/>
        <v>5893.9809309868388</v>
      </c>
      <c r="I3" s="125">
        <f t="shared" si="0"/>
        <v>5455.5436580602673</v>
      </c>
      <c r="J3" s="125">
        <f t="shared" si="0"/>
        <v>6241.0464190187777</v>
      </c>
      <c r="K3" s="125">
        <f t="shared" si="0"/>
        <v>6228.876570660279</v>
      </c>
      <c r="L3" s="125">
        <f t="shared" si="0"/>
        <v>6987.4406399322424</v>
      </c>
      <c r="M3" s="125">
        <f t="shared" si="0"/>
        <v>6535.3466122195068</v>
      </c>
      <c r="N3" s="125">
        <f t="shared" si="0"/>
        <v>6429.6832800495058</v>
      </c>
      <c r="O3" s="125">
        <f t="shared" si="0"/>
        <v>6108.5105814373164</v>
      </c>
      <c r="P3" s="125">
        <f t="shared" si="0"/>
        <v>5755.3393661795089</v>
      </c>
      <c r="Q3" s="125">
        <f t="shared" si="0"/>
        <v>5749.8510842228961</v>
      </c>
      <c r="R3" s="125">
        <f t="shared" ref="R3:W3" si="1">SUM(R4,R16,R19,R29)</f>
        <v>6360.591239895266</v>
      </c>
      <c r="S3" s="125">
        <f t="shared" si="1"/>
        <v>5895.0572563394262</v>
      </c>
      <c r="T3" s="125">
        <f t="shared" si="1"/>
        <v>5792.7416802852313</v>
      </c>
      <c r="U3" s="125">
        <f t="shared" si="1"/>
        <v>5702.6052469024926</v>
      </c>
      <c r="V3" s="125">
        <f t="shared" si="1"/>
        <v>5495.4577546539367</v>
      </c>
      <c r="W3" s="125">
        <f t="shared" si="1"/>
        <v>6257.7723954004905</v>
      </c>
      <c r="X3" s="125">
        <f t="shared" ref="X3:Y3" si="2">SUM(X4,X16,X19,X29)</f>
        <v>5888.628047756707</v>
      </c>
      <c r="Y3" s="125">
        <f t="shared" si="2"/>
        <v>5832.7230851982258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3019.4390978724905</v>
      </c>
      <c r="C4" s="130">
        <f t="shared" si="3"/>
        <v>3293.1013745805562</v>
      </c>
      <c r="D4" s="130">
        <f t="shared" si="3"/>
        <v>3807.4152733217666</v>
      </c>
      <c r="E4" s="130">
        <f t="shared" si="3"/>
        <v>3859.4819436607345</v>
      </c>
      <c r="F4" s="130">
        <f t="shared" si="3"/>
        <v>4127.8734716976478</v>
      </c>
      <c r="G4" s="130">
        <f t="shared" si="3"/>
        <v>4009.6170732852302</v>
      </c>
      <c r="H4" s="130">
        <f t="shared" si="3"/>
        <v>4562.9520609548717</v>
      </c>
      <c r="I4" s="130">
        <f t="shared" si="3"/>
        <v>4009.4991635814854</v>
      </c>
      <c r="J4" s="130">
        <f t="shared" si="3"/>
        <v>4713.133203396178</v>
      </c>
      <c r="K4" s="130">
        <f t="shared" si="3"/>
        <v>4676.7240625451232</v>
      </c>
      <c r="L4" s="130">
        <f t="shared" si="3"/>
        <v>5416.3181696275415</v>
      </c>
      <c r="M4" s="130">
        <f t="shared" si="3"/>
        <v>4924.2365516130649</v>
      </c>
      <c r="N4" s="130">
        <f t="shared" si="3"/>
        <v>4782.0548236585255</v>
      </c>
      <c r="O4" s="130">
        <f t="shared" si="3"/>
        <v>4440.8917926787972</v>
      </c>
      <c r="P4" s="130">
        <f t="shared" si="3"/>
        <v>4056.4578345260757</v>
      </c>
      <c r="Q4" s="130">
        <f t="shared" si="3"/>
        <v>4015.5325780233129</v>
      </c>
      <c r="R4" s="130">
        <f t="shared" ref="R4:W4" si="4">SUM(R5:R15)</f>
        <v>4614.9788284812839</v>
      </c>
      <c r="S4" s="130">
        <f t="shared" si="4"/>
        <v>4178.5508508877047</v>
      </c>
      <c r="T4" s="130">
        <f t="shared" si="4"/>
        <v>4078.9520213136611</v>
      </c>
      <c r="U4" s="130">
        <f t="shared" si="4"/>
        <v>3992.615586504879</v>
      </c>
      <c r="V4" s="130">
        <f t="shared" si="4"/>
        <v>3910.8020197896049</v>
      </c>
      <c r="W4" s="130">
        <f t="shared" si="4"/>
        <v>4578.1875468949174</v>
      </c>
      <c r="X4" s="130">
        <f t="shared" ref="X4:Y4" si="5">SUM(X5:X15)</f>
        <v>4191.5803255916926</v>
      </c>
      <c r="Y4" s="130">
        <f t="shared" si="5"/>
        <v>4153.3575317979021</v>
      </c>
      <c r="DA4" s="155" t="s">
        <v>214</v>
      </c>
    </row>
    <row r="5" spans="1:105" ht="12" customHeight="1" x14ac:dyDescent="0.25">
      <c r="A5" s="131" t="s">
        <v>29</v>
      </c>
      <c r="B5" s="132">
        <v>514.44754462060405</v>
      </c>
      <c r="C5" s="132">
        <v>391.61295740830877</v>
      </c>
      <c r="D5" s="132">
        <v>683.52155856696925</v>
      </c>
      <c r="E5" s="132">
        <v>680.53731431566018</v>
      </c>
      <c r="F5" s="132">
        <v>645.50584523975044</v>
      </c>
      <c r="G5" s="132">
        <v>639.90563775627913</v>
      </c>
      <c r="H5" s="132">
        <v>741.6291144351311</v>
      </c>
      <c r="I5" s="132">
        <v>632.7252807556373</v>
      </c>
      <c r="J5" s="132">
        <v>702.61010523629432</v>
      </c>
      <c r="K5" s="132">
        <v>765.29020501080618</v>
      </c>
      <c r="L5" s="132">
        <v>872.33921603468298</v>
      </c>
      <c r="M5" s="132">
        <v>765.08510176416394</v>
      </c>
      <c r="N5" s="132">
        <v>776.93857077871871</v>
      </c>
      <c r="O5" s="132">
        <v>718.00221684240717</v>
      </c>
      <c r="P5" s="132">
        <v>629.94837644045288</v>
      </c>
      <c r="Q5" s="132">
        <v>606.71359468553885</v>
      </c>
      <c r="R5" s="132">
        <v>633.84605377775245</v>
      </c>
      <c r="S5" s="132">
        <v>631.54549422618095</v>
      </c>
      <c r="T5" s="132">
        <v>583.51995260331364</v>
      </c>
      <c r="U5" s="132">
        <v>470.1986981075716</v>
      </c>
      <c r="V5" s="132">
        <v>483.86851035444585</v>
      </c>
      <c r="W5" s="132">
        <v>598.05894475845594</v>
      </c>
      <c r="X5" s="132">
        <v>280.07383731935431</v>
      </c>
      <c r="Y5" s="132">
        <v>244.54998931310686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318.53146311854925</v>
      </c>
      <c r="C7" s="132">
        <v>409.2586638216041</v>
      </c>
      <c r="D7" s="132">
        <v>439.03034028970143</v>
      </c>
      <c r="E7" s="132">
        <v>414.47719324688882</v>
      </c>
      <c r="F7" s="132">
        <v>359.87268897595692</v>
      </c>
      <c r="G7" s="132">
        <v>286.72922955961275</v>
      </c>
      <c r="H7" s="132">
        <v>524.13757254620748</v>
      </c>
      <c r="I7" s="132">
        <v>511.45496773515481</v>
      </c>
      <c r="J7" s="132">
        <v>508.79845696975667</v>
      </c>
      <c r="K7" s="132">
        <v>483.65244576421713</v>
      </c>
      <c r="L7" s="132">
        <v>615.57421943916609</v>
      </c>
      <c r="M7" s="132">
        <v>571.12571740847579</v>
      </c>
      <c r="N7" s="132">
        <v>397.55193569354782</v>
      </c>
      <c r="O7" s="132">
        <v>319.76943859820278</v>
      </c>
      <c r="P7" s="132">
        <v>309.76774347138678</v>
      </c>
      <c r="Q7" s="132">
        <v>305.39355589369325</v>
      </c>
      <c r="R7" s="132">
        <v>305.67984987700191</v>
      </c>
      <c r="S7" s="132">
        <v>316.74346656182246</v>
      </c>
      <c r="T7" s="132">
        <v>333.66226658950524</v>
      </c>
      <c r="U7" s="132">
        <v>292.35767089290056</v>
      </c>
      <c r="V7" s="132">
        <v>298.3287107530652</v>
      </c>
      <c r="W7" s="132">
        <v>333.09831654838746</v>
      </c>
      <c r="X7" s="132">
        <v>286.73595758965081</v>
      </c>
      <c r="Y7" s="132">
        <v>192.70415684767536</v>
      </c>
      <c r="DA7" s="156" t="s">
        <v>277</v>
      </c>
    </row>
    <row r="8" spans="1:105" ht="12" customHeight="1" x14ac:dyDescent="0.25">
      <c r="A8" s="131" t="s">
        <v>73</v>
      </c>
      <c r="B8" s="132">
        <v>4.622442832667966E-2</v>
      </c>
      <c r="C8" s="132">
        <v>5.6581545012589107E-2</v>
      </c>
      <c r="D8" s="132">
        <v>6.2473601666278536E-2</v>
      </c>
      <c r="E8" s="132">
        <v>7.051387886201857E-2</v>
      </c>
      <c r="F8" s="132">
        <v>7.1752416742039138E-2</v>
      </c>
      <c r="G8" s="132">
        <v>7.5292601237133203E-2</v>
      </c>
      <c r="H8" s="132">
        <v>7.6453780048909167E-2</v>
      </c>
      <c r="I8" s="132">
        <v>8.0850360987551564E-2</v>
      </c>
      <c r="J8" s="132">
        <v>8.4959597250691285E-2</v>
      </c>
      <c r="K8" s="132">
        <v>8.9919952984797227E-2</v>
      </c>
      <c r="L8" s="132">
        <v>8.5168888299533063E-2</v>
      </c>
      <c r="M8" s="132">
        <v>7.1849416310520359E-2</v>
      </c>
      <c r="N8" s="132">
        <v>7.46699190075438E-2</v>
      </c>
      <c r="O8" s="132">
        <v>6.9603903182992283E-2</v>
      </c>
      <c r="P8" s="132">
        <v>8.952786245799628E-2</v>
      </c>
      <c r="Q8" s="132">
        <v>9.0557761128630551E-2</v>
      </c>
      <c r="R8" s="132">
        <v>9.1445641143770642E-2</v>
      </c>
      <c r="S8" s="132">
        <v>8.2866271851897974E-2</v>
      </c>
      <c r="T8" s="132">
        <v>8.0807602152551616E-2</v>
      </c>
      <c r="U8" s="132">
        <v>8.4114212833389532E-2</v>
      </c>
      <c r="V8" s="132">
        <v>9.2590058926893287E-2</v>
      </c>
      <c r="W8" s="132">
        <v>0.11560923520265561</v>
      </c>
      <c r="X8" s="132">
        <v>0.12084637556152596</v>
      </c>
      <c r="Y8" s="132">
        <v>0.14709162612754689</v>
      </c>
      <c r="DA8" s="156" t="s">
        <v>278</v>
      </c>
    </row>
    <row r="9" spans="1:105" ht="12" customHeight="1" x14ac:dyDescent="0.25">
      <c r="A9" s="131" t="s">
        <v>78</v>
      </c>
      <c r="B9" s="132">
        <v>815.66822519412187</v>
      </c>
      <c r="C9" s="132">
        <v>1063.4042700612779</v>
      </c>
      <c r="D9" s="132">
        <v>1292.6881679742921</v>
      </c>
      <c r="E9" s="132">
        <v>1399.4972621576608</v>
      </c>
      <c r="F9" s="132">
        <v>1462.4665839867503</v>
      </c>
      <c r="G9" s="132">
        <v>1419.2753130304436</v>
      </c>
      <c r="H9" s="132">
        <v>1283.9188585552454</v>
      </c>
      <c r="I9" s="132">
        <v>1311.1180440485282</v>
      </c>
      <c r="J9" s="132">
        <v>1440.4068832447288</v>
      </c>
      <c r="K9" s="132">
        <v>1535.2552130348729</v>
      </c>
      <c r="L9" s="132">
        <v>1706.114584519748</v>
      </c>
      <c r="M9" s="132">
        <v>1554.6999566496431</v>
      </c>
      <c r="N9" s="132">
        <v>1600.8508218230043</v>
      </c>
      <c r="O9" s="132">
        <v>1483.8992280114091</v>
      </c>
      <c r="P9" s="132">
        <v>1264.4068808299864</v>
      </c>
      <c r="Q9" s="132">
        <v>1365.1937729853548</v>
      </c>
      <c r="R9" s="132">
        <v>1604.1981675027625</v>
      </c>
      <c r="S9" s="132">
        <v>1165.7709178659316</v>
      </c>
      <c r="T9" s="132">
        <v>1078.6682389673688</v>
      </c>
      <c r="U9" s="132">
        <v>1098.9637851296893</v>
      </c>
      <c r="V9" s="132">
        <v>959.9548454749206</v>
      </c>
      <c r="W9" s="132">
        <v>1320.0734716880916</v>
      </c>
      <c r="X9" s="132">
        <v>1271.9985891988929</v>
      </c>
      <c r="Y9" s="132">
        <v>1136.6044314119135</v>
      </c>
      <c r="DA9" s="156" t="s">
        <v>279</v>
      </c>
    </row>
    <row r="10" spans="1:105" ht="12" customHeight="1" x14ac:dyDescent="0.25">
      <c r="A10" s="131" t="s">
        <v>128</v>
      </c>
      <c r="B10" s="132">
        <v>198.24906706792774</v>
      </c>
      <c r="C10" s="132">
        <v>132.99959353415429</v>
      </c>
      <c r="D10" s="132">
        <v>132.50249513457985</v>
      </c>
      <c r="E10" s="132">
        <v>131.9786561079961</v>
      </c>
      <c r="F10" s="132">
        <v>136.82832139948673</v>
      </c>
      <c r="G10" s="132">
        <v>141.11417195116908</v>
      </c>
      <c r="H10" s="132">
        <v>101.38061763494838</v>
      </c>
      <c r="I10" s="132">
        <v>121.0929355034026</v>
      </c>
      <c r="J10" s="132">
        <v>109.4066407008666</v>
      </c>
      <c r="K10" s="132">
        <v>160.75002143544904</v>
      </c>
      <c r="L10" s="132">
        <v>180.4559772517774</v>
      </c>
      <c r="M10" s="132">
        <v>175.70910245817856</v>
      </c>
      <c r="N10" s="132">
        <v>151.70713724071419</v>
      </c>
      <c r="O10" s="132">
        <v>175.14510133353136</v>
      </c>
      <c r="P10" s="132">
        <v>149.4657069185142</v>
      </c>
      <c r="Q10" s="132">
        <v>159.10052132807016</v>
      </c>
      <c r="R10" s="132">
        <v>180.07867125355682</v>
      </c>
      <c r="S10" s="132">
        <v>181.82666842287833</v>
      </c>
      <c r="T10" s="132">
        <v>171.77185921022453</v>
      </c>
      <c r="U10" s="132">
        <v>164.52995556503134</v>
      </c>
      <c r="V10" s="132">
        <v>174.6232396486445</v>
      </c>
      <c r="W10" s="132">
        <v>196.31463785764862</v>
      </c>
      <c r="X10" s="132">
        <v>151.21050702491573</v>
      </c>
      <c r="Y10" s="132">
        <v>171.27489498679344</v>
      </c>
      <c r="DA10" s="156" t="s">
        <v>280</v>
      </c>
    </row>
    <row r="11" spans="1:105" ht="12" customHeight="1" x14ac:dyDescent="0.25">
      <c r="A11" s="131" t="s">
        <v>25</v>
      </c>
      <c r="B11" s="132">
        <v>0.57325881341358553</v>
      </c>
      <c r="C11" s="132">
        <v>0.47773000859845233</v>
      </c>
      <c r="D11" s="132">
        <v>1.2181427343078248</v>
      </c>
      <c r="E11" s="132">
        <v>1.6718830610490105</v>
      </c>
      <c r="F11" s="132">
        <v>1.671883061049011</v>
      </c>
      <c r="G11" s="132">
        <v>2.149613069647462</v>
      </c>
      <c r="H11" s="132">
        <v>2.3884780739466889</v>
      </c>
      <c r="I11" s="132">
        <v>1.9585554600171977</v>
      </c>
      <c r="J11" s="132">
        <v>3.0810834049871034</v>
      </c>
      <c r="K11" s="132">
        <v>3.3438521066208078</v>
      </c>
      <c r="L11" s="132">
        <v>2.937833190025795</v>
      </c>
      <c r="M11" s="132">
        <v>2.4123817712811677</v>
      </c>
      <c r="N11" s="132">
        <v>3.606534823731729</v>
      </c>
      <c r="O11" s="132">
        <v>5.1829750644883932</v>
      </c>
      <c r="P11" s="132">
        <v>5.7084264832330174</v>
      </c>
      <c r="Q11" s="132">
        <v>5.6128976784178848</v>
      </c>
      <c r="R11" s="132">
        <v>5.3740326741186566</v>
      </c>
      <c r="S11" s="132">
        <v>5.5841788478073981</v>
      </c>
      <c r="T11" s="132">
        <v>5.9177987962166725</v>
      </c>
      <c r="U11" s="132">
        <v>6.2720550300945881</v>
      </c>
      <c r="V11" s="132">
        <v>6.4098882201203766</v>
      </c>
      <c r="W11" s="132">
        <v>7.1010318142734379</v>
      </c>
      <c r="X11" s="132">
        <v>7.8673258813413662</v>
      </c>
      <c r="Y11" s="132">
        <v>8.194153052450563</v>
      </c>
      <c r="DA11" s="156" t="s">
        <v>281</v>
      </c>
    </row>
    <row r="12" spans="1:105" ht="12" customHeight="1" x14ac:dyDescent="0.25">
      <c r="A12" s="131" t="s">
        <v>162</v>
      </c>
      <c r="B12" s="132">
        <v>470.45203339099601</v>
      </c>
      <c r="C12" s="132">
        <v>550.90481932582975</v>
      </c>
      <c r="D12" s="132">
        <v>691.69330435194615</v>
      </c>
      <c r="E12" s="132">
        <v>623.97791468248568</v>
      </c>
      <c r="F12" s="132">
        <v>941.10319036905378</v>
      </c>
      <c r="G12" s="132">
        <v>840.12170469885257</v>
      </c>
      <c r="H12" s="132">
        <v>1076.6943565951535</v>
      </c>
      <c r="I12" s="132">
        <v>733.02244868729849</v>
      </c>
      <c r="J12" s="132">
        <v>1061.5728896161761</v>
      </c>
      <c r="K12" s="132">
        <v>982.87904090370648</v>
      </c>
      <c r="L12" s="132">
        <v>1068.7963794685581</v>
      </c>
      <c r="M12" s="132">
        <v>894.85917628505604</v>
      </c>
      <c r="N12" s="132">
        <v>906.22313990313182</v>
      </c>
      <c r="O12" s="132">
        <v>971.50182011638935</v>
      </c>
      <c r="P12" s="132">
        <v>841.3342492276538</v>
      </c>
      <c r="Q12" s="132">
        <v>774.84971162122247</v>
      </c>
      <c r="R12" s="132">
        <v>939.45949845420432</v>
      </c>
      <c r="S12" s="132">
        <v>1004.2154580211751</v>
      </c>
      <c r="T12" s="132">
        <v>874.1661248222465</v>
      </c>
      <c r="U12" s="132">
        <v>938.18302442525737</v>
      </c>
      <c r="V12" s="132">
        <v>967.38994969697285</v>
      </c>
      <c r="W12" s="132">
        <v>871.01849095806995</v>
      </c>
      <c r="X12" s="132">
        <v>995.60271910742063</v>
      </c>
      <c r="Y12" s="132">
        <v>856.68299907751145</v>
      </c>
      <c r="DA12" s="156" t="s">
        <v>282</v>
      </c>
    </row>
    <row r="13" spans="1:105" ht="12" customHeight="1" x14ac:dyDescent="0.25">
      <c r="A13" s="131" t="s">
        <v>77</v>
      </c>
      <c r="B13" s="132">
        <v>0.7293372395148966</v>
      </c>
      <c r="C13" s="132">
        <v>1.0175693941378146</v>
      </c>
      <c r="D13" s="132">
        <v>1.0873516995379902</v>
      </c>
      <c r="E13" s="132">
        <v>1.5779629750480937</v>
      </c>
      <c r="F13" s="132">
        <v>1.8399061526934024</v>
      </c>
      <c r="G13" s="132">
        <v>2.8168958929817367</v>
      </c>
      <c r="H13" s="132">
        <v>3.7210444610721751</v>
      </c>
      <c r="I13" s="132">
        <v>4.5696561149155173</v>
      </c>
      <c r="J13" s="132">
        <v>5.2366590391733316</v>
      </c>
      <c r="K13" s="132">
        <v>5.823039332217939</v>
      </c>
      <c r="L13" s="132">
        <v>5.8655191555796478</v>
      </c>
      <c r="M13" s="132">
        <v>5.9234969381722928</v>
      </c>
      <c r="N13" s="132">
        <v>6.2643246236755026</v>
      </c>
      <c r="O13" s="132">
        <v>6.1582845797514345</v>
      </c>
      <c r="P13" s="132">
        <v>8.2470957110611298</v>
      </c>
      <c r="Q13" s="132">
        <v>8.7523745631831869</v>
      </c>
      <c r="R13" s="132">
        <v>8.9660829063171192</v>
      </c>
      <c r="S13" s="132">
        <v>8.9948275679461958</v>
      </c>
      <c r="T13" s="132">
        <v>8.9111983429585333</v>
      </c>
      <c r="U13" s="132">
        <v>9.1689864219476682</v>
      </c>
      <c r="V13" s="132">
        <v>9.4319851067182814</v>
      </c>
      <c r="W13" s="132">
        <v>10.745922543636238</v>
      </c>
      <c r="X13" s="132">
        <v>11.19435555343658</v>
      </c>
      <c r="Y13" s="132">
        <v>12.183649846453447</v>
      </c>
      <c r="DA13" s="156" t="s">
        <v>283</v>
      </c>
    </row>
    <row r="14" spans="1:105" ht="12" customHeight="1" x14ac:dyDescent="0.25">
      <c r="A14" s="60" t="s">
        <v>76</v>
      </c>
      <c r="B14" s="65">
        <v>684.3423648916289</v>
      </c>
      <c r="C14" s="65">
        <v>724.5265351796761</v>
      </c>
      <c r="D14" s="65">
        <v>542.3634363048451</v>
      </c>
      <c r="E14" s="65">
        <v>582.1073997464523</v>
      </c>
      <c r="F14" s="65">
        <v>554.03617148737169</v>
      </c>
      <c r="G14" s="65">
        <v>654.5974518606281</v>
      </c>
      <c r="H14" s="65">
        <v>804.29956636661211</v>
      </c>
      <c r="I14" s="65">
        <v>670.37137125117476</v>
      </c>
      <c r="J14" s="65">
        <v>856.17550681227999</v>
      </c>
      <c r="K14" s="65">
        <v>712.8762845843255</v>
      </c>
      <c r="L14" s="65">
        <v>933.71555034470293</v>
      </c>
      <c r="M14" s="65">
        <v>926.75974275563271</v>
      </c>
      <c r="N14" s="65">
        <v>912.1413317942945</v>
      </c>
      <c r="O14" s="65">
        <v>736.08560496172959</v>
      </c>
      <c r="P14" s="65">
        <v>825.5927886877364</v>
      </c>
      <c r="Q14" s="65">
        <v>767.17579011427529</v>
      </c>
      <c r="R14" s="65">
        <v>911.3093848515864</v>
      </c>
      <c r="S14" s="65">
        <v>841.63114245258521</v>
      </c>
      <c r="T14" s="65">
        <v>1001.3099766308383</v>
      </c>
      <c r="U14" s="65">
        <v>992.21761037922613</v>
      </c>
      <c r="V14" s="65">
        <v>990.89782725257874</v>
      </c>
      <c r="W14" s="65">
        <v>1216.8765670968887</v>
      </c>
      <c r="X14" s="65">
        <v>1163.9457630828515</v>
      </c>
      <c r="Y14" s="65">
        <v>1510.8594058187691</v>
      </c>
      <c r="DA14" s="109" t="s">
        <v>284</v>
      </c>
    </row>
    <row r="15" spans="1:105" ht="12" customHeight="1" x14ac:dyDescent="0.25">
      <c r="A15" s="133" t="s">
        <v>80</v>
      </c>
      <c r="B15" s="134">
        <v>16.399579107407789</v>
      </c>
      <c r="C15" s="134">
        <v>18.842654301956809</v>
      </c>
      <c r="D15" s="134">
        <v>23.248002663920271</v>
      </c>
      <c r="E15" s="134">
        <v>23.585843488631195</v>
      </c>
      <c r="F15" s="134">
        <v>24.477128608793713</v>
      </c>
      <c r="G15" s="134">
        <v>22.831762864377943</v>
      </c>
      <c r="H15" s="134">
        <v>24.705998506506177</v>
      </c>
      <c r="I15" s="134">
        <v>23.105053664368864</v>
      </c>
      <c r="J15" s="134">
        <v>25.760018774663656</v>
      </c>
      <c r="K15" s="134">
        <v>26.764040419922196</v>
      </c>
      <c r="L15" s="134">
        <v>30.433721335001188</v>
      </c>
      <c r="M15" s="134">
        <v>27.590026166150558</v>
      </c>
      <c r="N15" s="134">
        <v>26.6963570586991</v>
      </c>
      <c r="O15" s="134">
        <v>25.07751926770467</v>
      </c>
      <c r="P15" s="134">
        <v>21.897038893592772</v>
      </c>
      <c r="Q15" s="134">
        <v>22.649801392427733</v>
      </c>
      <c r="R15" s="134">
        <v>25.975641542840091</v>
      </c>
      <c r="S15" s="134">
        <v>22.155830649525861</v>
      </c>
      <c r="T15" s="134">
        <v>20.94379774883658</v>
      </c>
      <c r="U15" s="134">
        <v>20.63968634032689</v>
      </c>
      <c r="V15" s="134">
        <v>19.804473223210884</v>
      </c>
      <c r="W15" s="134">
        <v>24.784554394263136</v>
      </c>
      <c r="X15" s="134">
        <v>22.830424458267217</v>
      </c>
      <c r="Y15" s="134">
        <v>20.156759817100824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20.266030201405446</v>
      </c>
      <c r="C16" s="130">
        <f t="shared" si="6"/>
        <v>20.068774565526027</v>
      </c>
      <c r="D16" s="130">
        <f t="shared" si="6"/>
        <v>20.812917186969074</v>
      </c>
      <c r="E16" s="130">
        <f t="shared" si="6"/>
        <v>21.026529331938846</v>
      </c>
      <c r="F16" s="130">
        <f t="shared" si="6"/>
        <v>22.233885205889216</v>
      </c>
      <c r="G16" s="130">
        <f t="shared" si="6"/>
        <v>23.872853930668136</v>
      </c>
      <c r="H16" s="130">
        <f t="shared" si="6"/>
        <v>27.461879210423668</v>
      </c>
      <c r="I16" s="130">
        <f t="shared" si="6"/>
        <v>29.427466272127614</v>
      </c>
      <c r="J16" s="130">
        <f t="shared" si="6"/>
        <v>31.137077652795679</v>
      </c>
      <c r="K16" s="130">
        <f t="shared" si="6"/>
        <v>34.262683765234371</v>
      </c>
      <c r="L16" s="130">
        <f t="shared" si="6"/>
        <v>40.963742501265379</v>
      </c>
      <c r="M16" s="130">
        <f t="shared" si="6"/>
        <v>38.021481333216393</v>
      </c>
      <c r="N16" s="130">
        <f t="shared" si="6"/>
        <v>41.058544789758244</v>
      </c>
      <c r="O16" s="130">
        <f t="shared" si="6"/>
        <v>40.971958921393188</v>
      </c>
      <c r="P16" s="130">
        <f t="shared" si="6"/>
        <v>40.553358876294702</v>
      </c>
      <c r="Q16" s="130">
        <f t="shared" si="6"/>
        <v>46.743029498731246</v>
      </c>
      <c r="R16" s="130">
        <f t="shared" ref="R16:W16" si="7">SUM(R17:R18)</f>
        <v>39.894488921587943</v>
      </c>
      <c r="S16" s="130">
        <f t="shared" si="7"/>
        <v>39.71284705690352</v>
      </c>
      <c r="T16" s="130">
        <f t="shared" si="7"/>
        <v>40.942633782708796</v>
      </c>
      <c r="U16" s="130">
        <f t="shared" si="7"/>
        <v>44.675190004214137</v>
      </c>
      <c r="V16" s="130">
        <f t="shared" si="7"/>
        <v>38.667811911759763</v>
      </c>
      <c r="W16" s="130">
        <f t="shared" si="7"/>
        <v>40.917167859396017</v>
      </c>
      <c r="X16" s="130">
        <f t="shared" ref="X16:Y16" si="8">SUM(X17:X18)</f>
        <v>42.973518307718052</v>
      </c>
      <c r="Y16" s="130">
        <f t="shared" si="8"/>
        <v>40.925095758909151</v>
      </c>
      <c r="DA16" s="155" t="s">
        <v>215</v>
      </c>
    </row>
    <row r="17" spans="1:105" ht="12.95" customHeight="1" x14ac:dyDescent="0.25">
      <c r="A17" s="131" t="s">
        <v>73</v>
      </c>
      <c r="B17" s="132">
        <v>4.4567268301659586E-2</v>
      </c>
      <c r="C17" s="132">
        <v>4.771762486853947E-2</v>
      </c>
      <c r="D17" s="132">
        <v>5.5465978924498671E-2</v>
      </c>
      <c r="E17" s="132">
        <v>6.1943460433561789E-2</v>
      </c>
      <c r="F17" s="132">
        <v>7.6814462532076341E-2</v>
      </c>
      <c r="G17" s="132">
        <v>9.3505588728725719E-2</v>
      </c>
      <c r="H17" s="132">
        <v>0.11465921459867978</v>
      </c>
      <c r="I17" s="132">
        <v>0.13847557248075004</v>
      </c>
      <c r="J17" s="132">
        <v>0.15504443256989076</v>
      </c>
      <c r="K17" s="132">
        <v>0.17676036293231653</v>
      </c>
      <c r="L17" s="132">
        <v>0.21246359058310224</v>
      </c>
      <c r="M17" s="132">
        <v>0.2215024985843097</v>
      </c>
      <c r="N17" s="132">
        <v>0.26637105498981628</v>
      </c>
      <c r="O17" s="132">
        <v>0.32768642858705549</v>
      </c>
      <c r="P17" s="132">
        <v>0.43250671767245752</v>
      </c>
      <c r="Q17" s="132">
        <v>0.59980947171985599</v>
      </c>
      <c r="R17" s="132">
        <v>0.76652913426117752</v>
      </c>
      <c r="S17" s="132">
        <v>0.92132992247141943</v>
      </c>
      <c r="T17" s="132">
        <v>1.0576209833246906</v>
      </c>
      <c r="U17" s="132">
        <v>1.2315598431054549</v>
      </c>
      <c r="V17" s="132">
        <v>1.0774255438288898</v>
      </c>
      <c r="W17" s="132">
        <v>1.1419940961990593</v>
      </c>
      <c r="X17" s="132">
        <v>1.2911901480079817</v>
      </c>
      <c r="Y17" s="132">
        <v>1.2471506287996783</v>
      </c>
      <c r="DA17" s="156" t="s">
        <v>286</v>
      </c>
    </row>
    <row r="18" spans="1:105" ht="12" customHeight="1" x14ac:dyDescent="0.25">
      <c r="A18" s="131" t="s">
        <v>72</v>
      </c>
      <c r="B18" s="132">
        <v>20.221462933103787</v>
      </c>
      <c r="C18" s="132">
        <v>20.021056940657488</v>
      </c>
      <c r="D18" s="132">
        <v>20.757451208044575</v>
      </c>
      <c r="E18" s="132">
        <v>20.964585871505285</v>
      </c>
      <c r="F18" s="132">
        <v>22.157070743357139</v>
      </c>
      <c r="G18" s="132">
        <v>23.779348341939411</v>
      </c>
      <c r="H18" s="132">
        <v>27.347219995824986</v>
      </c>
      <c r="I18" s="132">
        <v>29.288990699646863</v>
      </c>
      <c r="J18" s="132">
        <v>30.982033220225787</v>
      </c>
      <c r="K18" s="132">
        <v>34.085923402302058</v>
      </c>
      <c r="L18" s="132">
        <v>40.751278910682274</v>
      </c>
      <c r="M18" s="132">
        <v>37.799978834632086</v>
      </c>
      <c r="N18" s="132">
        <v>40.792173734768426</v>
      </c>
      <c r="O18" s="132">
        <v>40.644272492806131</v>
      </c>
      <c r="P18" s="132">
        <v>40.120852158622242</v>
      </c>
      <c r="Q18" s="132">
        <v>46.143220027011388</v>
      </c>
      <c r="R18" s="132">
        <v>39.127959787326766</v>
      </c>
      <c r="S18" s="132">
        <v>38.791517134432098</v>
      </c>
      <c r="T18" s="132">
        <v>39.885012799384107</v>
      </c>
      <c r="U18" s="132">
        <v>43.443630161108679</v>
      </c>
      <c r="V18" s="132">
        <v>37.590386367930876</v>
      </c>
      <c r="W18" s="132">
        <v>39.77517376319696</v>
      </c>
      <c r="X18" s="132">
        <v>41.682328159710067</v>
      </c>
      <c r="Y18" s="132">
        <v>39.677945130109471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349.93351418844327</v>
      </c>
      <c r="C19" s="130">
        <f t="shared" si="9"/>
        <v>384.20455576383597</v>
      </c>
      <c r="D19" s="130">
        <f t="shared" si="9"/>
        <v>463.49859413666559</v>
      </c>
      <c r="E19" s="130">
        <f t="shared" si="9"/>
        <v>507.0021748634378</v>
      </c>
      <c r="F19" s="130">
        <f t="shared" si="9"/>
        <v>550.25787972381465</v>
      </c>
      <c r="G19" s="130">
        <f t="shared" si="9"/>
        <v>563.37874306841172</v>
      </c>
      <c r="H19" s="130">
        <f t="shared" si="9"/>
        <v>614.54311971554102</v>
      </c>
      <c r="I19" s="130">
        <f t="shared" si="9"/>
        <v>674.33594037531498</v>
      </c>
      <c r="J19" s="130">
        <f t="shared" si="9"/>
        <v>716.0042697290487</v>
      </c>
      <c r="K19" s="130">
        <f t="shared" si="9"/>
        <v>735.399102739932</v>
      </c>
      <c r="L19" s="130">
        <f t="shared" si="9"/>
        <v>738.77937381975278</v>
      </c>
      <c r="M19" s="130">
        <f t="shared" si="9"/>
        <v>755.41960019017836</v>
      </c>
      <c r="N19" s="130">
        <f t="shared" si="9"/>
        <v>778.03530560610773</v>
      </c>
      <c r="O19" s="130">
        <f t="shared" si="9"/>
        <v>793.21555226792975</v>
      </c>
      <c r="P19" s="130">
        <f t="shared" si="9"/>
        <v>807.37877591319557</v>
      </c>
      <c r="Q19" s="130">
        <f t="shared" si="9"/>
        <v>826.48853042490589</v>
      </c>
      <c r="R19" s="130">
        <f t="shared" ref="R19:W19" si="10">SUM(R20:R27)</f>
        <v>843.53087292156408</v>
      </c>
      <c r="S19" s="130">
        <f t="shared" si="10"/>
        <v>827.73916850591081</v>
      </c>
      <c r="T19" s="130">
        <f t="shared" si="10"/>
        <v>814.2115650570986</v>
      </c>
      <c r="U19" s="130">
        <f t="shared" si="10"/>
        <v>804.08879654125099</v>
      </c>
      <c r="V19" s="130">
        <f t="shared" si="10"/>
        <v>742.4904345586034</v>
      </c>
      <c r="W19" s="130">
        <f t="shared" si="10"/>
        <v>806.62705852193653</v>
      </c>
      <c r="X19" s="130">
        <f t="shared" ref="X19:Y19" si="11">SUM(X20:X27)</f>
        <v>800.03772715498928</v>
      </c>
      <c r="Y19" s="130">
        <f t="shared" si="11"/>
        <v>779.25603392121104</v>
      </c>
      <c r="DA19" s="155" t="s">
        <v>216</v>
      </c>
    </row>
    <row r="20" spans="1:105" ht="12" customHeight="1" x14ac:dyDescent="0.25">
      <c r="A20" s="131" t="s">
        <v>29</v>
      </c>
      <c r="B20" s="132">
        <v>9.8352584748388274</v>
      </c>
      <c r="C20" s="132">
        <v>20.659957467013658</v>
      </c>
      <c r="D20" s="132">
        <v>28.064855878430532</v>
      </c>
      <c r="E20" s="132">
        <v>29.703356363617431</v>
      </c>
      <c r="F20" s="132">
        <v>30.34660531914907</v>
      </c>
      <c r="G20" s="132">
        <v>29.56314986194938</v>
      </c>
      <c r="H20" s="132">
        <v>26.136491755754278</v>
      </c>
      <c r="I20" s="132">
        <v>31.874117352703017</v>
      </c>
      <c r="J20" s="132">
        <v>32.785767506612054</v>
      </c>
      <c r="K20" s="132">
        <v>34.009365066580031</v>
      </c>
      <c r="L20" s="132">
        <v>36.40824742189406</v>
      </c>
      <c r="M20" s="132">
        <v>36.939575793875882</v>
      </c>
      <c r="N20" s="132">
        <v>37.790491989982947</v>
      </c>
      <c r="O20" s="132">
        <v>38.979554438761525</v>
      </c>
      <c r="P20" s="132">
        <v>39.604332072015154</v>
      </c>
      <c r="Q20" s="132">
        <v>40.072131883678715</v>
      </c>
      <c r="R20" s="132">
        <v>44.322217933339672</v>
      </c>
      <c r="S20" s="132">
        <v>36.334643349056137</v>
      </c>
      <c r="T20" s="132">
        <v>25.588387895396451</v>
      </c>
      <c r="U20" s="132">
        <v>21.036211608678933</v>
      </c>
      <c r="V20" s="132">
        <v>24.128394202734146</v>
      </c>
      <c r="W20" s="132">
        <v>32.72678181076158</v>
      </c>
      <c r="X20" s="132">
        <v>16.372078415813714</v>
      </c>
      <c r="Y20" s="132">
        <v>11.557921262989407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53.937439171211004</v>
      </c>
      <c r="C21" s="132">
        <v>66.462824622704161</v>
      </c>
      <c r="D21" s="132">
        <v>65.156825848076579</v>
      </c>
      <c r="E21" s="132">
        <v>100.53209208093409</v>
      </c>
      <c r="F21" s="132">
        <v>86.64618616617328</v>
      </c>
      <c r="G21" s="132">
        <v>74.054661394190489</v>
      </c>
      <c r="H21" s="132">
        <v>82.844869440787548</v>
      </c>
      <c r="I21" s="132">
        <v>73.290022795216373</v>
      </c>
      <c r="J21" s="132">
        <v>68.437366859791197</v>
      </c>
      <c r="K21" s="132">
        <v>61.220039406702426</v>
      </c>
      <c r="L21" s="132">
        <v>58.90379696965131</v>
      </c>
      <c r="M21" s="132">
        <v>57.341607645766281</v>
      </c>
      <c r="N21" s="132">
        <v>74.514108463544062</v>
      </c>
      <c r="O21" s="132">
        <v>44.769718698889392</v>
      </c>
      <c r="P21" s="132">
        <v>50.605058345795641</v>
      </c>
      <c r="Q21" s="132">
        <v>45.832783071981602</v>
      </c>
      <c r="R21" s="132">
        <v>47.900339492783921</v>
      </c>
      <c r="S21" s="132">
        <v>47.85727261638651</v>
      </c>
      <c r="T21" s="132">
        <v>43.306913744620715</v>
      </c>
      <c r="U21" s="132">
        <v>47.652277993617332</v>
      </c>
      <c r="V21" s="132">
        <v>31.209209255945659</v>
      </c>
      <c r="W21" s="132">
        <v>28.940546835194141</v>
      </c>
      <c r="X21" s="132">
        <v>23.14944798764585</v>
      </c>
      <c r="Y21" s="132">
        <v>21.371392374480397</v>
      </c>
      <c r="DA21" s="156" t="s">
        <v>289</v>
      </c>
    </row>
    <row r="22" spans="1:105" ht="12" customHeight="1" x14ac:dyDescent="0.25">
      <c r="A22" s="131" t="s">
        <v>161</v>
      </c>
      <c r="B22" s="132">
        <v>22.000695092972695</v>
      </c>
      <c r="C22" s="132">
        <v>22.216486651310674</v>
      </c>
      <c r="D22" s="132">
        <v>26.642746554666516</v>
      </c>
      <c r="E22" s="132">
        <v>28.381362213128398</v>
      </c>
      <c r="F22" s="132">
        <v>30.138746965573482</v>
      </c>
      <c r="G22" s="132">
        <v>29.598285487678844</v>
      </c>
      <c r="H22" s="132">
        <v>32.516683687670294</v>
      </c>
      <c r="I22" s="132">
        <v>35.955952299238731</v>
      </c>
      <c r="J22" s="132">
        <v>38.612463064636827</v>
      </c>
      <c r="K22" s="132">
        <v>39.654175044037451</v>
      </c>
      <c r="L22" s="132">
        <v>42.419933613285053</v>
      </c>
      <c r="M22" s="132">
        <v>42.077635987912316</v>
      </c>
      <c r="N22" s="132">
        <v>41.984263790544816</v>
      </c>
      <c r="O22" s="132">
        <v>42.201498633095753</v>
      </c>
      <c r="P22" s="132">
        <v>41.861147328269119</v>
      </c>
      <c r="Q22" s="132">
        <v>42.772136281715127</v>
      </c>
      <c r="R22" s="132">
        <v>41.832187956188129</v>
      </c>
      <c r="S22" s="132">
        <v>44.089723463972767</v>
      </c>
      <c r="T22" s="132">
        <v>41.345472017545134</v>
      </c>
      <c r="U22" s="132">
        <v>34.661073733066807</v>
      </c>
      <c r="V22" s="132">
        <v>34.123825790357472</v>
      </c>
      <c r="W22" s="132">
        <v>38.223093597786388</v>
      </c>
      <c r="X22" s="132">
        <v>38.541256511810907</v>
      </c>
      <c r="Y22" s="132">
        <v>33.491543926185471</v>
      </c>
      <c r="DA22" s="156" t="s">
        <v>290</v>
      </c>
    </row>
    <row r="23" spans="1:105" ht="12" customHeight="1" x14ac:dyDescent="0.25">
      <c r="A23" s="131" t="s">
        <v>149</v>
      </c>
      <c r="B23" s="132">
        <v>33.608968796119278</v>
      </c>
      <c r="C23" s="132">
        <v>44.526741603035319</v>
      </c>
      <c r="D23" s="132">
        <v>58.040289298153716</v>
      </c>
      <c r="E23" s="132">
        <v>80.468512662423095</v>
      </c>
      <c r="F23" s="132">
        <v>87.136604929208346</v>
      </c>
      <c r="G23" s="132">
        <v>94.825617677692591</v>
      </c>
      <c r="H23" s="132">
        <v>101.87742527412291</v>
      </c>
      <c r="I23" s="132">
        <v>111.72536134179154</v>
      </c>
      <c r="J23" s="132">
        <v>124.00632728235551</v>
      </c>
      <c r="K23" s="132">
        <v>128.3008303739781</v>
      </c>
      <c r="L23" s="132">
        <v>143.69816592747915</v>
      </c>
      <c r="M23" s="132">
        <v>145.91321786464272</v>
      </c>
      <c r="N23" s="132">
        <v>146.06179108125309</v>
      </c>
      <c r="O23" s="132">
        <v>148.82083659478525</v>
      </c>
      <c r="P23" s="132">
        <v>151.16113159508916</v>
      </c>
      <c r="Q23" s="132">
        <v>153.10599035583542</v>
      </c>
      <c r="R23" s="132">
        <v>152.06949379034145</v>
      </c>
      <c r="S23" s="132">
        <v>118.27356081263228</v>
      </c>
      <c r="T23" s="132">
        <v>107.39694107700929</v>
      </c>
      <c r="U23" s="132">
        <v>90.021974748204698</v>
      </c>
      <c r="V23" s="132">
        <v>74.605117719245413</v>
      </c>
      <c r="W23" s="132">
        <v>97.502074044223178</v>
      </c>
      <c r="X23" s="132">
        <v>88.846166229289949</v>
      </c>
      <c r="Y23" s="132">
        <v>83.285181369372836</v>
      </c>
      <c r="DA23" s="156" t="s">
        <v>291</v>
      </c>
    </row>
    <row r="24" spans="1:105" ht="12" customHeight="1" x14ac:dyDescent="0.25">
      <c r="A24" s="131" t="s">
        <v>128</v>
      </c>
      <c r="B24" s="132">
        <v>6.131414445399832</v>
      </c>
      <c r="C24" s="132">
        <v>6.1759008768517694</v>
      </c>
      <c r="D24" s="132">
        <v>7.4134979866583404</v>
      </c>
      <c r="E24" s="132">
        <v>7.435789291831945</v>
      </c>
      <c r="F24" s="132">
        <v>7.506244378673177</v>
      </c>
      <c r="G24" s="132">
        <v>7.5196199662857346</v>
      </c>
      <c r="H24" s="132">
        <v>8.6795715310017876</v>
      </c>
      <c r="I24" s="132">
        <v>10.535095451025551</v>
      </c>
      <c r="J24" s="132">
        <v>11.56876772561656</v>
      </c>
      <c r="K24" s="132">
        <v>11.863908057242176</v>
      </c>
      <c r="L24" s="132">
        <v>11.934392481670669</v>
      </c>
      <c r="M24" s="132">
        <v>12.119358418863403</v>
      </c>
      <c r="N24" s="132">
        <v>12.380051065390564</v>
      </c>
      <c r="O24" s="132">
        <v>12.444494539211547</v>
      </c>
      <c r="P24" s="132">
        <v>12.638936245716341</v>
      </c>
      <c r="Q24" s="132">
        <v>13.776176866254707</v>
      </c>
      <c r="R24" s="132">
        <v>15.798886785996181</v>
      </c>
      <c r="S24" s="132">
        <v>16.239453675143981</v>
      </c>
      <c r="T24" s="132">
        <v>14.385406481950703</v>
      </c>
      <c r="U24" s="132">
        <v>14.702718553627239</v>
      </c>
      <c r="V24" s="132">
        <v>17.661025183685698</v>
      </c>
      <c r="W24" s="132">
        <v>20.951140302282617</v>
      </c>
      <c r="X24" s="132">
        <v>14.705056173708357</v>
      </c>
      <c r="Y24" s="132">
        <v>14.76173441991315</v>
      </c>
      <c r="DA24" s="156" t="s">
        <v>292</v>
      </c>
    </row>
    <row r="25" spans="1:105" ht="12" customHeight="1" x14ac:dyDescent="0.25">
      <c r="A25" s="131" t="s">
        <v>162</v>
      </c>
      <c r="B25" s="132">
        <v>45.264045714764947</v>
      </c>
      <c r="C25" s="132">
        <v>51.846685403318972</v>
      </c>
      <c r="D25" s="132">
        <v>63.94349702380628</v>
      </c>
      <c r="E25" s="132">
        <v>72.233951181658938</v>
      </c>
      <c r="F25" s="132">
        <v>93.242811350636273</v>
      </c>
      <c r="G25" s="132">
        <v>99.951898052652339</v>
      </c>
      <c r="H25" s="132">
        <v>107.81406988807957</v>
      </c>
      <c r="I25" s="132">
        <v>115.21486859559057</v>
      </c>
      <c r="J25" s="132">
        <v>122.07569163919796</v>
      </c>
      <c r="K25" s="132">
        <v>124.84047758296578</v>
      </c>
      <c r="L25" s="132">
        <v>124.45383549274831</v>
      </c>
      <c r="M25" s="132">
        <v>123.8902648155462</v>
      </c>
      <c r="N25" s="132">
        <v>125.16121091372128</v>
      </c>
      <c r="O25" s="132">
        <v>128.3596588174029</v>
      </c>
      <c r="P25" s="132">
        <v>124.48690296495053</v>
      </c>
      <c r="Q25" s="132">
        <v>124.02294530053142</v>
      </c>
      <c r="R25" s="132">
        <v>130.23577239704198</v>
      </c>
      <c r="S25" s="132">
        <v>152.5206554783955</v>
      </c>
      <c r="T25" s="132">
        <v>124.43138162659271</v>
      </c>
      <c r="U25" s="132">
        <v>123.04363077680651</v>
      </c>
      <c r="V25" s="132">
        <v>124.21624118866761</v>
      </c>
      <c r="W25" s="132">
        <v>103.80885212017533</v>
      </c>
      <c r="X25" s="132">
        <v>122.25875982637049</v>
      </c>
      <c r="Y25" s="132">
        <v>105.65844546247213</v>
      </c>
      <c r="DA25" s="156" t="s">
        <v>293</v>
      </c>
    </row>
    <row r="26" spans="1:105" ht="12" customHeight="1" x14ac:dyDescent="0.25">
      <c r="A26" s="131" t="s">
        <v>24</v>
      </c>
      <c r="B26" s="65">
        <v>179.15569249313671</v>
      </c>
      <c r="C26" s="65">
        <v>172.31595913960146</v>
      </c>
      <c r="D26" s="65">
        <v>214.21297784953913</v>
      </c>
      <c r="E26" s="65">
        <v>188.22320737250936</v>
      </c>
      <c r="F26" s="65">
        <v>215.14515180958588</v>
      </c>
      <c r="G26" s="65">
        <v>227.72217442847821</v>
      </c>
      <c r="H26" s="65">
        <v>254.41123943649092</v>
      </c>
      <c r="I26" s="65">
        <v>295.38222503330036</v>
      </c>
      <c r="J26" s="65">
        <v>317.2281178090501</v>
      </c>
      <c r="K26" s="65">
        <v>333.52784805107444</v>
      </c>
      <c r="L26" s="65">
        <v>318.57252383907763</v>
      </c>
      <c r="M26" s="65">
        <v>333.93742375643484</v>
      </c>
      <c r="N26" s="65">
        <v>336.22627738163658</v>
      </c>
      <c r="O26" s="65">
        <v>373.36446810382296</v>
      </c>
      <c r="P26" s="65">
        <v>382.24431121346618</v>
      </c>
      <c r="Q26" s="65">
        <v>401.41290148864056</v>
      </c>
      <c r="R26" s="65">
        <v>405.49639417034388</v>
      </c>
      <c r="S26" s="65">
        <v>406.5131110449754</v>
      </c>
      <c r="T26" s="65">
        <v>451.68191174106875</v>
      </c>
      <c r="U26" s="65">
        <v>467.11811463025884</v>
      </c>
      <c r="V26" s="65">
        <v>430.93793678116612</v>
      </c>
      <c r="W26" s="65">
        <v>479.02435485020635</v>
      </c>
      <c r="X26" s="65">
        <v>490.65240827002322</v>
      </c>
      <c r="Y26" s="65">
        <v>503.86197331731955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2.3903697334479789E-2</v>
      </c>
      <c r="E27" s="145">
        <v>2.3903697334479793E-2</v>
      </c>
      <c r="F27" s="145">
        <v>9.5528804815133261E-2</v>
      </c>
      <c r="G27" s="145">
        <v>0.14333619948409276</v>
      </c>
      <c r="H27" s="145">
        <v>0.26276870163370586</v>
      </c>
      <c r="I27" s="145">
        <v>0.35829750644883918</v>
      </c>
      <c r="J27" s="145">
        <v>1.2897678417884777</v>
      </c>
      <c r="K27" s="145">
        <v>1.982459157351677</v>
      </c>
      <c r="L27" s="145">
        <v>2.3884780739466889</v>
      </c>
      <c r="M27" s="145">
        <v>3.2005159071367144</v>
      </c>
      <c r="N27" s="145">
        <v>3.9171109200343928</v>
      </c>
      <c r="O27" s="145">
        <v>4.2753224419604452</v>
      </c>
      <c r="P27" s="145">
        <v>4.7769561478933786</v>
      </c>
      <c r="Q27" s="145">
        <v>5.4934651762682698</v>
      </c>
      <c r="R27" s="145">
        <v>5.8755803955288037</v>
      </c>
      <c r="S27" s="145">
        <v>5.9107480653482423</v>
      </c>
      <c r="T27" s="145">
        <v>6.0751504729148715</v>
      </c>
      <c r="U27" s="145">
        <v>5.8527944969905432</v>
      </c>
      <c r="V27" s="145">
        <v>5.6086844368013722</v>
      </c>
      <c r="W27" s="145">
        <v>5.4502149613069681</v>
      </c>
      <c r="X27" s="145">
        <v>5.5125537403267426</v>
      </c>
      <c r="Y27" s="145">
        <v>5.2678417884780773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401.66865547694346</v>
      </c>
      <c r="C29" s="130">
        <f t="shared" si="12"/>
        <v>466.95739872258548</v>
      </c>
      <c r="D29" s="130">
        <f t="shared" si="12"/>
        <v>534.1220810759196</v>
      </c>
      <c r="E29" s="130">
        <f t="shared" si="12"/>
        <v>602.42783499995426</v>
      </c>
      <c r="F29" s="130">
        <f t="shared" si="12"/>
        <v>625.87229684564022</v>
      </c>
      <c r="G29" s="130">
        <f t="shared" si="12"/>
        <v>650.73763615341909</v>
      </c>
      <c r="H29" s="130">
        <f t="shared" si="12"/>
        <v>689.02387110600171</v>
      </c>
      <c r="I29" s="130">
        <f t="shared" si="12"/>
        <v>742.28108783133916</v>
      </c>
      <c r="J29" s="130">
        <f t="shared" si="12"/>
        <v>780.77186824075534</v>
      </c>
      <c r="K29" s="130">
        <f t="shared" si="12"/>
        <v>782.49072160998935</v>
      </c>
      <c r="L29" s="130">
        <f t="shared" si="12"/>
        <v>791.37935398368336</v>
      </c>
      <c r="M29" s="130">
        <f t="shared" si="12"/>
        <v>817.66897908304713</v>
      </c>
      <c r="N29" s="130">
        <f t="shared" si="12"/>
        <v>828.53460599511459</v>
      </c>
      <c r="O29" s="130">
        <f t="shared" si="12"/>
        <v>833.43127756919716</v>
      </c>
      <c r="P29" s="130">
        <f t="shared" si="12"/>
        <v>850.94939686394275</v>
      </c>
      <c r="Q29" s="130">
        <f t="shared" si="12"/>
        <v>861.08694627594684</v>
      </c>
      <c r="R29" s="130">
        <f t="shared" ref="R29:W29" si="13">SUM(R30:R33)</f>
        <v>862.1870495708298</v>
      </c>
      <c r="S29" s="130">
        <f t="shared" si="13"/>
        <v>849.05438988890705</v>
      </c>
      <c r="T29" s="130">
        <f t="shared" si="13"/>
        <v>858.63546013176301</v>
      </c>
      <c r="U29" s="130">
        <f t="shared" si="13"/>
        <v>861.22567385214847</v>
      </c>
      <c r="V29" s="130">
        <f t="shared" si="13"/>
        <v>803.49748839396875</v>
      </c>
      <c r="W29" s="130">
        <f t="shared" si="13"/>
        <v>832.04062212424083</v>
      </c>
      <c r="X29" s="130">
        <f t="shared" ref="X29:Y29" si="14">SUM(X30:X33)</f>
        <v>854.03647670230612</v>
      </c>
      <c r="Y29" s="130">
        <f t="shared" si="14"/>
        <v>859.18442372020263</v>
      </c>
      <c r="DA29" s="155" t="s">
        <v>217</v>
      </c>
    </row>
    <row r="30" spans="1:105" ht="12" customHeight="1" x14ac:dyDescent="0.25">
      <c r="A30" s="131" t="s">
        <v>52</v>
      </c>
      <c r="B30" s="132">
        <v>2.5495771658483193</v>
      </c>
      <c r="C30" s="132">
        <v>13.748783287871914</v>
      </c>
      <c r="D30" s="132">
        <v>17.314283352267346</v>
      </c>
      <c r="E30" s="132">
        <v>35.036867506340222</v>
      </c>
      <c r="F30" s="132">
        <v>36.495602311900598</v>
      </c>
      <c r="G30" s="132">
        <v>38.919457264450955</v>
      </c>
      <c r="H30" s="132">
        <v>45.945586277183217</v>
      </c>
      <c r="I30" s="132">
        <v>47.592264393089671</v>
      </c>
      <c r="J30" s="132">
        <v>41.147499864198501</v>
      </c>
      <c r="K30" s="132">
        <v>28.872651908860743</v>
      </c>
      <c r="L30" s="132">
        <v>22.399384457691699</v>
      </c>
      <c r="M30" s="132">
        <v>21.764153317260313</v>
      </c>
      <c r="N30" s="132">
        <v>22.170672275922897</v>
      </c>
      <c r="O30" s="132">
        <v>23.349111911600712</v>
      </c>
      <c r="P30" s="132">
        <v>20.809902961169069</v>
      </c>
      <c r="Q30" s="132">
        <v>25.582178234983154</v>
      </c>
      <c r="R30" s="132">
        <v>29.00800100592631</v>
      </c>
      <c r="S30" s="132">
        <v>30.66069814887571</v>
      </c>
      <c r="T30" s="132">
        <v>29.750523916600184</v>
      </c>
      <c r="U30" s="132">
        <v>34.855030690819433</v>
      </c>
      <c r="V30" s="132">
        <v>23.725356522214287</v>
      </c>
      <c r="W30" s="132">
        <v>22.697974231013969</v>
      </c>
      <c r="X30" s="132">
        <v>18.600852958183907</v>
      </c>
      <c r="Y30" s="132">
        <v>17.456380626379485</v>
      </c>
      <c r="DA30" s="156" t="s">
        <v>296</v>
      </c>
    </row>
    <row r="31" spans="1:105" ht="12" customHeight="1" x14ac:dyDescent="0.25">
      <c r="A31" s="131" t="s">
        <v>149</v>
      </c>
      <c r="B31" s="132">
        <v>88.106906832476881</v>
      </c>
      <c r="C31" s="132">
        <v>106.12109501275292</v>
      </c>
      <c r="D31" s="132">
        <v>122.5174896473933</v>
      </c>
      <c r="E31" s="132">
        <v>138.34063284491913</v>
      </c>
      <c r="F31" s="132">
        <v>143.46028203795856</v>
      </c>
      <c r="G31" s="132">
        <v>158.0002625034459</v>
      </c>
      <c r="H31" s="132">
        <v>168.95189810289736</v>
      </c>
      <c r="I31" s="132">
        <v>175.79315861602424</v>
      </c>
      <c r="J31" s="132">
        <v>180.45521192632748</v>
      </c>
      <c r="K31" s="132">
        <v>185.79275348933302</v>
      </c>
      <c r="L31" s="132">
        <v>186.83880022092328</v>
      </c>
      <c r="M31" s="132">
        <v>215.98848646849694</v>
      </c>
      <c r="N31" s="132">
        <v>239.58847853791053</v>
      </c>
      <c r="O31" s="132">
        <v>244.99881015231969</v>
      </c>
      <c r="P31" s="132">
        <v>245.04073545395113</v>
      </c>
      <c r="Q31" s="132">
        <v>252.92801216026706</v>
      </c>
      <c r="R31" s="132">
        <v>241.28304836829372</v>
      </c>
      <c r="S31" s="132">
        <v>227.09956244439573</v>
      </c>
      <c r="T31" s="132">
        <v>219.41599584133994</v>
      </c>
      <c r="U31" s="132">
        <v>225.077155919993</v>
      </c>
      <c r="V31" s="132">
        <v>187.76967726498708</v>
      </c>
      <c r="W31" s="132">
        <v>258.72721207127876</v>
      </c>
      <c r="X31" s="132">
        <v>259.55911518496214</v>
      </c>
      <c r="Y31" s="132">
        <v>262.4534622466756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311.01217147861826</v>
      </c>
      <c r="C33" s="68">
        <v>347.08752042196062</v>
      </c>
      <c r="D33" s="68">
        <v>394.29030807625901</v>
      </c>
      <c r="E33" s="68">
        <v>429.05033464869496</v>
      </c>
      <c r="F33" s="68">
        <v>445.916412495781</v>
      </c>
      <c r="G33" s="68">
        <v>453.81791638552227</v>
      </c>
      <c r="H33" s="68">
        <v>474.12638672592118</v>
      </c>
      <c r="I33" s="68">
        <v>518.89566482222529</v>
      </c>
      <c r="J33" s="68">
        <v>559.16915645022937</v>
      </c>
      <c r="K33" s="68">
        <v>567.82531621179555</v>
      </c>
      <c r="L33" s="68">
        <v>582.14116930506839</v>
      </c>
      <c r="M33" s="68">
        <v>579.91633929728994</v>
      </c>
      <c r="N33" s="68">
        <v>566.77545518128113</v>
      </c>
      <c r="O33" s="68">
        <v>565.0833555052767</v>
      </c>
      <c r="P33" s="68">
        <v>585.09875844882254</v>
      </c>
      <c r="Q33" s="68">
        <v>582.57675588069662</v>
      </c>
      <c r="R33" s="68">
        <v>591.89600019660975</v>
      </c>
      <c r="S33" s="68">
        <v>591.29412929563557</v>
      </c>
      <c r="T33" s="68">
        <v>609.46894037382287</v>
      </c>
      <c r="U33" s="68">
        <v>601.29348724133604</v>
      </c>
      <c r="V33" s="68">
        <v>592.0024546067674</v>
      </c>
      <c r="W33" s="68">
        <v>550.61543582194815</v>
      </c>
      <c r="X33" s="68">
        <v>575.87650855916002</v>
      </c>
      <c r="Y33" s="68">
        <v>579.2745808471476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2313.2017655995064</v>
      </c>
      <c r="C3" s="125">
        <f t="shared" si="0"/>
        <v>2554.8772933805772</v>
      </c>
      <c r="D3" s="125">
        <f t="shared" si="0"/>
        <v>2952.5358555020352</v>
      </c>
      <c r="E3" s="125">
        <f t="shared" si="0"/>
        <v>3060.1503186316954</v>
      </c>
      <c r="F3" s="125">
        <f t="shared" si="0"/>
        <v>3354.1398115114457</v>
      </c>
      <c r="G3" s="125">
        <f t="shared" si="0"/>
        <v>3341.2685889717332</v>
      </c>
      <c r="H3" s="125">
        <f t="shared" si="0"/>
        <v>3823.9010081744505</v>
      </c>
      <c r="I3" s="125">
        <f t="shared" si="0"/>
        <v>3529.38610794445</v>
      </c>
      <c r="J3" s="125">
        <f t="shared" si="0"/>
        <v>4138.1679048882015</v>
      </c>
      <c r="K3" s="125">
        <f t="shared" si="0"/>
        <v>4141.2485570091958</v>
      </c>
      <c r="L3" s="125">
        <f t="shared" si="0"/>
        <v>4680.9307175103904</v>
      </c>
      <c r="M3" s="125">
        <f t="shared" si="0"/>
        <v>4424.6636323637667</v>
      </c>
      <c r="N3" s="125">
        <f t="shared" si="0"/>
        <v>4433.6950109072168</v>
      </c>
      <c r="O3" s="125">
        <f t="shared" si="0"/>
        <v>4284.0299088851316</v>
      </c>
      <c r="P3" s="125">
        <f t="shared" si="0"/>
        <v>4090.6139748531214</v>
      </c>
      <c r="Q3" s="125">
        <f t="shared" si="0"/>
        <v>4114.3680336389207</v>
      </c>
      <c r="R3" s="125">
        <f t="shared" ref="R3:W3" si="1">SUM(R4,R16,R19,R29)</f>
        <v>4573.4604201748361</v>
      </c>
      <c r="S3" s="125">
        <f t="shared" si="1"/>
        <v>4342.3209857986121</v>
      </c>
      <c r="T3" s="125">
        <f t="shared" si="1"/>
        <v>4332.0617280486958</v>
      </c>
      <c r="U3" s="125">
        <f t="shared" si="1"/>
        <v>4356.269832367193</v>
      </c>
      <c r="V3" s="125">
        <f t="shared" si="1"/>
        <v>4264.6399277227811</v>
      </c>
      <c r="W3" s="125">
        <f t="shared" si="1"/>
        <v>4862.8130840487593</v>
      </c>
      <c r="X3" s="125">
        <f t="shared" ref="X3:Y3" si="2">SUM(X4,X16,X19,X29)</f>
        <v>4728.4513222844525</v>
      </c>
      <c r="Y3" s="125">
        <f t="shared" si="2"/>
        <v>4783.5823618993154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1766.3644188054541</v>
      </c>
      <c r="C4" s="130">
        <f t="shared" si="3"/>
        <v>1941.6257775431964</v>
      </c>
      <c r="D4" s="130">
        <f t="shared" si="3"/>
        <v>2235.896093079949</v>
      </c>
      <c r="E4" s="130">
        <f t="shared" si="3"/>
        <v>2269.0961317755086</v>
      </c>
      <c r="F4" s="130">
        <f t="shared" si="3"/>
        <v>2506.6165894385526</v>
      </c>
      <c r="G4" s="130">
        <f t="shared" si="3"/>
        <v>2457.8301926851373</v>
      </c>
      <c r="H4" s="130">
        <f t="shared" si="3"/>
        <v>2865.4671826168174</v>
      </c>
      <c r="I4" s="130">
        <f t="shared" si="3"/>
        <v>2477.7872280265174</v>
      </c>
      <c r="J4" s="130">
        <f t="shared" si="3"/>
        <v>3014.4609584647424</v>
      </c>
      <c r="K4" s="130">
        <f t="shared" si="3"/>
        <v>2985.2098412139308</v>
      </c>
      <c r="L4" s="130">
        <f t="shared" si="3"/>
        <v>3489.939096942177</v>
      </c>
      <c r="M4" s="130">
        <f t="shared" si="3"/>
        <v>3206.9281148953319</v>
      </c>
      <c r="N4" s="130">
        <f t="shared" si="3"/>
        <v>3178.8302158268889</v>
      </c>
      <c r="O4" s="130">
        <f t="shared" si="3"/>
        <v>3002.1339208553086</v>
      </c>
      <c r="P4" s="130">
        <f t="shared" si="3"/>
        <v>2776.9044389770729</v>
      </c>
      <c r="Q4" s="130">
        <f t="shared" si="3"/>
        <v>2748.709183791475</v>
      </c>
      <c r="R4" s="130">
        <f t="shared" ref="R4:W4" si="4">SUM(R5:R15)</f>
        <v>3201.4306725305769</v>
      </c>
      <c r="S4" s="130">
        <f t="shared" si="4"/>
        <v>2966.9275854392213</v>
      </c>
      <c r="T4" s="130">
        <f t="shared" si="4"/>
        <v>2933.2176890189889</v>
      </c>
      <c r="U4" s="130">
        <f t="shared" si="4"/>
        <v>2928.1350718385452</v>
      </c>
      <c r="V4" s="130">
        <f t="shared" si="4"/>
        <v>2920.4022328608808</v>
      </c>
      <c r="W4" s="130">
        <f t="shared" si="4"/>
        <v>3435.227470555903</v>
      </c>
      <c r="X4" s="130">
        <f t="shared" ref="X4:Y4" si="5">SUM(X5:X15)</f>
        <v>3252.8496532450208</v>
      </c>
      <c r="Y4" s="130">
        <f t="shared" si="5"/>
        <v>3308.139935898334</v>
      </c>
      <c r="DA4" s="155" t="s">
        <v>302</v>
      </c>
    </row>
    <row r="5" spans="1:105" ht="12" customHeight="1" x14ac:dyDescent="0.25">
      <c r="A5" s="131" t="s">
        <v>29</v>
      </c>
      <c r="B5" s="132">
        <v>273.14301547620255</v>
      </c>
      <c r="C5" s="132">
        <v>210.75049073688555</v>
      </c>
      <c r="D5" s="132">
        <v>374.04527384848842</v>
      </c>
      <c r="E5" s="132">
        <v>377.52414015296659</v>
      </c>
      <c r="F5" s="132">
        <v>362.20674613559862</v>
      </c>
      <c r="G5" s="132">
        <v>363.52320928868062</v>
      </c>
      <c r="H5" s="132">
        <v>427.22351856694593</v>
      </c>
      <c r="I5" s="132">
        <v>370.3492354088404</v>
      </c>
      <c r="J5" s="132">
        <v>417.58831566801831</v>
      </c>
      <c r="K5" s="132">
        <v>462.98886799183168</v>
      </c>
      <c r="L5" s="132">
        <v>536.48421996127888</v>
      </c>
      <c r="M5" s="132">
        <v>478.37710535683885</v>
      </c>
      <c r="N5" s="132">
        <v>494.26088737951613</v>
      </c>
      <c r="O5" s="132">
        <v>463.57258667360992</v>
      </c>
      <c r="P5" s="132">
        <v>407.95395521809132</v>
      </c>
      <c r="Q5" s="132">
        <v>394.58801527933866</v>
      </c>
      <c r="R5" s="132">
        <v>414.6162182380902</v>
      </c>
      <c r="S5" s="132">
        <v>417.05479076227067</v>
      </c>
      <c r="T5" s="132">
        <v>388.43254811343013</v>
      </c>
      <c r="U5" s="132">
        <v>315.21434974876712</v>
      </c>
      <c r="V5" s="132">
        <v>326.67723679453565</v>
      </c>
      <c r="W5" s="132">
        <v>405.51489794444149</v>
      </c>
      <c r="X5" s="132">
        <v>190.65217029970449</v>
      </c>
      <c r="Y5" s="132">
        <v>167.00356095338282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145.17296329502776</v>
      </c>
      <c r="C7" s="132">
        <v>188.34502248899318</v>
      </c>
      <c r="D7" s="132">
        <v>203.73170848975391</v>
      </c>
      <c r="E7" s="132">
        <v>192.83897316996882</v>
      </c>
      <c r="F7" s="132">
        <v>167.87313401495365</v>
      </c>
      <c r="G7" s="132">
        <v>135.76611549828286</v>
      </c>
      <c r="H7" s="132">
        <v>255.43381366698463</v>
      </c>
      <c r="I7" s="132">
        <v>254.71615056475451</v>
      </c>
      <c r="J7" s="132">
        <v>256.93003205167793</v>
      </c>
      <c r="K7" s="132">
        <v>247.6916100829396</v>
      </c>
      <c r="L7" s="132">
        <v>319.97141745550402</v>
      </c>
      <c r="M7" s="132">
        <v>301.07127492586324</v>
      </c>
      <c r="N7" s="132">
        <v>212.03674347795129</v>
      </c>
      <c r="O7" s="132">
        <v>172.48602448621185</v>
      </c>
      <c r="P7" s="132">
        <v>167.26236515568817</v>
      </c>
      <c r="Q7" s="132">
        <v>166.28186367078303</v>
      </c>
      <c r="R7" s="132">
        <v>169.73391887280371</v>
      </c>
      <c r="S7" s="132">
        <v>181.90358419057449</v>
      </c>
      <c r="T7" s="132">
        <v>197.6340152218973</v>
      </c>
      <c r="U7" s="132">
        <v>177.39953364209205</v>
      </c>
      <c r="V7" s="132">
        <v>186.23941256362855</v>
      </c>
      <c r="W7" s="132">
        <v>214.04478980578509</v>
      </c>
      <c r="X7" s="132">
        <v>189.9213563329269</v>
      </c>
      <c r="Y7" s="132">
        <v>130.54535827010466</v>
      </c>
      <c r="DA7" s="156" t="s">
        <v>305</v>
      </c>
    </row>
    <row r="8" spans="1:105" ht="12" customHeight="1" x14ac:dyDescent="0.25">
      <c r="A8" s="131" t="s">
        <v>73</v>
      </c>
      <c r="B8" s="132">
        <v>4.6730878988359426E-2</v>
      </c>
      <c r="C8" s="132">
        <v>5.8041991589900477E-2</v>
      </c>
      <c r="D8" s="132">
        <v>6.5397447960241314E-2</v>
      </c>
      <c r="E8" s="132">
        <v>7.5864406175364579E-2</v>
      </c>
      <c r="F8" s="132">
        <v>7.9002677048586961E-2</v>
      </c>
      <c r="G8" s="132">
        <v>8.5786758047354653E-2</v>
      </c>
      <c r="H8" s="132">
        <v>8.9798460203373814E-2</v>
      </c>
      <c r="I8" s="132">
        <v>9.9392292941433258E-2</v>
      </c>
      <c r="J8" s="132">
        <v>0.10752998485309924</v>
      </c>
      <c r="K8" s="132">
        <v>0.11756645272042457</v>
      </c>
      <c r="L8" s="132">
        <v>0.11362278075182346</v>
      </c>
      <c r="M8" s="132">
        <v>9.9563703373310608E-2</v>
      </c>
      <c r="N8" s="132">
        <v>0.11088819490149469</v>
      </c>
      <c r="O8" s="132">
        <v>0.11220137012665204</v>
      </c>
      <c r="P8" s="132">
        <v>0.15359509835463209</v>
      </c>
      <c r="Q8" s="132">
        <v>0.16239370664985364</v>
      </c>
      <c r="R8" s="132">
        <v>0.16949299568631529</v>
      </c>
      <c r="S8" s="132">
        <v>0.15988750325223189</v>
      </c>
      <c r="T8" s="132">
        <v>0.16322184747906557</v>
      </c>
      <c r="U8" s="132">
        <v>0.17859365528119092</v>
      </c>
      <c r="V8" s="132">
        <v>0.20594821890036552</v>
      </c>
      <c r="W8" s="132">
        <v>0.26821318007291461</v>
      </c>
      <c r="X8" s="132">
        <v>0.29011048745168727</v>
      </c>
      <c r="Y8" s="132">
        <v>0.36273763983319701</v>
      </c>
      <c r="DA8" s="156" t="s">
        <v>306</v>
      </c>
    </row>
    <row r="9" spans="1:105" ht="12" customHeight="1" x14ac:dyDescent="0.25">
      <c r="A9" s="131" t="s">
        <v>78</v>
      </c>
      <c r="B9" s="132">
        <v>401.81876849938135</v>
      </c>
      <c r="C9" s="132">
        <v>530.53942145780729</v>
      </c>
      <c r="D9" s="132">
        <v>654.24569885120161</v>
      </c>
      <c r="E9" s="132">
        <v>717.42905072897031</v>
      </c>
      <c r="F9" s="132">
        <v>756.2029347561953</v>
      </c>
      <c r="G9" s="132">
        <v>738.31932764523981</v>
      </c>
      <c r="H9" s="132">
        <v>672.60487065993152</v>
      </c>
      <c r="I9" s="132">
        <v>694.95458218865417</v>
      </c>
      <c r="J9" s="132">
        <v>775.36201603744394</v>
      </c>
      <c r="K9" s="132">
        <v>839.28357018686461</v>
      </c>
      <c r="L9" s="132">
        <v>941.28457275638232</v>
      </c>
      <c r="M9" s="132">
        <v>874.32677665500705</v>
      </c>
      <c r="N9" s="132">
        <v>919.70765855018067</v>
      </c>
      <c r="O9" s="132">
        <v>868.5348698503816</v>
      </c>
      <c r="P9" s="132">
        <v>751.55685838735087</v>
      </c>
      <c r="Q9" s="132">
        <v>825.4067857401991</v>
      </c>
      <c r="R9" s="132">
        <v>985.75739284974918</v>
      </c>
      <c r="S9" s="132">
        <v>726.73362461822853</v>
      </c>
      <c r="T9" s="132">
        <v>683.67106266456767</v>
      </c>
      <c r="U9" s="132">
        <v>712.2384686456337</v>
      </c>
      <c r="V9" s="132">
        <v>637.04092888376942</v>
      </c>
      <c r="W9" s="132">
        <v>901.28428717338602</v>
      </c>
      <c r="X9" s="132">
        <v>894.73595718113245</v>
      </c>
      <c r="Y9" s="132">
        <v>819.79076330830026</v>
      </c>
      <c r="DA9" s="156" t="s">
        <v>307</v>
      </c>
    </row>
    <row r="10" spans="1:105" ht="12" customHeight="1" x14ac:dyDescent="0.25">
      <c r="A10" s="131" t="s">
        <v>128</v>
      </c>
      <c r="B10" s="132">
        <v>89.042668195787329</v>
      </c>
      <c r="C10" s="132">
        <v>59.736163465417661</v>
      </c>
      <c r="D10" s="132">
        <v>59.512893976644747</v>
      </c>
      <c r="E10" s="132">
        <v>59.277614056683667</v>
      </c>
      <c r="F10" s="132">
        <v>61.455819199323081</v>
      </c>
      <c r="G10" s="132">
        <v>63.380789511942133</v>
      </c>
      <c r="H10" s="132">
        <v>45.804030231320134</v>
      </c>
      <c r="I10" s="132">
        <v>56.245308020136243</v>
      </c>
      <c r="J10" s="132">
        <v>52.485180226168659</v>
      </c>
      <c r="K10" s="132">
        <v>80.652031509503502</v>
      </c>
      <c r="L10" s="132">
        <v>93.222404794680614</v>
      </c>
      <c r="M10" s="132">
        <v>93.224377030524707</v>
      </c>
      <c r="N10" s="132">
        <v>82.334981620096059</v>
      </c>
      <c r="O10" s="132">
        <v>96.785431669347375</v>
      </c>
      <c r="P10" s="132">
        <v>82.600096923885289</v>
      </c>
      <c r="Q10" s="132">
        <v>87.935885477410466</v>
      </c>
      <c r="R10" s="132">
        <v>99.542199372023404</v>
      </c>
      <c r="S10" s="132">
        <v>100.52827491346225</v>
      </c>
      <c r="T10" s="132">
        <v>94.986325504145526</v>
      </c>
      <c r="U10" s="132">
        <v>91.002897840900573</v>
      </c>
      <c r="V10" s="132">
        <v>96.612891031923638</v>
      </c>
      <c r="W10" s="132">
        <v>108.64601286053713</v>
      </c>
      <c r="X10" s="132">
        <v>83.761278844386013</v>
      </c>
      <c r="Y10" s="132">
        <v>95.051518296462788</v>
      </c>
      <c r="DA10" s="156" t="s">
        <v>308</v>
      </c>
    </row>
    <row r="11" spans="1:105" ht="12" customHeight="1" x14ac:dyDescent="0.25">
      <c r="A11" s="131" t="s">
        <v>25</v>
      </c>
      <c r="B11" s="132">
        <v>0.43048227462639421</v>
      </c>
      <c r="C11" s="132">
        <v>0.36349067851192263</v>
      </c>
      <c r="D11" s="132">
        <v>0.9487038115191917</v>
      </c>
      <c r="E11" s="132">
        <v>1.3169979789407209</v>
      </c>
      <c r="F11" s="132">
        <v>1.3257551521458224</v>
      </c>
      <c r="G11" s="132">
        <v>1.7148197950508584</v>
      </c>
      <c r="H11" s="132">
        <v>1.9139215513595842</v>
      </c>
      <c r="I11" s="132">
        <v>1.5773852428795285</v>
      </c>
      <c r="J11" s="132">
        <v>2.4946740579133966</v>
      </c>
      <c r="K11" s="132">
        <v>2.717174834315931</v>
      </c>
      <c r="L11" s="132">
        <v>2.3917843600224882</v>
      </c>
      <c r="M11" s="132">
        <v>1.9750692877780229</v>
      </c>
      <c r="N11" s="132">
        <v>2.982683003076076</v>
      </c>
      <c r="O11" s="132">
        <v>4.3248996945066827</v>
      </c>
      <c r="P11" s="132">
        <v>4.7851264739792514</v>
      </c>
      <c r="Q11" s="132">
        <v>4.7185239454136401</v>
      </c>
      <c r="R11" s="132">
        <v>4.5267184193455599</v>
      </c>
      <c r="S11" s="132">
        <v>4.7221079178867189</v>
      </c>
      <c r="T11" s="132">
        <v>5.0266654931274113</v>
      </c>
      <c r="U11" s="132">
        <v>5.3482184899189678</v>
      </c>
      <c r="V11" s="132">
        <v>5.4833573668107656</v>
      </c>
      <c r="W11" s="132">
        <v>6.0947481708735749</v>
      </c>
      <c r="X11" s="132">
        <v>6.7732849107130448</v>
      </c>
      <c r="Y11" s="132">
        <v>7.0775223069307991</v>
      </c>
      <c r="DA11" s="156" t="s">
        <v>309</v>
      </c>
    </row>
    <row r="12" spans="1:105" ht="12" customHeight="1" x14ac:dyDescent="0.25">
      <c r="A12" s="131" t="s">
        <v>162</v>
      </c>
      <c r="B12" s="132">
        <v>367.10031380632699</v>
      </c>
      <c r="C12" s="132">
        <v>431.61463548565797</v>
      </c>
      <c r="D12" s="132">
        <v>544.25540520295942</v>
      </c>
      <c r="E12" s="132">
        <v>492.944003616158</v>
      </c>
      <c r="F12" s="132">
        <v>747.7280280835497</v>
      </c>
      <c r="G12" s="132">
        <v>669.71830602686634</v>
      </c>
      <c r="H12" s="132">
        <v>861.36440778805263</v>
      </c>
      <c r="I12" s="132">
        <v>588.31167876634584</v>
      </c>
      <c r="J12" s="132">
        <v>854.71265401157177</v>
      </c>
      <c r="K12" s="132">
        <v>793.62445144766934</v>
      </c>
      <c r="L12" s="132">
        <v>865.63781699682079</v>
      </c>
      <c r="M12" s="132">
        <v>727.38801026171518</v>
      </c>
      <c r="N12" s="132">
        <v>740.60477683953161</v>
      </c>
      <c r="O12" s="132">
        <v>798.84824039826333</v>
      </c>
      <c r="P12" s="132">
        <v>693.54803143781839</v>
      </c>
      <c r="Q12" s="132">
        <v>641.15609930399785</v>
      </c>
      <c r="R12" s="132">
        <v>781.74125706774623</v>
      </c>
      <c r="S12" s="132">
        <v>842.2463225203154</v>
      </c>
      <c r="T12" s="132">
        <v>738.05240587876426</v>
      </c>
      <c r="U12" s="132">
        <v>797.2728115399093</v>
      </c>
      <c r="V12" s="132">
        <v>826.92126966182673</v>
      </c>
      <c r="W12" s="132">
        <v>748.00062531842286</v>
      </c>
      <c r="X12" s="132">
        <v>858.77306733336502</v>
      </c>
      <c r="Y12" s="132">
        <v>741.55055317317169</v>
      </c>
      <c r="DA12" s="156" t="s">
        <v>310</v>
      </c>
    </row>
    <row r="13" spans="1:105" ht="12" customHeight="1" x14ac:dyDescent="0.25">
      <c r="A13" s="131" t="s">
        <v>77</v>
      </c>
      <c r="B13" s="132">
        <v>1.112616327899411</v>
      </c>
      <c r="C13" s="132">
        <v>1.557308826866558</v>
      </c>
      <c r="D13" s="132">
        <v>1.6906594683062732</v>
      </c>
      <c r="E13" s="132">
        <v>2.5337067655140753</v>
      </c>
      <c r="F13" s="132">
        <v>3.0631920067575833</v>
      </c>
      <c r="G13" s="132">
        <v>4.9244202901484524</v>
      </c>
      <c r="H13" s="132">
        <v>6.7630013015835857</v>
      </c>
      <c r="I13" s="132">
        <v>8.6368147381315694</v>
      </c>
      <c r="J13" s="132">
        <v>10.120724530090165</v>
      </c>
      <c r="K13" s="132">
        <v>11.511385953720485</v>
      </c>
      <c r="L13" s="132">
        <v>11.76329054257705</v>
      </c>
      <c r="M13" s="132">
        <v>12.239376804161951</v>
      </c>
      <c r="N13" s="132">
        <v>13.584598179251893</v>
      </c>
      <c r="O13" s="132">
        <v>14.223683673426871</v>
      </c>
      <c r="P13" s="132">
        <v>20.272796316952977</v>
      </c>
      <c r="Q13" s="132">
        <v>22.527572151625844</v>
      </c>
      <c r="R13" s="132">
        <v>23.855017495024782</v>
      </c>
      <c r="S13" s="132">
        <v>24.895106422530397</v>
      </c>
      <c r="T13" s="132">
        <v>25.673152111389548</v>
      </c>
      <c r="U13" s="132">
        <v>27.530826841924576</v>
      </c>
      <c r="V13" s="132">
        <v>29.445970024990679</v>
      </c>
      <c r="W13" s="132">
        <v>34.78807354287602</v>
      </c>
      <c r="X13" s="132">
        <v>37.470835207668529</v>
      </c>
      <c r="Y13" s="132">
        <v>41.885286721827761</v>
      </c>
      <c r="DA13" s="156" t="s">
        <v>311</v>
      </c>
    </row>
    <row r="14" spans="1:105" ht="12" customHeight="1" x14ac:dyDescent="0.25">
      <c r="A14" s="60" t="s">
        <v>76</v>
      </c>
      <c r="B14" s="65">
        <v>472.09728094380625</v>
      </c>
      <c r="C14" s="65">
        <v>499.81854810950938</v>
      </c>
      <c r="D14" s="65">
        <v>374.1523493191948</v>
      </c>
      <c r="E14" s="65">
        <v>401.56993741150012</v>
      </c>
      <c r="F14" s="65">
        <v>382.20484880418661</v>
      </c>
      <c r="G14" s="65">
        <v>457.56565500650066</v>
      </c>
      <c r="H14" s="65">
        <v>569.56382188392956</v>
      </c>
      <c r="I14" s="65">
        <v>479.79162713946516</v>
      </c>
      <c r="J14" s="65">
        <v>618.89981312234113</v>
      </c>
      <c r="K14" s="65">
        <v>519.85914233444214</v>
      </c>
      <c r="L14" s="65">
        <v>688.63624595915758</v>
      </c>
      <c r="M14" s="65">
        <v>690.63653470391921</v>
      </c>
      <c r="N14" s="65">
        <v>686.51064152368474</v>
      </c>
      <c r="O14" s="65">
        <v>558.16846377172942</v>
      </c>
      <c r="P14" s="65">
        <v>626.87457507135935</v>
      </c>
      <c r="Q14" s="65">
        <v>583.28224312362863</v>
      </c>
      <c r="R14" s="65">
        <v>695.51281567726778</v>
      </c>
      <c r="S14" s="65">
        <v>646.52805594117501</v>
      </c>
      <c r="T14" s="65">
        <v>778.63449443535137</v>
      </c>
      <c r="U14" s="65">
        <v>781.30968509379102</v>
      </c>
      <c r="V14" s="65">
        <v>791.97074509128402</v>
      </c>
      <c r="W14" s="65">
        <v>991.80126816524455</v>
      </c>
      <c r="X14" s="65">
        <v>967.64116818940511</v>
      </c>
      <c r="Y14" s="65">
        <v>1284.7158754112195</v>
      </c>
      <c r="DA14" s="109" t="s">
        <v>312</v>
      </c>
    </row>
    <row r="15" spans="1:105" ht="12" customHeight="1" x14ac:dyDescent="0.25">
      <c r="A15" s="133" t="s">
        <v>80</v>
      </c>
      <c r="B15" s="134">
        <v>16.399579107407789</v>
      </c>
      <c r="C15" s="134">
        <v>18.842654301956809</v>
      </c>
      <c r="D15" s="134">
        <v>23.248002663920271</v>
      </c>
      <c r="E15" s="134">
        <v>23.585843488631195</v>
      </c>
      <c r="F15" s="134">
        <v>24.477128608793713</v>
      </c>
      <c r="G15" s="134">
        <v>22.831762864377943</v>
      </c>
      <c r="H15" s="134">
        <v>24.705998506506177</v>
      </c>
      <c r="I15" s="134">
        <v>23.105053664368864</v>
      </c>
      <c r="J15" s="134">
        <v>25.760018774663656</v>
      </c>
      <c r="K15" s="134">
        <v>26.764040419922196</v>
      </c>
      <c r="L15" s="134">
        <v>30.433721335001188</v>
      </c>
      <c r="M15" s="134">
        <v>27.590026166150558</v>
      </c>
      <c r="N15" s="134">
        <v>26.6963570586991</v>
      </c>
      <c r="O15" s="134">
        <v>25.07751926770467</v>
      </c>
      <c r="P15" s="134">
        <v>21.897038893592772</v>
      </c>
      <c r="Q15" s="134">
        <v>22.649801392427733</v>
      </c>
      <c r="R15" s="134">
        <v>25.975641542840091</v>
      </c>
      <c r="S15" s="134">
        <v>22.155830649525861</v>
      </c>
      <c r="T15" s="134">
        <v>20.94379774883658</v>
      </c>
      <c r="U15" s="134">
        <v>20.63968634032689</v>
      </c>
      <c r="V15" s="134">
        <v>19.804473223210884</v>
      </c>
      <c r="W15" s="134">
        <v>24.784554394263136</v>
      </c>
      <c r="X15" s="134">
        <v>22.830424458267217</v>
      </c>
      <c r="Y15" s="134">
        <v>20.156759817100824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37.190441978561907</v>
      </c>
      <c r="C16" s="130">
        <f t="shared" si="6"/>
        <v>37.893689613373503</v>
      </c>
      <c r="D16" s="130">
        <f t="shared" si="6"/>
        <v>40.948020894255308</v>
      </c>
      <c r="E16" s="130">
        <f t="shared" si="6"/>
        <v>43.323812075192329</v>
      </c>
      <c r="F16" s="130">
        <f t="shared" si="6"/>
        <v>48.364633209777921</v>
      </c>
      <c r="G16" s="130">
        <f t="shared" si="6"/>
        <v>54.867226526535944</v>
      </c>
      <c r="H16" s="130">
        <f t="shared" si="6"/>
        <v>66.898598533112306</v>
      </c>
      <c r="I16" s="130">
        <f t="shared" si="6"/>
        <v>76.06554383304686</v>
      </c>
      <c r="J16" s="130">
        <f t="shared" si="6"/>
        <v>84.946823287682307</v>
      </c>
      <c r="K16" s="130">
        <f t="shared" si="6"/>
        <v>95.499155239901626</v>
      </c>
      <c r="L16" s="130">
        <f t="shared" si="6"/>
        <v>116.84876779419082</v>
      </c>
      <c r="M16" s="130">
        <f t="shared" si="6"/>
        <v>111.75809432008336</v>
      </c>
      <c r="N16" s="130">
        <f t="shared" si="6"/>
        <v>124.50562355328798</v>
      </c>
      <c r="O16" s="130">
        <f t="shared" si="6"/>
        <v>128.05094636669585</v>
      </c>
      <c r="P16" s="130">
        <f t="shared" si="6"/>
        <v>131.24130989793701</v>
      </c>
      <c r="Q16" s="130">
        <f t="shared" si="6"/>
        <v>157.08347728717445</v>
      </c>
      <c r="R16" s="130">
        <f t="shared" ref="R16:W16" si="7">SUM(R17:R18)</f>
        <v>138.59788864074858</v>
      </c>
      <c r="S16" s="130">
        <f t="shared" si="7"/>
        <v>142.78754121594804</v>
      </c>
      <c r="T16" s="130">
        <f t="shared" si="7"/>
        <v>151.86489452285829</v>
      </c>
      <c r="U16" s="130">
        <f t="shared" si="7"/>
        <v>170.04202122818211</v>
      </c>
      <c r="V16" s="130">
        <f t="shared" si="7"/>
        <v>150.6119871195998</v>
      </c>
      <c r="W16" s="130">
        <f t="shared" si="7"/>
        <v>162.5798295876844</v>
      </c>
      <c r="X16" s="130">
        <f t="shared" ref="X16:Y16" si="8">SUM(X17:X18)</f>
        <v>173.16178819962238</v>
      </c>
      <c r="Y16" s="130">
        <f t="shared" si="8"/>
        <v>166.84922513265914</v>
      </c>
      <c r="DA16" s="155" t="s">
        <v>314</v>
      </c>
    </row>
    <row r="17" spans="1:105" ht="12.95" customHeight="1" x14ac:dyDescent="0.25">
      <c r="A17" s="131" t="s">
        <v>73</v>
      </c>
      <c r="B17" s="132">
        <v>4.8952502592600838E-2</v>
      </c>
      <c r="C17" s="132">
        <v>5.3075742240130744E-2</v>
      </c>
      <c r="D17" s="132">
        <v>6.2797539523244961E-2</v>
      </c>
      <c r="E17" s="132">
        <v>7.1347841693163466E-2</v>
      </c>
      <c r="F17" s="132">
        <v>9.0361056840811832E-2</v>
      </c>
      <c r="G17" s="132">
        <v>0.11197669838654715</v>
      </c>
      <c r="H17" s="132">
        <v>0.13942929896033818</v>
      </c>
      <c r="I17" s="132">
        <v>0.17144151371900576</v>
      </c>
      <c r="J17" s="132">
        <v>0.1946053244848345</v>
      </c>
      <c r="K17" s="132">
        <v>0.22378658381259744</v>
      </c>
      <c r="L17" s="132">
        <v>0.27110308988660264</v>
      </c>
      <c r="M17" s="132">
        <v>0.2869393437585751</v>
      </c>
      <c r="N17" s="132">
        <v>0.35019162694901268</v>
      </c>
      <c r="O17" s="132">
        <v>0.43901110983482411</v>
      </c>
      <c r="P17" s="132">
        <v>0.5922142095785683</v>
      </c>
      <c r="Q17" s="132">
        <v>0.83373485518270185</v>
      </c>
      <c r="R17" s="132">
        <v>1.0882980489824772</v>
      </c>
      <c r="S17" s="132">
        <v>1.3251987582120333</v>
      </c>
      <c r="T17" s="132">
        <v>1.5376016576755216</v>
      </c>
      <c r="U17" s="132">
        <v>1.8082497869609133</v>
      </c>
      <c r="V17" s="132">
        <v>1.5983152614145224</v>
      </c>
      <c r="W17" s="132">
        <v>1.7107350578256457</v>
      </c>
      <c r="X17" s="132">
        <v>1.953479487384443</v>
      </c>
      <c r="Y17" s="132">
        <v>1.9106507870972766</v>
      </c>
      <c r="DA17" s="156" t="s">
        <v>315</v>
      </c>
    </row>
    <row r="18" spans="1:105" ht="12" customHeight="1" x14ac:dyDescent="0.25">
      <c r="A18" s="131" t="s">
        <v>72</v>
      </c>
      <c r="B18" s="132">
        <v>37.141489475969308</v>
      </c>
      <c r="C18" s="132">
        <v>37.840613871133371</v>
      </c>
      <c r="D18" s="132">
        <v>40.885223354732062</v>
      </c>
      <c r="E18" s="132">
        <v>43.252464233499168</v>
      </c>
      <c r="F18" s="132">
        <v>48.274272152937108</v>
      </c>
      <c r="G18" s="132">
        <v>54.755249828149395</v>
      </c>
      <c r="H18" s="132">
        <v>66.759169234151969</v>
      </c>
      <c r="I18" s="132">
        <v>75.894102319327857</v>
      </c>
      <c r="J18" s="132">
        <v>84.752217963197467</v>
      </c>
      <c r="K18" s="132">
        <v>95.275368656089029</v>
      </c>
      <c r="L18" s="132">
        <v>116.57766470430421</v>
      </c>
      <c r="M18" s="132">
        <v>111.47115497632478</v>
      </c>
      <c r="N18" s="132">
        <v>124.15543192633896</v>
      </c>
      <c r="O18" s="132">
        <v>127.61193525686102</v>
      </c>
      <c r="P18" s="132">
        <v>130.64909568835844</v>
      </c>
      <c r="Q18" s="132">
        <v>156.24974243199173</v>
      </c>
      <c r="R18" s="132">
        <v>137.50959059176611</v>
      </c>
      <c r="S18" s="132">
        <v>141.46234245773601</v>
      </c>
      <c r="T18" s="132">
        <v>150.32729286518278</v>
      </c>
      <c r="U18" s="132">
        <v>168.23377144122119</v>
      </c>
      <c r="V18" s="132">
        <v>149.01367185818529</v>
      </c>
      <c r="W18" s="132">
        <v>160.86909452985876</v>
      </c>
      <c r="X18" s="132">
        <v>171.20830871223794</v>
      </c>
      <c r="Y18" s="132">
        <v>164.93857434556188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218.28185967053582</v>
      </c>
      <c r="C19" s="130">
        <f t="shared" si="9"/>
        <v>238.80050061828524</v>
      </c>
      <c r="D19" s="130">
        <f t="shared" si="9"/>
        <v>290.58256595556907</v>
      </c>
      <c r="E19" s="130">
        <f t="shared" si="9"/>
        <v>315.41225284602882</v>
      </c>
      <c r="F19" s="130">
        <f t="shared" si="9"/>
        <v>348.96151657906154</v>
      </c>
      <c r="G19" s="130">
        <f t="shared" si="9"/>
        <v>361.21532878989638</v>
      </c>
      <c r="H19" s="130">
        <f t="shared" si="9"/>
        <v>396.59838210888995</v>
      </c>
      <c r="I19" s="130">
        <f t="shared" si="9"/>
        <v>439.36843453611078</v>
      </c>
      <c r="J19" s="130">
        <f t="shared" si="9"/>
        <v>470.63895694584272</v>
      </c>
      <c r="K19" s="130">
        <f t="shared" si="9"/>
        <v>488.02142490819557</v>
      </c>
      <c r="L19" s="130">
        <f t="shared" si="9"/>
        <v>492.45683825774921</v>
      </c>
      <c r="M19" s="130">
        <f t="shared" si="9"/>
        <v>508.55787863266318</v>
      </c>
      <c r="N19" s="130">
        <f t="shared" si="9"/>
        <v>528.2568926358623</v>
      </c>
      <c r="O19" s="130">
        <f t="shared" si="9"/>
        <v>548.11046379238201</v>
      </c>
      <c r="P19" s="130">
        <f t="shared" si="9"/>
        <v>560.7325979441199</v>
      </c>
      <c r="Q19" s="130">
        <f t="shared" si="9"/>
        <v>579.19049446353915</v>
      </c>
      <c r="R19" s="130">
        <f t="shared" ref="R19:W19" si="10">SUM(R20:R27)</f>
        <v>598.48714484152811</v>
      </c>
      <c r="S19" s="130">
        <f t="shared" si="10"/>
        <v>601.50214083679009</v>
      </c>
      <c r="T19" s="130">
        <f t="shared" si="10"/>
        <v>600.99154769384143</v>
      </c>
      <c r="U19" s="130">
        <f t="shared" si="10"/>
        <v>606.39830471602829</v>
      </c>
      <c r="V19" s="130">
        <f t="shared" si="10"/>
        <v>572.83149950440486</v>
      </c>
      <c r="W19" s="130">
        <f t="shared" si="10"/>
        <v>630.57765444879487</v>
      </c>
      <c r="X19" s="130">
        <f t="shared" ref="X19:Y19" si="11">SUM(X20:X27)</f>
        <v>643.56339620145104</v>
      </c>
      <c r="Y19" s="130">
        <f t="shared" si="11"/>
        <v>640.26152464014763</v>
      </c>
      <c r="DA19" s="155" t="s">
        <v>317</v>
      </c>
    </row>
    <row r="20" spans="1:105" ht="12" customHeight="1" x14ac:dyDescent="0.25">
      <c r="A20" s="131" t="s">
        <v>29</v>
      </c>
      <c r="B20" s="132">
        <v>5.369146286717382</v>
      </c>
      <c r="C20" s="132">
        <v>11.748232987623124</v>
      </c>
      <c r="D20" s="132">
        <v>16.272783776042044</v>
      </c>
      <c r="E20" s="132">
        <v>17.436701447047611</v>
      </c>
      <c r="F20" s="132">
        <v>17.911822965683683</v>
      </c>
      <c r="G20" s="132">
        <v>17.535673350995275</v>
      </c>
      <c r="H20" s="132">
        <v>15.581651388968115</v>
      </c>
      <c r="I20" s="132">
        <v>19.251127759949455</v>
      </c>
      <c r="J20" s="132">
        <v>20.083937984257705</v>
      </c>
      <c r="K20" s="132">
        <v>21.172715201041726</v>
      </c>
      <c r="L20" s="132">
        <v>23.035335189370063</v>
      </c>
      <c r="M20" s="132">
        <v>23.740104479784076</v>
      </c>
      <c r="N20" s="132">
        <v>24.676302656501704</v>
      </c>
      <c r="O20" s="132">
        <v>25.820556826925774</v>
      </c>
      <c r="P20" s="132">
        <v>26.420067707470707</v>
      </c>
      <c r="Q20" s="132">
        <v>26.943731094421832</v>
      </c>
      <c r="R20" s="132">
        <v>30.066674160319483</v>
      </c>
      <c r="S20" s="132">
        <v>24.832233003558315</v>
      </c>
      <c r="T20" s="132">
        <v>17.570195129080929</v>
      </c>
      <c r="U20" s="132">
        <v>14.477593280193945</v>
      </c>
      <c r="V20" s="132">
        <v>16.63328237961575</v>
      </c>
      <c r="W20" s="132">
        <v>22.597605461020589</v>
      </c>
      <c r="X20" s="132">
        <v>11.32070071810104</v>
      </c>
      <c r="Y20" s="132">
        <v>8.0111687578195223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29.339846041244755</v>
      </c>
      <c r="C21" s="132">
        <v>36.261106906052348</v>
      </c>
      <c r="D21" s="132">
        <v>35.69266813570286</v>
      </c>
      <c r="E21" s="132">
        <v>55.308200934497378</v>
      </c>
      <c r="F21" s="132">
        <v>47.816790582986805</v>
      </c>
      <c r="G21" s="132">
        <v>40.917208295672403</v>
      </c>
      <c r="H21" s="132">
        <v>45.852991934056007</v>
      </c>
      <c r="I21" s="132">
        <v>40.629941801953585</v>
      </c>
      <c r="J21" s="132">
        <v>38.036256801639205</v>
      </c>
      <c r="K21" s="132">
        <v>34.18115635776816</v>
      </c>
      <c r="L21" s="132">
        <v>33.260723245745353</v>
      </c>
      <c r="M21" s="132">
        <v>32.868992063908919</v>
      </c>
      <c r="N21" s="132">
        <v>43.60845204038597</v>
      </c>
      <c r="O21" s="132">
        <v>26.626139791452921</v>
      </c>
      <c r="P21" s="132">
        <v>30.205532719855963</v>
      </c>
      <c r="Q21" s="132">
        <v>27.516220960113145</v>
      </c>
      <c r="R21" s="132">
        <v>29.558039648629556</v>
      </c>
      <c r="S21" s="132">
        <v>30.607151675763983</v>
      </c>
      <c r="T21" s="132">
        <v>28.497025637090893</v>
      </c>
      <c r="U21" s="132">
        <v>32.002442850524417</v>
      </c>
      <c r="V21" s="132">
        <v>21.119269705463857</v>
      </c>
      <c r="W21" s="132">
        <v>19.604000959725276</v>
      </c>
      <c r="X21" s="132">
        <v>15.697961537086599</v>
      </c>
      <c r="Y21" s="132">
        <v>14.509203285662283</v>
      </c>
      <c r="DA21" s="156" t="s">
        <v>319</v>
      </c>
    </row>
    <row r="22" spans="1:105" ht="12" customHeight="1" x14ac:dyDescent="0.25">
      <c r="A22" s="131" t="s">
        <v>161</v>
      </c>
      <c r="B22" s="132">
        <v>11.27805032700004</v>
      </c>
      <c r="C22" s="132">
        <v>11.408227610945103</v>
      </c>
      <c r="D22" s="132">
        <v>13.72019514098363</v>
      </c>
      <c r="E22" s="132">
        <v>14.66566422688342</v>
      </c>
      <c r="F22" s="132">
        <v>15.640438563884954</v>
      </c>
      <c r="G22" s="132">
        <v>15.438047552599091</v>
      </c>
      <c r="H22" s="132">
        <v>17.073162163509984</v>
      </c>
      <c r="I22" s="132">
        <v>19.022456296894621</v>
      </c>
      <c r="J22" s="132">
        <v>20.600084670590821</v>
      </c>
      <c r="K22" s="132">
        <v>21.341379195621062</v>
      </c>
      <c r="L22" s="132">
        <v>23.047497487650478</v>
      </c>
      <c r="M22" s="132">
        <v>23.097324442450205</v>
      </c>
      <c r="N22" s="132">
        <v>23.345679000181825</v>
      </c>
      <c r="O22" s="132">
        <v>23.811979597096816</v>
      </c>
      <c r="P22" s="132">
        <v>23.766079709339913</v>
      </c>
      <c r="Q22" s="132">
        <v>24.574558354074849</v>
      </c>
      <c r="R22" s="132">
        <v>24.425152710271881</v>
      </c>
      <c r="S22" s="132">
        <v>26.317732203304963</v>
      </c>
      <c r="T22" s="132">
        <v>25.175640015082042</v>
      </c>
      <c r="U22" s="132">
        <v>21.649082931437846</v>
      </c>
      <c r="V22" s="132">
        <v>21.956140299367824</v>
      </c>
      <c r="W22" s="132">
        <v>25.384122859898252</v>
      </c>
      <c r="X22" s="132">
        <v>26.414524426427739</v>
      </c>
      <c r="Y22" s="132">
        <v>23.658889243362079</v>
      </c>
      <c r="DA22" s="156" t="s">
        <v>320</v>
      </c>
    </row>
    <row r="23" spans="1:105" ht="12" customHeight="1" x14ac:dyDescent="0.25">
      <c r="A23" s="131" t="s">
        <v>149</v>
      </c>
      <c r="B23" s="132">
        <v>17.615795828522842</v>
      </c>
      <c r="C23" s="132">
        <v>23.721293660919759</v>
      </c>
      <c r="D23" s="132">
        <v>31.541320083954901</v>
      </c>
      <c r="E23" s="132">
        <v>44.497836348161435</v>
      </c>
      <c r="F23" s="132">
        <v>48.760160918657974</v>
      </c>
      <c r="G23" s="132">
        <v>53.644145760426234</v>
      </c>
      <c r="H23" s="132">
        <v>58.186220283030437</v>
      </c>
      <c r="I23" s="132">
        <v>64.471522697752519</v>
      </c>
      <c r="J23" s="132">
        <v>72.400289980012545</v>
      </c>
      <c r="K23" s="132">
        <v>75.814735467357025</v>
      </c>
      <c r="L23" s="132">
        <v>86.024338306957347</v>
      </c>
      <c r="M23" s="132">
        <v>88.416578470258472</v>
      </c>
      <c r="N23" s="132">
        <v>89.683929649651859</v>
      </c>
      <c r="O23" s="132">
        <v>92.681911865502926</v>
      </c>
      <c r="P23" s="132">
        <v>95.139022888353693</v>
      </c>
      <c r="Q23" s="132">
        <v>97.403364963356921</v>
      </c>
      <c r="R23" s="132">
        <v>97.694334946961902</v>
      </c>
      <c r="S23" s="132">
        <v>76.566224569304239</v>
      </c>
      <c r="T23" s="132">
        <v>70.102134552791725</v>
      </c>
      <c r="U23" s="132">
        <v>59.290548441638357</v>
      </c>
      <c r="V23" s="132">
        <v>50.273919726679281</v>
      </c>
      <c r="W23" s="132">
        <v>67.838997684357281</v>
      </c>
      <c r="X23" s="132">
        <v>63.603896534954508</v>
      </c>
      <c r="Y23" s="132">
        <v>61.466521911084151</v>
      </c>
      <c r="DA23" s="156" t="s">
        <v>321</v>
      </c>
    </row>
    <row r="24" spans="1:105" ht="12" customHeight="1" x14ac:dyDescent="0.25">
      <c r="A24" s="131" t="s">
        <v>128</v>
      </c>
      <c r="B24" s="132">
        <v>2.7434293759749462</v>
      </c>
      <c r="C24" s="132">
        <v>2.7925665397438975</v>
      </c>
      <c r="D24" s="132">
        <v>3.3953842455793062</v>
      </c>
      <c r="E24" s="132">
        <v>3.4535246047241284</v>
      </c>
      <c r="F24" s="132">
        <v>3.562513637688594</v>
      </c>
      <c r="G24" s="132">
        <v>3.6945434465312075</v>
      </c>
      <c r="H24" s="132">
        <v>4.4655060550863643</v>
      </c>
      <c r="I24" s="132">
        <v>5.6813270633645132</v>
      </c>
      <c r="J24" s="132">
        <v>6.4924593132324935</v>
      </c>
      <c r="K24" s="132">
        <v>6.8875563022895516</v>
      </c>
      <c r="L24" s="132">
        <v>7.1464619227608583</v>
      </c>
      <c r="M24" s="132">
        <v>7.4811739865758975</v>
      </c>
      <c r="N24" s="132">
        <v>7.8801114378102195</v>
      </c>
      <c r="O24" s="132">
        <v>8.1329233639404563</v>
      </c>
      <c r="P24" s="132">
        <v>8.3243314144806586</v>
      </c>
      <c r="Q24" s="132">
        <v>9.1759274325095284</v>
      </c>
      <c r="R24" s="132">
        <v>10.664277195172806</v>
      </c>
      <c r="S24" s="132">
        <v>11.105286237180152</v>
      </c>
      <c r="T24" s="132">
        <v>9.9684681769522498</v>
      </c>
      <c r="U24" s="132">
        <v>10.386299252686619</v>
      </c>
      <c r="V24" s="132">
        <v>12.743977181436009</v>
      </c>
      <c r="W24" s="132">
        <v>15.361545350173502</v>
      </c>
      <c r="X24" s="132">
        <v>10.868500804942837</v>
      </c>
      <c r="Y24" s="132">
        <v>10.990737949302535</v>
      </c>
      <c r="DA24" s="156" t="s">
        <v>322</v>
      </c>
    </row>
    <row r="25" spans="1:105" ht="12" customHeight="1" x14ac:dyDescent="0.25">
      <c r="A25" s="131" t="s">
        <v>162</v>
      </c>
      <c r="B25" s="132">
        <v>35.403115232651601</v>
      </c>
      <c r="C25" s="132">
        <v>40.684604400138198</v>
      </c>
      <c r="D25" s="132">
        <v>50.394097555936419</v>
      </c>
      <c r="E25" s="132">
        <v>57.207416832400703</v>
      </c>
      <c r="F25" s="132">
        <v>74.236919233638133</v>
      </c>
      <c r="G25" s="132">
        <v>79.918285431918662</v>
      </c>
      <c r="H25" s="132">
        <v>86.514772468362949</v>
      </c>
      <c r="I25" s="132">
        <v>92.751836312750243</v>
      </c>
      <c r="J25" s="132">
        <v>98.602470042057178</v>
      </c>
      <c r="K25" s="132">
        <v>101.17942359995419</v>
      </c>
      <c r="L25" s="132">
        <v>101.21891964426257</v>
      </c>
      <c r="M25" s="132">
        <v>101.14823241775697</v>
      </c>
      <c r="N25" s="132">
        <v>102.6446748193904</v>
      </c>
      <c r="O25" s="132">
        <v>105.75605697922562</v>
      </c>
      <c r="P25" s="132">
        <v>102.7709955572863</v>
      </c>
      <c r="Q25" s="132">
        <v>102.81286604041996</v>
      </c>
      <c r="R25" s="132">
        <v>108.60851328666593</v>
      </c>
      <c r="S25" s="132">
        <v>128.09046157697111</v>
      </c>
      <c r="T25" s="132">
        <v>105.21998482147332</v>
      </c>
      <c r="U25" s="132">
        <v>104.70286994036793</v>
      </c>
      <c r="V25" s="132">
        <v>106.40801789421973</v>
      </c>
      <c r="W25" s="132">
        <v>89.443182992790341</v>
      </c>
      <c r="X25" s="132">
        <v>105.89595281714109</v>
      </c>
      <c r="Y25" s="132">
        <v>91.9523078781544</v>
      </c>
      <c r="DA25" s="156" t="s">
        <v>323</v>
      </c>
    </row>
    <row r="26" spans="1:105" ht="12" customHeight="1" x14ac:dyDescent="0.25">
      <c r="A26" s="131" t="s">
        <v>24</v>
      </c>
      <c r="B26" s="65">
        <v>116.53247657842428</v>
      </c>
      <c r="C26" s="65">
        <v>112.18446851286282</v>
      </c>
      <c r="D26" s="65">
        <v>139.54221332003539</v>
      </c>
      <c r="E26" s="65">
        <v>122.81900475497964</v>
      </c>
      <c r="F26" s="65">
        <v>140.93734187170622</v>
      </c>
      <c r="G26" s="65">
        <v>149.92408875226943</v>
      </c>
      <c r="H26" s="65">
        <v>168.66130911424241</v>
      </c>
      <c r="I26" s="65">
        <v>197.20192509699703</v>
      </c>
      <c r="J26" s="65">
        <v>213.13369031226426</v>
      </c>
      <c r="K26" s="65">
        <v>225.46199962681214</v>
      </c>
      <c r="L26" s="65">
        <v>216.33508438705584</v>
      </c>
      <c r="M26" s="65">
        <v>228.60495686479192</v>
      </c>
      <c r="N26" s="65">
        <v>232.50063211190593</v>
      </c>
      <c r="O26" s="65">
        <v>261.00557292627695</v>
      </c>
      <c r="P26" s="65">
        <v>269.32961179943919</v>
      </c>
      <c r="Q26" s="65">
        <v>285.27036044237462</v>
      </c>
      <c r="R26" s="65">
        <v>291.59457249797777</v>
      </c>
      <c r="S26" s="65">
        <v>298.07230350535912</v>
      </c>
      <c r="T26" s="65">
        <v>338.38294888845542</v>
      </c>
      <c r="U26" s="65">
        <v>358.03667352218861</v>
      </c>
      <c r="V26" s="65">
        <v>338.08820788082102</v>
      </c>
      <c r="W26" s="65">
        <v>384.89798417952261</v>
      </c>
      <c r="X26" s="65">
        <v>404.24930562247044</v>
      </c>
      <c r="Y26" s="65">
        <v>424.40485382628452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2.3903697334479789E-2</v>
      </c>
      <c r="E27" s="145">
        <v>2.3903697334479793E-2</v>
      </c>
      <c r="F27" s="145">
        <v>9.5528804815133261E-2</v>
      </c>
      <c r="G27" s="145">
        <v>0.14333619948409276</v>
      </c>
      <c r="H27" s="145">
        <v>0.26276870163370586</v>
      </c>
      <c r="I27" s="145">
        <v>0.35829750644883918</v>
      </c>
      <c r="J27" s="145">
        <v>1.2897678417884777</v>
      </c>
      <c r="K27" s="145">
        <v>1.982459157351677</v>
      </c>
      <c r="L27" s="145">
        <v>2.3884780739466889</v>
      </c>
      <c r="M27" s="145">
        <v>3.2005159071367144</v>
      </c>
      <c r="N27" s="145">
        <v>3.9171109200343928</v>
      </c>
      <c r="O27" s="145">
        <v>4.2753224419604452</v>
      </c>
      <c r="P27" s="145">
        <v>4.7769561478933786</v>
      </c>
      <c r="Q27" s="145">
        <v>5.4934651762682698</v>
      </c>
      <c r="R27" s="145">
        <v>5.8755803955288037</v>
      </c>
      <c r="S27" s="145">
        <v>5.9107480653482423</v>
      </c>
      <c r="T27" s="145">
        <v>6.0751504729148715</v>
      </c>
      <c r="U27" s="145">
        <v>5.8527944969905432</v>
      </c>
      <c r="V27" s="145">
        <v>5.6086844368013722</v>
      </c>
      <c r="W27" s="145">
        <v>5.4502149613069681</v>
      </c>
      <c r="X27" s="145">
        <v>5.5125537403267426</v>
      </c>
      <c r="Y27" s="145">
        <v>5.2678417884780773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291.36504514495465</v>
      </c>
      <c r="C29" s="130">
        <f t="shared" si="12"/>
        <v>336.55732560572199</v>
      </c>
      <c r="D29" s="130">
        <f t="shared" si="12"/>
        <v>385.10917557226185</v>
      </c>
      <c r="E29" s="130">
        <f t="shared" si="12"/>
        <v>432.31812193496569</v>
      </c>
      <c r="F29" s="130">
        <f t="shared" si="12"/>
        <v>450.19707228405389</v>
      </c>
      <c r="G29" s="130">
        <f t="shared" si="12"/>
        <v>467.35584097016368</v>
      </c>
      <c r="H29" s="130">
        <f t="shared" si="12"/>
        <v>494.93684491563073</v>
      </c>
      <c r="I29" s="130">
        <f t="shared" si="12"/>
        <v>536.16490154877522</v>
      </c>
      <c r="J29" s="130">
        <f t="shared" si="12"/>
        <v>568.12116618993412</v>
      </c>
      <c r="K29" s="130">
        <f t="shared" si="12"/>
        <v>572.51813564716826</v>
      </c>
      <c r="L29" s="130">
        <f t="shared" si="12"/>
        <v>581.68601451627387</v>
      </c>
      <c r="M29" s="130">
        <f t="shared" si="12"/>
        <v>597.41954451568859</v>
      </c>
      <c r="N29" s="130">
        <f t="shared" si="12"/>
        <v>602.10227889117778</v>
      </c>
      <c r="O29" s="130">
        <f t="shared" si="12"/>
        <v>605.73457787074494</v>
      </c>
      <c r="P29" s="130">
        <f t="shared" si="12"/>
        <v>621.73562803399193</v>
      </c>
      <c r="Q29" s="130">
        <f t="shared" si="12"/>
        <v>629.38487809673143</v>
      </c>
      <c r="R29" s="130">
        <f t="shared" ref="R29:W29" si="13">SUM(R30:R33)</f>
        <v>634.94471416198326</v>
      </c>
      <c r="S29" s="130">
        <f t="shared" si="13"/>
        <v>631.10371830665292</v>
      </c>
      <c r="T29" s="130">
        <f t="shared" si="13"/>
        <v>645.98759681300749</v>
      </c>
      <c r="U29" s="130">
        <f t="shared" si="13"/>
        <v>651.69443458443754</v>
      </c>
      <c r="V29" s="130">
        <f t="shared" si="13"/>
        <v>620.79420823789565</v>
      </c>
      <c r="W29" s="130">
        <f t="shared" si="13"/>
        <v>634.42812945637684</v>
      </c>
      <c r="X29" s="130">
        <f t="shared" ref="X29:Y29" si="14">SUM(X30:X33)</f>
        <v>658.87648463835876</v>
      </c>
      <c r="Y29" s="130">
        <f t="shared" si="14"/>
        <v>668.33167622817496</v>
      </c>
      <c r="DA29" s="155" t="s">
        <v>326</v>
      </c>
    </row>
    <row r="30" spans="1:105" ht="12" customHeight="1" x14ac:dyDescent="0.25">
      <c r="A30" s="131" t="s">
        <v>52</v>
      </c>
      <c r="B30" s="132">
        <v>1.4760444816952056</v>
      </c>
      <c r="C30" s="132">
        <v>8.0018241260382066</v>
      </c>
      <c r="D30" s="132">
        <v>10.104312070674117</v>
      </c>
      <c r="E30" s="132">
        <v>20.48000959791667</v>
      </c>
      <c r="F30" s="132">
        <v>21.350569029441662</v>
      </c>
      <c r="G30" s="132">
        <v>22.784277569303541</v>
      </c>
      <c r="H30" s="132">
        <v>26.912703108072758</v>
      </c>
      <c r="I30" s="132">
        <v>27.886346152354729</v>
      </c>
      <c r="J30" s="132">
        <v>24.116826308103558</v>
      </c>
      <c r="K30" s="132">
        <v>16.927418906300208</v>
      </c>
      <c r="L30" s="132">
        <v>13.134880884684492</v>
      </c>
      <c r="M30" s="132">
        <v>12.762812338031996</v>
      </c>
      <c r="N30" s="132">
        <v>13.008558916387964</v>
      </c>
      <c r="O30" s="132">
        <v>13.725041100840551</v>
      </c>
      <c r="P30" s="132">
        <v>12.254690009897182</v>
      </c>
      <c r="Q30" s="132">
        <v>15.097378237611743</v>
      </c>
      <c r="R30" s="132">
        <v>17.161867718303291</v>
      </c>
      <c r="S30" s="132">
        <v>18.1940227539333</v>
      </c>
      <c r="T30" s="132">
        <v>17.68700331354723</v>
      </c>
      <c r="U30" s="132">
        <v>20.747806606962524</v>
      </c>
      <c r="V30" s="132">
        <v>14.126350702253134</v>
      </c>
      <c r="W30" s="132">
        <v>13.519229785803272</v>
      </c>
      <c r="X30" s="132">
        <v>11.083417952702428</v>
      </c>
      <c r="Y30" s="132">
        <v>10.406573045302286</v>
      </c>
      <c r="DA30" s="156" t="s">
        <v>327</v>
      </c>
    </row>
    <row r="31" spans="1:105" ht="12" customHeight="1" x14ac:dyDescent="0.25">
      <c r="A31" s="131" t="s">
        <v>149</v>
      </c>
      <c r="B31" s="132">
        <v>51.639164663538523</v>
      </c>
      <c r="C31" s="132">
        <v>62.280847067906777</v>
      </c>
      <c r="D31" s="132">
        <v>72.006582568416675</v>
      </c>
      <c r="E31" s="132">
        <v>81.433610097661088</v>
      </c>
      <c r="F31" s="132">
        <v>84.588833929191864</v>
      </c>
      <c r="G31" s="132">
        <v>93.328578660895218</v>
      </c>
      <c r="H31" s="132">
        <v>99.968283032327591</v>
      </c>
      <c r="I31" s="132">
        <v>104.18923201170176</v>
      </c>
      <c r="J31" s="132">
        <v>107.13516402044692</v>
      </c>
      <c r="K31" s="132">
        <v>110.51465021235138</v>
      </c>
      <c r="L31" s="132">
        <v>111.29799175204371</v>
      </c>
      <c r="M31" s="132">
        <v>128.76117834373088</v>
      </c>
      <c r="N31" s="132">
        <v>142.94537713708186</v>
      </c>
      <c r="O31" s="132">
        <v>146.28820972609313</v>
      </c>
      <c r="P31" s="132">
        <v>146.41216790823256</v>
      </c>
      <c r="Q31" s="132">
        <v>151.25165806514318</v>
      </c>
      <c r="R31" s="132">
        <v>144.46848747383746</v>
      </c>
      <c r="S31" s="132">
        <v>136.25881132968095</v>
      </c>
      <c r="T31" s="132">
        <v>132.02487036213978</v>
      </c>
      <c r="U31" s="132">
        <v>136.1612366360043</v>
      </c>
      <c r="V31" s="132">
        <v>114.33499001913871</v>
      </c>
      <c r="W31" s="132">
        <v>158.97385857053689</v>
      </c>
      <c r="X31" s="132">
        <v>160.52391845728258</v>
      </c>
      <c r="Y31" s="132">
        <v>163.14708232172265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238.24983599972091</v>
      </c>
      <c r="C33" s="68">
        <v>266.27465441177702</v>
      </c>
      <c r="D33" s="68">
        <v>302.99828093317109</v>
      </c>
      <c r="E33" s="68">
        <v>330.40450223938797</v>
      </c>
      <c r="F33" s="68">
        <v>344.25766932542035</v>
      </c>
      <c r="G33" s="68">
        <v>351.24298473996492</v>
      </c>
      <c r="H33" s="68">
        <v>368.05585877523038</v>
      </c>
      <c r="I33" s="68">
        <v>404.08932338471874</v>
      </c>
      <c r="J33" s="68">
        <v>436.86917586138367</v>
      </c>
      <c r="K33" s="68">
        <v>445.07606652851672</v>
      </c>
      <c r="L33" s="68">
        <v>457.25314187954569</v>
      </c>
      <c r="M33" s="68">
        <v>455.89555383392565</v>
      </c>
      <c r="N33" s="68">
        <v>446.1483428377079</v>
      </c>
      <c r="O33" s="68">
        <v>445.72132704381124</v>
      </c>
      <c r="P33" s="68">
        <v>463.06877011586221</v>
      </c>
      <c r="Q33" s="68">
        <v>463.03584179397649</v>
      </c>
      <c r="R33" s="68">
        <v>473.31435896984249</v>
      </c>
      <c r="S33" s="68">
        <v>476.65088422303864</v>
      </c>
      <c r="T33" s="68">
        <v>496.27572313732043</v>
      </c>
      <c r="U33" s="68">
        <v>494.7853913414707</v>
      </c>
      <c r="V33" s="68">
        <v>492.33286751650382</v>
      </c>
      <c r="W33" s="68">
        <v>461.93504110003664</v>
      </c>
      <c r="X33" s="68">
        <v>487.26914822837381</v>
      </c>
      <c r="Y33" s="68">
        <v>494.77802086114997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0.61013301849176005</v>
      </c>
      <c r="C3" s="126">
        <f>IF(SER_hh_tes!C3=0,"",SER_hh_tes!C3/SER_hh_fec!C3)</f>
        <v>0.61351429948442004</v>
      </c>
      <c r="D3" s="126">
        <f>IF(SER_hh_tes!D3=0,"",SER_hh_tes!D3/SER_hh_fec!D3)</f>
        <v>0.61181689225170521</v>
      </c>
      <c r="E3" s="126">
        <f>IF(SER_hh_tes!E3=0,"",SER_hh_tes!E3/SER_hh_fec!E3)</f>
        <v>0.6132641372524843</v>
      </c>
      <c r="F3" s="126">
        <f>IF(SER_hh_tes!F3=0,"",SER_hh_tes!F3/SER_hh_fec!F3)</f>
        <v>0.62973905884448356</v>
      </c>
      <c r="G3" s="126">
        <f>IF(SER_hh_tes!G3=0,"",SER_hh_tes!G3/SER_hh_fec!G3)</f>
        <v>0.63672242044390548</v>
      </c>
      <c r="H3" s="126">
        <f>IF(SER_hh_tes!H3=0,"",SER_hh_tes!H3/SER_hh_fec!H3)</f>
        <v>0.64878068879910822</v>
      </c>
      <c r="I3" s="126">
        <f>IF(SER_hh_tes!I3=0,"",SER_hh_tes!I3/SER_hh_fec!I3)</f>
        <v>0.64693572797826948</v>
      </c>
      <c r="J3" s="126">
        <f>IF(SER_hh_tes!J3=0,"",SER_hh_tes!J3/SER_hh_fec!J3)</f>
        <v>0.66305674193956843</v>
      </c>
      <c r="K3" s="126">
        <f>IF(SER_hh_tes!K3=0,"",SER_hh_tes!K3/SER_hh_fec!K3)</f>
        <v>0.66484678417222376</v>
      </c>
      <c r="L3" s="126">
        <f>IF(SER_hh_tes!L3=0,"",SER_hh_tes!L3/SER_hh_fec!L3)</f>
        <v>0.66990633033210023</v>
      </c>
      <c r="M3" s="126">
        <f>IF(SER_hh_tes!M3=0,"",SER_hh_tes!M3/SER_hh_fec!M3)</f>
        <v>0.67703580160396126</v>
      </c>
      <c r="N3" s="126">
        <f>IF(SER_hh_tes!N3=0,"",SER_hh_tes!N3/SER_hh_fec!N3)</f>
        <v>0.68956662681417169</v>
      </c>
      <c r="O3" s="126">
        <f>IF(SER_hh_tes!O3=0,"",SER_hh_tes!O3/SER_hh_fec!O3)</f>
        <v>0.70132151721297509</v>
      </c>
      <c r="P3" s="126">
        <f>IF(SER_hh_tes!P3=0,"",SER_hh_tes!P3/SER_hh_fec!P3)</f>
        <v>0.71075113292034064</v>
      </c>
      <c r="Q3" s="126">
        <f>IF(SER_hh_tes!Q3=0,"",SER_hh_tes!Q3/SER_hh_fec!Q3)</f>
        <v>0.71556079859674937</v>
      </c>
      <c r="R3" s="126">
        <f>IF(SER_hh_tes!R3=0,"",SER_hh_tes!R3/SER_hh_fec!R3)</f>
        <v>0.71903070763122068</v>
      </c>
      <c r="S3" s="126">
        <f>IF(SER_hh_tes!S3=0,"",SER_hh_tes!S3/SER_hh_fec!S3)</f>
        <v>0.736603699841756</v>
      </c>
      <c r="T3" s="126">
        <f>IF(SER_hh_tes!T3=0,"",SER_hh_tes!T3/SER_hh_fec!T3)</f>
        <v>0.7478430710611953</v>
      </c>
      <c r="U3" s="126">
        <f>IF(SER_hh_tes!U3=0,"",SER_hh_tes!U3/SER_hh_fec!U3)</f>
        <v>0.76390871255439008</v>
      </c>
      <c r="V3" s="126">
        <f>IF(SER_hh_tes!V3=0,"",SER_hh_tes!V3/SER_hh_fec!V3)</f>
        <v>0.77602997204576574</v>
      </c>
      <c r="W3" s="126">
        <f>IF(SER_hh_tes!W3=0,"",SER_hh_tes!W3/SER_hh_fec!W3)</f>
        <v>0.77708372513243906</v>
      </c>
      <c r="X3" s="126">
        <f>IF(SER_hh_tes!X3=0,"",SER_hh_tes!X3/SER_hh_fec!X3)</f>
        <v>0.80298013118450773</v>
      </c>
      <c r="Y3" s="126">
        <f>IF(SER_hh_tes!Y3=0,"",SER_hh_tes!Y3/SER_hh_fec!Y3)</f>
        <v>0.82012848750503387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0.58499753151174394</v>
      </c>
      <c r="C4" s="135">
        <f>IF(SER_hh_tes!C4=0,"",SER_hh_tes!C4/SER_hh_fec!C4)</f>
        <v>0.58960401053262501</v>
      </c>
      <c r="D4" s="135">
        <f>IF(SER_hh_tes!D4=0,"",SER_hh_tes!D4/SER_hh_fec!D4)</f>
        <v>0.5872477606387414</v>
      </c>
      <c r="E4" s="135">
        <f>IF(SER_hh_tes!E4=0,"",SER_hh_tes!E4/SER_hh_fec!E4)</f>
        <v>0.58792764544540443</v>
      </c>
      <c r="F4" s="135">
        <f>IF(SER_hh_tes!F4=0,"",SER_hh_tes!F4/SER_hh_fec!F4)</f>
        <v>0.60724162371374002</v>
      </c>
      <c r="G4" s="135">
        <f>IF(SER_hh_tes!G4=0,"",SER_hh_tes!G4/SER_hh_fec!G4)</f>
        <v>0.61298377070989085</v>
      </c>
      <c r="H4" s="135">
        <f>IF(SER_hh_tes!H4=0,"",SER_hh_tes!H4/SER_hh_fec!H4)</f>
        <v>0.62798537971428348</v>
      </c>
      <c r="I4" s="135">
        <f>IF(SER_hh_tes!I4=0,"",SER_hh_tes!I4/SER_hh_fec!I4)</f>
        <v>0.6179792355445296</v>
      </c>
      <c r="J4" s="135">
        <f>IF(SER_hh_tes!J4=0,"",SER_hh_tes!J4/SER_hh_fec!J4)</f>
        <v>0.63958747363486135</v>
      </c>
      <c r="K4" s="135">
        <f>IF(SER_hh_tes!K4=0,"",SER_hh_tes!K4/SER_hh_fec!K4)</f>
        <v>0.63831216066858298</v>
      </c>
      <c r="L4" s="135">
        <f>IF(SER_hh_tes!L4=0,"",SER_hh_tes!L4/SER_hh_fec!L4)</f>
        <v>0.64433790402349389</v>
      </c>
      <c r="M4" s="135">
        <f>IF(SER_hh_tes!M4=0,"",SER_hh_tes!M4/SER_hh_fec!M4)</f>
        <v>0.65125387078425734</v>
      </c>
      <c r="N4" s="135">
        <f>IF(SER_hh_tes!N4=0,"",SER_hh_tes!N4/SER_hh_fec!N4)</f>
        <v>0.66474148311727532</v>
      </c>
      <c r="O4" s="135">
        <f>IF(SER_hh_tes!O4=0,"",SER_hh_tes!O4/SER_hh_fec!O4)</f>
        <v>0.67602050691813564</v>
      </c>
      <c r="P4" s="135">
        <f>IF(SER_hh_tes!P4=0,"",SER_hh_tes!P4/SER_hh_fec!P4)</f>
        <v>0.68456386144132186</v>
      </c>
      <c r="Q4" s="135">
        <f>IF(SER_hh_tes!Q4=0,"",SER_hh_tes!Q4/SER_hh_fec!Q4)</f>
        <v>0.68451920894252971</v>
      </c>
      <c r="R4" s="135">
        <f>IF(SER_hh_tes!R4=0,"",SER_hh_tes!R4/SER_hh_fec!R4)</f>
        <v>0.69370430320784737</v>
      </c>
      <c r="S4" s="135">
        <f>IF(SER_hh_tes!S4=0,"",SER_hh_tes!S4/SER_hh_fec!S4)</f>
        <v>0.71003744870280028</v>
      </c>
      <c r="T4" s="135">
        <f>IF(SER_hh_tes!T4=0,"",SER_hh_tes!T4/SER_hh_fec!T4)</f>
        <v>0.71911061314085312</v>
      </c>
      <c r="U4" s="135">
        <f>IF(SER_hh_tes!U4=0,"",SER_hh_tes!U4/SER_hh_fec!U4)</f>
        <v>0.73338767742521982</v>
      </c>
      <c r="V4" s="135">
        <f>IF(SER_hh_tes!V4=0,"",SER_hh_tes!V4/SER_hh_fec!V4)</f>
        <v>0.74675276786780276</v>
      </c>
      <c r="W4" s="135">
        <f>IF(SER_hh_tes!W4=0,"",SER_hh_tes!W4/SER_hh_fec!W4)</f>
        <v>0.75034660231116812</v>
      </c>
      <c r="X4" s="135">
        <f>IF(SER_hh_tes!X4=0,"",SER_hh_tes!X4/SER_hh_fec!X4)</f>
        <v>0.77604373543428196</v>
      </c>
      <c r="Y4" s="135">
        <f>IF(SER_hh_tes!Y4=0,"",SER_hh_tes!Y4/SER_hh_fec!Y4)</f>
        <v>0.79649775165546821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0.53094434667316892</v>
      </c>
      <c r="C5" s="136">
        <f>IF(SER_hh_tes!C5=0,"",SER_hh_tes!C5/SER_hh_fec!C5)</f>
        <v>0.53816015724206501</v>
      </c>
      <c r="D5" s="136">
        <f>IF(SER_hh_tes!D5=0,"",SER_hh_tes!D5/SER_hh_fec!D5)</f>
        <v>0.54723259151136294</v>
      </c>
      <c r="E5" s="136">
        <f>IF(SER_hh_tes!E5=0,"",SER_hh_tes!E5/SER_hh_fec!E5)</f>
        <v>0.55474421785762051</v>
      </c>
      <c r="F5" s="136">
        <f>IF(SER_hh_tes!F5=0,"",SER_hh_tes!F5/SER_hh_fec!F5)</f>
        <v>0.56112078427588774</v>
      </c>
      <c r="G5" s="136">
        <f>IF(SER_hh_tes!G5=0,"",SER_hh_tes!G5/SER_hh_fec!G5)</f>
        <v>0.56808877409380742</v>
      </c>
      <c r="H5" s="136">
        <f>IF(SER_hh_tes!H5=0,"",SER_hh_tes!H5/SER_hh_fec!H5)</f>
        <v>0.57606087766975655</v>
      </c>
      <c r="I5" s="136">
        <f>IF(SER_hh_tes!I5=0,"",SER_hh_tes!I5/SER_hh_fec!I5)</f>
        <v>0.58532391019139907</v>
      </c>
      <c r="J5" s="136">
        <f>IF(SER_hh_tes!J5=0,"",SER_hh_tes!J5/SER_hh_fec!J5)</f>
        <v>0.59433861334456539</v>
      </c>
      <c r="K5" s="136">
        <f>IF(SER_hh_tes!K5=0,"",SER_hh_tes!K5/SER_hh_fec!K5)</f>
        <v>0.60498470378997482</v>
      </c>
      <c r="L5" s="136">
        <f>IF(SER_hh_tes!L5=0,"",SER_hh_tes!L5/SER_hh_fec!L5)</f>
        <v>0.61499495849782937</v>
      </c>
      <c r="M5" s="136">
        <f>IF(SER_hh_tes!M5=0,"",SER_hh_tes!M5/SER_hh_fec!M5)</f>
        <v>0.62525999297826829</v>
      </c>
      <c r="N5" s="136">
        <f>IF(SER_hh_tes!N5=0,"",SER_hh_tes!N5/SER_hh_fec!N5)</f>
        <v>0.63616469302601719</v>
      </c>
      <c r="O5" s="136">
        <f>IF(SER_hh_tes!O5=0,"",SER_hh_tes!O5/SER_hh_fec!O5)</f>
        <v>0.64564227769697613</v>
      </c>
      <c r="P5" s="136">
        <f>IF(SER_hh_tes!P5=0,"",SER_hh_tes!P5/SER_hh_fec!P5)</f>
        <v>0.64759902632538013</v>
      </c>
      <c r="Q5" s="136">
        <f>IF(SER_hh_tes!Q5=0,"",SER_hh_tes!Q5/SER_hh_fec!Q5)</f>
        <v>0.65036949680327272</v>
      </c>
      <c r="R5" s="136">
        <f>IF(SER_hh_tes!R5=0,"",SER_hh_tes!R5/SER_hh_fec!R5)</f>
        <v>0.6541276320440238</v>
      </c>
      <c r="S5" s="136">
        <f>IF(SER_hh_tes!S5=0,"",SER_hh_tes!S5/SER_hh_fec!S5)</f>
        <v>0.66037173026351637</v>
      </c>
      <c r="T5" s="136">
        <f>IF(SER_hh_tes!T5=0,"",SER_hh_tes!T5/SER_hh_fec!T5)</f>
        <v>0.66567140743084907</v>
      </c>
      <c r="U5" s="136">
        <f>IF(SER_hh_tes!U5=0,"",SER_hh_tes!U5/SER_hh_fec!U5)</f>
        <v>0.6703854158197875</v>
      </c>
      <c r="V5" s="136">
        <f>IF(SER_hh_tes!V5=0,"",SER_hh_tes!V5/SER_hh_fec!V5)</f>
        <v>0.6751363847902323</v>
      </c>
      <c r="W5" s="136">
        <f>IF(SER_hh_tes!W5=0,"",SER_hh_tes!W5/SER_hh_fec!W5)</f>
        <v>0.67805172299232286</v>
      </c>
      <c r="X5" s="136">
        <f>IF(SER_hh_tes!X5=0,"",SER_hh_tes!X5/SER_hh_fec!X5)</f>
        <v>0.68072109885191912</v>
      </c>
      <c r="Y5" s="136">
        <f>IF(SER_hh_tes!Y5=0,"",SER_hh_tes!Y5/SER_hh_fec!Y5)</f>
        <v>0.68290152627879142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0.45575706046029774</v>
      </c>
      <c r="C7" s="136">
        <f>IF(SER_hh_tes!C7=0,"",SER_hh_tes!C7/SER_hh_fec!C7)</f>
        <v>0.46021022677993395</v>
      </c>
      <c r="D7" s="136">
        <f>IF(SER_hh_tes!D7=0,"",SER_hh_tes!D7/SER_hh_fec!D7)</f>
        <v>0.46404926902163113</v>
      </c>
      <c r="E7" s="136">
        <f>IF(SER_hh_tes!E7=0,"",SER_hh_tes!E7/SER_hh_fec!E7)</f>
        <v>0.46525834548175427</v>
      </c>
      <c r="F7" s="136">
        <f>IF(SER_hh_tes!F7=0,"",SER_hh_tes!F7/SER_hh_fec!F7)</f>
        <v>0.46647922767534394</v>
      </c>
      <c r="G7" s="136">
        <f>IF(SER_hh_tes!G7=0,"",SER_hh_tes!G7/SER_hh_fec!G7)</f>
        <v>0.47349939072066688</v>
      </c>
      <c r="H7" s="136">
        <f>IF(SER_hh_tes!H7=0,"",SER_hh_tes!H7/SER_hh_fec!H7)</f>
        <v>0.48734116202758165</v>
      </c>
      <c r="I7" s="136">
        <f>IF(SER_hh_tes!I7=0,"",SER_hh_tes!I7/SER_hh_fec!I7)</f>
        <v>0.498022634705649</v>
      </c>
      <c r="J7" s="136">
        <f>IF(SER_hh_tes!J7=0,"",SER_hh_tes!J7/SER_hh_fec!J7)</f>
        <v>0.50497407869880784</v>
      </c>
      <c r="K7" s="136">
        <f>IF(SER_hh_tes!K7=0,"",SER_hh_tes!K7/SER_hh_fec!K7)</f>
        <v>0.51212727703994787</v>
      </c>
      <c r="L7" s="136">
        <f>IF(SER_hh_tes!L7=0,"",SER_hh_tes!L7/SER_hh_fec!L7)</f>
        <v>0.51979340159342902</v>
      </c>
      <c r="M7" s="136">
        <f>IF(SER_hh_tes!M7=0,"",SER_hh_tes!M7/SER_hh_fec!M7)</f>
        <v>0.52715411992301087</v>
      </c>
      <c r="N7" s="136">
        <f>IF(SER_hh_tes!N7=0,"",SER_hh_tes!N7/SER_hh_fec!N7)</f>
        <v>0.53335608367254794</v>
      </c>
      <c r="O7" s="136">
        <f>IF(SER_hh_tes!O7=0,"",SER_hh_tes!O7/SER_hh_fec!O7)</f>
        <v>0.53940747196590066</v>
      </c>
      <c r="P7" s="136">
        <f>IF(SER_hh_tes!P7=0,"",SER_hh_tes!P7/SER_hh_fec!P7)</f>
        <v>0.53996056297300754</v>
      </c>
      <c r="Q7" s="136">
        <f>IF(SER_hh_tes!Q7=0,"",SER_hh_tes!Q7/SER_hh_fec!Q7)</f>
        <v>0.54448386503828305</v>
      </c>
      <c r="R7" s="136">
        <f>IF(SER_hh_tes!R7=0,"",SER_hh_tes!R7/SER_hh_fec!R7)</f>
        <v>0.55526695312465146</v>
      </c>
      <c r="S7" s="136">
        <f>IF(SER_hh_tes!S7=0,"",SER_hh_tes!S7/SER_hh_fec!S7)</f>
        <v>0.5742930901309381</v>
      </c>
      <c r="T7" s="136">
        <f>IF(SER_hh_tes!T7=0,"",SER_hh_tes!T7/SER_hh_fec!T7)</f>
        <v>0.59231754684757487</v>
      </c>
      <c r="U7" s="136">
        <f>IF(SER_hh_tes!U7=0,"",SER_hh_tes!U7/SER_hh_fec!U7)</f>
        <v>0.606789392938757</v>
      </c>
      <c r="V7" s="136">
        <f>IF(SER_hh_tes!V7=0,"",SER_hh_tes!V7/SER_hh_fec!V7)</f>
        <v>0.62427586032034299</v>
      </c>
      <c r="W7" s="136">
        <f>IF(SER_hh_tes!W7=0,"",SER_hh_tes!W7/SER_hh_fec!W7)</f>
        <v>0.64258742591000728</v>
      </c>
      <c r="X7" s="136">
        <f>IF(SER_hh_tes!X7=0,"",SER_hh_tes!X7/SER_hh_fec!X7)</f>
        <v>0.66235625949893684</v>
      </c>
      <c r="Y7" s="136">
        <f>IF(SER_hh_tes!Y7=0,"",SER_hh_tes!Y7/SER_hh_fec!Y7)</f>
        <v>0.67743924368634845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1.0109563423499919</v>
      </c>
      <c r="C8" s="136">
        <f>IF(SER_hh_tes!C8=0,"",SER_hh_tes!C8/SER_hh_fec!C8)</f>
        <v>1.0258113591098728</v>
      </c>
      <c r="D8" s="136">
        <f>IF(SER_hh_tes!D8=0,"",SER_hh_tes!D8/SER_hh_fec!D8)</f>
        <v>1.0468013083282981</v>
      </c>
      <c r="E8" s="136">
        <f>IF(SER_hh_tes!E8=0,"",SER_hh_tes!E8/SER_hh_fec!E8)</f>
        <v>1.0758790666418439</v>
      </c>
      <c r="F8" s="136">
        <f>IF(SER_hh_tes!F8=0,"",SER_hh_tes!F8/SER_hh_fec!F8)</f>
        <v>1.101045520635404</v>
      </c>
      <c r="G8" s="136">
        <f>IF(SER_hh_tes!G8=0,"",SER_hh_tes!G8/SER_hh_fec!G8)</f>
        <v>1.139378327190081</v>
      </c>
      <c r="H8" s="136">
        <f>IF(SER_hh_tes!H8=0,"",SER_hh_tes!H8/SER_hh_fec!H8)</f>
        <v>1.1745457209038945</v>
      </c>
      <c r="I8" s="136">
        <f>IF(SER_hh_tes!I8=0,"",SER_hh_tes!I8/SER_hh_fec!I8)</f>
        <v>1.2293364151674793</v>
      </c>
      <c r="J8" s="136">
        <f>IF(SER_hh_tes!J8=0,"",SER_hh_tes!J8/SER_hh_fec!J8)</f>
        <v>1.2656602471385221</v>
      </c>
      <c r="K8" s="136">
        <f>IF(SER_hh_tes!K8=0,"",SER_hh_tes!K8/SER_hh_fec!K8)</f>
        <v>1.3074567859293871</v>
      </c>
      <c r="L8" s="136">
        <f>IF(SER_hh_tes!L8=0,"",SER_hh_tes!L8/SER_hh_fec!L8)</f>
        <v>1.3340878696481282</v>
      </c>
      <c r="M8" s="136">
        <f>IF(SER_hh_tes!M8=0,"",SER_hh_tes!M8/SER_hh_fec!M8)</f>
        <v>1.3857273793709617</v>
      </c>
      <c r="N8" s="136">
        <f>IF(SER_hh_tes!N8=0,"",SER_hh_tes!N8/SER_hh_fec!N8)</f>
        <v>1.4850450673488986</v>
      </c>
      <c r="O8" s="136">
        <f>IF(SER_hh_tes!O8=0,"",SER_hh_tes!O8/SER_hh_fec!O8)</f>
        <v>1.611998250035904</v>
      </c>
      <c r="P8" s="136">
        <f>IF(SER_hh_tes!P8=0,"",SER_hh_tes!P8/SER_hh_fec!P8)</f>
        <v>1.7156122589958427</v>
      </c>
      <c r="Q8" s="136">
        <f>IF(SER_hh_tes!Q8=0,"",SER_hh_tes!Q8/SER_hh_fec!Q8)</f>
        <v>1.7932610593054028</v>
      </c>
      <c r="R8" s="136">
        <f>IF(SER_hh_tes!R8=0,"",SER_hh_tes!R8/SER_hh_fec!R8)</f>
        <v>1.8534835949133843</v>
      </c>
      <c r="S8" s="136">
        <f>IF(SER_hh_tes!S8=0,"",SER_hh_tes!S8/SER_hh_fec!S8)</f>
        <v>1.9294641798051377</v>
      </c>
      <c r="T8" s="136">
        <f>IF(SER_hh_tes!T8=0,"",SER_hh_tes!T8/SER_hh_fec!T8)</f>
        <v>2.0198823270480077</v>
      </c>
      <c r="U8" s="136">
        <f>IF(SER_hh_tes!U8=0,"",SER_hh_tes!U8/SER_hh_fec!U8)</f>
        <v>2.1232280403662926</v>
      </c>
      <c r="V8" s="136">
        <f>IF(SER_hh_tes!V8=0,"",SER_hh_tes!V8/SER_hh_fec!V8)</f>
        <v>2.2243016290007644</v>
      </c>
      <c r="W8" s="136">
        <f>IF(SER_hh_tes!W8=0,"",SER_hh_tes!W8/SER_hh_fec!W8)</f>
        <v>2.3199978756260609</v>
      </c>
      <c r="X8" s="136">
        <f>IF(SER_hh_tes!X8=0,"",SER_hh_tes!X8/SER_hh_fec!X8)</f>
        <v>2.4006552625484798</v>
      </c>
      <c r="Y8" s="136">
        <f>IF(SER_hh_tes!Y8=0,"",SER_hh_tes!Y8/SER_hh_fec!Y8)</f>
        <v>2.4660658759639924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0.49262525630902443</v>
      </c>
      <c r="C9" s="136">
        <f>IF(SER_hh_tes!C9=0,"",SER_hh_tes!C9/SER_hh_fec!C9)</f>
        <v>0.49890661190145058</v>
      </c>
      <c r="D9" s="136">
        <f>IF(SER_hh_tes!D9=0,"",SER_hh_tes!D9/SER_hh_fec!D9)</f>
        <v>0.50611254520603977</v>
      </c>
      <c r="E9" s="136">
        <f>IF(SER_hh_tes!E9=0,"",SER_hh_tes!E9/SER_hh_fec!E9)</f>
        <v>0.51263340781594768</v>
      </c>
      <c r="F9" s="136">
        <f>IF(SER_hh_tes!F9=0,"",SER_hh_tes!F9/SER_hh_fec!F9)</f>
        <v>0.51707365011701789</v>
      </c>
      <c r="G9" s="136">
        <f>IF(SER_hh_tes!G9=0,"",SER_hh_tes!G9/SER_hh_fec!G9)</f>
        <v>0.52020867330438991</v>
      </c>
      <c r="H9" s="136">
        <f>IF(SER_hh_tes!H9=0,"",SER_hh_tes!H9/SER_hh_fec!H9)</f>
        <v>0.52386867454910135</v>
      </c>
      <c r="I9" s="136">
        <f>IF(SER_hh_tes!I9=0,"",SER_hh_tes!I9/SER_hh_fec!I9)</f>
        <v>0.53004730225719621</v>
      </c>
      <c r="J9" s="136">
        <f>IF(SER_hh_tes!J9=0,"",SER_hh_tes!J9/SER_hh_fec!J9)</f>
        <v>0.53829374536924368</v>
      </c>
      <c r="K9" s="136">
        <f>IF(SER_hh_tes!K9=0,"",SER_hh_tes!K9/SER_hh_fec!K9)</f>
        <v>0.54667364947602393</v>
      </c>
      <c r="L9" s="136">
        <f>IF(SER_hh_tes!L9=0,"",SER_hh_tes!L9/SER_hh_fec!L9)</f>
        <v>0.5517124003844931</v>
      </c>
      <c r="M9" s="136">
        <f>IF(SER_hh_tes!M9=0,"",SER_hh_tes!M9/SER_hh_fec!M9)</f>
        <v>0.56237653633127327</v>
      </c>
      <c r="N9" s="136">
        <f>IF(SER_hh_tes!N9=0,"",SER_hh_tes!N9/SER_hh_fec!N9)</f>
        <v>0.57451178211773868</v>
      </c>
      <c r="O9" s="136">
        <f>IF(SER_hh_tes!O9=0,"",SER_hh_tes!O9/SER_hh_fec!O9)</f>
        <v>0.58530583037927408</v>
      </c>
      <c r="P9" s="136">
        <f>IF(SER_hh_tes!P9=0,"",SER_hh_tes!P9/SER_hh_fec!P9)</f>
        <v>0.59439478682211155</v>
      </c>
      <c r="Q9" s="136">
        <f>IF(SER_hh_tes!Q9=0,"",SER_hh_tes!Q9/SER_hh_fec!Q9)</f>
        <v>0.6046077868749945</v>
      </c>
      <c r="R9" s="136">
        <f>IF(SER_hh_tes!R9=0,"",SER_hh_tes!R9/SER_hh_fec!R9)</f>
        <v>0.61448604843145205</v>
      </c>
      <c r="S9" s="136">
        <f>IF(SER_hh_tes!S9=0,"",SER_hh_tes!S9/SER_hh_fec!S9)</f>
        <v>0.62339316711433512</v>
      </c>
      <c r="T9" s="136">
        <f>IF(SER_hh_tes!T9=0,"",SER_hh_tes!T9/SER_hh_fec!T9)</f>
        <v>0.63381032088147882</v>
      </c>
      <c r="U9" s="136">
        <f>IF(SER_hh_tes!U9=0,"",SER_hh_tes!U9/SER_hh_fec!U9)</f>
        <v>0.64810003594575416</v>
      </c>
      <c r="V9" s="136">
        <f>IF(SER_hh_tes!V9=0,"",SER_hh_tes!V9/SER_hh_fec!V9)</f>
        <v>0.66361551471580393</v>
      </c>
      <c r="W9" s="136">
        <f>IF(SER_hh_tes!W9=0,"",SER_hh_tes!W9/SER_hh_fec!W9)</f>
        <v>0.68275312435514379</v>
      </c>
      <c r="X9" s="136">
        <f>IF(SER_hh_tes!X9=0,"",SER_hh_tes!X9/SER_hh_fec!X9)</f>
        <v>0.70340955153467488</v>
      </c>
      <c r="Y9" s="136">
        <f>IF(SER_hh_tes!Y9=0,"",SER_hh_tes!Y9/SER_hh_fec!Y9)</f>
        <v>0.72126303633176869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0.44914545885493573</v>
      </c>
      <c r="C10" s="136">
        <f>IF(SER_hh_tes!C10=0,"",SER_hh_tes!C10/SER_hh_fec!C10)</f>
        <v>0.44914545885493568</v>
      </c>
      <c r="D10" s="136">
        <f>IF(SER_hh_tes!D10=0,"",SER_hh_tes!D10/SER_hh_fec!D10)</f>
        <v>0.44914545885493568</v>
      </c>
      <c r="E10" s="136">
        <f>IF(SER_hh_tes!E10=0,"",SER_hh_tes!E10/SER_hh_fec!E10)</f>
        <v>0.44914545885493568</v>
      </c>
      <c r="F10" s="136">
        <f>IF(SER_hh_tes!F10=0,"",SER_hh_tes!F10/SER_hh_fec!F10)</f>
        <v>0.44914545885493568</v>
      </c>
      <c r="G10" s="136">
        <f>IF(SER_hh_tes!G10=0,"",SER_hh_tes!G10/SER_hh_fec!G10)</f>
        <v>0.44914545885493568</v>
      </c>
      <c r="H10" s="136">
        <f>IF(SER_hh_tes!H10=0,"",SER_hh_tes!H10/SER_hh_fec!H10)</f>
        <v>0.451802635452976</v>
      </c>
      <c r="I10" s="136">
        <f>IF(SER_hh_tes!I10=0,"",SER_hh_tes!I10/SER_hh_fec!I10)</f>
        <v>0.46448050653256978</v>
      </c>
      <c r="J10" s="136">
        <f>IF(SER_hh_tes!J10=0,"",SER_hh_tes!J10/SER_hh_fec!J10)</f>
        <v>0.47972572679267839</v>
      </c>
      <c r="K10" s="136">
        <f>IF(SER_hh_tes!K10=0,"",SER_hh_tes!K10/SER_hh_fec!K10)</f>
        <v>0.50172330174083501</v>
      </c>
      <c r="L10" s="136">
        <f>IF(SER_hh_tes!L10=0,"",SER_hh_tes!L10/SER_hh_fec!L10)</f>
        <v>0.51659361033308426</v>
      </c>
      <c r="M10" s="136">
        <f>IF(SER_hh_tes!M10=0,"",SER_hh_tes!M10/SER_hh_fec!M10)</f>
        <v>0.53056088572709847</v>
      </c>
      <c r="N10" s="136">
        <f>IF(SER_hh_tes!N10=0,"",SER_hh_tes!N10/SER_hh_fec!N10)</f>
        <v>0.54272319099565425</v>
      </c>
      <c r="O10" s="136">
        <f>IF(SER_hh_tes!O10=0,"",SER_hh_tes!O10/SER_hh_fec!O10)</f>
        <v>0.55260141980812516</v>
      </c>
      <c r="P10" s="136">
        <f>IF(SER_hh_tes!P10=0,"",SER_hh_tes!P10/SER_hh_fec!P10)</f>
        <v>0.55263577597045221</v>
      </c>
      <c r="Q10" s="136">
        <f>IF(SER_hh_tes!Q10=0,"",SER_hh_tes!Q10/SER_hh_fec!Q10)</f>
        <v>0.55270645717171452</v>
      </c>
      <c r="R10" s="136">
        <f>IF(SER_hh_tes!R10=0,"",SER_hh_tes!R10/SER_hh_fec!R10)</f>
        <v>0.55277062341194561</v>
      </c>
      <c r="S10" s="136">
        <f>IF(SER_hh_tes!S10=0,"",SER_hh_tes!S10/SER_hh_fec!S10)</f>
        <v>0.55287970563075717</v>
      </c>
      <c r="T10" s="136">
        <f>IF(SER_hh_tes!T10=0,"",SER_hh_tes!T10/SER_hh_fec!T10)</f>
        <v>0.55297955055545889</v>
      </c>
      <c r="U10" s="136">
        <f>IF(SER_hh_tes!U10=0,"",SER_hh_tes!U10/SER_hh_fec!U10)</f>
        <v>0.55310838399230711</v>
      </c>
      <c r="V10" s="136">
        <f>IF(SER_hh_tes!V10=0,"",SER_hh_tes!V10/SER_hh_fec!V10)</f>
        <v>0.55326479583311061</v>
      </c>
      <c r="W10" s="136">
        <f>IF(SER_hh_tes!W10=0,"",SER_hh_tes!W10/SER_hh_fec!W10)</f>
        <v>0.55342797687515466</v>
      </c>
      <c r="X10" s="136">
        <f>IF(SER_hh_tes!X10=0,"",SER_hh_tes!X10/SER_hh_fec!X10)</f>
        <v>0.55393821826537648</v>
      </c>
      <c r="Y10" s="136">
        <f>IF(SER_hh_tes!Y10=0,"",SER_hh_tes!Y10/SER_hh_fec!Y10)</f>
        <v>0.55496468588576253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0.75093878114668744</v>
      </c>
      <c r="C11" s="136">
        <f>IF(SER_hh_tes!C11=0,"",SER_hh_tes!C11/SER_hh_fec!C11)</f>
        <v>0.76087051675551831</v>
      </c>
      <c r="D11" s="136">
        <f>IF(SER_hh_tes!D11=0,"",SER_hh_tes!D11/SER_hh_fec!D11)</f>
        <v>0.77881169816956286</v>
      </c>
      <c r="E11" s="136">
        <f>IF(SER_hh_tes!E11=0,"",SER_hh_tes!E11/SER_hh_fec!E11)</f>
        <v>0.78773331079410569</v>
      </c>
      <c r="F11" s="136">
        <f>IF(SER_hh_tes!F11=0,"",SER_hh_tes!F11/SER_hh_fec!F11)</f>
        <v>0.79297122091421091</v>
      </c>
      <c r="G11" s="136">
        <f>IF(SER_hh_tes!G11=0,"",SER_hh_tes!G11/SER_hh_fec!G11)</f>
        <v>0.79773416865765989</v>
      </c>
      <c r="H11" s="136">
        <f>IF(SER_hh_tes!H11=0,"",SER_hh_tes!H11/SER_hh_fec!H11)</f>
        <v>0.80131426460911404</v>
      </c>
      <c r="I11" s="136">
        <f>IF(SER_hh_tes!I11=0,"",SER_hh_tes!I11/SER_hh_fec!I11)</f>
        <v>0.80538196394279171</v>
      </c>
      <c r="J11" s="136">
        <f>IF(SER_hh_tes!J11=0,"",SER_hh_tes!J11/SER_hh_fec!J11)</f>
        <v>0.80967430283629038</v>
      </c>
      <c r="K11" s="136">
        <f>IF(SER_hh_tes!K11=0,"",SER_hh_tes!K11/SER_hh_fec!K11)</f>
        <v>0.8125882209132218</v>
      </c>
      <c r="L11" s="136">
        <f>IF(SER_hh_tes!L11=0,"",SER_hh_tes!L11/SER_hh_fec!L11)</f>
        <v>0.8141321189177142</v>
      </c>
      <c r="M11" s="136">
        <f>IF(SER_hh_tes!M11=0,"",SER_hh_tes!M11/SER_hh_fec!M11)</f>
        <v>0.81872169293051122</v>
      </c>
      <c r="N11" s="136">
        <f>IF(SER_hh_tes!N11=0,"",SER_hh_tes!N11/SER_hh_fec!N11)</f>
        <v>0.82702182256758439</v>
      </c>
      <c r="O11" s="136">
        <f>IF(SER_hh_tes!O11=0,"",SER_hh_tes!O11/SER_hh_fec!O11)</f>
        <v>0.8344434693770979</v>
      </c>
      <c r="P11" s="136">
        <f>IF(SER_hh_tes!P11=0,"",SER_hh_tes!P11/SER_hh_fec!P11)</f>
        <v>0.83825665234268776</v>
      </c>
      <c r="Q11" s="136">
        <f>IF(SER_hh_tes!Q11=0,"",SER_hh_tes!Q11/SER_hh_fec!Q11)</f>
        <v>0.84065739583260257</v>
      </c>
      <c r="R11" s="136">
        <f>IF(SER_hh_tes!R11=0,"",SER_hh_tes!R11/SER_hh_fec!R11)</f>
        <v>0.84233176347182215</v>
      </c>
      <c r="S11" s="136">
        <f>IF(SER_hh_tes!S11=0,"",SER_hh_tes!S11/SER_hh_fec!S11)</f>
        <v>0.84562261463757249</v>
      </c>
      <c r="T11" s="136">
        <f>IF(SER_hh_tes!T11=0,"",SER_hh_tes!T11/SER_hh_fec!T11)</f>
        <v>0.84941473446867188</v>
      </c>
      <c r="U11" s="136">
        <f>IF(SER_hh_tes!U11=0,"",SER_hh_tes!U11/SER_hh_fec!U11)</f>
        <v>0.85270592561084591</v>
      </c>
      <c r="V11" s="136">
        <f>IF(SER_hh_tes!V11=0,"",SER_hh_tes!V11/SER_hh_fec!V11)</f>
        <v>0.85545288443544643</v>
      </c>
      <c r="W11" s="136">
        <f>IF(SER_hh_tes!W11=0,"",SER_hh_tes!W11/SER_hh_fec!W11)</f>
        <v>0.858290503448079</v>
      </c>
      <c r="X11" s="136">
        <f>IF(SER_hh_tes!X11=0,"",SER_hh_tes!X11/SER_hh_fec!X11)</f>
        <v>0.86093864838839129</v>
      </c>
      <c r="Y11" s="136">
        <f>IF(SER_hh_tes!Y11=0,"",SER_hh_tes!Y11/SER_hh_fec!Y11)</f>
        <v>0.86372835137783743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0.78031401237717113</v>
      </c>
      <c r="C12" s="136">
        <f>IF(SER_hh_tes!C12=0,"",SER_hh_tes!C12/SER_hh_fec!C12)</f>
        <v>0.78346498404905363</v>
      </c>
      <c r="D12" s="136">
        <f>IF(SER_hh_tes!D12=0,"",SER_hh_tes!D12/SER_hh_fec!D12)</f>
        <v>0.78684498140816517</v>
      </c>
      <c r="E12" s="136">
        <f>IF(SER_hh_tes!E12=0,"",SER_hh_tes!E12/SER_hh_fec!E12)</f>
        <v>0.79000232543005156</v>
      </c>
      <c r="F12" s="136">
        <f>IF(SER_hh_tes!F12=0,"",SER_hh_tes!F12/SER_hh_fec!F12)</f>
        <v>0.79452289157613842</v>
      </c>
      <c r="G12" s="136">
        <f>IF(SER_hh_tes!G12=0,"",SER_hh_tes!G12/SER_hh_fec!G12)</f>
        <v>0.7971681987039384</v>
      </c>
      <c r="H12" s="136">
        <f>IF(SER_hh_tes!H12=0,"",SER_hh_tes!H12/SER_hh_fec!H12)</f>
        <v>0.80000828694965764</v>
      </c>
      <c r="I12" s="136">
        <f>IF(SER_hh_tes!I12=0,"",SER_hh_tes!I12/SER_hh_fec!I12)</f>
        <v>0.80258344041154306</v>
      </c>
      <c r="J12" s="136">
        <f>IF(SER_hh_tes!J12=0,"",SER_hh_tes!J12/SER_hh_fec!J12)</f>
        <v>0.80513798192472963</v>
      </c>
      <c r="K12" s="136">
        <f>IF(SER_hh_tes!K12=0,"",SER_hh_tes!K12/SER_hh_fec!K12)</f>
        <v>0.80744874844209991</v>
      </c>
      <c r="L12" s="136">
        <f>IF(SER_hh_tes!L12=0,"",SER_hh_tes!L12/SER_hh_fec!L12)</f>
        <v>0.80991836576696241</v>
      </c>
      <c r="M12" s="136">
        <f>IF(SER_hh_tes!M12=0,"",SER_hh_tes!M12/SER_hh_fec!M12)</f>
        <v>0.81285193194466032</v>
      </c>
      <c r="N12" s="136">
        <f>IF(SER_hh_tes!N12=0,"",SER_hh_tes!N12/SER_hh_fec!N12)</f>
        <v>0.81724328614991715</v>
      </c>
      <c r="O12" s="136">
        <f>IF(SER_hh_tes!O12=0,"",SER_hh_tes!O12/SER_hh_fec!O12)</f>
        <v>0.82228177431778615</v>
      </c>
      <c r="P12" s="136">
        <f>IF(SER_hh_tes!P12=0,"",SER_hh_tes!P12/SER_hh_fec!P12)</f>
        <v>0.82434303854204982</v>
      </c>
      <c r="Q12" s="136">
        <f>IF(SER_hh_tes!Q12=0,"",SER_hh_tes!Q12/SER_hh_fec!Q12)</f>
        <v>0.82745865383688832</v>
      </c>
      <c r="R12" s="136">
        <f>IF(SER_hh_tes!R12=0,"",SER_hh_tes!R12/SER_hh_fec!R12)</f>
        <v>0.83211810445690404</v>
      </c>
      <c r="S12" s="136">
        <f>IF(SER_hh_tes!S12=0,"",SER_hh_tes!S12/SER_hh_fec!S12)</f>
        <v>0.83871077246707315</v>
      </c>
      <c r="T12" s="136">
        <f>IF(SER_hh_tes!T12=0,"",SER_hh_tes!T12/SER_hh_fec!T12)</f>
        <v>0.84429307533375342</v>
      </c>
      <c r="U12" s="136">
        <f>IF(SER_hh_tes!U12=0,"",SER_hh_tes!U12/SER_hh_fec!U12)</f>
        <v>0.84980519875461247</v>
      </c>
      <c r="V12" s="136">
        <f>IF(SER_hh_tes!V12=0,"",SER_hh_tes!V12/SER_hh_fec!V12)</f>
        <v>0.8547962173070468</v>
      </c>
      <c r="W12" s="136">
        <f>IF(SER_hh_tes!W12=0,"",SER_hh_tes!W12/SER_hh_fec!W12)</f>
        <v>0.85876549474359087</v>
      </c>
      <c r="X12" s="136">
        <f>IF(SER_hh_tes!X12=0,"",SER_hh_tes!X12/SER_hh_fec!X12)</f>
        <v>0.86256601237818398</v>
      </c>
      <c r="Y12" s="136">
        <f>IF(SER_hh_tes!Y12=0,"",SER_hh_tes!Y12/SER_hh_fec!Y12)</f>
        <v>0.86560671096739861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1.5255169592594018</v>
      </c>
      <c r="C13" s="136">
        <f>IF(SER_hh_tes!C13=0,"",SER_hh_tes!C13/SER_hh_fec!C13)</f>
        <v>1.5304202699473524</v>
      </c>
      <c r="D13" s="136">
        <f>IF(SER_hh_tes!D13=0,"",SER_hh_tes!D13/SER_hh_fec!D13)</f>
        <v>1.5548414271340407</v>
      </c>
      <c r="E13" s="136">
        <f>IF(SER_hh_tes!E13=0,"",SER_hh_tes!E13/SER_hh_fec!E13)</f>
        <v>1.6056820125559994</v>
      </c>
      <c r="F13" s="136">
        <f>IF(SER_hh_tes!F13=0,"",SER_hh_tes!F13/SER_hh_fec!F13)</f>
        <v>1.664863179175436</v>
      </c>
      <c r="G13" s="136">
        <f>IF(SER_hh_tes!G13=0,"",SER_hh_tes!G13/SER_hh_fec!G13)</f>
        <v>1.7481726259098138</v>
      </c>
      <c r="H13" s="136">
        <f>IF(SER_hh_tes!H13=0,"",SER_hh_tes!H13/SER_hh_fec!H13)</f>
        <v>1.8175008045012466</v>
      </c>
      <c r="I13" s="136">
        <f>IF(SER_hh_tes!I13=0,"",SER_hh_tes!I13/SER_hh_fec!I13)</f>
        <v>1.8900360379286976</v>
      </c>
      <c r="J13" s="136">
        <f>IF(SER_hh_tes!J13=0,"",SER_hh_tes!J13/SER_hh_fec!J13)</f>
        <v>1.9326682249848828</v>
      </c>
      <c r="K13" s="136">
        <f>IF(SER_hh_tes!K13=0,"",SER_hh_tes!K13/SER_hh_fec!K13)</f>
        <v>1.9768690020741986</v>
      </c>
      <c r="L13" s="136">
        <f>IF(SER_hh_tes!L13=0,"",SER_hh_tes!L13/SER_hh_fec!L13)</f>
        <v>2.0054986149669416</v>
      </c>
      <c r="M13" s="136">
        <f>IF(SER_hh_tes!M13=0,"",SER_hh_tes!M13/SER_hh_fec!M13)</f>
        <v>2.0662417710202172</v>
      </c>
      <c r="N13" s="136">
        <f>IF(SER_hh_tes!N13=0,"",SER_hh_tes!N13/SER_hh_fec!N13)</f>
        <v>2.1685654871572293</v>
      </c>
      <c r="O13" s="136">
        <f>IF(SER_hh_tes!O13=0,"",SER_hh_tes!O13/SER_hh_fec!O13)</f>
        <v>2.3096827516212279</v>
      </c>
      <c r="P13" s="136">
        <f>IF(SER_hh_tes!P13=0,"",SER_hh_tes!P13/SER_hh_fec!P13)</f>
        <v>2.4581740078222682</v>
      </c>
      <c r="Q13" s="136">
        <f>IF(SER_hh_tes!Q13=0,"",SER_hh_tes!Q13/SER_hh_fec!Q13)</f>
        <v>2.5738811780734276</v>
      </c>
      <c r="R13" s="136">
        <f>IF(SER_hh_tes!R13=0,"",SER_hh_tes!R13/SER_hh_fec!R13)</f>
        <v>2.6605840860803949</v>
      </c>
      <c r="S13" s="136">
        <f>IF(SER_hh_tes!S13=0,"",SER_hh_tes!S13/SER_hh_fec!S13)</f>
        <v>2.7677135814416438</v>
      </c>
      <c r="T13" s="136">
        <f>IF(SER_hh_tes!T13=0,"",SER_hh_tes!T13/SER_hh_fec!T13)</f>
        <v>2.8809988425042752</v>
      </c>
      <c r="U13" s="136">
        <f>IF(SER_hh_tes!U13=0,"",SER_hh_tes!U13/SER_hh_fec!U13)</f>
        <v>3.0026030768269476</v>
      </c>
      <c r="V13" s="136">
        <f>IF(SER_hh_tes!V13=0,"",SER_hh_tes!V13/SER_hh_fec!V13)</f>
        <v>3.121927112036754</v>
      </c>
      <c r="W13" s="136">
        <f>IF(SER_hh_tes!W13=0,"",SER_hh_tes!W13/SER_hh_fec!W13)</f>
        <v>3.2373277772672577</v>
      </c>
      <c r="X13" s="136">
        <f>IF(SER_hh_tes!X13=0,"",SER_hh_tes!X13/SER_hh_fec!X13)</f>
        <v>3.3472972185670193</v>
      </c>
      <c r="Y13" s="136">
        <f>IF(SER_hh_tes!Y13=0,"",SER_hh_tes!Y13/SER_hh_fec!Y13)</f>
        <v>3.4378275188218907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0.68985540741521478</v>
      </c>
      <c r="C14" s="137">
        <f>IF(SER_hh_tes!C14=0,"",SER_hh_tes!C14/SER_hh_fec!C14)</f>
        <v>0.68985540741521478</v>
      </c>
      <c r="D14" s="137">
        <f>IF(SER_hh_tes!D14=0,"",SER_hh_tes!D14/SER_hh_fec!D14)</f>
        <v>0.68985540741521478</v>
      </c>
      <c r="E14" s="137">
        <f>IF(SER_hh_tes!E14=0,"",SER_hh_tes!E14/SER_hh_fec!E14)</f>
        <v>0.68985540741521478</v>
      </c>
      <c r="F14" s="137">
        <f>IF(SER_hh_tes!F14=0,"",SER_hh_tes!F14/SER_hh_fec!F14)</f>
        <v>0.68985540741521478</v>
      </c>
      <c r="G14" s="137">
        <f>IF(SER_hh_tes!G14=0,"",SER_hh_tes!G14/SER_hh_fec!G14)</f>
        <v>0.69900311054666631</v>
      </c>
      <c r="H14" s="137">
        <f>IF(SER_hh_tes!H14=0,"",SER_hh_tes!H14/SER_hh_fec!H14)</f>
        <v>0.70814886107288244</v>
      </c>
      <c r="I14" s="137">
        <f>IF(SER_hh_tes!I14=0,"",SER_hh_tes!I14/SER_hh_fec!I14)</f>
        <v>0.71571019842924766</v>
      </c>
      <c r="J14" s="137">
        <f>IF(SER_hh_tes!J14=0,"",SER_hh_tes!J14/SER_hh_fec!J14)</f>
        <v>0.72286559028841435</v>
      </c>
      <c r="K14" s="137">
        <f>IF(SER_hh_tes!K14=0,"",SER_hh_tes!K14/SER_hh_fec!K14)</f>
        <v>0.72924174022364807</v>
      </c>
      <c r="L14" s="137">
        <f>IF(SER_hh_tes!L14=0,"",SER_hh_tes!L14/SER_hh_fec!L14)</f>
        <v>0.73752252032745025</v>
      </c>
      <c r="M14" s="137">
        <f>IF(SER_hh_tes!M14=0,"",SER_hh_tes!M14/SER_hh_fec!M14)</f>
        <v>0.74521637360981674</v>
      </c>
      <c r="N14" s="137">
        <f>IF(SER_hh_tes!N14=0,"",SER_hh_tes!N14/SER_hh_fec!N14)</f>
        <v>0.75263626106409809</v>
      </c>
      <c r="O14" s="137">
        <f>IF(SER_hh_tes!O14=0,"",SER_hh_tes!O14/SER_hh_fec!O14)</f>
        <v>0.75829286703786258</v>
      </c>
      <c r="P14" s="137">
        <f>IF(SER_hh_tes!P14=0,"",SER_hh_tes!P14/SER_hh_fec!P14)</f>
        <v>0.7593023869161506</v>
      </c>
      <c r="Q14" s="137">
        <f>IF(SER_hh_tes!Q14=0,"",SER_hh_tes!Q14/SER_hh_fec!Q14)</f>
        <v>0.76029803161117138</v>
      </c>
      <c r="R14" s="137">
        <f>IF(SER_hh_tes!R14=0,"",SER_hh_tes!R14/SER_hh_fec!R14)</f>
        <v>0.76320163847597955</v>
      </c>
      <c r="S14" s="137">
        <f>IF(SER_hh_tes!S14=0,"",SER_hh_tes!S14/SER_hh_fec!S14)</f>
        <v>0.76818456842879757</v>
      </c>
      <c r="T14" s="137">
        <f>IF(SER_hh_tes!T14=0,"",SER_hh_tes!T14/SER_hh_fec!T14)</f>
        <v>0.77761583586260163</v>
      </c>
      <c r="U14" s="137">
        <f>IF(SER_hh_tes!U14=0,"",SER_hh_tes!U14/SER_hh_fec!U14)</f>
        <v>0.78743783311321602</v>
      </c>
      <c r="V14" s="137">
        <f>IF(SER_hh_tes!V14=0,"",SER_hh_tes!V14/SER_hh_fec!V14)</f>
        <v>0.79924561676267714</v>
      </c>
      <c r="W14" s="137">
        <f>IF(SER_hh_tes!W14=0,"",SER_hh_tes!W14/SER_hh_fec!W14)</f>
        <v>0.81503851334025768</v>
      </c>
      <c r="X14" s="137">
        <f>IF(SER_hh_tes!X14=0,"",SER_hh_tes!X14/SER_hh_fec!X14)</f>
        <v>0.83134558231174804</v>
      </c>
      <c r="Y14" s="137">
        <f>IF(SER_hh_tes!Y14=0,"",SER_hh_tes!Y14/SER_hh_fec!Y14)</f>
        <v>0.85032126117320805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1.8351123337407618</v>
      </c>
      <c r="C16" s="135">
        <f>IF(SER_hh_tes!C16=0,"",SER_hh_tes!C16/SER_hh_fec!C16)</f>
        <v>1.8881915031557017</v>
      </c>
      <c r="D16" s="135">
        <f>IF(SER_hh_tes!D16=0,"",SER_hh_tes!D16/SER_hh_fec!D16)</f>
        <v>1.9674330381659704</v>
      </c>
      <c r="E16" s="135">
        <f>IF(SER_hh_tes!E16=0,"",SER_hh_tes!E16/SER_hh_fec!E16)</f>
        <v>2.0604357186701465</v>
      </c>
      <c r="F16" s="135">
        <f>IF(SER_hh_tes!F16=0,"",SER_hh_tes!F16/SER_hh_fec!F16)</f>
        <v>2.175266839866894</v>
      </c>
      <c r="G16" s="135">
        <f>IF(SER_hh_tes!G16=0,"",SER_hh_tes!G16/SER_hh_fec!G16)</f>
        <v>2.2983103187361715</v>
      </c>
      <c r="H16" s="135">
        <f>IF(SER_hh_tes!H16=0,"",SER_hh_tes!H16/SER_hh_fec!H16)</f>
        <v>2.4360531928827251</v>
      </c>
      <c r="I16" s="135">
        <f>IF(SER_hh_tes!I16=0,"",SER_hh_tes!I16/SER_hh_fec!I16)</f>
        <v>2.5848485605127602</v>
      </c>
      <c r="J16" s="135">
        <f>IF(SER_hh_tes!J16=0,"",SER_hh_tes!J16/SER_hh_fec!J16)</f>
        <v>2.7281565802324179</v>
      </c>
      <c r="K16" s="135">
        <f>IF(SER_hh_tes!K16=0,"",SER_hh_tes!K16/SER_hh_fec!K16)</f>
        <v>2.7872642987996938</v>
      </c>
      <c r="L16" s="135">
        <f>IF(SER_hh_tes!L16=0,"",SER_hh_tes!L16/SER_hh_fec!L16)</f>
        <v>2.8524924887070884</v>
      </c>
      <c r="M16" s="135">
        <f>IF(SER_hh_tes!M16=0,"",SER_hh_tes!M16/SER_hh_fec!M16)</f>
        <v>2.9393408778749781</v>
      </c>
      <c r="N16" s="135">
        <f>IF(SER_hh_tes!N16=0,"",SER_hh_tes!N16/SER_hh_fec!N16)</f>
        <v>3.0323925066225192</v>
      </c>
      <c r="O16" s="135">
        <f>IF(SER_hh_tes!O16=0,"",SER_hh_tes!O16/SER_hh_fec!O16)</f>
        <v>3.1253313177524213</v>
      </c>
      <c r="P16" s="135">
        <f>IF(SER_hh_tes!P16=0,"",SER_hh_tes!P16/SER_hh_fec!P16)</f>
        <v>3.2362623845358858</v>
      </c>
      <c r="Q16" s="135">
        <f>IF(SER_hh_tes!Q16=0,"",SER_hh_tes!Q16/SER_hh_fec!Q16)</f>
        <v>3.3605754477560805</v>
      </c>
      <c r="R16" s="135">
        <f>IF(SER_hh_tes!R16=0,"",SER_hh_tes!R16/SER_hh_fec!R16)</f>
        <v>3.4741111463581045</v>
      </c>
      <c r="S16" s="135">
        <f>IF(SER_hh_tes!S16=0,"",SER_hh_tes!S16/SER_hh_fec!S16)</f>
        <v>3.5954999905031091</v>
      </c>
      <c r="T16" s="135">
        <f>IF(SER_hh_tes!T16=0,"",SER_hh_tes!T16/SER_hh_fec!T16)</f>
        <v>3.7092116576778467</v>
      </c>
      <c r="U16" s="135">
        <f>IF(SER_hh_tes!U16=0,"",SER_hh_tes!U16/SER_hh_fec!U16)</f>
        <v>3.8061846231015988</v>
      </c>
      <c r="V16" s="135">
        <f>IF(SER_hh_tes!V16=0,"",SER_hh_tes!V16/SER_hh_fec!V16)</f>
        <v>3.8950222335646374</v>
      </c>
      <c r="W16" s="135">
        <f>IF(SER_hh_tes!W16=0,"",SER_hh_tes!W16/SER_hh_fec!W16)</f>
        <v>3.9733891198520568</v>
      </c>
      <c r="X16" s="135">
        <f>IF(SER_hh_tes!X16=0,"",SER_hh_tes!X16/SER_hh_fec!X16)</f>
        <v>4.0294999110771546</v>
      </c>
      <c r="Y16" s="135">
        <f>IF(SER_hh_tes!Y16=0,"",SER_hh_tes!Y16/SER_hh_fec!Y16)</f>
        <v>4.0769415938712141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1.0983958509922394</v>
      </c>
      <c r="C17" s="136">
        <f>IF(SER_hh_tes!C17=0,"",SER_hh_tes!C17/SER_hh_fec!C17)</f>
        <v>1.1122880148865899</v>
      </c>
      <c r="D17" s="136">
        <f>IF(SER_hh_tes!D17=0,"",SER_hh_tes!D17/SER_hh_fec!D17)</f>
        <v>1.1321812170434447</v>
      </c>
      <c r="E17" s="136">
        <f>IF(SER_hh_tes!E17=0,"",SER_hh_tes!E17/SER_hh_fec!E17)</f>
        <v>1.1518220195284128</v>
      </c>
      <c r="F17" s="136">
        <f>IF(SER_hh_tes!F17=0,"",SER_hh_tes!F17/SER_hh_fec!F17)</f>
        <v>1.1763547366237013</v>
      </c>
      <c r="G17" s="136">
        <f>IF(SER_hh_tes!G17=0,"",SER_hh_tes!G17/SER_hh_fec!G17)</f>
        <v>1.1975401674803525</v>
      </c>
      <c r="H17" s="136">
        <f>IF(SER_hh_tes!H17=0,"",SER_hh_tes!H17/SER_hh_fec!H17)</f>
        <v>1.2160322172828106</v>
      </c>
      <c r="I17" s="136">
        <f>IF(SER_hh_tes!I17=0,"",SER_hh_tes!I17/SER_hh_fec!I17)</f>
        <v>1.2380632240595244</v>
      </c>
      <c r="J17" s="136">
        <f>IF(SER_hh_tes!J17=0,"",SER_hh_tes!J17/SER_hh_fec!J17)</f>
        <v>1.2551584165855845</v>
      </c>
      <c r="K17" s="136">
        <f>IF(SER_hh_tes!K17=0,"",SER_hh_tes!K17/SER_hh_fec!K17)</f>
        <v>1.2660450572750168</v>
      </c>
      <c r="L17" s="136">
        <f>IF(SER_hh_tes!L17=0,"",SER_hh_tes!L17/SER_hh_fec!L17)</f>
        <v>1.2759978740007425</v>
      </c>
      <c r="M17" s="136">
        <f>IF(SER_hh_tes!M17=0,"",SER_hh_tes!M17/SER_hh_fec!M17)</f>
        <v>1.2954226051285755</v>
      </c>
      <c r="N17" s="136">
        <f>IF(SER_hh_tes!N17=0,"",SER_hh_tes!N17/SER_hh_fec!N17)</f>
        <v>1.3146759769465228</v>
      </c>
      <c r="O17" s="136">
        <f>IF(SER_hh_tes!O17=0,"",SER_hh_tes!O17/SER_hh_fec!O17)</f>
        <v>1.3397293007457991</v>
      </c>
      <c r="P17" s="136">
        <f>IF(SER_hh_tes!P17=0,"",SER_hh_tes!P17/SER_hh_fec!P17)</f>
        <v>1.3692601418206392</v>
      </c>
      <c r="Q17" s="136">
        <f>IF(SER_hh_tes!Q17=0,"",SER_hh_tes!Q17/SER_hh_fec!Q17)</f>
        <v>1.3899994823224497</v>
      </c>
      <c r="R17" s="136">
        <f>IF(SER_hh_tes!R17=0,"",SER_hh_tes!R17/SER_hh_fec!R17)</f>
        <v>1.419773887696308</v>
      </c>
      <c r="S17" s="136">
        <f>IF(SER_hh_tes!S17=0,"",SER_hh_tes!S17/SER_hh_fec!S17)</f>
        <v>1.4383541941818809</v>
      </c>
      <c r="T17" s="136">
        <f>IF(SER_hh_tes!T17=0,"",SER_hh_tes!T17/SER_hh_fec!T17)</f>
        <v>1.4538305138784076</v>
      </c>
      <c r="U17" s="136">
        <f>IF(SER_hh_tes!U17=0,"",SER_hh_tes!U17/SER_hh_fec!U17)</f>
        <v>1.468259782164786</v>
      </c>
      <c r="V17" s="136">
        <f>IF(SER_hh_tes!V17=0,"",SER_hh_tes!V17/SER_hh_fec!V17)</f>
        <v>1.4834577392090837</v>
      </c>
      <c r="W17" s="136">
        <f>IF(SER_hh_tes!W17=0,"",SER_hh_tes!W17/SER_hh_fec!W17)</f>
        <v>1.498024432455078</v>
      </c>
      <c r="X17" s="136">
        <f>IF(SER_hh_tes!X17=0,"",SER_hh_tes!X17/SER_hh_fec!X17)</f>
        <v>1.5129293624167022</v>
      </c>
      <c r="Y17" s="136">
        <f>IF(SER_hh_tes!Y17=0,"",SER_hh_tes!Y17/SER_hh_fec!Y17)</f>
        <v>1.5320128483086159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1.836736026411145</v>
      </c>
      <c r="C18" s="136">
        <f>IF(SER_hh_tes!C18=0,"",SER_hh_tes!C18/SER_hh_fec!C18)</f>
        <v>1.8900407697402359</v>
      </c>
      <c r="D18" s="136">
        <f>IF(SER_hh_tes!D18=0,"",SER_hh_tes!D18/SER_hh_fec!D18)</f>
        <v>1.9696649142977123</v>
      </c>
      <c r="E18" s="136">
        <f>IF(SER_hh_tes!E18=0,"",SER_hh_tes!E18/SER_hh_fec!E18)</f>
        <v>2.0631203735003036</v>
      </c>
      <c r="F18" s="136">
        <f>IF(SER_hh_tes!F18=0,"",SER_hh_tes!F18/SER_hh_fec!F18)</f>
        <v>2.1787298832094089</v>
      </c>
      <c r="G18" s="136">
        <f>IF(SER_hh_tes!G18=0,"",SER_hh_tes!G18/SER_hh_fec!G18)</f>
        <v>2.302638787269796</v>
      </c>
      <c r="H18" s="136">
        <f>IF(SER_hh_tes!H18=0,"",SER_hh_tes!H18/SER_hh_fec!H18)</f>
        <v>2.4411683982629269</v>
      </c>
      <c r="I18" s="136">
        <f>IF(SER_hh_tes!I18=0,"",SER_hh_tes!I18/SER_hh_fec!I18)</f>
        <v>2.5912160339565031</v>
      </c>
      <c r="J18" s="136">
        <f>IF(SER_hh_tes!J18=0,"",SER_hh_tes!J18/SER_hh_fec!J18)</f>
        <v>2.7355279545652693</v>
      </c>
      <c r="K18" s="136">
        <f>IF(SER_hh_tes!K18=0,"",SER_hh_tes!K18/SER_hh_fec!K18)</f>
        <v>2.7951529296006816</v>
      </c>
      <c r="L18" s="136">
        <f>IF(SER_hh_tes!L18=0,"",SER_hh_tes!L18/SER_hh_fec!L18)</f>
        <v>2.8607118063660404</v>
      </c>
      <c r="M18" s="136">
        <f>IF(SER_hh_tes!M18=0,"",SER_hh_tes!M18/SER_hh_fec!M18)</f>
        <v>2.9489740050911264</v>
      </c>
      <c r="N18" s="136">
        <f>IF(SER_hh_tes!N18=0,"",SER_hh_tes!N18/SER_hh_fec!N18)</f>
        <v>3.0436091181019234</v>
      </c>
      <c r="O18" s="136">
        <f>IF(SER_hh_tes!O18=0,"",SER_hh_tes!O18/SER_hh_fec!O18)</f>
        <v>3.1397273817472757</v>
      </c>
      <c r="P18" s="136">
        <f>IF(SER_hh_tes!P18=0,"",SER_hh_tes!P18/SER_hh_fec!P18)</f>
        <v>3.2563888516580541</v>
      </c>
      <c r="Q18" s="136">
        <f>IF(SER_hh_tes!Q18=0,"",SER_hh_tes!Q18/SER_hh_fec!Q18)</f>
        <v>3.3861906980164371</v>
      </c>
      <c r="R18" s="136">
        <f>IF(SER_hh_tes!R18=0,"",SER_hh_tes!R18/SER_hh_fec!R18)</f>
        <v>3.5143562643995656</v>
      </c>
      <c r="S18" s="136">
        <f>IF(SER_hh_tes!S18=0,"",SER_hh_tes!S18/SER_hh_fec!S18)</f>
        <v>3.6467339487521953</v>
      </c>
      <c r="T18" s="136">
        <f>IF(SER_hh_tes!T18=0,"",SER_hh_tes!T18/SER_hh_fec!T18)</f>
        <v>3.7690170395909739</v>
      </c>
      <c r="U18" s="136">
        <f>IF(SER_hh_tes!U18=0,"",SER_hh_tes!U18/SER_hh_fec!U18)</f>
        <v>3.8724611828554401</v>
      </c>
      <c r="V18" s="136">
        <f>IF(SER_hh_tes!V18=0,"",SER_hh_tes!V18/SER_hh_fec!V18)</f>
        <v>3.9641431295665503</v>
      </c>
      <c r="W18" s="136">
        <f>IF(SER_hh_tes!W18=0,"",SER_hh_tes!W18/SER_hh_fec!W18)</f>
        <v>4.0444598806179739</v>
      </c>
      <c r="X18" s="136">
        <f>IF(SER_hh_tes!X18=0,"",SER_hh_tes!X18/SER_hh_fec!X18)</f>
        <v>4.1074555158300168</v>
      </c>
      <c r="Y18" s="136">
        <f>IF(SER_hh_tes!Y18=0,"",SER_hh_tes!Y18/SER_hh_fec!Y18)</f>
        <v>4.1569333745662851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0.62378094929480943</v>
      </c>
      <c r="C19" s="135">
        <f>IF(SER_hh_tes!C19=0,"",SER_hh_tes!C19/SER_hh_fec!C19)</f>
        <v>0.62154520823816539</v>
      </c>
      <c r="D19" s="135">
        <f>IF(SER_hh_tes!D19=0,"",SER_hh_tes!D19/SER_hh_fec!D19)</f>
        <v>0.62693300396481655</v>
      </c>
      <c r="E19" s="135">
        <f>IF(SER_hh_tes!E19=0,"",SER_hh_tes!E19/SER_hh_fec!E19)</f>
        <v>0.62211222847512604</v>
      </c>
      <c r="F19" s="135">
        <f>IF(SER_hh_tes!F19=0,"",SER_hh_tes!F19/SER_hh_fec!F19)</f>
        <v>0.63417813617537333</v>
      </c>
      <c r="G19" s="135">
        <f>IF(SER_hh_tes!G19=0,"",SER_hh_tes!G19/SER_hh_fec!G19)</f>
        <v>0.64115895964153125</v>
      </c>
      <c r="H19" s="135">
        <f>IF(SER_hh_tes!H19=0,"",SER_hh_tes!H19/SER_hh_fec!H19)</f>
        <v>0.64535484880616178</v>
      </c>
      <c r="I19" s="135">
        <f>IF(SER_hh_tes!I19=0,"",SER_hh_tes!I19/SER_hh_fec!I19)</f>
        <v>0.65155719609364382</v>
      </c>
      <c r="J19" s="135">
        <f>IF(SER_hh_tes!J19=0,"",SER_hh_tes!J19/SER_hh_fec!J19)</f>
        <v>0.65731305921393812</v>
      </c>
      <c r="K19" s="135">
        <f>IF(SER_hh_tes!K19=0,"",SER_hh_tes!K19/SER_hh_fec!K19)</f>
        <v>0.66361438719456856</v>
      </c>
      <c r="L19" s="135">
        <f>IF(SER_hh_tes!L19=0,"",SER_hh_tes!L19/SER_hh_fec!L19)</f>
        <v>0.66658173699621814</v>
      </c>
      <c r="M19" s="135">
        <f>IF(SER_hh_tes!M19=0,"",SER_hh_tes!M19/SER_hh_fec!M19)</f>
        <v>0.67321244842552763</v>
      </c>
      <c r="N19" s="135">
        <f>IF(SER_hh_tes!N19=0,"",SER_hh_tes!N19/SER_hh_fec!N19)</f>
        <v>0.6789626239703066</v>
      </c>
      <c r="O19" s="135">
        <f>IF(SER_hh_tes!O19=0,"",SER_hh_tes!O19/SER_hh_fec!O19)</f>
        <v>0.69099813061562743</v>
      </c>
      <c r="P19" s="135">
        <f>IF(SER_hh_tes!P19=0,"",SER_hh_tes!P19/SER_hh_fec!P19)</f>
        <v>0.69450995576381913</v>
      </c>
      <c r="Q19" s="135">
        <f>IF(SER_hh_tes!Q19=0,"",SER_hh_tes!Q19/SER_hh_fec!Q19)</f>
        <v>0.70078467291708402</v>
      </c>
      <c r="R19" s="135">
        <f>IF(SER_hh_tes!R19=0,"",SER_hh_tes!R19/SER_hh_fec!R19)</f>
        <v>0.70950235972830666</v>
      </c>
      <c r="S19" s="135">
        <f>IF(SER_hh_tes!S19=0,"",SER_hh_tes!S19/SER_hh_fec!S19)</f>
        <v>0.72668077544586418</v>
      </c>
      <c r="T19" s="135">
        <f>IF(SER_hh_tes!T19=0,"",SER_hh_tes!T19/SER_hh_fec!T19)</f>
        <v>0.73812700959571287</v>
      </c>
      <c r="U19" s="135">
        <f>IF(SER_hh_tes!U19=0,"",SER_hh_tes!U19/SER_hh_fec!U19)</f>
        <v>0.75414345694707008</v>
      </c>
      <c r="V19" s="135">
        <f>IF(SER_hh_tes!V19=0,"",SER_hh_tes!V19/SER_hh_fec!V19)</f>
        <v>0.77150017406613791</v>
      </c>
      <c r="W19" s="135">
        <f>IF(SER_hh_tes!W19=0,"",SER_hh_tes!W19/SER_hh_fec!W19)</f>
        <v>0.78174622061930998</v>
      </c>
      <c r="X19" s="135">
        <f>IF(SER_hh_tes!X19=0,"",SER_hh_tes!X19/SER_hh_fec!X19)</f>
        <v>0.8044163098283178</v>
      </c>
      <c r="Y19" s="135">
        <f>IF(SER_hh_tes!Y19=0,"",SER_hh_tes!Y19/SER_hh_fec!Y19)</f>
        <v>0.82163178309747054</v>
      </c>
      <c r="DA19" s="162" t="s">
        <v>242</v>
      </c>
    </row>
    <row r="20" spans="1:105" ht="12" customHeight="1" x14ac:dyDescent="0.25">
      <c r="A20" s="131" t="s">
        <v>29</v>
      </c>
      <c r="B20" s="136">
        <f>IF(SER_hh_tes!B20=0,"",SER_hh_tes!B20/SER_hh_fec!B20)</f>
        <v>0.5459080003289255</v>
      </c>
      <c r="C20" s="136">
        <f>IF(SER_hh_tes!C20=0,"",SER_hh_tes!C20/SER_hh_fec!C20)</f>
        <v>0.56864749147623972</v>
      </c>
      <c r="D20" s="136">
        <f>IF(SER_hh_tes!D20=0,"",SER_hh_tes!D20/SER_hh_fec!D20)</f>
        <v>0.57982780480082996</v>
      </c>
      <c r="E20" s="136">
        <f>IF(SER_hh_tes!E20=0,"",SER_hh_tes!E20/SER_hh_fec!E20)</f>
        <v>0.5870279854435978</v>
      </c>
      <c r="F20" s="136">
        <f>IF(SER_hh_tes!F20=0,"",SER_hh_tes!F20/SER_hh_fec!F20)</f>
        <v>0.59024140516900281</v>
      </c>
      <c r="G20" s="136">
        <f>IF(SER_hh_tes!G20=0,"",SER_hh_tes!G20/SER_hh_fec!G20)</f>
        <v>0.5931598436865273</v>
      </c>
      <c r="H20" s="136">
        <f>IF(SER_hh_tes!H20=0,"",SER_hh_tes!H20/SER_hh_fec!H20)</f>
        <v>0.59616460902935142</v>
      </c>
      <c r="I20" s="136">
        <f>IF(SER_hh_tes!I20=0,"",SER_hh_tes!I20/SER_hh_fec!I20)</f>
        <v>0.60397367390369172</v>
      </c>
      <c r="J20" s="136">
        <f>IF(SER_hh_tes!J20=0,"",SER_hh_tes!J20/SER_hh_fec!J20)</f>
        <v>0.61258099204806737</v>
      </c>
      <c r="K20" s="136">
        <f>IF(SER_hh_tes!K20=0,"",SER_hh_tes!K20/SER_hh_fec!K20)</f>
        <v>0.6225554390560355</v>
      </c>
      <c r="L20" s="136">
        <f>IF(SER_hh_tes!L20=0,"",SER_hh_tes!L20/SER_hh_fec!L20)</f>
        <v>0.63269552424316333</v>
      </c>
      <c r="M20" s="136">
        <f>IF(SER_hh_tes!M20=0,"",SER_hh_tes!M20/SER_hh_fec!M20)</f>
        <v>0.64267398771048934</v>
      </c>
      <c r="N20" s="136">
        <f>IF(SER_hh_tes!N20=0,"",SER_hh_tes!N20/SER_hh_fec!N20)</f>
        <v>0.65297648580607537</v>
      </c>
      <c r="O20" s="136">
        <f>IF(SER_hh_tes!O20=0,"",SER_hh_tes!O20/SER_hh_fec!O20)</f>
        <v>0.66241282638289067</v>
      </c>
      <c r="P20" s="136">
        <f>IF(SER_hh_tes!P20=0,"",SER_hh_tes!P20/SER_hh_fec!P20)</f>
        <v>0.66710044899707854</v>
      </c>
      <c r="Q20" s="136">
        <f>IF(SER_hh_tes!Q20=0,"",SER_hh_tes!Q20/SER_hh_fec!Q20)</f>
        <v>0.67238077506417748</v>
      </c>
      <c r="R20" s="136">
        <f>IF(SER_hh_tes!R20=0,"",SER_hh_tes!R20/SER_hh_fec!R20)</f>
        <v>0.67836573985398396</v>
      </c>
      <c r="S20" s="136">
        <f>IF(SER_hh_tes!S20=0,"",SER_hh_tes!S20/SER_hh_fec!S20)</f>
        <v>0.68343131278329672</v>
      </c>
      <c r="T20" s="136">
        <f>IF(SER_hh_tes!T20=0,"",SER_hh_tes!T20/SER_hh_fec!T20)</f>
        <v>0.68664720891783659</v>
      </c>
      <c r="U20" s="136">
        <f>IF(SER_hh_tes!U20=0,"",SER_hh_tes!U20/SER_hh_fec!U20)</f>
        <v>0.68822245894412415</v>
      </c>
      <c r="V20" s="136">
        <f>IF(SER_hh_tes!V20=0,"",SER_hh_tes!V20/SER_hh_fec!V20)</f>
        <v>0.68936549361129573</v>
      </c>
      <c r="W20" s="136">
        <f>IF(SER_hh_tes!W20=0,"",SER_hh_tes!W20/SER_hh_fec!W20)</f>
        <v>0.69049274663449478</v>
      </c>
      <c r="X20" s="136">
        <f>IF(SER_hh_tes!X20=0,"",SER_hh_tes!X20/SER_hh_fec!X20)</f>
        <v>0.69146387102363427</v>
      </c>
      <c r="Y20" s="136">
        <f>IF(SER_hh_tes!Y20=0,"",SER_hh_tes!Y20/SER_hh_fec!Y20)</f>
        <v>0.69313231813343124</v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0.54396067911405099</v>
      </c>
      <c r="C21" s="136">
        <f>IF(SER_hh_tes!C21=0,"",SER_hh_tes!C21/SER_hh_fec!C21)</f>
        <v>0.54558480040382307</v>
      </c>
      <c r="D21" s="136">
        <f>IF(SER_hh_tes!D21=0,"",SER_hh_tes!D21/SER_hh_fec!D21)</f>
        <v>0.54779630025142645</v>
      </c>
      <c r="E21" s="136">
        <f>IF(SER_hh_tes!E21=0,"",SER_hh_tes!E21/SER_hh_fec!E21)</f>
        <v>0.55015467986054756</v>
      </c>
      <c r="F21" s="136">
        <f>IF(SER_hh_tes!F21=0,"",SER_hh_tes!F21/SER_hh_fec!F21)</f>
        <v>0.55186261160164607</v>
      </c>
      <c r="G21" s="136">
        <f>IF(SER_hh_tes!G21=0,"",SER_hh_tes!G21/SER_hh_fec!G21)</f>
        <v>0.55252711342330596</v>
      </c>
      <c r="H21" s="136">
        <f>IF(SER_hh_tes!H21=0,"",SER_hh_tes!H21/SER_hh_fec!H21)</f>
        <v>0.55348016411358969</v>
      </c>
      <c r="I21" s="136">
        <f>IF(SER_hh_tes!I21=0,"",SER_hh_tes!I21/SER_hh_fec!I21)</f>
        <v>0.55437207210973194</v>
      </c>
      <c r="J21" s="136">
        <f>IF(SER_hh_tes!J21=0,"",SER_hh_tes!J21/SER_hh_fec!J21)</f>
        <v>0.55578200253619825</v>
      </c>
      <c r="K21" s="136">
        <f>IF(SER_hh_tes!K21=0,"",SER_hh_tes!K21/SER_hh_fec!K21)</f>
        <v>0.55833280554905973</v>
      </c>
      <c r="L21" s="136">
        <f>IF(SER_hh_tes!L21=0,"",SER_hh_tes!L21/SER_hh_fec!L21)</f>
        <v>0.56466178679248979</v>
      </c>
      <c r="M21" s="136">
        <f>IF(SER_hh_tes!M21=0,"",SER_hh_tes!M21/SER_hh_fec!M21)</f>
        <v>0.57321364735639291</v>
      </c>
      <c r="N21" s="136">
        <f>IF(SER_hh_tes!N21=0,"",SER_hh_tes!N21/SER_hh_fec!N21)</f>
        <v>0.58523751997544671</v>
      </c>
      <c r="O21" s="136">
        <f>IF(SER_hh_tes!O21=0,"",SER_hh_tes!O21/SER_hh_fec!O21)</f>
        <v>0.59473547221804279</v>
      </c>
      <c r="P21" s="136">
        <f>IF(SER_hh_tes!P21=0,"",SER_hh_tes!P21/SER_hh_fec!P21)</f>
        <v>0.5968876177052268</v>
      </c>
      <c r="Q21" s="136">
        <f>IF(SER_hh_tes!Q21=0,"",SER_hh_tes!Q21/SER_hh_fec!Q21)</f>
        <v>0.60036111961384042</v>
      </c>
      <c r="R21" s="136">
        <f>IF(SER_hh_tes!R21=0,"",SER_hh_tes!R21/SER_hh_fec!R21)</f>
        <v>0.61707369846684301</v>
      </c>
      <c r="S21" s="136">
        <f>IF(SER_hh_tes!S21=0,"",SER_hh_tes!S21/SER_hh_fec!S21)</f>
        <v>0.63955068900612566</v>
      </c>
      <c r="T21" s="136">
        <f>IF(SER_hh_tes!T21=0,"",SER_hh_tes!T21/SER_hh_fec!T21)</f>
        <v>0.65802485499513563</v>
      </c>
      <c r="U21" s="136">
        <f>IF(SER_hh_tes!U21=0,"",SER_hh_tes!U21/SER_hh_fec!U21)</f>
        <v>0.67158264406186219</v>
      </c>
      <c r="V21" s="136">
        <f>IF(SER_hh_tes!V21=0,"",SER_hh_tes!V21/SER_hh_fec!V21)</f>
        <v>0.67669992957096248</v>
      </c>
      <c r="W21" s="136">
        <f>IF(SER_hh_tes!W21=0,"",SER_hh_tes!W21/SER_hh_fec!W21)</f>
        <v>0.67738875396387332</v>
      </c>
      <c r="X21" s="136">
        <f>IF(SER_hh_tes!X21=0,"",SER_hh_tes!X21/SER_hh_fec!X21)</f>
        <v>0.67811386022958819</v>
      </c>
      <c r="Y21" s="136">
        <f>IF(SER_hh_tes!Y21=0,"",SER_hh_tes!Y21/SER_hh_fec!Y21)</f>
        <v>0.67890772072425842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0.51262245485154667</v>
      </c>
      <c r="C22" s="136">
        <f>IF(SER_hh_tes!C22=0,"",SER_hh_tes!C22/SER_hh_fec!C22)</f>
        <v>0.51350277791434984</v>
      </c>
      <c r="D22" s="136">
        <f>IF(SER_hh_tes!D22=0,"",SER_hh_tes!D22/SER_hh_fec!D22)</f>
        <v>0.514969247364646</v>
      </c>
      <c r="E22" s="136">
        <f>IF(SER_hh_tes!E22=0,"",SER_hh_tes!E22/SER_hh_fec!E22)</f>
        <v>0.51673574075664019</v>
      </c>
      <c r="F22" s="136">
        <f>IF(SER_hh_tes!F22=0,"",SER_hh_tes!F22/SER_hh_fec!F22)</f>
        <v>0.51894787071773496</v>
      </c>
      <c r="G22" s="136">
        <f>IF(SER_hh_tes!G22=0,"",SER_hh_tes!G22/SER_hh_fec!G22)</f>
        <v>0.52158587222985031</v>
      </c>
      <c r="H22" s="136">
        <f>IF(SER_hh_tes!H22=0,"",SER_hh_tes!H22/SER_hh_fec!H22)</f>
        <v>0.52505853079918485</v>
      </c>
      <c r="I22" s="136">
        <f>IF(SER_hh_tes!I22=0,"",SER_hh_tes!I22/SER_hh_fec!I22)</f>
        <v>0.52904888010148376</v>
      </c>
      <c r="J22" s="136">
        <f>IF(SER_hh_tes!J22=0,"",SER_hh_tes!J22/SER_hh_fec!J22)</f>
        <v>0.53350869215741337</v>
      </c>
      <c r="K22" s="136">
        <f>IF(SER_hh_tes!K22=0,"",SER_hh_tes!K22/SER_hh_fec!K22)</f>
        <v>0.53818744613702485</v>
      </c>
      <c r="L22" s="136">
        <f>IF(SER_hh_tes!L22=0,"",SER_hh_tes!L22/SER_hh_fec!L22)</f>
        <v>0.54331762274216466</v>
      </c>
      <c r="M22" s="136">
        <f>IF(SER_hh_tes!M22=0,"",SER_hh_tes!M22/SER_hh_fec!M22)</f>
        <v>0.54892162784728205</v>
      </c>
      <c r="N22" s="136">
        <f>IF(SER_hh_tes!N22=0,"",SER_hh_tes!N22/SER_hh_fec!N22)</f>
        <v>0.55605783911446016</v>
      </c>
      <c r="O22" s="136">
        <f>IF(SER_hh_tes!O22=0,"",SER_hh_tes!O22/SER_hh_fec!O22)</f>
        <v>0.5642448815413087</v>
      </c>
      <c r="P22" s="136">
        <f>IF(SER_hh_tes!P22=0,"",SER_hh_tes!P22/SER_hh_fec!P22)</f>
        <v>0.56773598494493527</v>
      </c>
      <c r="Q22" s="136">
        <f>IF(SER_hh_tes!Q22=0,"",SER_hh_tes!Q22/SER_hh_fec!Q22)</f>
        <v>0.57454596591146534</v>
      </c>
      <c r="R22" s="136">
        <f>IF(SER_hh_tes!R22=0,"",SER_hh_tes!R22/SER_hh_fec!R22)</f>
        <v>0.58388417875376109</v>
      </c>
      <c r="S22" s="136">
        <f>IF(SER_hh_tes!S22=0,"",SER_hh_tes!S22/SER_hh_fec!S22)</f>
        <v>0.59691307033962437</v>
      </c>
      <c r="T22" s="136">
        <f>IF(SER_hh_tes!T22=0,"",SER_hh_tes!T22/SER_hh_fec!T22)</f>
        <v>0.60890924172781602</v>
      </c>
      <c r="U22" s="136">
        <f>IF(SER_hh_tes!U22=0,"",SER_hh_tes!U22/SER_hh_fec!U22)</f>
        <v>0.62459354543262557</v>
      </c>
      <c r="V22" s="136">
        <f>IF(SER_hh_tes!V22=0,"",SER_hh_tes!V22/SER_hh_fec!V22)</f>
        <v>0.64342551841218443</v>
      </c>
      <c r="W22" s="136">
        <f>IF(SER_hh_tes!W22=0,"",SER_hh_tes!W22/SER_hh_fec!W22)</f>
        <v>0.66410435343120211</v>
      </c>
      <c r="X22" s="136">
        <f>IF(SER_hh_tes!X22=0,"",SER_hh_tes!X22/SER_hh_fec!X22)</f>
        <v>0.68535711642751063</v>
      </c>
      <c r="Y22" s="136">
        <f>IF(SER_hh_tes!Y22=0,"",SER_hh_tes!Y22/SER_hh_fec!Y22)</f>
        <v>0.70641381285693139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0.52413972994484981</v>
      </c>
      <c r="C23" s="136">
        <f>IF(SER_hh_tes!C23=0,"",SER_hh_tes!C23/SER_hh_fec!C23)</f>
        <v>0.53274263525500631</v>
      </c>
      <c r="D23" s="136">
        <f>IF(SER_hh_tes!D23=0,"",SER_hh_tes!D23/SER_hh_fec!D23)</f>
        <v>0.54343836781940791</v>
      </c>
      <c r="E23" s="136">
        <f>IF(SER_hh_tes!E23=0,"",SER_hh_tes!E23/SER_hh_fec!E23)</f>
        <v>0.55298445163061749</v>
      </c>
      <c r="F23" s="136">
        <f>IF(SER_hh_tes!F23=0,"",SER_hh_tes!F23/SER_hh_fec!F23)</f>
        <v>0.55958297845402372</v>
      </c>
      <c r="G23" s="136">
        <f>IF(SER_hh_tes!G23=0,"",SER_hh_tes!G23/SER_hh_fec!G23)</f>
        <v>0.56571364441579419</v>
      </c>
      <c r="H23" s="136">
        <f>IF(SER_hh_tes!H23=0,"",SER_hh_tes!H23/SER_hh_fec!H23)</f>
        <v>0.57113948577388973</v>
      </c>
      <c r="I23" s="136">
        <f>IF(SER_hh_tes!I23=0,"",SER_hh_tes!I23/SER_hh_fec!I23)</f>
        <v>0.57705360648170545</v>
      </c>
      <c r="J23" s="136">
        <f>IF(SER_hh_tes!J23=0,"",SER_hh_tes!J23/SER_hh_fec!J23)</f>
        <v>0.58384351481647467</v>
      </c>
      <c r="K23" s="136">
        <f>IF(SER_hh_tes!K23=0,"",SER_hh_tes!K23/SER_hh_fec!K23)</f>
        <v>0.59091383310901568</v>
      </c>
      <c r="L23" s="136">
        <f>IF(SER_hh_tes!L23=0,"",SER_hh_tes!L23/SER_hh_fec!L23)</f>
        <v>0.59864604222138551</v>
      </c>
      <c r="M23" s="136">
        <f>IF(SER_hh_tes!M23=0,"",SER_hh_tes!M23/SER_hh_fec!M23)</f>
        <v>0.60595318069318882</v>
      </c>
      <c r="N23" s="136">
        <f>IF(SER_hh_tes!N23=0,"",SER_hh_tes!N23/SER_hh_fec!N23)</f>
        <v>0.61401362386252922</v>
      </c>
      <c r="O23" s="136">
        <f>IF(SER_hh_tes!O23=0,"",SER_hh_tes!O23/SER_hh_fec!O23)</f>
        <v>0.62277510317900298</v>
      </c>
      <c r="P23" s="136">
        <f>IF(SER_hh_tes!P23=0,"",SER_hh_tes!P23/SER_hh_fec!P23)</f>
        <v>0.62938813625184931</v>
      </c>
      <c r="Q23" s="136">
        <f>IF(SER_hh_tes!Q23=0,"",SER_hh_tes!Q23/SER_hh_fec!Q23)</f>
        <v>0.63618258656621229</v>
      </c>
      <c r="R23" s="136">
        <f>IF(SER_hh_tes!R23=0,"",SER_hh_tes!R23/SER_hh_fec!R23)</f>
        <v>0.64243217039739275</v>
      </c>
      <c r="S23" s="136">
        <f>IF(SER_hh_tes!S23=0,"",SER_hh_tes!S23/SER_hh_fec!S23)</f>
        <v>0.6473655146867493</v>
      </c>
      <c r="T23" s="136">
        <f>IF(SER_hh_tes!T23=0,"",SER_hh_tes!T23/SER_hh_fec!T23)</f>
        <v>0.65273865204898884</v>
      </c>
      <c r="U23" s="136">
        <f>IF(SER_hh_tes!U23=0,"",SER_hh_tes!U23/SER_hh_fec!U23)</f>
        <v>0.65862305961934908</v>
      </c>
      <c r="V23" s="136">
        <f>IF(SER_hh_tes!V23=0,"",SER_hh_tes!V23/SER_hh_fec!V23)</f>
        <v>0.67386690435729224</v>
      </c>
      <c r="W23" s="136">
        <f>IF(SER_hh_tes!W23=0,"",SER_hh_tes!W23/SER_hh_fec!W23)</f>
        <v>0.69576979104657943</v>
      </c>
      <c r="X23" s="136">
        <f>IF(SER_hh_tes!X23=0,"",SER_hh_tes!X23/SER_hh_fec!X23)</f>
        <v>0.715887913169023</v>
      </c>
      <c r="Y23" s="136">
        <f>IF(SER_hh_tes!Y23=0,"",SER_hh_tes!Y23/SER_hh_fec!Y23)</f>
        <v>0.73802471100444467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0.44743825432208995</v>
      </c>
      <c r="C24" s="136">
        <f>IF(SER_hh_tes!C24=0,"",SER_hh_tes!C24/SER_hh_fec!C24)</f>
        <v>0.45217152856368992</v>
      </c>
      <c r="D24" s="136">
        <f>IF(SER_hh_tes!D24=0,"",SER_hh_tes!D24/SER_hh_fec!D24)</f>
        <v>0.45800029239770351</v>
      </c>
      <c r="E24" s="136">
        <f>IF(SER_hh_tes!E24=0,"",SER_hh_tes!E24/SER_hh_fec!E24)</f>
        <v>0.46444627048775455</v>
      </c>
      <c r="F24" s="136">
        <f>IF(SER_hh_tes!F24=0,"",SER_hh_tes!F24/SER_hh_fec!F24)</f>
        <v>0.4746066685239354</v>
      </c>
      <c r="G24" s="136">
        <f>IF(SER_hh_tes!G24=0,"",SER_hh_tes!G24/SER_hh_fec!G24)</f>
        <v>0.49132050064972926</v>
      </c>
      <c r="H24" s="136">
        <f>IF(SER_hh_tes!H24=0,"",SER_hh_tes!H24/SER_hh_fec!H24)</f>
        <v>0.51448461933131395</v>
      </c>
      <c r="I24" s="136">
        <f>IF(SER_hh_tes!I24=0,"",SER_hh_tes!I24/SER_hh_fec!I24)</f>
        <v>0.53927627801525591</v>
      </c>
      <c r="J24" s="136">
        <f>IF(SER_hh_tes!J24=0,"",SER_hh_tes!J24/SER_hh_fec!J24)</f>
        <v>0.56120577983913811</v>
      </c>
      <c r="K24" s="136">
        <f>IF(SER_hh_tes!K24=0,"",SER_hh_tes!K24/SER_hh_fec!K24)</f>
        <v>0.58054700601671705</v>
      </c>
      <c r="L24" s="136">
        <f>IF(SER_hh_tes!L24=0,"",SER_hh_tes!L24/SER_hh_fec!L24)</f>
        <v>0.59881237639341001</v>
      </c>
      <c r="M24" s="136">
        <f>IF(SER_hh_tes!M24=0,"",SER_hh_tes!M24/SER_hh_fec!M24)</f>
        <v>0.61729125651830574</v>
      </c>
      <c r="N24" s="136">
        <f>IF(SER_hh_tes!N24=0,"",SER_hh_tes!N24/SER_hh_fec!N24)</f>
        <v>0.63651687672272284</v>
      </c>
      <c r="O24" s="136">
        <f>IF(SER_hh_tes!O24=0,"",SER_hh_tes!O24/SER_hh_fec!O24)</f>
        <v>0.65353585381184465</v>
      </c>
      <c r="P24" s="136">
        <f>IF(SER_hh_tes!P24=0,"",SER_hh_tes!P24/SER_hh_fec!P24)</f>
        <v>0.65862595179257966</v>
      </c>
      <c r="Q24" s="136">
        <f>IF(SER_hh_tes!Q24=0,"",SER_hh_tes!Q24/SER_hh_fec!Q24)</f>
        <v>0.66607212738291188</v>
      </c>
      <c r="R24" s="136">
        <f>IF(SER_hh_tes!R24=0,"",SER_hh_tes!R24/SER_hh_fec!R24)</f>
        <v>0.67500181117984903</v>
      </c>
      <c r="S24" s="136">
        <f>IF(SER_hh_tes!S24=0,"",SER_hh_tes!S24/SER_hh_fec!S24)</f>
        <v>0.6838460492164119</v>
      </c>
      <c r="T24" s="136">
        <f>IF(SER_hh_tes!T24=0,"",SER_hh_tes!T24/SER_hh_fec!T24)</f>
        <v>0.69295700399287541</v>
      </c>
      <c r="U24" s="136">
        <f>IF(SER_hh_tes!U24=0,"",SER_hh_tes!U24/SER_hh_fec!U24)</f>
        <v>0.70642032728867432</v>
      </c>
      <c r="V24" s="136">
        <f>IF(SER_hh_tes!V24=0,"",SER_hh_tes!V24/SER_hh_fec!V24)</f>
        <v>0.7215876229658631</v>
      </c>
      <c r="W24" s="136">
        <f>IF(SER_hh_tes!W24=0,"",SER_hh_tes!W24/SER_hh_fec!W24)</f>
        <v>0.73320807977692115</v>
      </c>
      <c r="X24" s="136">
        <f>IF(SER_hh_tes!X24=0,"",SER_hh_tes!X24/SER_hh_fec!X24)</f>
        <v>0.73909957748920263</v>
      </c>
      <c r="Y24" s="136">
        <f>IF(SER_hh_tes!Y24=0,"",SER_hh_tes!Y24/SER_hh_fec!Y24)</f>
        <v>0.74454245257768281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0.7821465066500507</v>
      </c>
      <c r="C25" s="136">
        <f>IF(SER_hh_tes!C25=0,"",SER_hh_tes!C25/SER_hh_fec!C25)</f>
        <v>0.78470984371806662</v>
      </c>
      <c r="D25" s="136">
        <f>IF(SER_hh_tes!D25=0,"",SER_hh_tes!D25/SER_hh_fec!D25)</f>
        <v>0.78810355863356374</v>
      </c>
      <c r="E25" s="136">
        <f>IF(SER_hh_tes!E25=0,"",SER_hh_tes!E25/SER_hh_fec!E25)</f>
        <v>0.79197407723871471</v>
      </c>
      <c r="F25" s="136">
        <f>IF(SER_hh_tes!F25=0,"",SER_hh_tes!F25/SER_hh_fec!F25)</f>
        <v>0.7961677491090744</v>
      </c>
      <c r="G25" s="136">
        <f>IF(SER_hh_tes!G25=0,"",SER_hh_tes!G25/SER_hh_fec!G25)</f>
        <v>0.79956746183868932</v>
      </c>
      <c r="H25" s="136">
        <f>IF(SER_hh_tes!H25=0,"",SER_hh_tes!H25/SER_hh_fec!H25)</f>
        <v>0.80244417596119733</v>
      </c>
      <c r="I25" s="136">
        <f>IF(SER_hh_tes!I25=0,"",SER_hh_tes!I25/SER_hh_fec!I25)</f>
        <v>0.80503356418617644</v>
      </c>
      <c r="J25" s="136">
        <f>IF(SER_hh_tes!J25=0,"",SER_hh_tes!J25/SER_hh_fec!J25)</f>
        <v>0.80771584185230505</v>
      </c>
      <c r="K25" s="136">
        <f>IF(SER_hh_tes!K25=0,"",SER_hh_tes!K25/SER_hh_fec!K25)</f>
        <v>0.81046969347512265</v>
      </c>
      <c r="L25" s="136">
        <f>IF(SER_hh_tes!L25=0,"",SER_hh_tes!L25/SER_hh_fec!L25)</f>
        <v>0.81330494350381355</v>
      </c>
      <c r="M25" s="136">
        <f>IF(SER_hh_tes!M25=0,"",SER_hh_tes!M25/SER_hh_fec!M25)</f>
        <v>0.81643406419666098</v>
      </c>
      <c r="N25" s="136">
        <f>IF(SER_hh_tes!N25=0,"",SER_hh_tes!N25/SER_hh_fec!N25)</f>
        <v>0.8200997263453097</v>
      </c>
      <c r="O25" s="136">
        <f>IF(SER_hh_tes!O25=0,"",SER_hh_tes!O25/SER_hh_fec!O25)</f>
        <v>0.82390416080544537</v>
      </c>
      <c r="P25" s="136">
        <f>IF(SER_hh_tes!P25=0,"",SER_hh_tes!P25/SER_hh_fec!P25)</f>
        <v>0.82555668997743181</v>
      </c>
      <c r="Q25" s="136">
        <f>IF(SER_hh_tes!Q25=0,"",SER_hh_tes!Q25/SER_hh_fec!Q25)</f>
        <v>0.82898261923456695</v>
      </c>
      <c r="R25" s="136">
        <f>IF(SER_hh_tes!R25=0,"",SER_hh_tes!R25/SER_hh_fec!R25)</f>
        <v>0.83393764468611331</v>
      </c>
      <c r="S25" s="136">
        <f>IF(SER_hh_tes!S25=0,"",SER_hh_tes!S25/SER_hh_fec!S25)</f>
        <v>0.83982370240413162</v>
      </c>
      <c r="T25" s="136">
        <f>IF(SER_hh_tes!T25=0,"",SER_hh_tes!T25/SER_hh_fec!T25)</f>
        <v>0.84560649770191376</v>
      </c>
      <c r="U25" s="136">
        <f>IF(SER_hh_tes!U25=0,"",SER_hh_tes!U25/SER_hh_fec!U25)</f>
        <v>0.8509409977530038</v>
      </c>
      <c r="V25" s="136">
        <f>IF(SER_hh_tes!V25=0,"",SER_hh_tes!V25/SER_hh_fec!V25)</f>
        <v>0.85663530691288903</v>
      </c>
      <c r="W25" s="136">
        <f>IF(SER_hh_tes!W25=0,"",SER_hh_tes!W25/SER_hh_fec!W25)</f>
        <v>0.86161421849887687</v>
      </c>
      <c r="X25" s="136">
        <f>IF(SER_hh_tes!X25=0,"",SER_hh_tes!X25/SER_hh_fec!X25)</f>
        <v>0.86616249802903666</v>
      </c>
      <c r="Y25" s="136">
        <f>IF(SER_hh_tes!Y25=0,"",SER_hh_tes!Y25/SER_hh_fec!Y25)</f>
        <v>0.87027882603870133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0.65045366383146619</v>
      </c>
      <c r="C26" s="137">
        <f>IF(SER_hh_tes!C26=0,"",SER_hh_tes!C26/SER_hh_fec!C26)</f>
        <v>0.65103934117893736</v>
      </c>
      <c r="D26" s="137">
        <f>IF(SER_hh_tes!D26=0,"",SER_hh_tes!D26/SER_hh_fec!D26)</f>
        <v>0.65141811070871869</v>
      </c>
      <c r="E26" s="137">
        <f>IF(SER_hh_tes!E26=0,"",SER_hh_tes!E26/SER_hh_fec!E26)</f>
        <v>0.65251786147661717</v>
      </c>
      <c r="F26" s="137">
        <f>IF(SER_hh_tes!F26=0,"",SER_hh_tes!F26/SER_hh_fec!F26)</f>
        <v>0.65508025947265014</v>
      </c>
      <c r="G26" s="137">
        <f>IF(SER_hh_tes!G26=0,"",SER_hh_tes!G26/SER_hh_fec!G26)</f>
        <v>0.65836403120837406</v>
      </c>
      <c r="H26" s="137">
        <f>IF(SER_hh_tes!H26=0,"",SER_hh_tes!H26/SER_hh_fec!H26)</f>
        <v>0.66294755486361134</v>
      </c>
      <c r="I26" s="137">
        <f>IF(SER_hh_tes!I26=0,"",SER_hh_tes!I26/SER_hh_fec!I26)</f>
        <v>0.6676160864952696</v>
      </c>
      <c r="J26" s="137">
        <f>IF(SER_hh_tes!J26=0,"",SER_hh_tes!J26/SER_hh_fec!J26)</f>
        <v>0.67186254416626567</v>
      </c>
      <c r="K26" s="137">
        <f>IF(SER_hh_tes!K26=0,"",SER_hh_tes!K26/SER_hh_fec!K26)</f>
        <v>0.67599152797665718</v>
      </c>
      <c r="L26" s="137">
        <f>IF(SER_hh_tes!L26=0,"",SER_hh_tes!L26/SER_hh_fec!L26)</f>
        <v>0.6790764055230778</v>
      </c>
      <c r="M26" s="137">
        <f>IF(SER_hh_tes!M26=0,"",SER_hh_tes!M26/SER_hh_fec!M26)</f>
        <v>0.68457423637408887</v>
      </c>
      <c r="N26" s="137">
        <f>IF(SER_hh_tes!N26=0,"",SER_hh_tes!N26/SER_hh_fec!N26)</f>
        <v>0.69150047974389595</v>
      </c>
      <c r="O26" s="137">
        <f>IF(SER_hh_tes!O26=0,"",SER_hh_tes!O26/SER_hh_fec!O26)</f>
        <v>0.69906377072201231</v>
      </c>
      <c r="P26" s="137">
        <f>IF(SER_hh_tes!P26=0,"",SER_hh_tes!P26/SER_hh_fec!P26)</f>
        <v>0.70460070666435837</v>
      </c>
      <c r="Q26" s="137">
        <f>IF(SER_hh_tes!Q26=0,"",SER_hh_tes!Q26/SER_hh_fec!Q26)</f>
        <v>0.71066564971989921</v>
      </c>
      <c r="R26" s="137">
        <f>IF(SER_hh_tes!R26=0,"",SER_hh_tes!R26/SER_hh_fec!R26)</f>
        <v>0.7191052169393215</v>
      </c>
      <c r="S26" s="137">
        <f>IF(SER_hh_tes!S26=0,"",SER_hh_tes!S26/SER_hh_fec!S26)</f>
        <v>0.73324154967385857</v>
      </c>
      <c r="T26" s="137">
        <f>IF(SER_hh_tes!T26=0,"",SER_hh_tes!T26/SER_hh_fec!T26)</f>
        <v>0.74916205429638039</v>
      </c>
      <c r="U26" s="137">
        <f>IF(SER_hh_tes!U26=0,"",SER_hh_tes!U26/SER_hh_fec!U26)</f>
        <v>0.76647995936870872</v>
      </c>
      <c r="V26" s="137">
        <f>IF(SER_hh_tes!V26=0,"",SER_hh_tes!V26/SER_hh_fec!V26)</f>
        <v>0.784540368866399</v>
      </c>
      <c r="W26" s="137">
        <f>IF(SER_hh_tes!W26=0,"",SER_hh_tes!W26/SER_hh_fec!W26)</f>
        <v>0.80350399782884196</v>
      </c>
      <c r="X26" s="137">
        <f>IF(SER_hh_tes!X26=0,"",SER_hh_tes!X26/SER_hh_fec!X26)</f>
        <v>0.8239016028634224</v>
      </c>
      <c r="Y26" s="137">
        <f>IF(SER_hh_tes!Y26=0,"",SER_hh_tes!Y26/SER_hh_fec!Y26)</f>
        <v>0.8423037980661523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0.72538656221254372</v>
      </c>
      <c r="C29" s="135">
        <f>IF(SER_hh_tes!C29=0,"",SER_hh_tes!C29/SER_hh_fec!C29)</f>
        <v>0.72074524683924579</v>
      </c>
      <c r="D29" s="135">
        <f>IF(SER_hh_tes!D29=0,"",SER_hh_tes!D29/SER_hh_fec!D29)</f>
        <v>0.72101339603206327</v>
      </c>
      <c r="E29" s="135">
        <f>IF(SER_hh_tes!E29=0,"",SER_hh_tes!E29/SER_hh_fec!E29)</f>
        <v>0.71762640571712377</v>
      </c>
      <c r="F29" s="135">
        <f>IF(SER_hh_tes!F29=0,"",SER_hh_tes!F29/SER_hh_fec!F29)</f>
        <v>0.71931139076297324</v>
      </c>
      <c r="G29" s="135">
        <f>IF(SER_hh_tes!G29=0,"",SER_hh_tes!G29/SER_hh_fec!G29)</f>
        <v>0.71819396175201244</v>
      </c>
      <c r="H29" s="135">
        <f>IF(SER_hh_tes!H29=0,"",SER_hh_tes!H29/SER_hh_fec!H29)</f>
        <v>0.71831596214681515</v>
      </c>
      <c r="I29" s="135">
        <f>IF(SER_hh_tes!I29=0,"",SER_hh_tes!I29/SER_hh_fec!I29)</f>
        <v>0.72232057415775408</v>
      </c>
      <c r="J29" s="135">
        <f>IF(SER_hh_tes!J29=0,"",SER_hh_tes!J29/SER_hh_fec!J29)</f>
        <v>0.7276404149524901</v>
      </c>
      <c r="K29" s="135">
        <f>IF(SER_hh_tes!K29=0,"",SER_hh_tes!K29/SER_hh_fec!K29)</f>
        <v>0.73166124509336217</v>
      </c>
      <c r="L29" s="135">
        <f>IF(SER_hh_tes!L29=0,"",SER_hh_tes!L29/SER_hh_fec!L29)</f>
        <v>0.73502803881369272</v>
      </c>
      <c r="M29" s="135">
        <f>IF(SER_hh_tes!M29=0,"",SER_hh_tes!M29/SER_hh_fec!M29)</f>
        <v>0.73063740926756038</v>
      </c>
      <c r="N29" s="135">
        <f>IF(SER_hh_tes!N29=0,"",SER_hh_tes!N29/SER_hh_fec!N29)</f>
        <v>0.72670745981457296</v>
      </c>
      <c r="O29" s="135">
        <f>IF(SER_hh_tes!O29=0,"",SER_hh_tes!O29/SER_hh_fec!O29)</f>
        <v>0.72679607086194664</v>
      </c>
      <c r="P29" s="135">
        <f>IF(SER_hh_tes!P29=0,"",SER_hh_tes!P29/SER_hh_fec!P29)</f>
        <v>0.7306376035112232</v>
      </c>
      <c r="Q29" s="135">
        <f>IF(SER_hh_tes!Q29=0,"",SER_hh_tes!Q29/SER_hh_fec!Q29)</f>
        <v>0.73091907944803125</v>
      </c>
      <c r="R29" s="135">
        <f>IF(SER_hh_tes!R29=0,"",SER_hh_tes!R29/SER_hh_fec!R29)</f>
        <v>0.73643499340199925</v>
      </c>
      <c r="S29" s="135">
        <f>IF(SER_hh_tes!S29=0,"",SER_hh_tes!S29/SER_hh_fec!S29)</f>
        <v>0.74330187302750828</v>
      </c>
      <c r="T29" s="135">
        <f>IF(SER_hh_tes!T29=0,"",SER_hh_tes!T29/SER_hh_fec!T29)</f>
        <v>0.7523420902205421</v>
      </c>
      <c r="U29" s="135">
        <f>IF(SER_hh_tes!U29=0,"",SER_hh_tes!U29/SER_hh_fec!U29)</f>
        <v>0.75670576757134345</v>
      </c>
      <c r="V29" s="135">
        <f>IF(SER_hh_tes!V29=0,"",SER_hh_tes!V29/SER_hh_fec!V29)</f>
        <v>0.77261499532343214</v>
      </c>
      <c r="W29" s="135">
        <f>IF(SER_hh_tes!W29=0,"",SER_hh_tes!W29/SER_hh_fec!W29)</f>
        <v>0.76249658079992588</v>
      </c>
      <c r="X29" s="135">
        <f>IF(SER_hh_tes!X29=0,"",SER_hh_tes!X29/SER_hh_fec!X29)</f>
        <v>0.77148517962895535</v>
      </c>
      <c r="Y29" s="135">
        <f>IF(SER_hh_tes!Y29=0,"",SER_hh_tes!Y29/SER_hh_fec!Y29)</f>
        <v>0.77786754249378742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0.57893697098753327</v>
      </c>
      <c r="C30" s="136">
        <f>IF(SER_hh_tes!C30=0,"",SER_hh_tes!C30/SER_hh_fec!C30)</f>
        <v>0.5820023458437068</v>
      </c>
      <c r="D30" s="136">
        <f>IF(SER_hh_tes!D30=0,"",SER_hh_tes!D30/SER_hh_fec!D30)</f>
        <v>0.58358245993189972</v>
      </c>
      <c r="E30" s="136">
        <f>IF(SER_hh_tes!E30=0,"",SER_hh_tes!E30/SER_hh_fec!E30)</f>
        <v>0.58452741513523254</v>
      </c>
      <c r="F30" s="136">
        <f>IF(SER_hh_tes!F30=0,"",SER_hh_tes!F30/SER_hh_fec!F30)</f>
        <v>0.58501758230962542</v>
      </c>
      <c r="G30" s="136">
        <f>IF(SER_hh_tes!G30=0,"",SER_hh_tes!G30/SER_hh_fec!G30)</f>
        <v>0.58542125637796871</v>
      </c>
      <c r="H30" s="136">
        <f>IF(SER_hh_tes!H30=0,"",SER_hh_tes!H30/SER_hh_fec!H30)</f>
        <v>0.5857516529599216</v>
      </c>
      <c r="I30" s="136">
        <f>IF(SER_hh_tes!I30=0,"",SER_hh_tes!I30/SER_hh_fec!I30)</f>
        <v>0.58594283142375103</v>
      </c>
      <c r="J30" s="136">
        <f>IF(SER_hh_tes!J30=0,"",SER_hh_tes!J30/SER_hh_fec!J30)</f>
        <v>0.58610672307425071</v>
      </c>
      <c r="K30" s="136">
        <f>IF(SER_hh_tes!K30=0,"",SER_hh_tes!K30/SER_hh_fec!K30)</f>
        <v>0.58627863348795284</v>
      </c>
      <c r="L30" s="136">
        <f>IF(SER_hh_tes!L30=0,"",SER_hh_tes!L30/SER_hh_fec!L30)</f>
        <v>0.58639472479673971</v>
      </c>
      <c r="M30" s="136">
        <f>IF(SER_hh_tes!M30=0,"",SER_hh_tes!M30/SER_hh_fec!M30)</f>
        <v>0.58641437376340755</v>
      </c>
      <c r="N30" s="136">
        <f>IF(SER_hh_tes!N30=0,"",SER_hh_tes!N30/SER_hh_fec!N30)</f>
        <v>0.58674625444331308</v>
      </c>
      <c r="O30" s="136">
        <f>IF(SER_hh_tes!O30=0,"",SER_hh_tes!O30/SER_hh_fec!O30)</f>
        <v>0.58781854970772729</v>
      </c>
      <c r="P30" s="136">
        <f>IF(SER_hh_tes!P30=0,"",SER_hh_tes!P30/SER_hh_fec!P30)</f>
        <v>0.58888741733991878</v>
      </c>
      <c r="Q30" s="136">
        <f>IF(SER_hh_tes!Q30=0,"",SER_hh_tes!Q30/SER_hh_fec!Q30)</f>
        <v>0.59015217933891018</v>
      </c>
      <c r="R30" s="136">
        <f>IF(SER_hh_tes!R30=0,"",SER_hh_tes!R30/SER_hh_fec!R30)</f>
        <v>0.5916253145053717</v>
      </c>
      <c r="S30" s="136">
        <f>IF(SER_hh_tes!S30=0,"",SER_hh_tes!S30/SER_hh_fec!S30)</f>
        <v>0.59339884126547371</v>
      </c>
      <c r="T30" s="136">
        <f>IF(SER_hh_tes!T30=0,"",SER_hh_tes!T30/SER_hh_fec!T30)</f>
        <v>0.59451065006886294</v>
      </c>
      <c r="U30" s="136">
        <f>IF(SER_hh_tes!U30=0,"",SER_hh_tes!U30/SER_hh_fec!U30)</f>
        <v>0.59526002977892511</v>
      </c>
      <c r="V30" s="136">
        <f>IF(SER_hh_tes!V30=0,"",SER_hh_tes!V30/SER_hh_fec!V30)</f>
        <v>0.59541152475523351</v>
      </c>
      <c r="W30" s="136">
        <f>IF(SER_hh_tes!W30=0,"",SER_hh_tes!W30/SER_hh_fec!W30)</f>
        <v>0.5956139366539116</v>
      </c>
      <c r="X30" s="136">
        <f>IF(SER_hh_tes!X30=0,"",SER_hh_tes!X30/SER_hh_fec!X30)</f>
        <v>0.59585536091375868</v>
      </c>
      <c r="Y30" s="136">
        <f>IF(SER_hh_tes!Y30=0,"",SER_hh_tes!Y30/SER_hh_fec!Y30)</f>
        <v>0.59614723510188761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0.58609666960302287</v>
      </c>
      <c r="C31" s="136">
        <f>IF(SER_hh_tes!C31=0,"",SER_hh_tes!C31/SER_hh_fec!C31)</f>
        <v>0.58688470054349029</v>
      </c>
      <c r="D31" s="136">
        <f>IF(SER_hh_tes!D31=0,"",SER_hh_tes!D31/SER_hh_fec!D31)</f>
        <v>0.58772492625871142</v>
      </c>
      <c r="E31" s="136">
        <f>IF(SER_hh_tes!E31=0,"",SER_hh_tes!E31/SER_hh_fec!E31)</f>
        <v>0.58864563811088511</v>
      </c>
      <c r="F31" s="136">
        <f>IF(SER_hh_tes!F31=0,"",SER_hh_tes!F31/SER_hh_fec!F31)</f>
        <v>0.58963242458153164</v>
      </c>
      <c r="G31" s="136">
        <f>IF(SER_hh_tes!G31=0,"",SER_hh_tes!G31/SER_hh_fec!G31)</f>
        <v>0.59068622534003556</v>
      </c>
      <c r="H31" s="136">
        <f>IF(SER_hh_tes!H31=0,"",SER_hh_tes!H31/SER_hh_fec!H31)</f>
        <v>0.59169671459650341</v>
      </c>
      <c r="I31" s="136">
        <f>IF(SER_hh_tes!I31=0,"",SER_hh_tes!I31/SER_hh_fec!I31)</f>
        <v>0.59268081210871704</v>
      </c>
      <c r="J31" s="136">
        <f>IF(SER_hh_tes!J31=0,"",SER_hh_tes!J31/SER_hh_fec!J31)</f>
        <v>0.59369393034868867</v>
      </c>
      <c r="K31" s="136">
        <f>IF(SER_hh_tes!K31=0,"",SER_hh_tes!K31/SER_hh_fec!K31)</f>
        <v>0.59482755993869474</v>
      </c>
      <c r="L31" s="136">
        <f>IF(SER_hh_tes!L31=0,"",SER_hh_tes!L31/SER_hh_fec!L31)</f>
        <v>0.59568992961013423</v>
      </c>
      <c r="M31" s="136">
        <f>IF(SER_hh_tes!M31=0,"",SER_hh_tes!M31/SER_hh_fec!M31)</f>
        <v>0.59614834313175935</v>
      </c>
      <c r="N31" s="136">
        <f>IF(SER_hh_tes!N31=0,"",SER_hh_tes!N31/SER_hh_fec!N31)</f>
        <v>0.59662876115498742</v>
      </c>
      <c r="O31" s="136">
        <f>IF(SER_hh_tes!O31=0,"",SER_hh_tes!O31/SER_hh_fec!O31)</f>
        <v>0.59709763339317201</v>
      </c>
      <c r="P31" s="136">
        <f>IF(SER_hh_tes!P31=0,"",SER_hh_tes!P31/SER_hh_fec!P31)</f>
        <v>0.59750134048935233</v>
      </c>
      <c r="Q31" s="136">
        <f>IF(SER_hh_tes!Q31=0,"",SER_hh_tes!Q31/SER_hh_fec!Q31)</f>
        <v>0.59800279444454352</v>
      </c>
      <c r="R31" s="136">
        <f>IF(SER_hh_tes!R31=0,"",SER_hh_tes!R31/SER_hh_fec!R31)</f>
        <v>0.59875108695295154</v>
      </c>
      <c r="S31" s="136">
        <f>IF(SER_hh_tes!S31=0,"",SER_hh_tes!S31/SER_hh_fec!S31)</f>
        <v>0.59999592189017659</v>
      </c>
      <c r="T31" s="136">
        <f>IF(SER_hh_tes!T31=0,"",SER_hh_tes!T31/SER_hh_fec!T31)</f>
        <v>0.60171032588529771</v>
      </c>
      <c r="U31" s="136">
        <f>IF(SER_hh_tes!U31=0,"",SER_hh_tes!U31/SER_hh_fec!U31)</f>
        <v>0.60495360392951125</v>
      </c>
      <c r="V31" s="136">
        <f>IF(SER_hh_tes!V31=0,"",SER_hh_tes!V31/SER_hh_fec!V31)</f>
        <v>0.60891082993014478</v>
      </c>
      <c r="W31" s="136">
        <f>IF(SER_hh_tes!W31=0,"",SER_hh_tes!W31/SER_hh_fec!W31)</f>
        <v>0.61444583775262096</v>
      </c>
      <c r="X31" s="136">
        <f>IF(SER_hh_tes!X31=0,"",SER_hh_tes!X31/SER_hh_fec!X31)</f>
        <v>0.61844839601527013</v>
      </c>
      <c r="Y31" s="136">
        <f>IF(SER_hh_tes!Y31=0,"",SER_hh_tes!Y31/SER_hh_fec!Y31)</f>
        <v>0.62162290001868392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0.76604666263391019</v>
      </c>
      <c r="C33" s="149">
        <f>IF(SER_hh_tes!C33=0,"",SER_hh_tes!C33/SER_hh_fec!C33)</f>
        <v>0.76716862100965799</v>
      </c>
      <c r="D33" s="149">
        <f>IF(SER_hh_tes!D33=0,"",SER_hh_tes!D33/SER_hh_fec!D33)</f>
        <v>0.76846494759533557</v>
      </c>
      <c r="E33" s="149">
        <f>IF(SER_hh_tes!E33=0,"",SER_hh_tes!E33/SER_hh_fec!E33)</f>
        <v>0.77008331087755033</v>
      </c>
      <c r="F33" s="149">
        <f>IF(SER_hh_tes!F33=0,"",SER_hh_tes!F33/SER_hh_fec!F33)</f>
        <v>0.77202287172750683</v>
      </c>
      <c r="G33" s="149">
        <f>IF(SER_hh_tes!G33=0,"",SER_hh_tes!G33/SER_hh_fec!G33)</f>
        <v>0.77397337579237602</v>
      </c>
      <c r="H33" s="149">
        <f>IF(SER_hh_tes!H33=0,"",SER_hh_tes!H33/SER_hh_fec!H33)</f>
        <v>0.776282166695761</v>
      </c>
      <c r="I33" s="149">
        <f>IF(SER_hh_tes!I33=0,"",SER_hh_tes!I33/SER_hh_fec!I33)</f>
        <v>0.77874869801265456</v>
      </c>
      <c r="J33" s="149">
        <f>IF(SER_hh_tes!J33=0,"",SER_hh_tes!J33/SER_hh_fec!J33)</f>
        <v>0.78128267774059279</v>
      </c>
      <c r="K33" s="149">
        <f>IF(SER_hh_tes!K33=0,"",SER_hh_tes!K33/SER_hh_fec!K33)</f>
        <v>0.78382568339469016</v>
      </c>
      <c r="L33" s="149">
        <f>IF(SER_hh_tes!L33=0,"",SER_hh_tes!L33/SER_hh_fec!L33)</f>
        <v>0.78546779714170034</v>
      </c>
      <c r="M33" s="149">
        <f>IF(SER_hh_tes!M33=0,"",SER_hh_tes!M33/SER_hh_fec!M33)</f>
        <v>0.78614021185599681</v>
      </c>
      <c r="N33" s="149">
        <f>IF(SER_hh_tes!N33=0,"",SER_hh_tes!N33/SER_hh_fec!N33)</f>
        <v>0.78716948442131973</v>
      </c>
      <c r="O33" s="149">
        <f>IF(SER_hh_tes!O33=0,"",SER_hh_tes!O33/SER_hh_fec!O33)</f>
        <v>0.78877093565295986</v>
      </c>
      <c r="P33" s="149">
        <f>IF(SER_hh_tes!P33=0,"",SER_hh_tes!P33/SER_hh_fec!P33)</f>
        <v>0.79143693851533947</v>
      </c>
      <c r="Q33" s="149">
        <f>IF(SER_hh_tes!Q33=0,"",SER_hh_tes!Q33/SER_hh_fec!Q33)</f>
        <v>0.79480658491771272</v>
      </c>
      <c r="R33" s="149">
        <f>IF(SER_hh_tes!R33=0,"",SER_hh_tes!R33/SER_hh_fec!R33)</f>
        <v>0.79965797844996744</v>
      </c>
      <c r="S33" s="149">
        <f>IF(SER_hh_tes!S33=0,"",SER_hh_tes!S33/SER_hh_fec!S33)</f>
        <v>0.80611469082373122</v>
      </c>
      <c r="T33" s="149">
        <f>IF(SER_hh_tes!T33=0,"",SER_hh_tes!T33/SER_hh_fec!T33)</f>
        <v>0.81427565912206379</v>
      </c>
      <c r="U33" s="149">
        <f>IF(SER_hh_tes!U33=0,"",SER_hh_tes!U33/SER_hh_fec!U33)</f>
        <v>0.82286836934071583</v>
      </c>
      <c r="V33" s="149">
        <f>IF(SER_hh_tes!V33=0,"",SER_hh_tes!V33/SER_hh_fec!V33)</f>
        <v>0.83163990906681584</v>
      </c>
      <c r="W33" s="149">
        <f>IF(SER_hh_tes!W33=0,"",SER_hh_tes!W33/SER_hh_fec!W33)</f>
        <v>0.83894313716517754</v>
      </c>
      <c r="X33" s="149">
        <f>IF(SER_hh_tes!X33=0,"",SER_hh_tes!X33/SER_hh_fec!X33)</f>
        <v>0.8461347892927924</v>
      </c>
      <c r="Y33" s="149">
        <f>IF(SER_hh_tes!Y33=0,"",SER_hh_tes!Y33/SER_hh_fec!Y33)</f>
        <v>0.85413383776925367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5564.9049011410661</v>
      </c>
      <c r="C3" s="125">
        <f t="shared" si="0"/>
        <v>6053.579463881093</v>
      </c>
      <c r="D3" s="125">
        <f t="shared" si="0"/>
        <v>8033.7274994673744</v>
      </c>
      <c r="E3" s="125">
        <f t="shared" si="0"/>
        <v>8432.6680077526016</v>
      </c>
      <c r="F3" s="125">
        <f t="shared" si="0"/>
        <v>8196.7497572265456</v>
      </c>
      <c r="G3" s="125">
        <f t="shared" si="0"/>
        <v>7810.9536642045377</v>
      </c>
      <c r="H3" s="125">
        <f t="shared" si="0"/>
        <v>8711.4783252655707</v>
      </c>
      <c r="I3" s="125">
        <f t="shared" si="0"/>
        <v>8362.6883262225801</v>
      </c>
      <c r="J3" s="125">
        <f t="shared" si="0"/>
        <v>8934.4987620150387</v>
      </c>
      <c r="K3" s="125">
        <f t="shared" si="0"/>
        <v>9324.8304902917916</v>
      </c>
      <c r="L3" s="125">
        <f t="shared" si="0"/>
        <v>10591.515302949012</v>
      </c>
      <c r="M3" s="125">
        <f t="shared" si="0"/>
        <v>9725.2575364293371</v>
      </c>
      <c r="N3" s="125">
        <f t="shared" si="0"/>
        <v>9410.16536261279</v>
      </c>
      <c r="O3" s="125">
        <f t="shared" si="0"/>
        <v>8678.8180638022877</v>
      </c>
      <c r="P3" s="125">
        <f t="shared" si="0"/>
        <v>7762.5261673783189</v>
      </c>
      <c r="Q3" s="125">
        <f t="shared" si="0"/>
        <v>7905.3568300663746</v>
      </c>
      <c r="R3" s="125">
        <f t="shared" ref="R3:W3" si="1">SUM(R4,R16,R19,R29)</f>
        <v>8573.8662275163369</v>
      </c>
      <c r="S3" s="125">
        <f t="shared" si="1"/>
        <v>7432.751941449118</v>
      </c>
      <c r="T3" s="125">
        <f t="shared" si="1"/>
        <v>6972.9088688224547</v>
      </c>
      <c r="U3" s="125">
        <f t="shared" si="1"/>
        <v>6381.9704471452824</v>
      </c>
      <c r="V3" s="125">
        <f t="shared" si="1"/>
        <v>5983.7695140088026</v>
      </c>
      <c r="W3" s="125">
        <f t="shared" si="1"/>
        <v>7692.4882320488723</v>
      </c>
      <c r="X3" s="125">
        <f t="shared" ref="X3:Y3" si="2">SUM(X4,X16,X19,X29)</f>
        <v>5966.3722032364476</v>
      </c>
      <c r="Y3" s="125">
        <f t="shared" si="2"/>
        <v>5280.6096823017688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5025.1863102817906</v>
      </c>
      <c r="C4" s="130">
        <f t="shared" si="3"/>
        <v>5339.6964514865522</v>
      </c>
      <c r="D4" s="130">
        <f t="shared" si="3"/>
        <v>7197.1771114780549</v>
      </c>
      <c r="E4" s="130">
        <f t="shared" si="3"/>
        <v>7354.7154406274294</v>
      </c>
      <c r="F4" s="130">
        <f t="shared" si="3"/>
        <v>7122.4242057090869</v>
      </c>
      <c r="G4" s="130">
        <f t="shared" si="3"/>
        <v>6721.2566121707523</v>
      </c>
      <c r="H4" s="130">
        <f t="shared" si="3"/>
        <v>7544.5522378192545</v>
      </c>
      <c r="I4" s="130">
        <f t="shared" si="3"/>
        <v>7142.6031094084301</v>
      </c>
      <c r="J4" s="130">
        <f t="shared" si="3"/>
        <v>7695.608744310347</v>
      </c>
      <c r="K4" s="130">
        <f t="shared" si="3"/>
        <v>8104.4784564982647</v>
      </c>
      <c r="L4" s="130">
        <f t="shared" si="3"/>
        <v>9338.4861533063595</v>
      </c>
      <c r="M4" s="130">
        <f t="shared" si="3"/>
        <v>8407.5158730398234</v>
      </c>
      <c r="N4" s="130">
        <f t="shared" si="3"/>
        <v>7991.9154905900832</v>
      </c>
      <c r="O4" s="130">
        <f t="shared" si="3"/>
        <v>7307.4956063748677</v>
      </c>
      <c r="P4" s="130">
        <f t="shared" si="3"/>
        <v>6380.4462893510863</v>
      </c>
      <c r="Q4" s="130">
        <f t="shared" si="3"/>
        <v>6497.2774366565372</v>
      </c>
      <c r="R4" s="130">
        <f t="shared" ref="R4:W4" si="4">SUM(R5:R15)</f>
        <v>7164.6921156181234</v>
      </c>
      <c r="S4" s="130">
        <f t="shared" si="4"/>
        <v>6159.8942887999265</v>
      </c>
      <c r="T4" s="130">
        <f t="shared" si="4"/>
        <v>5810.9853546607856</v>
      </c>
      <c r="U4" s="130">
        <f t="shared" si="4"/>
        <v>5262.8186243747205</v>
      </c>
      <c r="V4" s="130">
        <f t="shared" si="4"/>
        <v>5045.8949545517316</v>
      </c>
      <c r="W4" s="130">
        <f t="shared" si="4"/>
        <v>6490.0007848738042</v>
      </c>
      <c r="X4" s="130">
        <f t="shared" ref="X4:Y4" si="5">SUM(X5:X15)</f>
        <v>4884.3306878851854</v>
      </c>
      <c r="Y4" s="130">
        <f t="shared" si="5"/>
        <v>4241.0036825464813</v>
      </c>
      <c r="DA4" s="155" t="s">
        <v>234</v>
      </c>
    </row>
    <row r="5" spans="1:105" ht="12" customHeight="1" x14ac:dyDescent="0.25">
      <c r="A5" s="131" t="s">
        <v>29</v>
      </c>
      <c r="B5" s="132">
        <v>2151.5130253787624</v>
      </c>
      <c r="C5" s="132">
        <v>1604.3003475354069</v>
      </c>
      <c r="D5" s="132">
        <v>2818.9578077477818</v>
      </c>
      <c r="E5" s="132">
        <v>2807.2154797261837</v>
      </c>
      <c r="F5" s="132">
        <v>2636.1915870713883</v>
      </c>
      <c r="G5" s="132">
        <v>2571.2588107965757</v>
      </c>
      <c r="H5" s="132">
        <v>2975.936889485974</v>
      </c>
      <c r="I5" s="132">
        <v>2542.4143433592026</v>
      </c>
      <c r="J5" s="132">
        <v>2812.3386155816529</v>
      </c>
      <c r="K5" s="132">
        <v>3060.0584665696383</v>
      </c>
      <c r="L5" s="132">
        <v>3503.7547414421215</v>
      </c>
      <c r="M5" s="132">
        <v>3067.5248088295507</v>
      </c>
      <c r="N5" s="132">
        <v>3096.9394138596981</v>
      </c>
      <c r="O5" s="132">
        <v>2868.231216367506</v>
      </c>
      <c r="P5" s="132">
        <v>2510.9098040787462</v>
      </c>
      <c r="Q5" s="132">
        <v>2419.9687399427125</v>
      </c>
      <c r="R5" s="132">
        <v>2528.5923520876972</v>
      </c>
      <c r="S5" s="132">
        <v>2517.9055817685771</v>
      </c>
      <c r="T5" s="132">
        <v>2326.8801734910066</v>
      </c>
      <c r="U5" s="132">
        <v>1874.5140442943823</v>
      </c>
      <c r="V5" s="132">
        <v>1925.0111413000236</v>
      </c>
      <c r="W5" s="132">
        <v>2390.0851368750241</v>
      </c>
      <c r="X5" s="132">
        <v>1115.9315972533279</v>
      </c>
      <c r="Y5" s="132">
        <v>974.34636765761161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987.55618927991952</v>
      </c>
      <c r="C7" s="132">
        <v>1267.4039656391512</v>
      </c>
      <c r="D7" s="132">
        <v>1361.7831013353723</v>
      </c>
      <c r="E7" s="132">
        <v>1284.5875798763898</v>
      </c>
      <c r="F7" s="132">
        <v>1114.9920574997921</v>
      </c>
      <c r="G7" s="132">
        <v>889.5541522952584</v>
      </c>
      <c r="H7" s="132">
        <v>1626.094258853718</v>
      </c>
      <c r="I7" s="132">
        <v>1586.7475072549375</v>
      </c>
      <c r="J7" s="132">
        <v>1578.5058983139645</v>
      </c>
      <c r="K7" s="132">
        <v>1500.4924404048877</v>
      </c>
      <c r="L7" s="132">
        <v>1909.9711026071518</v>
      </c>
      <c r="M7" s="132">
        <v>1771.9941038635159</v>
      </c>
      <c r="N7" s="132">
        <v>1233.3725992720538</v>
      </c>
      <c r="O7" s="132">
        <v>992.05871797250995</v>
      </c>
      <c r="P7" s="132">
        <v>961.02927097920747</v>
      </c>
      <c r="Q7" s="132">
        <v>947.45870920344476</v>
      </c>
      <c r="R7" s="132">
        <v>947.32783487473637</v>
      </c>
      <c r="S7" s="132">
        <v>981.42325456667027</v>
      </c>
      <c r="T7" s="132">
        <v>1033.568425707226</v>
      </c>
      <c r="U7" s="132">
        <v>904.07709374123601</v>
      </c>
      <c r="V7" s="132">
        <v>922.74563771498015</v>
      </c>
      <c r="W7" s="132">
        <v>1030.2307743451922</v>
      </c>
      <c r="X7" s="132">
        <v>886.47549699898752</v>
      </c>
      <c r="Y7" s="132">
        <v>597.56628532337254</v>
      </c>
      <c r="DA7" s="156" t="s">
        <v>360</v>
      </c>
    </row>
    <row r="8" spans="1:105" ht="12" customHeight="1" x14ac:dyDescent="0.25">
      <c r="A8" s="131" t="s">
        <v>73</v>
      </c>
      <c r="B8" s="132">
        <v>0.10669313942070849</v>
      </c>
      <c r="C8" s="132">
        <v>0.130648137429075</v>
      </c>
      <c r="D8" s="132">
        <v>0.14511164472160828</v>
      </c>
      <c r="E8" s="132">
        <v>0.16390984333691205</v>
      </c>
      <c r="F8" s="132">
        <v>0.16538040892878206</v>
      </c>
      <c r="G8" s="132">
        <v>0.17279902497313152</v>
      </c>
      <c r="H8" s="132">
        <v>0.17520847467517914</v>
      </c>
      <c r="I8" s="132">
        <v>0.18581301023596405</v>
      </c>
      <c r="J8" s="132">
        <v>0.19463939865949847</v>
      </c>
      <c r="K8" s="132">
        <v>0.20662448990177629</v>
      </c>
      <c r="L8" s="132">
        <v>0.19574289537420708</v>
      </c>
      <c r="M8" s="132">
        <v>0.16462354574797661</v>
      </c>
      <c r="N8" s="132">
        <v>0.17057052705491671</v>
      </c>
      <c r="O8" s="132">
        <v>0.15906707946336868</v>
      </c>
      <c r="P8" s="132">
        <v>0.20387699854754693</v>
      </c>
      <c r="Q8" s="132">
        <v>0.20593234694373036</v>
      </c>
      <c r="R8" s="132">
        <v>0.20785589594533552</v>
      </c>
      <c r="S8" s="132">
        <v>0.18694441165186348</v>
      </c>
      <c r="T8" s="132">
        <v>0.18152427918260067</v>
      </c>
      <c r="U8" s="132">
        <v>0.18824256136509995</v>
      </c>
      <c r="V8" s="132">
        <v>0.2053176863321215</v>
      </c>
      <c r="W8" s="132">
        <v>0.2613907219802592</v>
      </c>
      <c r="X8" s="132">
        <v>0.27116981254898459</v>
      </c>
      <c r="Y8" s="132">
        <v>0.32906798604580012</v>
      </c>
      <c r="DA8" s="156" t="s">
        <v>361</v>
      </c>
    </row>
    <row r="9" spans="1:105" ht="12" customHeight="1" x14ac:dyDescent="0.25">
      <c r="A9" s="131" t="s">
        <v>78</v>
      </c>
      <c r="B9" s="132">
        <v>1882.6885874421687</v>
      </c>
      <c r="C9" s="132">
        <v>2455.4258316332539</v>
      </c>
      <c r="D9" s="132">
        <v>3002.6139227405024</v>
      </c>
      <c r="E9" s="132">
        <v>3253.1379735835003</v>
      </c>
      <c r="F9" s="132">
        <v>3370.8038375061737</v>
      </c>
      <c r="G9" s="132">
        <v>3257.284065504477</v>
      </c>
      <c r="H9" s="132">
        <v>2942.3458810048883</v>
      </c>
      <c r="I9" s="132">
        <v>3013.2554457840538</v>
      </c>
      <c r="J9" s="132">
        <v>3299.9206523130647</v>
      </c>
      <c r="K9" s="132">
        <v>3527.8190738823687</v>
      </c>
      <c r="L9" s="132">
        <v>3921.1479130682596</v>
      </c>
      <c r="M9" s="132">
        <v>3562.1753464462649</v>
      </c>
      <c r="N9" s="132">
        <v>3656.8670763799773</v>
      </c>
      <c r="O9" s="132">
        <v>3391.1821840962293</v>
      </c>
      <c r="P9" s="132">
        <v>2879.3659619364594</v>
      </c>
      <c r="Q9" s="132">
        <v>3104.5109132557441</v>
      </c>
      <c r="R9" s="132">
        <v>3646.341621203303</v>
      </c>
      <c r="S9" s="132">
        <v>2629.9524944334498</v>
      </c>
      <c r="T9" s="132">
        <v>2423.0947254946368</v>
      </c>
      <c r="U9" s="132">
        <v>2459.4150119440856</v>
      </c>
      <c r="V9" s="132">
        <v>2128.6918934984324</v>
      </c>
      <c r="W9" s="132">
        <v>2984.6660366421265</v>
      </c>
      <c r="X9" s="132">
        <v>2854.2653215116516</v>
      </c>
      <c r="Y9" s="132">
        <v>2542.7697077135294</v>
      </c>
      <c r="DA9" s="156" t="s">
        <v>362</v>
      </c>
    </row>
    <row r="10" spans="1:105" ht="12" customHeight="1" x14ac:dyDescent="0.25">
      <c r="A10" s="131" t="s">
        <v>128</v>
      </c>
      <c r="B10" s="132">
        <v>3.3218150415188674</v>
      </c>
      <c r="C10" s="132">
        <v>12.4356585413113</v>
      </c>
      <c r="D10" s="132">
        <v>13.677168009676745</v>
      </c>
      <c r="E10" s="132">
        <v>9.6104975980177123</v>
      </c>
      <c r="F10" s="132">
        <v>0.27134322280349826</v>
      </c>
      <c r="G10" s="132">
        <v>2.9867845494669676</v>
      </c>
      <c r="H10" s="132">
        <v>0</v>
      </c>
      <c r="I10" s="132">
        <v>0</v>
      </c>
      <c r="J10" s="132">
        <v>4.6489387030061717</v>
      </c>
      <c r="K10" s="132">
        <v>15.901851151468541</v>
      </c>
      <c r="L10" s="132">
        <v>3.4166532934524576</v>
      </c>
      <c r="M10" s="132">
        <v>5.656990354744714</v>
      </c>
      <c r="N10" s="132">
        <v>4.5658305512989488</v>
      </c>
      <c r="O10" s="132">
        <v>55.864420859158791</v>
      </c>
      <c r="P10" s="132">
        <v>28.937375358125401</v>
      </c>
      <c r="Q10" s="132">
        <v>25.13314190769206</v>
      </c>
      <c r="R10" s="132">
        <v>42.222451556441456</v>
      </c>
      <c r="S10" s="132">
        <v>30.426013619576782</v>
      </c>
      <c r="T10" s="132">
        <v>27.260505688732849</v>
      </c>
      <c r="U10" s="132">
        <v>24.62423183365151</v>
      </c>
      <c r="V10" s="132">
        <v>69.240964351963868</v>
      </c>
      <c r="W10" s="132">
        <v>84.757446289481209</v>
      </c>
      <c r="X10" s="132">
        <v>27.387102308669384</v>
      </c>
      <c r="Y10" s="132">
        <v>125.99225386592175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0.10286815743624028</v>
      </c>
      <c r="C16" s="130">
        <f t="shared" si="6"/>
        <v>0.110181134329699</v>
      </c>
      <c r="D16" s="130">
        <f t="shared" si="6"/>
        <v>0.12883456713161703</v>
      </c>
      <c r="E16" s="130">
        <f t="shared" si="6"/>
        <v>0.14398786535738553</v>
      </c>
      <c r="F16" s="130">
        <f t="shared" si="6"/>
        <v>0.17704779576792229</v>
      </c>
      <c r="G16" s="130">
        <f t="shared" si="6"/>
        <v>0.21459843724848907</v>
      </c>
      <c r="H16" s="130">
        <f t="shared" si="6"/>
        <v>0.26276354268470664</v>
      </c>
      <c r="I16" s="130">
        <f t="shared" si="6"/>
        <v>0.31824920325041339</v>
      </c>
      <c r="J16" s="130">
        <f t="shared" si="6"/>
        <v>0.3552012497406366</v>
      </c>
      <c r="K16" s="130">
        <f t="shared" si="6"/>
        <v>0.40617258587665966</v>
      </c>
      <c r="L16" s="130">
        <f t="shared" si="6"/>
        <v>0.48830317282143687</v>
      </c>
      <c r="M16" s="130">
        <f t="shared" si="6"/>
        <v>0.50751319330684685</v>
      </c>
      <c r="N16" s="130">
        <f t="shared" si="6"/>
        <v>0.6084786463635633</v>
      </c>
      <c r="O16" s="130">
        <f t="shared" si="6"/>
        <v>0.74886781906594535</v>
      </c>
      <c r="P16" s="130">
        <f t="shared" si="6"/>
        <v>0.98492434678737462</v>
      </c>
      <c r="Q16" s="130">
        <f t="shared" si="6"/>
        <v>1.363993220359079</v>
      </c>
      <c r="R16" s="130">
        <f t="shared" ref="R16:W16" si="7">SUM(R17:R18)</f>
        <v>1.7423203334488619</v>
      </c>
      <c r="S16" s="130">
        <f t="shared" si="7"/>
        <v>2.0784992065469825</v>
      </c>
      <c r="T16" s="130">
        <f t="shared" si="7"/>
        <v>2.3758146700600449</v>
      </c>
      <c r="U16" s="130">
        <f t="shared" si="7"/>
        <v>2.7561570337675994</v>
      </c>
      <c r="V16" s="130">
        <f t="shared" si="7"/>
        <v>2.3891821910248559</v>
      </c>
      <c r="W16" s="130">
        <f t="shared" si="7"/>
        <v>2.5820312778594428</v>
      </c>
      <c r="X16" s="130">
        <f t="shared" ref="X16:Y16" si="8">SUM(X17:X18)</f>
        <v>2.8973296780602169</v>
      </c>
      <c r="Y16" s="130">
        <f t="shared" si="8"/>
        <v>2.7900796022133676</v>
      </c>
      <c r="DA16" s="155" t="s">
        <v>235</v>
      </c>
    </row>
    <row r="17" spans="1:105" ht="12.95" customHeight="1" x14ac:dyDescent="0.25">
      <c r="A17" s="131" t="s">
        <v>73</v>
      </c>
      <c r="B17" s="132">
        <v>0.10286815743624028</v>
      </c>
      <c r="C17" s="132">
        <v>0.110181134329699</v>
      </c>
      <c r="D17" s="132">
        <v>0.12883456713161703</v>
      </c>
      <c r="E17" s="132">
        <v>0.14398786535738553</v>
      </c>
      <c r="F17" s="132">
        <v>0.17704779576792229</v>
      </c>
      <c r="G17" s="132">
        <v>0.21459843724848907</v>
      </c>
      <c r="H17" s="132">
        <v>0.26276354268470664</v>
      </c>
      <c r="I17" s="132">
        <v>0.31824920325041339</v>
      </c>
      <c r="J17" s="132">
        <v>0.3552012497406366</v>
      </c>
      <c r="K17" s="132">
        <v>0.40617258587665966</v>
      </c>
      <c r="L17" s="132">
        <v>0.48830317282143687</v>
      </c>
      <c r="M17" s="132">
        <v>0.50751319330684685</v>
      </c>
      <c r="N17" s="132">
        <v>0.6084786463635633</v>
      </c>
      <c r="O17" s="132">
        <v>0.74886781906594535</v>
      </c>
      <c r="P17" s="132">
        <v>0.98492434678737462</v>
      </c>
      <c r="Q17" s="132">
        <v>1.363993220359079</v>
      </c>
      <c r="R17" s="132">
        <v>1.7423203334488619</v>
      </c>
      <c r="S17" s="132">
        <v>2.0784992065469825</v>
      </c>
      <c r="T17" s="132">
        <v>2.3758146700600449</v>
      </c>
      <c r="U17" s="132">
        <v>2.7561570337675994</v>
      </c>
      <c r="V17" s="132">
        <v>2.3891821910248559</v>
      </c>
      <c r="W17" s="132">
        <v>2.5820312778594428</v>
      </c>
      <c r="X17" s="132">
        <v>2.8973296780602169</v>
      </c>
      <c r="Y17" s="132">
        <v>2.7900796022133676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329.5156830241404</v>
      </c>
      <c r="C19" s="130">
        <f t="shared" si="9"/>
        <v>432.41418179893589</v>
      </c>
      <c r="D19" s="130">
        <f t="shared" si="9"/>
        <v>506.09982408399907</v>
      </c>
      <c r="E19" s="130">
        <f t="shared" si="9"/>
        <v>663.67224982783671</v>
      </c>
      <c r="F19" s="130">
        <f t="shared" si="9"/>
        <v>647.07370533791254</v>
      </c>
      <c r="G19" s="130">
        <f t="shared" si="9"/>
        <v>624.04641647077858</v>
      </c>
      <c r="H19" s="130">
        <f t="shared" si="9"/>
        <v>658.0953994220896</v>
      </c>
      <c r="I19" s="130">
        <f t="shared" si="9"/>
        <v>690.02062317740524</v>
      </c>
      <c r="J19" s="130">
        <f t="shared" si="9"/>
        <v>716.4120016595075</v>
      </c>
      <c r="K19" s="130">
        <f t="shared" si="9"/>
        <v>716.74018723420102</v>
      </c>
      <c r="L19" s="130">
        <f t="shared" si="9"/>
        <v>763.95462075769035</v>
      </c>
      <c r="M19" s="130">
        <f t="shared" si="9"/>
        <v>764.85674631827339</v>
      </c>
      <c r="N19" s="130">
        <f t="shared" si="9"/>
        <v>811.77086320166813</v>
      </c>
      <c r="O19" s="130">
        <f t="shared" si="9"/>
        <v>748.98796802159109</v>
      </c>
      <c r="P19" s="130">
        <f t="shared" si="9"/>
        <v>768.09975679982301</v>
      </c>
      <c r="Q19" s="130">
        <f t="shared" si="9"/>
        <v>763.96112405218389</v>
      </c>
      <c r="R19" s="130">
        <f t="shared" ref="R19:W19" si="10">SUM(R20:R27)</f>
        <v>782.36015416059377</v>
      </c>
      <c r="S19" s="130">
        <f t="shared" si="10"/>
        <v>677.44613802393985</v>
      </c>
      <c r="T19" s="130">
        <f t="shared" si="10"/>
        <v>588.05977473330336</v>
      </c>
      <c r="U19" s="130">
        <f t="shared" si="10"/>
        <v>520.6040078783227</v>
      </c>
      <c r="V19" s="130">
        <f t="shared" si="10"/>
        <v>456.42835150869672</v>
      </c>
      <c r="W19" s="130">
        <f t="shared" si="10"/>
        <v>554.96201019217051</v>
      </c>
      <c r="X19" s="130">
        <f t="shared" ref="X19:Y19" si="11">SUM(X20:X27)</f>
        <v>447.57278707965332</v>
      </c>
      <c r="Y19" s="130">
        <f t="shared" si="11"/>
        <v>403.54716717553185</v>
      </c>
      <c r="DA19" s="155" t="s">
        <v>236</v>
      </c>
    </row>
    <row r="20" spans="1:105" ht="12" customHeight="1" x14ac:dyDescent="0.25">
      <c r="A20" s="131" t="s">
        <v>29</v>
      </c>
      <c r="B20" s="132">
        <v>41.132836453108602</v>
      </c>
      <c r="C20" s="132">
        <v>84.636568625687445</v>
      </c>
      <c r="D20" s="132">
        <v>115.74418335492294</v>
      </c>
      <c r="E20" s="132">
        <v>122.52630389212342</v>
      </c>
      <c r="F20" s="132">
        <v>123.93298407515371</v>
      </c>
      <c r="G20" s="132">
        <v>118.79018572795972</v>
      </c>
      <c r="H20" s="132">
        <v>104.87796185959809</v>
      </c>
      <c r="I20" s="132">
        <v>128.07645846337491</v>
      </c>
      <c r="J20" s="132">
        <v>131.23164513740946</v>
      </c>
      <c r="K20" s="132">
        <v>135.98847186757919</v>
      </c>
      <c r="L20" s="132">
        <v>146.23390441154646</v>
      </c>
      <c r="M20" s="132">
        <v>148.10517799140513</v>
      </c>
      <c r="N20" s="132">
        <v>150.63592993668004</v>
      </c>
      <c r="O20" s="132">
        <v>155.71313321709655</v>
      </c>
      <c r="P20" s="132">
        <v>157.85881732963435</v>
      </c>
      <c r="Q20" s="132">
        <v>159.8337458576739</v>
      </c>
      <c r="R20" s="132">
        <v>176.81394500422866</v>
      </c>
      <c r="S20" s="132">
        <v>144.86240838794401</v>
      </c>
      <c r="T20" s="132">
        <v>102.03783469572683</v>
      </c>
      <c r="U20" s="132">
        <v>83.863852150002785</v>
      </c>
      <c r="V20" s="132">
        <v>95.991838005573513</v>
      </c>
      <c r="W20" s="132">
        <v>130.78944052119238</v>
      </c>
      <c r="X20" s="132">
        <v>65.233224894488174</v>
      </c>
      <c r="Y20" s="132">
        <v>46.049556705757901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142.49574557319858</v>
      </c>
      <c r="C21" s="132">
        <v>175.58619565624318</v>
      </c>
      <c r="D21" s="132">
        <v>172.13591562871878</v>
      </c>
      <c r="E21" s="132">
        <v>265.59279853153106</v>
      </c>
      <c r="F21" s="132">
        <v>228.90802916377717</v>
      </c>
      <c r="G21" s="132">
        <v>195.64284754119916</v>
      </c>
      <c r="H21" s="132">
        <v>218.865441505429</v>
      </c>
      <c r="I21" s="132">
        <v>193.62277115401653</v>
      </c>
      <c r="J21" s="132">
        <v>180.80268113577011</v>
      </c>
      <c r="K21" s="132">
        <v>161.7354344834165</v>
      </c>
      <c r="L21" s="132">
        <v>155.61622122325031</v>
      </c>
      <c r="M21" s="132">
        <v>151.48911886440669</v>
      </c>
      <c r="N21" s="132">
        <v>196.85664733786993</v>
      </c>
      <c r="O21" s="132">
        <v>118.2758125548099</v>
      </c>
      <c r="P21" s="132">
        <v>133.69202597605383</v>
      </c>
      <c r="Q21" s="132">
        <v>121.08429128060251</v>
      </c>
      <c r="R21" s="132">
        <v>126.54650821607267</v>
      </c>
      <c r="S21" s="132">
        <v>126.43273109287115</v>
      </c>
      <c r="T21" s="132">
        <v>114.41127086003215</v>
      </c>
      <c r="U21" s="132">
        <v>125.89116178482024</v>
      </c>
      <c r="V21" s="132">
        <v>82.450698624372578</v>
      </c>
      <c r="W21" s="132">
        <v>76.45718561993182</v>
      </c>
      <c r="X21" s="132">
        <v>61.157850674680347</v>
      </c>
      <c r="Y21" s="132">
        <v>56.460457469482435</v>
      </c>
      <c r="DA21" s="156" t="s">
        <v>372</v>
      </c>
    </row>
    <row r="22" spans="1:105" ht="12" customHeight="1" x14ac:dyDescent="0.25">
      <c r="A22" s="131" t="s">
        <v>161</v>
      </c>
      <c r="B22" s="132">
        <v>68.209659400080469</v>
      </c>
      <c r="C22" s="132">
        <v>68.800652920848535</v>
      </c>
      <c r="D22" s="132">
        <v>82.64039794462731</v>
      </c>
      <c r="E22" s="132">
        <v>87.962247363610501</v>
      </c>
      <c r="F22" s="132">
        <v>93.378754540207694</v>
      </c>
      <c r="G22" s="132">
        <v>91.826277344742024</v>
      </c>
      <c r="H22" s="132">
        <v>100.88037078628166</v>
      </c>
      <c r="I22" s="132">
        <v>111.55042238506145</v>
      </c>
      <c r="J22" s="132">
        <v>119.79203132603493</v>
      </c>
      <c r="K22" s="132">
        <v>123.02385815511263</v>
      </c>
      <c r="L22" s="132">
        <v>131.61832451284957</v>
      </c>
      <c r="M22" s="132">
        <v>130.55150661648244</v>
      </c>
      <c r="N22" s="132">
        <v>130.25276928794551</v>
      </c>
      <c r="O22" s="132">
        <v>130.92672274749057</v>
      </c>
      <c r="P22" s="132">
        <v>129.87081046079189</v>
      </c>
      <c r="Q22" s="132">
        <v>132.69707971655512</v>
      </c>
      <c r="R22" s="132">
        <v>129.64150584526385</v>
      </c>
      <c r="S22" s="132">
        <v>136.61112055332958</v>
      </c>
      <c r="T22" s="132">
        <v>128.07374013277288</v>
      </c>
      <c r="U22" s="132">
        <v>107.18474637876412</v>
      </c>
      <c r="V22" s="132">
        <v>105.54670152502167</v>
      </c>
      <c r="W22" s="132">
        <v>118.21917241480838</v>
      </c>
      <c r="X22" s="132">
        <v>119.15449952101226</v>
      </c>
      <c r="Y22" s="132">
        <v>103.85566051662801</v>
      </c>
      <c r="DA22" s="156" t="s">
        <v>373</v>
      </c>
    </row>
    <row r="23" spans="1:105" ht="12" customHeight="1" x14ac:dyDescent="0.25">
      <c r="A23" s="131" t="s">
        <v>149</v>
      </c>
      <c r="B23" s="132">
        <v>77.574705050076929</v>
      </c>
      <c r="C23" s="132">
        <v>102.81330873746805</v>
      </c>
      <c r="D23" s="132">
        <v>134.81409132073736</v>
      </c>
      <c r="E23" s="132">
        <v>187.04943646429439</v>
      </c>
      <c r="F23" s="132">
        <v>200.83905198157743</v>
      </c>
      <c r="G23" s="132">
        <v>217.62794760634463</v>
      </c>
      <c r="H23" s="132">
        <v>233.47162527078078</v>
      </c>
      <c r="I23" s="132">
        <v>256.77097117495236</v>
      </c>
      <c r="J23" s="132">
        <v>284.09406062732069</v>
      </c>
      <c r="K23" s="132">
        <v>294.8188110649881</v>
      </c>
      <c r="L23" s="132">
        <v>330.260211448154</v>
      </c>
      <c r="M23" s="132">
        <v>334.32075763233883</v>
      </c>
      <c r="N23" s="132">
        <v>333.65292233405881</v>
      </c>
      <c r="O23" s="132">
        <v>340.10299362366914</v>
      </c>
      <c r="P23" s="132">
        <v>344.23113610152961</v>
      </c>
      <c r="Q23" s="132">
        <v>348.16978171905185</v>
      </c>
      <c r="R23" s="132">
        <v>345.65388226706369</v>
      </c>
      <c r="S23" s="132">
        <v>266.82244471677672</v>
      </c>
      <c r="T23" s="132">
        <v>241.25393893778298</v>
      </c>
      <c r="U23" s="132">
        <v>201.46377805748924</v>
      </c>
      <c r="V23" s="132">
        <v>165.43622864248883</v>
      </c>
      <c r="W23" s="132">
        <v>220.45070607306258</v>
      </c>
      <c r="X23" s="132">
        <v>199.36384628951021</v>
      </c>
      <c r="Y23" s="132">
        <v>186.32255025118732</v>
      </c>
      <c r="DA23" s="156" t="s">
        <v>374</v>
      </c>
    </row>
    <row r="24" spans="1:105" ht="12" customHeight="1" x14ac:dyDescent="0.25">
      <c r="A24" s="131" t="s">
        <v>128</v>
      </c>
      <c r="B24" s="132">
        <v>0.10273654767584135</v>
      </c>
      <c r="C24" s="132">
        <v>0.57745585868870386</v>
      </c>
      <c r="D24" s="132">
        <v>0.76523583499270009</v>
      </c>
      <c r="E24" s="132">
        <v>0.54146357627737007</v>
      </c>
      <c r="F24" s="132">
        <v>1.4885577196501824E-2</v>
      </c>
      <c r="G24" s="132">
        <v>0.15915825053303218</v>
      </c>
      <c r="H24" s="132">
        <v>0</v>
      </c>
      <c r="I24" s="132">
        <v>0</v>
      </c>
      <c r="J24" s="132">
        <v>0.49158343297237811</v>
      </c>
      <c r="K24" s="132">
        <v>1.1736116631046991</v>
      </c>
      <c r="L24" s="132">
        <v>0.22595916189001003</v>
      </c>
      <c r="M24" s="132">
        <v>0.39018521364038339</v>
      </c>
      <c r="N24" s="132">
        <v>0.37259430511375741</v>
      </c>
      <c r="O24" s="132">
        <v>3.9693058785248541</v>
      </c>
      <c r="P24" s="132">
        <v>2.4469669318133493</v>
      </c>
      <c r="Q24" s="132">
        <v>2.1762254783005353</v>
      </c>
      <c r="R24" s="132">
        <v>3.7043128279649125</v>
      </c>
      <c r="S24" s="132">
        <v>2.7174332730184187</v>
      </c>
      <c r="T24" s="132">
        <v>2.2829901069884273</v>
      </c>
      <c r="U24" s="132">
        <v>2.2004695072463392</v>
      </c>
      <c r="V24" s="132">
        <v>7.0028847112401511</v>
      </c>
      <c r="W24" s="132">
        <v>9.0455055631752952</v>
      </c>
      <c r="X24" s="132">
        <v>2.6633656999623803</v>
      </c>
      <c r="Y24" s="132">
        <v>10.858942232476172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210.10003967769887</v>
      </c>
      <c r="C29" s="130">
        <f t="shared" si="12"/>
        <v>281.35864946127589</v>
      </c>
      <c r="D29" s="130">
        <f t="shared" si="12"/>
        <v>330.32172933818873</v>
      </c>
      <c r="E29" s="130">
        <f t="shared" si="12"/>
        <v>414.13632943197888</v>
      </c>
      <c r="F29" s="130">
        <f t="shared" si="12"/>
        <v>427.07479838377765</v>
      </c>
      <c r="G29" s="130">
        <f t="shared" si="12"/>
        <v>465.43603712575867</v>
      </c>
      <c r="H29" s="130">
        <f t="shared" si="12"/>
        <v>508.56792448154243</v>
      </c>
      <c r="I29" s="130">
        <f t="shared" si="12"/>
        <v>529.74634443349441</v>
      </c>
      <c r="J29" s="130">
        <f t="shared" si="12"/>
        <v>522.12281479544367</v>
      </c>
      <c r="K29" s="130">
        <f t="shared" si="12"/>
        <v>503.2056739734486</v>
      </c>
      <c r="L29" s="130">
        <f t="shared" si="12"/>
        <v>488.58622571214005</v>
      </c>
      <c r="M29" s="130">
        <f t="shared" si="12"/>
        <v>552.37740387793428</v>
      </c>
      <c r="N29" s="130">
        <f t="shared" si="12"/>
        <v>605.87053017467667</v>
      </c>
      <c r="O29" s="130">
        <f t="shared" si="12"/>
        <v>621.58562158676341</v>
      </c>
      <c r="P29" s="130">
        <f t="shared" si="12"/>
        <v>612.99519688062219</v>
      </c>
      <c r="Q29" s="130">
        <f t="shared" si="12"/>
        <v>642.75427613729505</v>
      </c>
      <c r="R29" s="130">
        <f t="shared" ref="R29:W29" si="13">SUM(R30:R33)</f>
        <v>625.07163740417036</v>
      </c>
      <c r="S29" s="130">
        <f t="shared" si="13"/>
        <v>593.33301541870424</v>
      </c>
      <c r="T29" s="130">
        <f t="shared" si="13"/>
        <v>571.48792475830555</v>
      </c>
      <c r="U29" s="130">
        <f t="shared" si="13"/>
        <v>595.79165785847158</v>
      </c>
      <c r="V29" s="130">
        <f t="shared" si="13"/>
        <v>479.05702575734966</v>
      </c>
      <c r="W29" s="130">
        <f t="shared" si="13"/>
        <v>644.94340570503834</v>
      </c>
      <c r="X29" s="130">
        <f t="shared" ref="X29:Y29" si="14">SUM(X30:X33)</f>
        <v>631.57139859354766</v>
      </c>
      <c r="Y29" s="130">
        <f t="shared" si="14"/>
        <v>633.26875297754179</v>
      </c>
      <c r="DA29" s="155" t="s">
        <v>237</v>
      </c>
    </row>
    <row r="30" spans="1:105" ht="12" customHeight="1" x14ac:dyDescent="0.25">
      <c r="A30" s="131" t="s">
        <v>52</v>
      </c>
      <c r="B30" s="132">
        <v>6.7356534668014332</v>
      </c>
      <c r="C30" s="132">
        <v>36.322509103756808</v>
      </c>
      <c r="D30" s="132">
        <v>45.742099611281219</v>
      </c>
      <c r="E30" s="132">
        <v>92.562877188469059</v>
      </c>
      <c r="F30" s="132">
        <v>96.416666076222697</v>
      </c>
      <c r="G30" s="132">
        <v>102.82017769880088</v>
      </c>
      <c r="H30" s="132">
        <v>121.38230277457107</v>
      </c>
      <c r="I30" s="132">
        <v>125.73261360598332</v>
      </c>
      <c r="J30" s="132">
        <v>108.70637838423001</v>
      </c>
      <c r="K30" s="132">
        <v>76.27781599658347</v>
      </c>
      <c r="L30" s="132">
        <v>59.176279736749542</v>
      </c>
      <c r="M30" s="132">
        <v>57.498081135593168</v>
      </c>
      <c r="N30" s="132">
        <v>58.572051702130253</v>
      </c>
      <c r="O30" s="132">
        <v>61.68533696519011</v>
      </c>
      <c r="P30" s="132">
        <v>54.977074983946103</v>
      </c>
      <c r="Q30" s="132">
        <v>67.584809679397537</v>
      </c>
      <c r="R30" s="132">
        <v>76.635390823927352</v>
      </c>
      <c r="S30" s="132">
        <v>81.001603147128804</v>
      </c>
      <c r="T30" s="132">
        <v>78.597040419967669</v>
      </c>
      <c r="U30" s="132">
        <v>92.082487815179704</v>
      </c>
      <c r="V30" s="132">
        <v>62.679326615627488</v>
      </c>
      <c r="W30" s="132">
        <v>59.965115340068266</v>
      </c>
      <c r="X30" s="132">
        <v>49.141050285319693</v>
      </c>
      <c r="Y30" s="132">
        <v>46.117502250517674</v>
      </c>
      <c r="DA30" s="156" t="s">
        <v>379</v>
      </c>
    </row>
    <row r="31" spans="1:105" ht="12" customHeight="1" x14ac:dyDescent="0.25">
      <c r="A31" s="131" t="s">
        <v>149</v>
      </c>
      <c r="B31" s="132">
        <v>203.36438621089744</v>
      </c>
      <c r="C31" s="132">
        <v>245.03614035751909</v>
      </c>
      <c r="D31" s="132">
        <v>284.57962972690751</v>
      </c>
      <c r="E31" s="132">
        <v>321.57345224350979</v>
      </c>
      <c r="F31" s="132">
        <v>330.65813230755492</v>
      </c>
      <c r="G31" s="132">
        <v>362.6158594269578</v>
      </c>
      <c r="H31" s="132">
        <v>387.18562170697135</v>
      </c>
      <c r="I31" s="132">
        <v>404.01373082751115</v>
      </c>
      <c r="J31" s="132">
        <v>413.41643641121368</v>
      </c>
      <c r="K31" s="132">
        <v>426.92785797686514</v>
      </c>
      <c r="L31" s="132">
        <v>429.40994597539049</v>
      </c>
      <c r="M31" s="132">
        <v>494.87932274234117</v>
      </c>
      <c r="N31" s="132">
        <v>547.29847847254644</v>
      </c>
      <c r="O31" s="132">
        <v>559.90028462157329</v>
      </c>
      <c r="P31" s="132">
        <v>558.01812189667612</v>
      </c>
      <c r="Q31" s="132">
        <v>575.16946645789756</v>
      </c>
      <c r="R31" s="132">
        <v>548.43624658024305</v>
      </c>
      <c r="S31" s="132">
        <v>512.33141227157546</v>
      </c>
      <c r="T31" s="132">
        <v>492.89088433833786</v>
      </c>
      <c r="U31" s="132">
        <v>503.70917004329186</v>
      </c>
      <c r="V31" s="132">
        <v>416.37769914172219</v>
      </c>
      <c r="W31" s="132">
        <v>584.97829036497012</v>
      </c>
      <c r="X31" s="132">
        <v>582.43034830822796</v>
      </c>
      <c r="Y31" s="132">
        <v>587.15125072702415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139094.79116407386</v>
      </c>
      <c r="C3" s="125">
        <f>IF(SER_hh_fec!C3=0,0,11630*1000*SER_hh_fec!C3/SER_hh_num!C3)</f>
        <v>153117.86643130053</v>
      </c>
      <c r="D3" s="125">
        <f>IF(SER_hh_fec!D3=0,0,11630*1000*SER_hh_fec!D3/SER_hh_num!D3)</f>
        <v>176944.42974588493</v>
      </c>
      <c r="E3" s="125">
        <f>IF(SER_hh_fec!E3=0,0,11630*1000*SER_hh_fec!E3/SER_hh_num!E3)</f>
        <v>179809.05633320671</v>
      </c>
      <c r="F3" s="125">
        <f>IF(SER_hh_fec!F3=0,0,11630*1000*SER_hh_fec!F3/SER_hh_num!F3)</f>
        <v>186654.71956479285</v>
      </c>
      <c r="G3" s="125">
        <f>IF(SER_hh_fec!G3=0,0,11630*1000*SER_hh_fec!G3/SER_hh_num!G3)</f>
        <v>179900.8918769648</v>
      </c>
      <c r="H3" s="125">
        <f>IF(SER_hh_fec!H3=0,0,11630*1000*SER_hh_fec!H3/SER_hh_num!H3)</f>
        <v>194588.31563091275</v>
      </c>
      <c r="I3" s="125">
        <f>IF(SER_hh_fec!I3=0,0,11630*1000*SER_hh_fec!I3/SER_hh_num!I3)</f>
        <v>172983.41424150078</v>
      </c>
      <c r="J3" s="125">
        <f>IF(SER_hh_fec!J3=0,0,11630*1000*SER_hh_fec!J3/SER_hh_num!J3)</f>
        <v>190611.73876756793</v>
      </c>
      <c r="K3" s="125">
        <f>IF(SER_hh_fec!K3=0,0,11630*1000*SER_hh_fec!K3/SER_hh_num!K3)</f>
        <v>184671.77993809487</v>
      </c>
      <c r="L3" s="125">
        <f>IF(SER_hh_fec!L3=0,0,11630*1000*SER_hh_fec!L3/SER_hh_num!L3)</f>
        <v>206854.703391302</v>
      </c>
      <c r="M3" s="125">
        <f>IF(SER_hh_fec!M3=0,0,11630*1000*SER_hh_fec!M3/SER_hh_num!M3)</f>
        <v>188611.20613629484</v>
      </c>
      <c r="N3" s="125">
        <f>IF(SER_hh_fec!N3=0,0,11630*1000*SER_hh_fec!N3/SER_hh_num!N3)</f>
        <v>181894.23126259592</v>
      </c>
      <c r="O3" s="125">
        <f>IF(SER_hh_fec!O3=0,0,11630*1000*SER_hh_fec!O3/SER_hh_num!O3)</f>
        <v>171741.76209471427</v>
      </c>
      <c r="P3" s="125">
        <f>IF(SER_hh_fec!P3=0,0,11630*1000*SER_hh_fec!P3/SER_hh_num!P3)</f>
        <v>158327.48062346861</v>
      </c>
      <c r="Q3" s="125">
        <f>IF(SER_hh_fec!Q3=0,0,11630*1000*SER_hh_fec!Q3/SER_hh_num!Q3)</f>
        <v>156244.99971057766</v>
      </c>
      <c r="R3" s="125">
        <f>IF(SER_hh_fec!R3=0,0,11630*1000*SER_hh_fec!R3/SER_hh_num!R3)</f>
        <v>170228.70947395879</v>
      </c>
      <c r="S3" s="125">
        <f>IF(SER_hh_fec!S3=0,0,11630*1000*SER_hh_fec!S3/SER_hh_num!S3)</f>
        <v>154665.73581590338</v>
      </c>
      <c r="T3" s="125">
        <f>IF(SER_hh_fec!T3=0,0,11630*1000*SER_hh_fec!T3/SER_hh_num!T3)</f>
        <v>149083.9576175079</v>
      </c>
      <c r="U3" s="125">
        <f>IF(SER_hh_fec!U3=0,0,11630*1000*SER_hh_fec!U3/SER_hh_num!U3)</f>
        <v>144251.22342848947</v>
      </c>
      <c r="V3" s="125">
        <f>IF(SER_hh_fec!V3=0,0,11630*1000*SER_hh_fec!V3/SER_hh_num!V3)</f>
        <v>136911.29515892104</v>
      </c>
      <c r="W3" s="125">
        <f>IF(SER_hh_fec!W3=0,0,11630*1000*SER_hh_fec!W3/SER_hh_num!W3)</f>
        <v>153716.24447658073</v>
      </c>
      <c r="X3" s="125">
        <f>IF(SER_hh_fec!X3=0,0,11630*1000*SER_hh_fec!X3/SER_hh_num!X3)</f>
        <v>142709.45128194982</v>
      </c>
      <c r="Y3" s="125">
        <f>IF(SER_hh_fec!Y3=0,0,11630*1000*SER_hh_fec!Y3/SER_hh_num!Y3)</f>
        <v>139589.84184340097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110776.63132230098</v>
      </c>
      <c r="C4" s="130">
        <f>IF(SER_hh_fec!C4=0,0,11630*1000*SER_hh_fec!C4/SER_hh_num!C4)</f>
        <v>121083.68013634668</v>
      </c>
      <c r="D4" s="130">
        <f>IF(SER_hh_fec!D4=0,0,11630*1000*SER_hh_fec!D4/SER_hh_num!D4)</f>
        <v>139602.57419768869</v>
      </c>
      <c r="E4" s="130">
        <f>IF(SER_hh_fec!E4=0,0,11630*1000*SER_hh_fec!E4/SER_hh_num!E4)</f>
        <v>139073.81996971701</v>
      </c>
      <c r="F4" s="130">
        <f>IF(SER_hh_fec!F4=0,0,11630*1000*SER_hh_fec!F4/SER_hh_num!F4)</f>
        <v>144658.78782470923</v>
      </c>
      <c r="G4" s="130">
        <f>IF(SER_hh_fec!G4=0,0,11630*1000*SER_hh_fec!G4/SER_hh_num!G4)</f>
        <v>137459.5664092009</v>
      </c>
      <c r="H4" s="130">
        <f>IF(SER_hh_fec!H4=0,0,11630*1000*SER_hh_fec!H4/SER_hh_num!H4)</f>
        <v>150644.72828166213</v>
      </c>
      <c r="I4" s="130">
        <f>IF(SER_hh_fec!I4=0,0,11630*1000*SER_hh_fec!I4/SER_hh_num!I4)</f>
        <v>127132.49094616724</v>
      </c>
      <c r="J4" s="130">
        <f>IF(SER_hh_fec!J4=0,0,11630*1000*SER_hh_fec!J4/SER_hh_num!J4)</f>
        <v>143946.77665027633</v>
      </c>
      <c r="K4" s="130">
        <f>IF(SER_hh_fec!K4=0,0,11630*1000*SER_hh_fec!K4/SER_hh_num!K4)</f>
        <v>138654.0489464179</v>
      </c>
      <c r="L4" s="130">
        <f>IF(SER_hh_fec!L4=0,0,11630*1000*SER_hh_fec!L4/SER_hh_num!L4)</f>
        <v>160343.52865172812</v>
      </c>
      <c r="M4" s="130">
        <f>IF(SER_hh_fec!M4=0,0,11630*1000*SER_hh_fec!M4/SER_hh_num!M4)</f>
        <v>142114.29789563152</v>
      </c>
      <c r="N4" s="130">
        <f>IF(SER_hh_fec!N4=0,0,11630*1000*SER_hh_fec!N4/SER_hh_num!N4)</f>
        <v>135283.20884854827</v>
      </c>
      <c r="O4" s="130">
        <f>IF(SER_hh_fec!O4=0,0,11630*1000*SER_hh_fec!O4/SER_hh_num!O4)</f>
        <v>124856.39037186588</v>
      </c>
      <c r="P4" s="130">
        <f>IF(SER_hh_fec!P4=0,0,11630*1000*SER_hh_fec!P4/SER_hh_num!P4)</f>
        <v>111591.81211275475</v>
      </c>
      <c r="Q4" s="130">
        <f>IF(SER_hh_fec!Q4=0,0,11630*1000*SER_hh_fec!Q4/SER_hh_num!Q4)</f>
        <v>109117.06708589706</v>
      </c>
      <c r="R4" s="130">
        <f>IF(SER_hh_fec!R4=0,0,11630*1000*SER_hh_fec!R4/SER_hh_num!R4)</f>
        <v>123510.82793915663</v>
      </c>
      <c r="S4" s="130">
        <f>IF(SER_hh_fec!S4=0,0,11630*1000*SER_hh_fec!S4/SER_hh_num!S4)</f>
        <v>109630.59625955642</v>
      </c>
      <c r="T4" s="130">
        <f>IF(SER_hh_fec!T4=0,0,11630*1000*SER_hh_fec!T4/SER_hh_num!T4)</f>
        <v>104977.28775632737</v>
      </c>
      <c r="U4" s="130">
        <f>IF(SER_hh_fec!U4=0,0,11630*1000*SER_hh_fec!U4/SER_hh_num!U4)</f>
        <v>100995.88838729812</v>
      </c>
      <c r="V4" s="130">
        <f>IF(SER_hh_fec!V4=0,0,11630*1000*SER_hh_fec!V4/SER_hh_num!V4)</f>
        <v>97431.914418062297</v>
      </c>
      <c r="W4" s="130">
        <f>IF(SER_hh_fec!W4=0,0,11630*1000*SER_hh_fec!W4/SER_hh_num!W4)</f>
        <v>112458.83546921458</v>
      </c>
      <c r="X4" s="130">
        <f>IF(SER_hh_fec!X4=0,0,11630*1000*SER_hh_fec!X4/SER_hh_num!X4)</f>
        <v>101581.91745482806</v>
      </c>
      <c r="Y4" s="130">
        <f>IF(SER_hh_fec!Y4=0,0,11630*1000*SER_hh_fec!Y4/SER_hh_num!Y4)</f>
        <v>99398.944972040263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134261.38969339576</v>
      </c>
      <c r="C5" s="132">
        <f>IF(SER_hh_fec!C5=0,0,11630*1000*SER_hh_fec!C5/SER_hh_num!C5)</f>
        <v>98785.346994922744</v>
      </c>
      <c r="D5" s="132">
        <f>IF(SER_hh_fec!D5=0,0,11630*1000*SER_hh_fec!D5/SER_hh_num!D5)</f>
        <v>162251.92825437983</v>
      </c>
      <c r="E5" s="132">
        <f>IF(SER_hh_fec!E5=0,0,11630*1000*SER_hh_fec!E5/SER_hh_num!E5)</f>
        <v>156399.53991515175</v>
      </c>
      <c r="F5" s="132">
        <f>IF(SER_hh_fec!F5=0,0,11630*1000*SER_hh_fec!F5/SER_hh_num!F5)</f>
        <v>147251.320744369</v>
      </c>
      <c r="G5" s="132">
        <f>IF(SER_hh_fec!G5=0,0,11630*1000*SER_hh_fec!G5/SER_hh_num!G5)</f>
        <v>144559.48532413595</v>
      </c>
      <c r="H5" s="132">
        <f>IF(SER_hh_fec!H5=0,0,11630*1000*SER_hh_fec!H5/SER_hh_num!H5)</f>
        <v>164149.35086946411</v>
      </c>
      <c r="I5" s="132">
        <f>IF(SER_hh_fec!I5=0,0,11630*1000*SER_hh_fec!I5/SER_hh_num!I5)</f>
        <v>134867.67507528744</v>
      </c>
      <c r="J5" s="132">
        <f>IF(SER_hh_fec!J5=0,0,11630*1000*SER_hh_fec!J5/SER_hh_num!J5)</f>
        <v>145900.65569562314</v>
      </c>
      <c r="K5" s="132">
        <f>IF(SER_hh_fec!K5=0,0,11630*1000*SER_hh_fec!K5/SER_hh_num!K5)</f>
        <v>150958.42347287177</v>
      </c>
      <c r="L5" s="132">
        <f>IF(SER_hh_fec!L5=0,0,11630*1000*SER_hh_fec!L5/SER_hh_num!L5)</f>
        <v>167629.49928333447</v>
      </c>
      <c r="M5" s="132">
        <f>IF(SER_hh_fec!M5=0,0,11630*1000*SER_hh_fec!M5/SER_hh_num!M5)</f>
        <v>143763.75305198994</v>
      </c>
      <c r="N5" s="132">
        <f>IF(SER_hh_fec!N5=0,0,11630*1000*SER_hh_fec!N5/SER_hh_num!N5)</f>
        <v>143119.551340231</v>
      </c>
      <c r="O5" s="132">
        <f>IF(SER_hh_fec!O5=0,0,11630*1000*SER_hh_fec!O5/SER_hh_num!O5)</f>
        <v>131652.36367860794</v>
      </c>
      <c r="P5" s="132">
        <f>IF(SER_hh_fec!P5=0,0,11630*1000*SER_hh_fec!P5/SER_hh_num!P5)</f>
        <v>117351.74513024969</v>
      </c>
      <c r="Q5" s="132">
        <f>IF(SER_hh_fec!Q5=0,0,11630*1000*SER_hh_fec!Q5/SER_hh_num!Q5)</f>
        <v>114987.76335695003</v>
      </c>
      <c r="R5" s="132">
        <f>IF(SER_hh_fec!R5=0,0,11630*1000*SER_hh_fec!R5/SER_hh_num!R5)</f>
        <v>122995.28625546106</v>
      </c>
      <c r="S5" s="132">
        <f>IF(SER_hh_fec!S5=0,0,11630*1000*SER_hh_fec!S5/SER_hh_num!S5)</f>
        <v>122998.42542249734</v>
      </c>
      <c r="T5" s="132">
        <f>IF(SER_hh_fec!T5=0,0,11630*1000*SER_hh_fec!T5/SER_hh_num!T5)</f>
        <v>117813.9614507402</v>
      </c>
      <c r="U5" s="132">
        <f>IF(SER_hh_fec!U5=0,0,11630*1000*SER_hh_fec!U5/SER_hh_num!U5)</f>
        <v>99501.247427670678</v>
      </c>
      <c r="V5" s="132">
        <f>IF(SER_hh_fec!V5=0,0,11630*1000*SER_hh_fec!V5/SER_hh_num!V5)</f>
        <v>107881.12350383152</v>
      </c>
      <c r="W5" s="132">
        <f>IF(SER_hh_fec!W5=0,0,11630*1000*SER_hh_fec!W5/SER_hh_num!W5)</f>
        <v>157395.8777896323</v>
      </c>
      <c r="X5" s="132">
        <f>IF(SER_hh_fec!X5=0,0,11630*1000*SER_hh_fec!X5/SER_hh_num!X5)</f>
        <v>94577.737448029817</v>
      </c>
      <c r="Y5" s="132">
        <f>IF(SER_hh_fec!Y5=0,0,11630*1000*SER_hh_fec!Y5/SER_hh_num!Y5)</f>
        <v>109664.04082899644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131627.41251753212</v>
      </c>
      <c r="C7" s="132">
        <f>IF(SER_hh_fec!C7=0,0,11630*1000*SER_hh_fec!C7/SER_hh_num!C7)</f>
        <v>166135.82904686063</v>
      </c>
      <c r="D7" s="132">
        <f>IF(SER_hh_fec!D7=0,0,11630*1000*SER_hh_fec!D7/SER_hh_num!D7)</f>
        <v>178845.03941030317</v>
      </c>
      <c r="E7" s="132">
        <f>IF(SER_hh_fec!E7=0,0,11630*1000*SER_hh_fec!E7/SER_hh_num!E7)</f>
        <v>180991.76228288887</v>
      </c>
      <c r="F7" s="132">
        <f>IF(SER_hh_fec!F7=0,0,11630*1000*SER_hh_fec!F7/SER_hh_num!F7)</f>
        <v>170122.60654983466</v>
      </c>
      <c r="G7" s="132">
        <f>IF(SER_hh_fec!G7=0,0,11630*1000*SER_hh_fec!G7/SER_hh_num!G7)</f>
        <v>132413.84139149552</v>
      </c>
      <c r="H7" s="132">
        <f>IF(SER_hh_fec!H7=0,0,11630*1000*SER_hh_fec!H7/SER_hh_num!H7)</f>
        <v>204271.49853083203</v>
      </c>
      <c r="I7" s="132">
        <f>IF(SER_hh_fec!I7=0,0,11630*1000*SER_hh_fec!I7/SER_hh_num!I7)</f>
        <v>177222.61014170491</v>
      </c>
      <c r="J7" s="132">
        <f>IF(SER_hh_fec!J7=0,0,11630*1000*SER_hh_fec!J7/SER_hh_num!J7)</f>
        <v>172202.18825245518</v>
      </c>
      <c r="K7" s="132">
        <f>IF(SER_hh_fec!K7=0,0,11630*1000*SER_hh_fec!K7/SER_hh_num!K7)</f>
        <v>161374.67104187698</v>
      </c>
      <c r="L7" s="132">
        <f>IF(SER_hh_fec!L7=0,0,11630*1000*SER_hh_fec!L7/SER_hh_num!L7)</f>
        <v>204221.00607298489</v>
      </c>
      <c r="M7" s="132">
        <f>IF(SER_hh_fec!M7=0,0,11630*1000*SER_hh_fec!M7/SER_hh_num!M7)</f>
        <v>195278.25308653532</v>
      </c>
      <c r="N7" s="132">
        <f>IF(SER_hh_fec!N7=0,0,11630*1000*SER_hh_fec!N7/SER_hh_num!N7)</f>
        <v>154497.78086809616</v>
      </c>
      <c r="O7" s="132">
        <f>IF(SER_hh_fec!O7=0,0,11630*1000*SER_hh_fec!O7/SER_hh_num!O7)</f>
        <v>138292.58154157636</v>
      </c>
      <c r="P7" s="132">
        <f>IF(SER_hh_fec!P7=0,0,11630*1000*SER_hh_fec!P7/SER_hh_num!P7)</f>
        <v>140870.62452794058</v>
      </c>
      <c r="Q7" s="132">
        <f>IF(SER_hh_fec!Q7=0,0,11630*1000*SER_hh_fec!Q7/SER_hh_num!Q7)</f>
        <v>138963.11094277704</v>
      </c>
      <c r="R7" s="132">
        <f>IF(SER_hh_fec!R7=0,0,11630*1000*SER_hh_fec!R7/SER_hh_num!R7)</f>
        <v>137634.59786600008</v>
      </c>
      <c r="S7" s="132">
        <f>IF(SER_hh_fec!S7=0,0,11630*1000*SER_hh_fec!S7/SER_hh_num!S7)</f>
        <v>134569.15148513112</v>
      </c>
      <c r="T7" s="132">
        <f>IF(SER_hh_fec!T7=0,0,11630*1000*SER_hh_fec!T7/SER_hh_num!T7)</f>
        <v>134179.48569171404</v>
      </c>
      <c r="U7" s="132">
        <f>IF(SER_hh_fec!U7=0,0,11630*1000*SER_hh_fec!U7/SER_hh_num!U7)</f>
        <v>115998.4205684511</v>
      </c>
      <c r="V7" s="132">
        <f>IF(SER_hh_fec!V7=0,0,11630*1000*SER_hh_fec!V7/SER_hh_num!V7)</f>
        <v>116862.16795059701</v>
      </c>
      <c r="W7" s="132">
        <f>IF(SER_hh_fec!W7=0,0,11630*1000*SER_hh_fec!W7/SER_hh_num!W7)</f>
        <v>135897.39603271204</v>
      </c>
      <c r="X7" s="132">
        <f>IF(SER_hh_fec!X7=0,0,11630*1000*SER_hh_fec!X7/SER_hh_num!X7)</f>
        <v>125392.86653563114</v>
      </c>
      <c r="Y7" s="132">
        <f>IF(SER_hh_fec!Y7=0,0,11630*1000*SER_hh_fec!Y7/SER_hh_num!Y7)</f>
        <v>99715.19162930215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61185.963446705784</v>
      </c>
      <c r="C8" s="132">
        <f>IF(SER_hh_fec!C8=0,0,11630*1000*SER_hh_fec!C8/SER_hh_num!C8)</f>
        <v>71616.802612310334</v>
      </c>
      <c r="D8" s="132">
        <f>IF(SER_hh_fec!D8=0,0,11630*1000*SER_hh_fec!D8/SER_hh_num!D8)</f>
        <v>74973.284956004703</v>
      </c>
      <c r="E8" s="132">
        <f>IF(SER_hh_fec!E8=0,0,11630*1000*SER_hh_fec!E8/SER_hh_num!E8)</f>
        <v>78534.967747911927</v>
      </c>
      <c r="F8" s="132">
        <f>IF(SER_hh_fec!F8=0,0,11630*1000*SER_hh_fec!F8/SER_hh_num!F8)</f>
        <v>77327.889148354589</v>
      </c>
      <c r="G8" s="132">
        <f>IF(SER_hh_fec!G8=0,0,11630*1000*SER_hh_fec!G8/SER_hh_num!G8)</f>
        <v>75233.804340109447</v>
      </c>
      <c r="H8" s="132">
        <f>IF(SER_hh_fec!H8=0,0,11630*1000*SER_hh_fec!H8/SER_hh_num!H8)</f>
        <v>72971.308281326608</v>
      </c>
      <c r="I8" s="132">
        <f>IF(SER_hh_fec!I8=0,0,11630*1000*SER_hh_fec!I8/SER_hh_num!I8)</f>
        <v>69147.383793907487</v>
      </c>
      <c r="J8" s="132">
        <f>IF(SER_hh_fec!J8=0,0,11630*1000*SER_hh_fec!J8/SER_hh_num!J8)</f>
        <v>71039.633742992126</v>
      </c>
      <c r="K8" s="132">
        <f>IF(SER_hh_fec!K8=0,0,11630*1000*SER_hh_fec!K8/SER_hh_num!K8)</f>
        <v>73451.800486642212</v>
      </c>
      <c r="L8" s="132">
        <f>IF(SER_hh_fec!L8=0,0,11630*1000*SER_hh_fec!L8/SER_hh_num!L8)</f>
        <v>73059.365697977424</v>
      </c>
      <c r="M8" s="132">
        <f>IF(SER_hh_fec!M8=0,0,11630*1000*SER_hh_fec!M8/SER_hh_num!M8)</f>
        <v>61541.193536888451</v>
      </c>
      <c r="N8" s="132">
        <f>IF(SER_hh_fec!N8=0,0,11630*1000*SER_hh_fec!N8/SER_hh_num!N8)</f>
        <v>57857.05079050066</v>
      </c>
      <c r="O8" s="132">
        <f>IF(SER_hh_fec!O8=0,0,11630*1000*SER_hh_fec!O8/SER_hh_num!O8)</f>
        <v>46046.104561212225</v>
      </c>
      <c r="P8" s="132">
        <f>IF(SER_hh_fec!P8=0,0,11630*1000*SER_hh_fec!P8/SER_hh_num!P8)</f>
        <v>48829.491272577856</v>
      </c>
      <c r="Q8" s="132">
        <f>IF(SER_hh_fec!Q8=0,0,11630*1000*SER_hh_fec!Q8/SER_hh_num!Q8)</f>
        <v>44967.625078838493</v>
      </c>
      <c r="R8" s="132">
        <f>IF(SER_hh_fec!R8=0,0,11630*1000*SER_hh_fec!R8/SER_hh_num!R8)</f>
        <v>44338.884600971534</v>
      </c>
      <c r="S8" s="132">
        <f>IF(SER_hh_fec!S8=0,0,11630*1000*SER_hh_fec!S8/SER_hh_num!S8)</f>
        <v>39150.461866554215</v>
      </c>
      <c r="T8" s="132">
        <f>IF(SER_hh_fec!T8=0,0,11630*1000*SER_hh_fec!T8/SER_hh_num!T8)</f>
        <v>35951.88524732033</v>
      </c>
      <c r="U8" s="132">
        <f>IF(SER_hh_fec!U8=0,0,11630*1000*SER_hh_fec!U8/SER_hh_num!U8)</f>
        <v>33698.148287019132</v>
      </c>
      <c r="V8" s="132">
        <f>IF(SER_hh_fec!V8=0,0,11630*1000*SER_hh_fec!V8/SER_hh_num!V8)</f>
        <v>32537.86663001432</v>
      </c>
      <c r="W8" s="132">
        <f>IF(SER_hh_fec!W8=0,0,11630*1000*SER_hh_fec!W8/SER_hh_num!W8)</f>
        <v>35184.478064530202</v>
      </c>
      <c r="X8" s="132">
        <f>IF(SER_hh_fec!X8=0,0,11630*1000*SER_hh_fec!X8/SER_hh_num!X8)</f>
        <v>31842.618213573824</v>
      </c>
      <c r="Y8" s="132">
        <f>IF(SER_hh_fec!Y8=0,0,11630*1000*SER_hh_fec!Y8/SER_hh_num!Y8)</f>
        <v>34221.902279239563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120983.04471923879</v>
      </c>
      <c r="C9" s="132">
        <f>IF(SER_hh_fec!C9=0,0,11630*1000*SER_hh_fec!C9/SER_hh_num!C9)</f>
        <v>147757.918722364</v>
      </c>
      <c r="D9" s="132">
        <f>IF(SER_hh_fec!D9=0,0,11630*1000*SER_hh_fec!D9/SER_hh_num!D9)</f>
        <v>164442.08942539754</v>
      </c>
      <c r="E9" s="132">
        <f>IF(SER_hh_fec!E9=0,0,11630*1000*SER_hh_fec!E9/SER_hh_num!E9)</f>
        <v>165456.12846773805</v>
      </c>
      <c r="F9" s="132">
        <f>IF(SER_hh_fec!F9=0,0,11630*1000*SER_hh_fec!F9/SER_hh_num!F9)</f>
        <v>170110.37368850791</v>
      </c>
      <c r="G9" s="132">
        <f>IF(SER_hh_fec!G9=0,0,11630*1000*SER_hh_fec!G9/SER_hh_num!G9)</f>
        <v>169535.71738720677</v>
      </c>
      <c r="H9" s="132">
        <f>IF(SER_hh_fec!H9=0,0,11630*1000*SER_hh_fec!H9/SER_hh_num!H9)</f>
        <v>157149.07267728087</v>
      </c>
      <c r="I9" s="132">
        <f>IF(SER_hh_fec!I9=0,0,11630*1000*SER_hh_fec!I9/SER_hh_num!I9)</f>
        <v>156327.77041444034</v>
      </c>
      <c r="J9" s="132">
        <f>IF(SER_hh_fec!J9=0,0,11630*1000*SER_hh_fec!J9/SER_hh_num!J9)</f>
        <v>160190.12433547716</v>
      </c>
      <c r="K9" s="132">
        <f>IF(SER_hh_fec!K9=0,0,11630*1000*SER_hh_fec!K9/SER_hh_num!K9)</f>
        <v>159920.12552572825</v>
      </c>
      <c r="L9" s="132">
        <f>IF(SER_hh_fec!L9=0,0,11630*1000*SER_hh_fec!L9/SER_hh_num!L9)</f>
        <v>184734.71389846731</v>
      </c>
      <c r="M9" s="132">
        <f>IF(SER_hh_fec!M9=0,0,11630*1000*SER_hh_fec!M9/SER_hh_num!M9)</f>
        <v>158327.55301690946</v>
      </c>
      <c r="N9" s="132">
        <f>IF(SER_hh_fec!N9=0,0,11630*1000*SER_hh_fec!N9/SER_hh_num!N9)</f>
        <v>156173.56490960295</v>
      </c>
      <c r="O9" s="132">
        <f>IF(SER_hh_fec!O9=0,0,11630*1000*SER_hh_fec!O9/SER_hh_num!O9)</f>
        <v>145449.60337789371</v>
      </c>
      <c r="P9" s="132">
        <f>IF(SER_hh_fec!P9=0,0,11630*1000*SER_hh_fec!P9/SER_hh_num!P9)</f>
        <v>119155.53486323018</v>
      </c>
      <c r="Q9" s="132">
        <f>IF(SER_hh_fec!Q9=0,0,11630*1000*SER_hh_fec!Q9/SER_hh_num!Q9)</f>
        <v>126492.09669139505</v>
      </c>
      <c r="R9" s="132">
        <f>IF(SER_hh_fec!R9=0,0,11630*1000*SER_hh_fec!R9/SER_hh_num!R9)</f>
        <v>150567.5285112806</v>
      </c>
      <c r="S9" s="132">
        <f>IF(SER_hh_fec!S9=0,0,11630*1000*SER_hh_fec!S9/SER_hh_num!S9)</f>
        <v>115741.5284788201</v>
      </c>
      <c r="T9" s="132">
        <f>IF(SER_hh_fec!T9=0,0,11630*1000*SER_hh_fec!T9/SER_hh_num!T9)</f>
        <v>112483.30136518204</v>
      </c>
      <c r="U9" s="132">
        <f>IF(SER_hh_fec!U9=0,0,11630*1000*SER_hh_fec!U9/SER_hh_num!U9)</f>
        <v>115472.81953112315</v>
      </c>
      <c r="V9" s="132">
        <f>IF(SER_hh_fec!V9=0,0,11630*1000*SER_hh_fec!V9/SER_hh_num!V9)</f>
        <v>99285.156279411676</v>
      </c>
      <c r="W9" s="132">
        <f>IF(SER_hh_fec!W9=0,0,11630*1000*SER_hh_fec!W9/SER_hh_num!W9)</f>
        <v>129493.29977354223</v>
      </c>
      <c r="X9" s="132">
        <f>IF(SER_hh_fec!X9=0,0,11630*1000*SER_hh_fec!X9/SER_hh_num!X9)</f>
        <v>117707.13127752731</v>
      </c>
      <c r="Y9" s="132">
        <f>IF(SER_hh_fec!Y9=0,0,11630*1000*SER_hh_fec!Y9/SER_hh_num!Y9)</f>
        <v>104696.77714471807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164273.29799108359</v>
      </c>
      <c r="C10" s="132">
        <f>IF(SER_hh_fec!C10=0,0,11630*1000*SER_hh_fec!C10/SER_hh_num!C10)</f>
        <v>139612.35126808591</v>
      </c>
      <c r="D10" s="132">
        <f>IF(SER_hh_fec!D10=0,0,11630*1000*SER_hh_fec!D10/SER_hh_num!D10)</f>
        <v>162004.85697295697</v>
      </c>
      <c r="E10" s="132">
        <f>IF(SER_hh_fec!E10=0,0,11630*1000*SER_hh_fec!E10/SER_hh_num!E10)</f>
        <v>178129.55969903321</v>
      </c>
      <c r="F10" s="132">
        <f>IF(SER_hh_fec!F10=0,0,11630*1000*SER_hh_fec!F10/SER_hh_num!F10)</f>
        <v>194706.5029989983</v>
      </c>
      <c r="G10" s="132">
        <f>IF(SER_hh_fec!G10=0,0,11630*1000*SER_hh_fec!G10/SER_hh_num!G10)</f>
        <v>205127.06189681668</v>
      </c>
      <c r="H10" s="132">
        <f>IF(SER_hh_fec!H10=0,0,11630*1000*SER_hh_fec!H10/SER_hh_num!H10)</f>
        <v>152967.85516510604</v>
      </c>
      <c r="I10" s="132">
        <f>IF(SER_hh_fec!I10=0,0,11630*1000*SER_hh_fec!I10/SER_hh_num!I10)</f>
        <v>180895.68773154891</v>
      </c>
      <c r="J10" s="132">
        <f>IF(SER_hh_fec!J10=0,0,11630*1000*SER_hh_fec!J10/SER_hh_num!J10)</f>
        <v>156716.06076817843</v>
      </c>
      <c r="K10" s="132">
        <f>IF(SER_hh_fec!K10=0,0,11630*1000*SER_hh_fec!K10/SER_hh_num!K10)</f>
        <v>191728.99843233571</v>
      </c>
      <c r="L10" s="132">
        <f>IF(SER_hh_fec!L10=0,0,11630*1000*SER_hh_fec!L10/SER_hh_num!L10)</f>
        <v>200338.37719000506</v>
      </c>
      <c r="M10" s="132">
        <f>IF(SER_hh_fec!M10=0,0,11630*1000*SER_hh_fec!M10/SER_hh_num!M10)</f>
        <v>179218.69925230139</v>
      </c>
      <c r="N10" s="132">
        <f>IF(SER_hh_fec!N10=0,0,11630*1000*SER_hh_fec!N10/SER_hh_num!N10)</f>
        <v>151159.84986194849</v>
      </c>
      <c r="O10" s="132">
        <f>IF(SER_hh_fec!O10=0,0,11630*1000*SER_hh_fec!O10/SER_hh_num!O10)</f>
        <v>161374.73109141455</v>
      </c>
      <c r="P10" s="132">
        <f>IF(SER_hh_fec!P10=0,0,11630*1000*SER_hh_fec!P10/SER_hh_num!P10)</f>
        <v>134165.93506187646</v>
      </c>
      <c r="Q10" s="132">
        <f>IF(SER_hh_fec!Q10=0,0,11630*1000*SER_hh_fec!Q10/SER_hh_num!Q10)</f>
        <v>135664.62487513476</v>
      </c>
      <c r="R10" s="132">
        <f>IF(SER_hh_fec!R10=0,0,11630*1000*SER_hh_fec!R10/SER_hh_num!R10)</f>
        <v>149816.15886184172</v>
      </c>
      <c r="S10" s="132">
        <f>IF(SER_hh_fec!S10=0,0,11630*1000*SER_hh_fec!S10/SER_hh_num!S10)</f>
        <v>145333.39427762813</v>
      </c>
      <c r="T10" s="132">
        <f>IF(SER_hh_fec!T10=0,0,11630*1000*SER_hh_fec!T10/SER_hh_num!T10)</f>
        <v>135650.57172119402</v>
      </c>
      <c r="U10" s="132">
        <f>IF(SER_hh_fec!U10=0,0,11630*1000*SER_hh_fec!U10/SER_hh_num!U10)</f>
        <v>128878.98703402859</v>
      </c>
      <c r="V10" s="132">
        <f>IF(SER_hh_fec!V10=0,0,11630*1000*SER_hh_fec!V10/SER_hh_num!V10)</f>
        <v>136799.18620996521</v>
      </c>
      <c r="W10" s="132">
        <f>IF(SER_hh_fec!W10=0,0,11630*1000*SER_hh_fec!W10/SER_hh_num!W10)</f>
        <v>157579.4962281941</v>
      </c>
      <c r="X10" s="132">
        <f>IF(SER_hh_fec!X10=0,0,11630*1000*SER_hh_fec!X10/SER_hh_num!X10)</f>
        <v>125440.08027043958</v>
      </c>
      <c r="Y10" s="132">
        <f>IF(SER_hh_fec!Y10=0,0,11630*1000*SER_hh_fec!Y10/SER_hh_num!Y10)</f>
        <v>147176.81086204262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93119.279859424292</v>
      </c>
      <c r="C11" s="132">
        <f>IF(SER_hh_fec!C11=0,0,11630*1000*SER_hh_fec!C11/SER_hh_num!C11)</f>
        <v>66963.670175700594</v>
      </c>
      <c r="D11" s="132">
        <f>IF(SER_hh_fec!D11=0,0,11630*1000*SER_hh_fec!D11/SER_hh_num!D11)</f>
        <v>109794.22967000141</v>
      </c>
      <c r="E11" s="132">
        <f>IF(SER_hh_fec!E11=0,0,11630*1000*SER_hh_fec!E11/SER_hh_num!E11)</f>
        <v>116206.52523380685</v>
      </c>
      <c r="F11" s="132">
        <f>IF(SER_hh_fec!F11=0,0,11630*1000*SER_hh_fec!F11/SER_hh_num!F11)</f>
        <v>100805.92269235187</v>
      </c>
      <c r="G11" s="132">
        <f>IF(SER_hh_fec!G11=0,0,11630*1000*SER_hh_fec!G11/SER_hh_num!G11)</f>
        <v>113680.68290061095</v>
      </c>
      <c r="H11" s="132">
        <f>IF(SER_hh_fec!H11=0,0,11630*1000*SER_hh_fec!H11/SER_hh_num!H11)</f>
        <v>116577.8194020144</v>
      </c>
      <c r="I11" s="132">
        <f>IF(SER_hh_fec!I11=0,0,11630*1000*SER_hh_fec!I11/SER_hh_num!I11)</f>
        <v>86275.55361382413</v>
      </c>
      <c r="J11" s="132">
        <f>IF(SER_hh_fec!J11=0,0,11630*1000*SER_hh_fec!J11/SER_hh_num!J11)</f>
        <v>121100.68988922497</v>
      </c>
      <c r="K11" s="132">
        <f>IF(SER_hh_fec!K11=0,0,11630*1000*SER_hh_fec!K11/SER_hh_num!K11)</f>
        <v>125779.8266579784</v>
      </c>
      <c r="L11" s="132">
        <f>IF(SER_hh_fec!L11=0,0,11630*1000*SER_hh_fec!L11/SER_hh_num!L11)</f>
        <v>113853.97045743222</v>
      </c>
      <c r="M11" s="132">
        <f>IF(SER_hh_fec!M11=0,0,11630*1000*SER_hh_fec!M11/SER_hh_num!M11)</f>
        <v>85817.85215840055</v>
      </c>
      <c r="N11" s="132">
        <f>IF(SER_hh_fec!N11=0,0,11630*1000*SER_hh_fec!N11/SER_hh_num!N11)</f>
        <v>98777.226454584597</v>
      </c>
      <c r="O11" s="132">
        <f>IF(SER_hh_fec!O11=0,0,11630*1000*SER_hh_fec!O11/SER_hh_num!O11)</f>
        <v>107296.68112692791</v>
      </c>
      <c r="P11" s="132">
        <f>IF(SER_hh_fec!P11=0,0,11630*1000*SER_hh_fec!P11/SER_hh_num!P11)</f>
        <v>100557.84223900276</v>
      </c>
      <c r="Q11" s="132">
        <f>IF(SER_hh_fec!Q11=0,0,11630*1000*SER_hh_fec!Q11/SER_hh_num!Q11)</f>
        <v>93871.040793313063</v>
      </c>
      <c r="R11" s="132">
        <f>IF(SER_hh_fec!R11=0,0,11630*1000*SER_hh_fec!R11/SER_hh_num!R11)</f>
        <v>90995.169024443661</v>
      </c>
      <c r="S11" s="132">
        <f>IF(SER_hh_fec!S11=0,0,11630*1000*SER_hh_fec!S11/SER_hh_num!S11)</f>
        <v>90165.441490088822</v>
      </c>
      <c r="T11" s="132">
        <f>IF(SER_hh_fec!T11=0,0,11630*1000*SER_hh_fec!T11/SER_hh_num!T11)</f>
        <v>89271.419988268346</v>
      </c>
      <c r="U11" s="132">
        <f>IF(SER_hh_fec!U11=0,0,11630*1000*SER_hh_fec!U11/SER_hh_num!U11)</f>
        <v>88537.66074192879</v>
      </c>
      <c r="V11" s="132">
        <f>IF(SER_hh_fec!V11=0,0,11630*1000*SER_hh_fec!V11/SER_hh_num!V11)</f>
        <v>85950.42896279259</v>
      </c>
      <c r="W11" s="132">
        <f>IF(SER_hh_fec!W11=0,0,11630*1000*SER_hh_fec!W11/SER_hh_num!W11)</f>
        <v>89508.367125261837</v>
      </c>
      <c r="X11" s="132">
        <f>IF(SER_hh_fec!X11=0,0,11630*1000*SER_hh_fec!X11/SER_hh_num!X11)</f>
        <v>93998.045896157855</v>
      </c>
      <c r="Y11" s="132">
        <f>IF(SER_hh_fec!Y11=0,0,11630*1000*SER_hh_fec!Y11/SER_hh_num!Y11)</f>
        <v>92497.892503847441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80826.532468450969</v>
      </c>
      <c r="C12" s="132">
        <f>IF(SER_hh_fec!C12=0,0,11630*1000*SER_hh_fec!C12/SER_hh_num!C12)</f>
        <v>89890.695758654751</v>
      </c>
      <c r="D12" s="132">
        <f>IF(SER_hh_fec!D12=0,0,11630*1000*SER_hh_fec!D12/SER_hh_num!D12)</f>
        <v>106100.75847540237</v>
      </c>
      <c r="E12" s="132">
        <f>IF(SER_hh_fec!E12=0,0,11630*1000*SER_hh_fec!E12/SER_hh_num!E12)</f>
        <v>90783.521246790144</v>
      </c>
      <c r="F12" s="132">
        <f>IF(SER_hh_fec!F12=0,0,11630*1000*SER_hh_fec!F12/SER_hh_num!F12)</f>
        <v>120491.56850094158</v>
      </c>
      <c r="G12" s="132">
        <f>IF(SER_hh_fec!G12=0,0,11630*1000*SER_hh_fec!G12/SER_hh_num!G12)</f>
        <v>103833.79008665975</v>
      </c>
      <c r="H12" s="132">
        <f>IF(SER_hh_fec!H12=0,0,11630*1000*SER_hh_fec!H12/SER_hh_num!H12)</f>
        <v>127397.57726018972</v>
      </c>
      <c r="I12" s="132">
        <f>IF(SER_hh_fec!I12=0,0,11630*1000*SER_hh_fec!I12/SER_hh_num!I12)</f>
        <v>84650.78149822008</v>
      </c>
      <c r="J12" s="132">
        <f>IF(SER_hh_fec!J12=0,0,11630*1000*SER_hh_fec!J12/SER_hh_num!J12)</f>
        <v>120758.04511413469</v>
      </c>
      <c r="K12" s="132">
        <f>IF(SER_hh_fec!K12=0,0,11630*1000*SER_hh_fec!K12/SER_hh_num!K12)</f>
        <v>113090.19342487586</v>
      </c>
      <c r="L12" s="132">
        <f>IF(SER_hh_fec!L12=0,0,11630*1000*SER_hh_fec!L12/SER_hh_num!L12)</f>
        <v>125674.55546540083</v>
      </c>
      <c r="M12" s="132">
        <f>IF(SER_hh_fec!M12=0,0,11630*1000*SER_hh_fec!M12/SER_hh_num!M12)</f>
        <v>107240.40483999718</v>
      </c>
      <c r="N12" s="132">
        <f>IF(SER_hh_fec!N12=0,0,11630*1000*SER_hh_fec!N12/SER_hh_num!N12)</f>
        <v>106116.79557393452</v>
      </c>
      <c r="O12" s="132">
        <f>IF(SER_hh_fec!O12=0,0,11630*1000*SER_hh_fec!O12/SER_hh_num!O12)</f>
        <v>108798.18892172657</v>
      </c>
      <c r="P12" s="132">
        <f>IF(SER_hh_fec!P12=0,0,11630*1000*SER_hh_fec!P12/SER_hh_num!P12)</f>
        <v>93340.358254978317</v>
      </c>
      <c r="Q12" s="132">
        <f>IF(SER_hh_fec!Q12=0,0,11630*1000*SER_hh_fec!Q12/SER_hh_num!Q12)</f>
        <v>84782.616858776819</v>
      </c>
      <c r="R12" s="132">
        <f>IF(SER_hh_fec!R12=0,0,11630*1000*SER_hh_fec!R12/SER_hh_num!R12)</f>
        <v>99375.56377554583</v>
      </c>
      <c r="S12" s="132">
        <f>IF(SER_hh_fec!S12=0,0,11630*1000*SER_hh_fec!S12/SER_hh_num!S12)</f>
        <v>99679.575338061288</v>
      </c>
      <c r="T12" s="132">
        <f>IF(SER_hh_fec!T12=0,0,11630*1000*SER_hh_fec!T12/SER_hh_num!T12)</f>
        <v>84454.981806218537</v>
      </c>
      <c r="U12" s="132">
        <f>IF(SER_hh_fec!U12=0,0,11630*1000*SER_hh_fec!U12/SER_hh_num!U12)</f>
        <v>88657.773199352698</v>
      </c>
      <c r="V12" s="132">
        <f>IF(SER_hh_fec!V12=0,0,11630*1000*SER_hh_fec!V12/SER_hh_num!V12)</f>
        <v>91431.581171942162</v>
      </c>
      <c r="W12" s="132">
        <f>IF(SER_hh_fec!W12=0,0,11630*1000*SER_hh_fec!W12/SER_hh_num!W12)</f>
        <v>83111.385934091202</v>
      </c>
      <c r="X12" s="132">
        <f>IF(SER_hh_fec!X12=0,0,11630*1000*SER_hh_fec!X12/SER_hh_num!X12)</f>
        <v>96639.770996082487</v>
      </c>
      <c r="Y12" s="132">
        <f>IF(SER_hh_fec!Y12=0,0,11630*1000*SER_hh_fec!Y12/SER_hh_num!Y12)</f>
        <v>86404.959656501669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38966.200062844946</v>
      </c>
      <c r="C13" s="132">
        <f>IF(SER_hh_fec!C13=0,0,11630*1000*SER_hh_fec!C13/SER_hh_num!C13)</f>
        <v>49991.883334005266</v>
      </c>
      <c r="D13" s="132">
        <f>IF(SER_hh_fec!D13=0,0,11630*1000*SER_hh_fec!D13/SER_hh_num!D13)</f>
        <v>45281.297435400142</v>
      </c>
      <c r="E13" s="132">
        <f>IF(SER_hh_fec!E13=0,0,11630*1000*SER_hh_fec!E13/SER_hh_num!E13)</f>
        <v>50063.197888201539</v>
      </c>
      <c r="F13" s="132">
        <f>IF(SER_hh_fec!F13=0,0,11630*1000*SER_hh_fec!F13/SER_hh_num!F13)</f>
        <v>44825.817350714256</v>
      </c>
      <c r="G13" s="132">
        <f>IF(SER_hh_fec!G13=0,0,11630*1000*SER_hh_fec!G13/SER_hh_num!G13)</f>
        <v>47954.504991046822</v>
      </c>
      <c r="H13" s="132">
        <f>IF(SER_hh_fec!H13=0,0,11630*1000*SER_hh_fec!H13/SER_hh_num!H13)</f>
        <v>48482.496751185114</v>
      </c>
      <c r="I13" s="132">
        <f>IF(SER_hh_fec!I13=0,0,11630*1000*SER_hh_fec!I13/SER_hh_num!I13)</f>
        <v>46079.02332696745</v>
      </c>
      <c r="J13" s="132">
        <f>IF(SER_hh_fec!J13=0,0,11630*1000*SER_hh_fec!J13/SER_hh_num!J13)</f>
        <v>47310.745674943741</v>
      </c>
      <c r="K13" s="132">
        <f>IF(SER_hh_fec!K13=0,0,11630*1000*SER_hh_fec!K13/SER_hh_num!K13)</f>
        <v>47957.482726993498</v>
      </c>
      <c r="L13" s="132">
        <f>IF(SER_hh_fec!L13=0,0,11630*1000*SER_hh_fec!L13/SER_hh_num!L13)</f>
        <v>47059.818797473403</v>
      </c>
      <c r="M13" s="132">
        <f>IF(SER_hh_fec!M13=0,0,11630*1000*SER_hh_fec!M13/SER_hh_num!M13)</f>
        <v>43433.382719363428</v>
      </c>
      <c r="N13" s="132">
        <f>IF(SER_hh_fec!N13=0,0,11630*1000*SER_hh_fec!N13/SER_hh_num!N13)</f>
        <v>39327.320781338429</v>
      </c>
      <c r="O13" s="132">
        <f>IF(SER_hh_fec!O13=0,0,11630*1000*SER_hh_fec!O13/SER_hh_num!O13)</f>
        <v>31568.143286385352</v>
      </c>
      <c r="P13" s="132">
        <f>IF(SER_hh_fec!P13=0,0,11630*1000*SER_hh_fec!P13/SER_hh_num!P13)</f>
        <v>33744.664594771377</v>
      </c>
      <c r="Q13" s="132">
        <f>IF(SER_hh_fec!Q13=0,0,11630*1000*SER_hh_fec!Q13/SER_hh_num!Q13)</f>
        <v>31294.78254354361</v>
      </c>
      <c r="R13" s="132">
        <f>IF(SER_hh_fec!R13=0,0,11630*1000*SER_hh_fec!R13/SER_hh_num!R13)</f>
        <v>30117.089579926163</v>
      </c>
      <c r="S13" s="132">
        <f>IF(SER_hh_fec!S13=0,0,11630*1000*SER_hh_fec!S13/SER_hh_num!S13)</f>
        <v>28061.235021972425</v>
      </c>
      <c r="T13" s="132">
        <f>IF(SER_hh_fec!T13=0,0,11630*1000*SER_hh_fec!T13/SER_hh_num!T13)</f>
        <v>25876.436357186696</v>
      </c>
      <c r="U13" s="132">
        <f>IF(SER_hh_fec!U13=0,0,11630*1000*SER_hh_fec!U13/SER_hh_num!U13)</f>
        <v>24609.95109865395</v>
      </c>
      <c r="V13" s="132">
        <f>IF(SER_hh_fec!V13=0,0,11630*1000*SER_hh_fec!V13/SER_hh_num!V13)</f>
        <v>23478.614429095585</v>
      </c>
      <c r="W13" s="132">
        <f>IF(SER_hh_fec!W13=0,0,11630*1000*SER_hh_fec!W13/SER_hh_num!W13)</f>
        <v>24889.960227798958</v>
      </c>
      <c r="X13" s="132">
        <f>IF(SER_hh_fec!X13=0,0,11630*1000*SER_hh_fec!X13/SER_hh_num!X13)</f>
        <v>23663.911846863393</v>
      </c>
      <c r="Y13" s="132">
        <f>IF(SER_hh_fec!Y13=0,0,11630*1000*SER_hh_fec!Y13/SER_hh_num!Y13)</f>
        <v>23836.208876793338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94910.495385294256</v>
      </c>
      <c r="C14" s="65">
        <f>IF(SER_hh_fec!C14=0,0,11630*1000*SER_hh_fec!C14/SER_hh_num!C14)</f>
        <v>112107.77519433523</v>
      </c>
      <c r="D14" s="65">
        <f>IF(SER_hh_fec!D14=0,0,11630*1000*SER_hh_fec!D14/SER_hh_num!D14)</f>
        <v>100968.31844570185</v>
      </c>
      <c r="E14" s="65">
        <f>IF(SER_hh_fec!E14=0,0,11630*1000*SER_hh_fec!E14/SER_hh_num!E14)</f>
        <v>116640.22745684018</v>
      </c>
      <c r="F14" s="65">
        <f>IF(SER_hh_fec!F14=0,0,11630*1000*SER_hh_fec!F14/SER_hh_num!F14)</f>
        <v>113831.20355522912</v>
      </c>
      <c r="G14" s="65">
        <f>IF(SER_hh_fec!G14=0,0,11630*1000*SER_hh_fec!G14/SER_hh_num!G14)</f>
        <v>122393.91761357151</v>
      </c>
      <c r="H14" s="65">
        <f>IF(SER_hh_fec!H14=0,0,11630*1000*SER_hh_fec!H14/SER_hh_num!H14)</f>
        <v>138124.01264667956</v>
      </c>
      <c r="I14" s="65">
        <f>IF(SER_hh_fec!I14=0,0,11630*1000*SER_hh_fec!I14/SER_hh_num!I14)</f>
        <v>109506.31287273557</v>
      </c>
      <c r="J14" s="65">
        <f>IF(SER_hh_fec!J14=0,0,11630*1000*SER_hh_fec!J14/SER_hh_num!J14)</f>
        <v>134753.33104137969</v>
      </c>
      <c r="K14" s="65">
        <f>IF(SER_hh_fec!K14=0,0,11630*1000*SER_hh_fec!K14/SER_hh_num!K14)</f>
        <v>111667.38759321858</v>
      </c>
      <c r="L14" s="65">
        <f>IF(SER_hh_fec!L14=0,0,11630*1000*SER_hh_fec!L14/SER_hh_num!L14)</f>
        <v>137941.81503502425</v>
      </c>
      <c r="M14" s="65">
        <f>IF(SER_hh_fec!M14=0,0,11630*1000*SER_hh_fec!M14/SER_hh_num!M14)</f>
        <v>130652.48019711964</v>
      </c>
      <c r="N14" s="65">
        <f>IF(SER_hh_fec!N14=0,0,11630*1000*SER_hh_fec!N14/SER_hh_num!N14)</f>
        <v>124005.52150016835</v>
      </c>
      <c r="O14" s="65">
        <f>IF(SER_hh_fec!O14=0,0,11630*1000*SER_hh_fec!O14/SER_hh_num!O14)</f>
        <v>100281.65961860858</v>
      </c>
      <c r="P14" s="65">
        <f>IF(SER_hh_fec!P14=0,0,11630*1000*SER_hh_fec!P14/SER_hh_num!P14)</f>
        <v>106640.69269555876</v>
      </c>
      <c r="Q14" s="65">
        <f>IF(SER_hh_fec!Q14=0,0,11630*1000*SER_hh_fec!Q14/SER_hh_num!Q14)</f>
        <v>97356.96260658055</v>
      </c>
      <c r="R14" s="65">
        <f>IF(SER_hh_fec!R14=0,0,11630*1000*SER_hh_fec!R14/SER_hh_num!R14)</f>
        <v>109508.58448386304</v>
      </c>
      <c r="S14" s="65">
        <f>IF(SER_hh_fec!S14=0,0,11630*1000*SER_hh_fec!S14/SER_hh_num!S14)</f>
        <v>95162.341565546943</v>
      </c>
      <c r="T14" s="65">
        <f>IF(SER_hh_fec!T14=0,0,11630*1000*SER_hh_fec!T14/SER_hh_num!T14)</f>
        <v>102210.65806163664</v>
      </c>
      <c r="U14" s="65">
        <f>IF(SER_hh_fec!U14=0,0,11630*1000*SER_hh_fec!U14/SER_hh_num!U14)</f>
        <v>94814.238430928453</v>
      </c>
      <c r="V14" s="65">
        <f>IF(SER_hh_fec!V14=0,0,11630*1000*SER_hh_fec!V14/SER_hh_num!V14)</f>
        <v>89302.195266661336</v>
      </c>
      <c r="W14" s="65">
        <f>IF(SER_hh_fec!W14=0,0,11630*1000*SER_hh_fec!W14/SER_hh_num!W14)</f>
        <v>101198.6377208842</v>
      </c>
      <c r="X14" s="65">
        <f>IF(SER_hh_fec!X14=0,0,11630*1000*SER_hh_fec!X14/SER_hh_num!X14)</f>
        <v>88577.759304620602</v>
      </c>
      <c r="Y14" s="65">
        <f>IF(SER_hh_fec!Y14=0,0,11630*1000*SER_hh_fec!Y14/SER_hh_num!Y14)</f>
        <v>100166.19187150689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818.8370946966611</v>
      </c>
      <c r="C15" s="134">
        <f>IF(SER_hh_fec!C15=0,0,11630*1000*SER_hh_fec!C15/SER_hh_num!C15)</f>
        <v>909.66747400817292</v>
      </c>
      <c r="D15" s="134">
        <f>IF(SER_hh_fec!D15=0,0,11630*1000*SER_hh_fec!D15/SER_hh_num!D15)</f>
        <v>1062.6389400295363</v>
      </c>
      <c r="E15" s="134">
        <f>IF(SER_hh_fec!E15=0,0,11630*1000*SER_hh_fec!E15/SER_hh_num!E15)</f>
        <v>1037.6901855004387</v>
      </c>
      <c r="F15" s="134">
        <f>IF(SER_hh_fec!F15=0,0,11630*1000*SER_hh_fec!F15/SER_hh_num!F15)</f>
        <v>1035.9802294536225</v>
      </c>
      <c r="G15" s="134">
        <f>IF(SER_hh_fec!G15=0,0,11630*1000*SER_hh_fec!G15/SER_hh_num!G15)</f>
        <v>960.8355686005691</v>
      </c>
      <c r="H15" s="134">
        <f>IF(SER_hh_fec!H15=0,0,11630*1000*SER_hh_fec!H15/SER_hh_num!H15)</f>
        <v>1012.9678929195483</v>
      </c>
      <c r="I15" s="134">
        <f>IF(SER_hh_fec!I15=0,0,11630*1000*SER_hh_fec!I15/SER_hh_num!I15)</f>
        <v>912.62898907914484</v>
      </c>
      <c r="J15" s="134">
        <f>IF(SER_hh_fec!J15=0,0,11630*1000*SER_hh_fec!J15/SER_hh_num!J15)</f>
        <v>980.29374508541753</v>
      </c>
      <c r="K15" s="134">
        <f>IF(SER_hh_fec!K15=0,0,11630*1000*SER_hh_fec!K15/SER_hh_num!K15)</f>
        <v>983.10108225016575</v>
      </c>
      <c r="L15" s="134">
        <f>IF(SER_hh_fec!L15=0,0,11630*1000*SER_hh_fec!L15/SER_hh_num!L15)</f>
        <v>1131.9578518218148</v>
      </c>
      <c r="M15" s="134">
        <f>IF(SER_hh_fec!M15=0,0,11630*1000*SER_hh_fec!M15/SER_hh_num!M15)</f>
        <v>1006.195977089983</v>
      </c>
      <c r="N15" s="134">
        <f>IF(SER_hh_fec!N15=0,0,11630*1000*SER_hh_fec!N15/SER_hh_num!N15)</f>
        <v>959.14360426550525</v>
      </c>
      <c r="O15" s="134">
        <f>IF(SER_hh_fec!O15=0,0,11630*1000*SER_hh_fec!O15/SER_hh_num!O15)</f>
        <v>894.5797714181258</v>
      </c>
      <c r="P15" s="134">
        <f>IF(SER_hh_fec!P15=0,0,11630*1000*SER_hh_fec!P15/SER_hh_num!P15)</f>
        <v>771.98364641995101</v>
      </c>
      <c r="Q15" s="134">
        <f>IF(SER_hh_fec!Q15=0,0,11630*1000*SER_hh_fec!Q15/SER_hh_num!Q15)</f>
        <v>790.83067934824317</v>
      </c>
      <c r="R15" s="134">
        <f>IF(SER_hh_fec!R15=0,0,11630*1000*SER_hh_fec!R15/SER_hh_num!R15)</f>
        <v>903.64332231793321</v>
      </c>
      <c r="S15" s="134">
        <f>IF(SER_hh_fec!S15=0,0,11630*1000*SER_hh_fec!S15/SER_hh_num!S15)</f>
        <v>765.31051728426826</v>
      </c>
      <c r="T15" s="134">
        <f>IF(SER_hh_fec!T15=0,0,11630*1000*SER_hh_fec!T15/SER_hh_num!T15)</f>
        <v>729.37648708728034</v>
      </c>
      <c r="U15" s="134">
        <f>IF(SER_hh_fec!U15=0,0,11630*1000*SER_hh_fec!U15/SER_hh_num!U15)</f>
        <v>719.27750024212128</v>
      </c>
      <c r="V15" s="134">
        <f>IF(SER_hh_fec!V15=0,0,11630*1000*SER_hh_fec!V15/SER_hh_num!V15)</f>
        <v>691.47076719354629</v>
      </c>
      <c r="W15" s="134">
        <f>IF(SER_hh_fec!W15=0,0,11630*1000*SER_hh_fec!W15/SER_hh_num!W15)</f>
        <v>877.21988997990684</v>
      </c>
      <c r="X15" s="134">
        <f>IF(SER_hh_fec!X15=0,0,11630*1000*SER_hh_fec!X15/SER_hh_num!X15)</f>
        <v>825.70494187753081</v>
      </c>
      <c r="Y15" s="134">
        <f>IF(SER_hh_fec!Y15=0,0,11630*1000*SER_hh_fec!Y15/SER_hh_num!Y15)</f>
        <v>769.63403856465141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13790.025859305893</v>
      </c>
      <c r="C16" s="130">
        <f>IF(SER_hh_fec!C16=0,0,11630*1000*SER_hh_fec!C16/SER_hh_num!C16)</f>
        <v>13450.493018787663</v>
      </c>
      <c r="D16" s="130">
        <f>IF(SER_hh_fec!D16=0,0,11630*1000*SER_hh_fec!D16/SER_hh_num!D16)</f>
        <v>13131.346432862005</v>
      </c>
      <c r="E16" s="130">
        <f>IF(SER_hh_fec!E16=0,0,11630*1000*SER_hh_fec!E16/SER_hh_num!E16)</f>
        <v>12313.7682395827</v>
      </c>
      <c r="F16" s="130">
        <f>IF(SER_hh_fec!F16=0,0,11630*1000*SER_hh_fec!F16/SER_hh_num!F16)</f>
        <v>11633.738376842737</v>
      </c>
      <c r="G16" s="130">
        <f>IF(SER_hh_fec!G16=0,0,11630*1000*SER_hh_fec!G16/SER_hh_num!G16)</f>
        <v>11103.656647175636</v>
      </c>
      <c r="H16" s="130">
        <f>IF(SER_hh_fec!H16=0,0,11630*1000*SER_hh_fec!H16/SER_hh_num!H16)</f>
        <v>11068.236901717166</v>
      </c>
      <c r="I16" s="130">
        <f>IF(SER_hh_fec!I16=0,0,11630*1000*SER_hh_fec!I16/SER_hh_num!I16)</f>
        <v>10032.307596824952</v>
      </c>
      <c r="J16" s="130">
        <f>IF(SER_hh_fec!J16=0,0,11630*1000*SER_hh_fec!J16/SER_hh_num!J16)</f>
        <v>9338.2111080722625</v>
      </c>
      <c r="K16" s="130">
        <f>IF(SER_hh_fec!K16=0,0,11630*1000*SER_hh_fec!K16/SER_hh_num!K16)</f>
        <v>9163.4406013006719</v>
      </c>
      <c r="L16" s="130">
        <f>IF(SER_hh_fec!L16=0,0,11630*1000*SER_hh_fec!L16/SER_hh_num!L16)</f>
        <v>10146.635360130789</v>
      </c>
      <c r="M16" s="130">
        <f>IF(SER_hh_fec!M16=0,0,11630*1000*SER_hh_fec!M16/SER_hh_num!M16)</f>
        <v>8721.7371243592206</v>
      </c>
      <c r="N16" s="130">
        <f>IF(SER_hh_fec!N16=0,0,11630*1000*SER_hh_fec!N16/SER_hh_num!N16)</f>
        <v>8870.7110634970431</v>
      </c>
      <c r="O16" s="130">
        <f>IF(SER_hh_fec!O16=0,0,11630*1000*SER_hh_fec!O16/SER_hh_num!O16)</f>
        <v>8592.8482826210111</v>
      </c>
      <c r="P16" s="130">
        <f>IF(SER_hh_fec!P16=0,0,11630*1000*SER_hh_fec!P16/SER_hh_num!P16)</f>
        <v>8164.8758777709127</v>
      </c>
      <c r="Q16" s="130">
        <f>IF(SER_hh_fec!Q16=0,0,11630*1000*SER_hh_fec!Q16/SER_hh_num!Q16)</f>
        <v>9004.0762558740134</v>
      </c>
      <c r="R16" s="130">
        <f>IF(SER_hh_fec!R16=0,0,11630*1000*SER_hh_fec!R16/SER_hh_num!R16)</f>
        <v>7546.1120580508887</v>
      </c>
      <c r="S16" s="130">
        <f>IF(SER_hh_fec!S16=0,0,11630*1000*SER_hh_fec!S16/SER_hh_num!S16)</f>
        <v>7345.46551376565</v>
      </c>
      <c r="T16" s="130">
        <f>IF(SER_hh_fec!T16=0,0,11630*1000*SER_hh_fec!T16/SER_hh_num!T16)</f>
        <v>7327.1938473569289</v>
      </c>
      <c r="U16" s="130">
        <f>IF(SER_hh_fec!U16=0,0,11630*1000*SER_hh_fec!U16/SER_hh_num!U16)</f>
        <v>7740.2717609855472</v>
      </c>
      <c r="V16" s="130">
        <f>IF(SER_hh_fec!V16=0,0,11630*1000*SER_hh_fec!V16/SER_hh_num!V16)</f>
        <v>6505.1341181185171</v>
      </c>
      <c r="W16" s="130">
        <f>IF(SER_hh_fec!W16=0,0,11630*1000*SER_hh_fec!W16/SER_hh_num!W16)</f>
        <v>6746.7309172465166</v>
      </c>
      <c r="X16" s="130">
        <f>IF(SER_hh_fec!X16=0,0,11630*1000*SER_hh_fec!X16/SER_hh_num!X16)</f>
        <v>7058.929581507341</v>
      </c>
      <c r="Y16" s="130">
        <f>IF(SER_hh_fec!Y16=0,0,11630*1000*SER_hh_fec!Y16/SER_hh_num!Y16)</f>
        <v>6700.1965140013854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23039.277246136546</v>
      </c>
      <c r="C17" s="132">
        <f>IF(SER_hh_fec!C17=0,0,11630*1000*SER_hh_fec!C17/SER_hh_num!C17)</f>
        <v>22833.210725478792</v>
      </c>
      <c r="D17" s="132">
        <f>IF(SER_hh_fec!D17=0,0,11630*1000*SER_hh_fec!D17/SER_hh_num!D17)</f>
        <v>22818.824777078938</v>
      </c>
      <c r="E17" s="132">
        <f>IF(SER_hh_fec!E17=0,0,11630*1000*SER_hh_fec!E17/SER_hh_num!E17)</f>
        <v>22027.472545324508</v>
      </c>
      <c r="F17" s="132">
        <f>IF(SER_hh_fec!F17=0,0,11630*1000*SER_hh_fec!F17/SER_hh_num!F17)</f>
        <v>21512.630949629449</v>
      </c>
      <c r="G17" s="132">
        <f>IF(SER_hh_fec!G17=0,0,11630*1000*SER_hh_fec!G17/SER_hh_num!G17)</f>
        <v>21310.056514932465</v>
      </c>
      <c r="H17" s="132">
        <f>IF(SER_hh_fec!H17=0,0,11630*1000*SER_hh_fec!H17/SER_hh_num!H17)</f>
        <v>22172.779191868845</v>
      </c>
      <c r="I17" s="132">
        <f>IF(SER_hh_fec!I17=0,0,11630*1000*SER_hh_fec!I17/SER_hh_num!I17)</f>
        <v>20945.615172418027</v>
      </c>
      <c r="J17" s="132">
        <f>IF(SER_hh_fec!J17=0,0,11630*1000*SER_hh_fec!J17/SER_hh_num!J17)</f>
        <v>20297.120861754971</v>
      </c>
      <c r="K17" s="132">
        <f>IF(SER_hh_fec!K17=0,0,11630*1000*SER_hh_fec!K17/SER_hh_num!K17)</f>
        <v>20173.7929431595</v>
      </c>
      <c r="L17" s="132">
        <f>IF(SER_hh_fec!L17=0,0,11630*1000*SER_hh_fec!L17/SER_hh_num!L17)</f>
        <v>22682.797315072825</v>
      </c>
      <c r="M17" s="132">
        <f>IF(SER_hh_fec!M17=0,0,11630*1000*SER_hh_fec!M17/SER_hh_num!M17)</f>
        <v>19789.803230401485</v>
      </c>
      <c r="N17" s="132">
        <f>IF(SER_hh_fec!N17=0,0,11630*1000*SER_hh_fec!N17/SER_hh_num!N17)</f>
        <v>20460.918301586989</v>
      </c>
      <c r="O17" s="132">
        <f>IF(SER_hh_fec!O17=0,0,11630*1000*SER_hh_fec!O17/SER_hh_num!O17)</f>
        <v>20045.46577537863</v>
      </c>
      <c r="P17" s="132">
        <f>IF(SER_hh_fec!P17=0,0,11630*1000*SER_hh_fec!P17/SER_hh_num!P17)</f>
        <v>19297.779779452358</v>
      </c>
      <c r="Q17" s="132">
        <f>IF(SER_hh_fec!Q17=0,0,11630*1000*SER_hh_fec!Q17/SER_hh_num!Q17)</f>
        <v>21768.984794625303</v>
      </c>
      <c r="R17" s="132">
        <f>IF(SER_hh_fec!R17=0,0,11630*1000*SER_hh_fec!R17/SER_hh_num!R17)</f>
        <v>18464.934620736138</v>
      </c>
      <c r="S17" s="132">
        <f>IF(SER_hh_fec!S17=0,0,11630*1000*SER_hh_fec!S17/SER_hh_num!S17)</f>
        <v>18361.695117804848</v>
      </c>
      <c r="T17" s="132">
        <f>IF(SER_hh_fec!T17=0,0,11630*1000*SER_hh_fec!T17/SER_hh_num!T17)</f>
        <v>18694.141151417007</v>
      </c>
      <c r="U17" s="132">
        <f>IF(SER_hh_fec!U17=0,0,11630*1000*SER_hh_fec!U17/SER_hh_num!U17)</f>
        <v>20065.184453838592</v>
      </c>
      <c r="V17" s="132">
        <f>IF(SER_hh_fec!V17=0,0,11630*1000*SER_hh_fec!V17/SER_hh_num!V17)</f>
        <v>16446.90823182229</v>
      </c>
      <c r="W17" s="132">
        <f>IF(SER_hh_fec!W17=0,0,11630*1000*SER_hh_fec!W17/SER_hh_num!W17)</f>
        <v>17002.808072613097</v>
      </c>
      <c r="X17" s="132">
        <f>IF(SER_hh_fec!X17=0,0,11630*1000*SER_hh_fec!X17/SER_hh_num!X17)</f>
        <v>19069.928376627784</v>
      </c>
      <c r="Y17" s="132">
        <f>IF(SER_hh_fec!Y17=0,0,11630*1000*SER_hh_fec!Y17/SER_hh_num!Y17)</f>
        <v>17830.339947704433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13777.835341131164</v>
      </c>
      <c r="C18" s="132">
        <f>IF(SER_hh_fec!C18=0,0,11630*1000*SER_hh_fec!C18/SER_hh_num!C18)</f>
        <v>13437.332695643643</v>
      </c>
      <c r="D18" s="132">
        <f>IF(SER_hh_fec!D18=0,0,11630*1000*SER_hh_fec!D18/SER_hh_num!D18)</f>
        <v>13116.466978763801</v>
      </c>
      <c r="E18" s="132">
        <f>IF(SER_hh_fec!E18=0,0,11630*1000*SER_hh_fec!E18/SER_hh_num!E18)</f>
        <v>12297.744832608272</v>
      </c>
      <c r="F18" s="132">
        <f>IF(SER_hh_fec!F18=0,0,11630*1000*SER_hh_fec!F18/SER_hh_num!F18)</f>
        <v>11615.246804966404</v>
      </c>
      <c r="G18" s="132">
        <f>IF(SER_hh_fec!G18=0,0,11630*1000*SER_hh_fec!G18/SER_hh_num!G18)</f>
        <v>11082.784147037453</v>
      </c>
      <c r="H18" s="132">
        <f>IF(SER_hh_fec!H18=0,0,11630*1000*SER_hh_fec!H18/SER_hh_num!H18)</f>
        <v>11045.044603721952</v>
      </c>
      <c r="I18" s="132">
        <f>IF(SER_hh_fec!I18=0,0,11630*1000*SER_hh_fec!I18/SER_hh_num!I18)</f>
        <v>10007.654904280167</v>
      </c>
      <c r="J18" s="132">
        <f>IF(SER_hh_fec!J18=0,0,11630*1000*SER_hh_fec!J18/SER_hh_num!J18)</f>
        <v>9313.0476109996343</v>
      </c>
      <c r="K18" s="132">
        <f>IF(SER_hh_fec!K18=0,0,11630*1000*SER_hh_fec!K18/SER_hh_num!K18)</f>
        <v>9137.5790468200848</v>
      </c>
      <c r="L18" s="132">
        <f>IF(SER_hh_fec!L18=0,0,11630*1000*SER_hh_fec!L18/SER_hh_num!L18)</f>
        <v>10117.482329402956</v>
      </c>
      <c r="M18" s="132">
        <f>IF(SER_hh_fec!M18=0,0,11630*1000*SER_hh_fec!M18/SER_hh_num!M18)</f>
        <v>8693.2466720460761</v>
      </c>
      <c r="N18" s="132">
        <f>IF(SER_hh_fec!N18=0,0,11630*1000*SER_hh_fec!N18/SER_hh_num!N18)</f>
        <v>8838.0198355224911</v>
      </c>
      <c r="O18" s="132">
        <f>IF(SER_hh_fec!O18=0,0,11630*1000*SER_hh_fec!O18/SER_hh_num!O18)</f>
        <v>8553.4489403424941</v>
      </c>
      <c r="P18" s="132">
        <f>IF(SER_hh_fec!P18=0,0,11630*1000*SER_hh_fec!P18/SER_hh_num!P18)</f>
        <v>8114.4119702351518</v>
      </c>
      <c r="Q18" s="132">
        <f>IF(SER_hh_fec!Q18=0,0,11630*1000*SER_hh_fec!Q18/SER_hh_num!Q18)</f>
        <v>8935.9638288944388</v>
      </c>
      <c r="R18" s="132">
        <f>IF(SER_hh_fec!R18=0,0,11630*1000*SER_hh_fec!R18/SER_hh_num!R18)</f>
        <v>7459.6967524636993</v>
      </c>
      <c r="S18" s="132">
        <f>IF(SER_hh_fec!S18=0,0,11630*1000*SER_hh_fec!S18/SER_hh_num!S18)</f>
        <v>7242.2670685977146</v>
      </c>
      <c r="T18" s="132">
        <f>IF(SER_hh_fec!T18=0,0,11630*1000*SER_hh_fec!T18/SER_hh_num!T18)</f>
        <v>7210.9286191052051</v>
      </c>
      <c r="U18" s="132">
        <f>IF(SER_hh_fec!U18=0,0,11630*1000*SER_hh_fec!U18/SER_hh_num!U18)</f>
        <v>7607.7982358410945</v>
      </c>
      <c r="V18" s="132">
        <f>IF(SER_hh_fec!V18=0,0,11630*1000*SER_hh_fec!V18/SER_hh_num!V18)</f>
        <v>6394.347743423571</v>
      </c>
      <c r="W18" s="132">
        <f>IF(SER_hh_fec!W18=0,0,11630*1000*SER_hh_fec!W18/SER_hh_num!W18)</f>
        <v>6631.8762069135946</v>
      </c>
      <c r="X18" s="132">
        <f>IF(SER_hh_fec!X18=0,0,11630*1000*SER_hh_fec!X18/SER_hh_num!X18)</f>
        <v>6923.8419941855545</v>
      </c>
      <c r="Y18" s="132">
        <f>IF(SER_hh_fec!Y18=0,0,11630*1000*SER_hh_fec!Y18/SER_hh_num!Y18)</f>
        <v>6571.2647745991317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12838.296992273816</v>
      </c>
      <c r="C19" s="130">
        <f>IF(SER_hh_fec!C19=0,0,11630*1000*SER_hh_fec!C19/SER_hh_num!C19)</f>
        <v>14126.774807520425</v>
      </c>
      <c r="D19" s="130">
        <f>IF(SER_hh_fec!D19=0,0,11630*1000*SER_hh_fec!D19/SER_hh_num!D19)</f>
        <v>16994.62554869568</v>
      </c>
      <c r="E19" s="130">
        <f>IF(SER_hh_fec!E19=0,0,11630*1000*SER_hh_fec!E19/SER_hh_num!E19)</f>
        <v>18269.480261989003</v>
      </c>
      <c r="F19" s="130">
        <f>IF(SER_hh_fec!F19=0,0,11630*1000*SER_hh_fec!F19/SER_hh_num!F19)</f>
        <v>19283.449073138661</v>
      </c>
      <c r="G19" s="130">
        <f>IF(SER_hh_fec!G19=0,0,11630*1000*SER_hh_fec!G19/SER_hh_num!G19)</f>
        <v>19314.013366092713</v>
      </c>
      <c r="H19" s="130">
        <f>IF(SER_hh_fec!H19=0,0,11630*1000*SER_hh_fec!H19/SER_hh_num!H19)</f>
        <v>20288.988367661972</v>
      </c>
      <c r="I19" s="130">
        <f>IF(SER_hh_fec!I19=0,0,11630*1000*SER_hh_fec!I19/SER_hh_num!I19)</f>
        <v>21381.724833148892</v>
      </c>
      <c r="J19" s="130">
        <f>IF(SER_hh_fec!J19=0,0,11630*1000*SER_hh_fec!J19/SER_hh_num!J19)</f>
        <v>21867.938428106427</v>
      </c>
      <c r="K19" s="130">
        <f>IF(SER_hh_fec!K19=0,0,11630*1000*SER_hh_fec!K19/SER_hh_num!K19)</f>
        <v>21802.882065050326</v>
      </c>
      <c r="L19" s="130">
        <f>IF(SER_hh_fec!L19=0,0,11630*1000*SER_hh_fec!L19/SER_hh_num!L19)</f>
        <v>21870.667118050638</v>
      </c>
      <c r="M19" s="130">
        <f>IF(SER_hh_fec!M19=0,0,11630*1000*SER_hh_fec!M19/SER_hh_num!M19)</f>
        <v>21801.537146394523</v>
      </c>
      <c r="N19" s="130">
        <f>IF(SER_hh_fec!N19=0,0,11630*1000*SER_hh_fec!N19/SER_hh_num!N19)</f>
        <v>22010.436229028728</v>
      </c>
      <c r="O19" s="130">
        <f>IF(SER_hh_fec!O19=0,0,11630*1000*SER_hh_fec!O19/SER_hh_num!O19)</f>
        <v>22301.38343074984</v>
      </c>
      <c r="P19" s="130">
        <f>IF(SER_hh_fec!P19=0,0,11630*1000*SER_hh_fec!P19/SER_hh_num!P19)</f>
        <v>22210.722837713762</v>
      </c>
      <c r="Q19" s="130">
        <f>IF(SER_hh_fec!Q19=0,0,11630*1000*SER_hh_fec!Q19/SER_hh_num!Q19)</f>
        <v>22458.79037656642</v>
      </c>
      <c r="R19" s="130">
        <f>IF(SER_hh_fec!R19=0,0,11630*1000*SER_hh_fec!R19/SER_hh_num!R19)</f>
        <v>22575.444087371372</v>
      </c>
      <c r="S19" s="130">
        <f>IF(SER_hh_fec!S19=0,0,11630*1000*SER_hh_fec!S19/SER_hh_num!S19)</f>
        <v>21716.987977162997</v>
      </c>
      <c r="T19" s="130">
        <f>IF(SER_hh_fec!T19=0,0,11630*1000*SER_hh_fec!T19/SER_hh_num!T19)</f>
        <v>20954.824011879686</v>
      </c>
      <c r="U19" s="130">
        <f>IF(SER_hh_fec!U19=0,0,11630*1000*SER_hh_fec!U19/SER_hh_num!U19)</f>
        <v>20339.965265738923</v>
      </c>
      <c r="V19" s="130">
        <f>IF(SER_hh_fec!V19=0,0,11630*1000*SER_hh_fec!V19/SER_hh_num!V19)</f>
        <v>18498.063596693053</v>
      </c>
      <c r="W19" s="130">
        <f>IF(SER_hh_fec!W19=0,0,11630*1000*SER_hh_fec!W19/SER_hh_num!W19)</f>
        <v>19814.028746126671</v>
      </c>
      <c r="X19" s="130">
        <f>IF(SER_hh_fec!X19=0,0,11630*1000*SER_hh_fec!X19/SER_hh_num!X19)</f>
        <v>19388.717392439372</v>
      </c>
      <c r="Y19" s="130">
        <f>IF(SER_hh_fec!Y19=0,0,11630*1000*SER_hh_fec!Y19/SER_hh_num!Y19)</f>
        <v>18649.304097192715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11014.138321531889</v>
      </c>
      <c r="C20" s="132">
        <f>IF(SER_hh_fec!C20=0,0,11630*1000*SER_hh_fec!C20/SER_hh_num!C20)</f>
        <v>16956.03815701836</v>
      </c>
      <c r="D20" s="132">
        <f>IF(SER_hh_fec!D20=0,0,11630*1000*SER_hh_fec!D20/SER_hh_num!D20)</f>
        <v>20062.497410298591</v>
      </c>
      <c r="E20" s="132">
        <f>IF(SER_hh_fec!E20=0,0,11630*1000*SER_hh_fec!E20/SER_hh_num!E20)</f>
        <v>19969.05448598367</v>
      </c>
      <c r="F20" s="132">
        <f>IF(SER_hh_fec!F20=0,0,11630*1000*SER_hh_fec!F20/SER_hh_num!F20)</f>
        <v>20962.638963581849</v>
      </c>
      <c r="G20" s="132">
        <f>IF(SER_hh_fec!G20=0,0,11630*1000*SER_hh_fec!G20/SER_hh_num!G20)</f>
        <v>21284.24413165739</v>
      </c>
      <c r="H20" s="132">
        <f>IF(SER_hh_fec!H20=0,0,11630*1000*SER_hh_fec!H20/SER_hh_num!H20)</f>
        <v>19773.654334285278</v>
      </c>
      <c r="I20" s="132">
        <f>IF(SER_hh_fec!I20=0,0,11630*1000*SER_hh_fec!I20/SER_hh_num!I20)</f>
        <v>23469.085174330976</v>
      </c>
      <c r="J20" s="132">
        <f>IF(SER_hh_fec!J20=0,0,11630*1000*SER_hh_fec!J20/SER_hh_num!J20)</f>
        <v>23336.024556339373</v>
      </c>
      <c r="K20" s="132">
        <f>IF(SER_hh_fec!K20=0,0,11630*1000*SER_hh_fec!K20/SER_hh_num!K20)</f>
        <v>22967.888289173814</v>
      </c>
      <c r="L20" s="132">
        <f>IF(SER_hh_fec!L20=0,0,11630*1000*SER_hh_fec!L20/SER_hh_num!L20)</f>
        <v>23443.123540409273</v>
      </c>
      <c r="M20" s="132">
        <f>IF(SER_hh_fec!M20=0,0,11630*1000*SER_hh_fec!M20/SER_hh_num!M20)</f>
        <v>22984.545068213931</v>
      </c>
      <c r="N20" s="132">
        <f>IF(SER_hh_fec!N20=0,0,11630*1000*SER_hh_fec!N20/SER_hh_num!N20)</f>
        <v>22925.832393606081</v>
      </c>
      <c r="O20" s="132">
        <f>IF(SER_hh_fec!O20=0,0,11630*1000*SER_hh_fec!O20/SER_hh_num!O20)</f>
        <v>23258.106049320741</v>
      </c>
      <c r="P20" s="132">
        <f>IF(SER_hh_fec!P20=0,0,11630*1000*SER_hh_fec!P20/SER_hh_num!P20)</f>
        <v>23087.118712013609</v>
      </c>
      <c r="Q20" s="132">
        <f>IF(SER_hh_fec!Q20=0,0,11630*1000*SER_hh_fec!Q20/SER_hh_num!Q20)</f>
        <v>23194.511052328169</v>
      </c>
      <c r="R20" s="132">
        <f>IF(SER_hh_fec!R20=0,0,11630*1000*SER_hh_fec!R20/SER_hh_num!R20)</f>
        <v>26182.561306788899</v>
      </c>
      <c r="S20" s="132">
        <f>IF(SER_hh_fec!S20=0,0,11630*1000*SER_hh_fec!S20/SER_hh_num!S20)</f>
        <v>24261.872578704002</v>
      </c>
      <c r="T20" s="132">
        <f>IF(SER_hh_fec!T20=0,0,11630*1000*SER_hh_fec!T20/SER_hh_num!T20)</f>
        <v>20274.174855744648</v>
      </c>
      <c r="U20" s="132">
        <f>IF(SER_hh_fec!U20=0,0,11630*1000*SER_hh_fec!U20/SER_hh_num!U20)</f>
        <v>17143.70166211879</v>
      </c>
      <c r="V20" s="132">
        <f>IF(SER_hh_fec!V20=0,0,11630*1000*SER_hh_fec!V20/SER_hh_num!V20)</f>
        <v>21297.320929673609</v>
      </c>
      <c r="W20" s="132">
        <f>IF(SER_hh_fec!W20=0,0,11630*1000*SER_hh_fec!W20/SER_hh_num!W20)</f>
        <v>34944.821921827846</v>
      </c>
      <c r="X20" s="132">
        <f>IF(SER_hh_fec!X20=0,0,11630*1000*SER_hh_fec!X20/SER_hh_num!X20)</f>
        <v>21197.225065933479</v>
      </c>
      <c r="Y20" s="132">
        <f>IF(SER_hh_fec!Y20=0,0,11630*1000*SER_hh_fec!Y20/SER_hh_num!Y20)</f>
        <v>19573.154581452771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14123.275895150375</v>
      </c>
      <c r="C21" s="132">
        <f>IF(SER_hh_fec!C21=0,0,11630*1000*SER_hh_fec!C21/SER_hh_num!C21)</f>
        <v>17406.300704558449</v>
      </c>
      <c r="D21" s="132">
        <f>IF(SER_hh_fec!D21=0,0,11630*1000*SER_hh_fec!D21/SER_hh_num!D21)</f>
        <v>16721.265920958522</v>
      </c>
      <c r="E21" s="132">
        <f>IF(SER_hh_fec!E21=0,0,11630*1000*SER_hh_fec!E21/SER_hh_num!E21)</f>
        <v>25322.538673081828</v>
      </c>
      <c r="F21" s="132">
        <f>IF(SER_hh_fec!F21=0,0,11630*1000*SER_hh_fec!F21/SER_hh_num!F21)</f>
        <v>22311.163932789321</v>
      </c>
      <c r="G21" s="132">
        <f>IF(SER_hh_fec!G21=0,0,11630*1000*SER_hh_fec!G21/SER_hh_num!G21)</f>
        <v>20670.270182343284</v>
      </c>
      <c r="H21" s="132">
        <f>IF(SER_hh_fec!H21=0,0,11630*1000*SER_hh_fec!H21/SER_hh_num!H21)</f>
        <v>25096.598591072994</v>
      </c>
      <c r="I21" s="132">
        <f>IF(SER_hh_fec!I21=0,0,11630*1000*SER_hh_fec!I21/SER_hh_num!I21)</f>
        <v>24729.675817489351</v>
      </c>
      <c r="J21" s="132">
        <f>IF(SER_hh_fec!J21=0,0,11630*1000*SER_hh_fec!J21/SER_hh_num!J21)</f>
        <v>25404.565287506146</v>
      </c>
      <c r="K21" s="132">
        <f>IF(SER_hh_fec!K21=0,0,11630*1000*SER_hh_fec!K21/SER_hh_num!K21)</f>
        <v>25009.118444391308</v>
      </c>
      <c r="L21" s="132">
        <f>IF(SER_hh_fec!L21=0,0,11630*1000*SER_hh_fec!L21/SER_hh_num!L21)</f>
        <v>24627.150616989897</v>
      </c>
      <c r="M21" s="132">
        <f>IF(SER_hh_fec!M21=0,0,11630*1000*SER_hh_fec!M21/SER_hh_num!M21)</f>
        <v>24425.271101632243</v>
      </c>
      <c r="N21" s="132">
        <f>IF(SER_hh_fec!N21=0,0,11630*1000*SER_hh_fec!N21/SER_hh_num!N21)</f>
        <v>32368.529656388957</v>
      </c>
      <c r="O21" s="132">
        <f>IF(SER_hh_fec!O21=0,0,11630*1000*SER_hh_fec!O21/SER_hh_num!O21)</f>
        <v>21645.774634171183</v>
      </c>
      <c r="P21" s="132">
        <f>IF(SER_hh_fec!P21=0,0,11630*1000*SER_hh_fec!P21/SER_hh_num!P21)</f>
        <v>25845.145454477501</v>
      </c>
      <c r="Q21" s="132">
        <f>IF(SER_hh_fec!Q21=0,0,11630*1000*SER_hh_fec!Q21/SER_hh_num!Q21)</f>
        <v>25046.4355921973</v>
      </c>
      <c r="R21" s="132">
        <f>IF(SER_hh_fec!R21=0,0,11630*1000*SER_hh_fec!R21/SER_hh_num!R21)</f>
        <v>25765.827861737416</v>
      </c>
      <c r="S21" s="132">
        <f>IF(SER_hh_fec!S21=0,0,11630*1000*SER_hh_fec!S21/SER_hh_num!S21)</f>
        <v>25186.267685326853</v>
      </c>
      <c r="T21" s="132">
        <f>IF(SER_hh_fec!T21=0,0,11630*1000*SER_hh_fec!T21/SER_hh_num!T21)</f>
        <v>23062.741043554324</v>
      </c>
      <c r="U21" s="132">
        <f>IF(SER_hh_fec!U21=0,0,11630*1000*SER_hh_fec!U21/SER_hh_num!U21)</f>
        <v>26148.587478671438</v>
      </c>
      <c r="V21" s="132">
        <f>IF(SER_hh_fec!V21=0,0,11630*1000*SER_hh_fec!V21/SER_hh_num!V21)</f>
        <v>20140.693354455259</v>
      </c>
      <c r="W21" s="132">
        <f>IF(SER_hh_fec!W21=0,0,11630*1000*SER_hh_fec!W21/SER_hh_num!W21)</f>
        <v>22114.394855568717</v>
      </c>
      <c r="X21" s="132">
        <f>IF(SER_hh_fec!X21=0,0,11630*1000*SER_hh_fec!X21/SER_hh_num!X21)</f>
        <v>21885.859761077791</v>
      </c>
      <c r="Y21" s="132">
        <f>IF(SER_hh_fec!Y21=0,0,11630*1000*SER_hh_fec!Y21/SER_hh_num!Y21)</f>
        <v>22079.115854535947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16035.980405431999</v>
      </c>
      <c r="C22" s="132">
        <f>IF(SER_hh_fec!C22=0,0,11630*1000*SER_hh_fec!C22/SER_hh_num!C22)</f>
        <v>16784.215922012732</v>
      </c>
      <c r="D22" s="132">
        <f>IF(SER_hh_fec!D22=0,0,11630*1000*SER_hh_fec!D22/SER_hh_num!D22)</f>
        <v>20466.628268445918</v>
      </c>
      <c r="E22" s="132">
        <f>IF(SER_hh_fec!E22=0,0,11630*1000*SER_hh_fec!E22/SER_hh_num!E22)</f>
        <v>22101.95915361098</v>
      </c>
      <c r="F22" s="132">
        <f>IF(SER_hh_fec!F22=0,0,11630*1000*SER_hh_fec!F22/SER_hh_num!F22)</f>
        <v>23578.547156342625</v>
      </c>
      <c r="G22" s="132">
        <f>IF(SER_hh_fec!G22=0,0,11630*1000*SER_hh_fec!G22/SER_hh_num!G22)</f>
        <v>23106.628028347059</v>
      </c>
      <c r="H22" s="132">
        <f>IF(SER_hh_fec!H22=0,0,11630*1000*SER_hh_fec!H22/SER_hh_num!H22)</f>
        <v>24719.469750717279</v>
      </c>
      <c r="I22" s="132">
        <f>IF(SER_hh_fec!I22=0,0,11630*1000*SER_hh_fec!I22/SER_hh_num!I22)</f>
        <v>26318.871255568029</v>
      </c>
      <c r="J22" s="132">
        <f>IF(SER_hh_fec!J22=0,0,11630*1000*SER_hh_fec!J22/SER_hh_num!J22)</f>
        <v>26990.500282832189</v>
      </c>
      <c r="K22" s="132">
        <f>IF(SER_hh_fec!K22=0,0,11630*1000*SER_hh_fec!K22/SER_hh_num!K22)</f>
        <v>26651.380010061377</v>
      </c>
      <c r="L22" s="132">
        <f>IF(SER_hh_fec!L22=0,0,11630*1000*SER_hh_fec!L22/SER_hh_num!L22)</f>
        <v>27488.113197091894</v>
      </c>
      <c r="M22" s="132">
        <f>IF(SER_hh_fec!M22=0,0,11630*1000*SER_hh_fec!M22/SER_hh_num!M22)</f>
        <v>26937.489466809729</v>
      </c>
      <c r="N22" s="132">
        <f>IF(SER_hh_fec!N22=0,0,11630*1000*SER_hh_fec!N22/SER_hh_num!N22)</f>
        <v>26860.926533343947</v>
      </c>
      <c r="O22" s="132">
        <f>IF(SER_hh_fec!O22=0,0,11630*1000*SER_hh_fec!O22/SER_hh_num!O22)</f>
        <v>27147.341968389792</v>
      </c>
      <c r="P22" s="132">
        <f>IF(SER_hh_fec!P22=0,0,11630*1000*SER_hh_fec!P22/SER_hh_num!P22)</f>
        <v>27027.491516272657</v>
      </c>
      <c r="Q22" s="132">
        <f>IF(SER_hh_fec!Q22=0,0,11630*1000*SER_hh_fec!Q22/SER_hh_num!Q22)</f>
        <v>27388.805193624015</v>
      </c>
      <c r="R22" s="132">
        <f>IF(SER_hh_fec!R22=0,0,11630*1000*SER_hh_fec!R22/SER_hh_num!R22)</f>
        <v>26553.257673447366</v>
      </c>
      <c r="S22" s="132">
        <f>IF(SER_hh_fec!S22=0,0,11630*1000*SER_hh_fec!S22/SER_hh_num!S22)</f>
        <v>27596.989245732104</v>
      </c>
      <c r="T22" s="132">
        <f>IF(SER_hh_fec!T22=0,0,11630*1000*SER_hh_fec!T22/SER_hh_num!T22)</f>
        <v>26238.454598632823</v>
      </c>
      <c r="U22" s="132">
        <f>IF(SER_hh_fec!U22=0,0,11630*1000*SER_hh_fec!U22/SER_hh_num!U22)</f>
        <v>22025.608999949338</v>
      </c>
      <c r="V22" s="132">
        <f>IF(SER_hh_fec!V22=0,0,11630*1000*SER_hh_fec!V22/SER_hh_num!V22)</f>
        <v>21522.486770821135</v>
      </c>
      <c r="W22" s="132">
        <f>IF(SER_hh_fec!W22=0,0,11630*1000*SER_hh_fec!W22/SER_hh_num!W22)</f>
        <v>23895.835121555214</v>
      </c>
      <c r="X22" s="132">
        <f>IF(SER_hh_fec!X22=0,0,11630*1000*SER_hh_fec!X22/SER_hh_num!X22)</f>
        <v>24063.668619864315</v>
      </c>
      <c r="Y22" s="132">
        <f>IF(SER_hh_fec!Y22=0,0,11630*1000*SER_hh_fec!Y22/SER_hh_num!Y22)</f>
        <v>20986.068683804682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14198.967675565893</v>
      </c>
      <c r="C23" s="132">
        <f>IF(SER_hh_fec!C23=0,0,11630*1000*SER_hh_fec!C23/SER_hh_num!C23)</f>
        <v>16860.857104562259</v>
      </c>
      <c r="D23" s="132">
        <f>IF(SER_hh_fec!D23=0,0,11630*1000*SER_hh_fec!D23/SER_hh_num!D23)</f>
        <v>18565.517652078914</v>
      </c>
      <c r="E23" s="132">
        <f>IF(SER_hh_fec!E23=0,0,11630*1000*SER_hh_fec!E23/SER_hh_num!E23)</f>
        <v>21991.710064719438</v>
      </c>
      <c r="F23" s="132">
        <f>IF(SER_hh_fec!F23=0,0,11630*1000*SER_hh_fec!F23/SER_hh_num!F23)</f>
        <v>21866.313399414299</v>
      </c>
      <c r="G23" s="132">
        <f>IF(SER_hh_fec!G23=0,0,11630*1000*SER_hh_fec!G23/SER_hh_num!G23)</f>
        <v>22188.246796775013</v>
      </c>
      <c r="H23" s="132">
        <f>IF(SER_hh_fec!H23=0,0,11630*1000*SER_hh_fec!H23/SER_hh_num!H23)</f>
        <v>22777.761938402458</v>
      </c>
      <c r="I23" s="132">
        <f>IF(SER_hh_fec!I23=0,0,11630*1000*SER_hh_fec!I23/SER_hh_num!I23)</f>
        <v>23741.6908390916</v>
      </c>
      <c r="J23" s="132">
        <f>IF(SER_hh_fec!J23=0,0,11630*1000*SER_hh_fec!J23/SER_hh_num!J23)</f>
        <v>24675.564472166025</v>
      </c>
      <c r="K23" s="132">
        <f>IF(SER_hh_fec!K23=0,0,11630*1000*SER_hh_fec!K23/SER_hh_num!K23)</f>
        <v>23968.506142157039</v>
      </c>
      <c r="L23" s="132">
        <f>IF(SER_hh_fec!L23=0,0,11630*1000*SER_hh_fec!L23/SER_hh_num!L23)</f>
        <v>25109.857429742602</v>
      </c>
      <c r="M23" s="132">
        <f>IF(SER_hh_fec!M23=0,0,11630*1000*SER_hh_fec!M23/SER_hh_num!M23)</f>
        <v>24635.850970726518</v>
      </c>
      <c r="N23" s="132">
        <f>IF(SER_hh_fec!N23=0,0,11630*1000*SER_hh_fec!N23/SER_hh_num!N23)</f>
        <v>24248.50524648017</v>
      </c>
      <c r="O23" s="132">
        <f>IF(SER_hh_fec!O23=0,0,11630*1000*SER_hh_fec!O23/SER_hh_num!O23)</f>
        <v>24517.303049997805</v>
      </c>
      <c r="P23" s="132">
        <f>IF(SER_hh_fec!P23=0,0,11630*1000*SER_hh_fec!P23/SER_hh_num!P23)</f>
        <v>24668.440619061985</v>
      </c>
      <c r="Q23" s="132">
        <f>IF(SER_hh_fec!Q23=0,0,11630*1000*SER_hh_fec!Q23/SER_hh_num!Q23)</f>
        <v>25408.092246465061</v>
      </c>
      <c r="R23" s="132">
        <f>IF(SER_hh_fec!R23=0,0,11630*1000*SER_hh_fec!R23/SER_hh_num!R23)</f>
        <v>26548.446832548678</v>
      </c>
      <c r="S23" s="132">
        <f>IF(SER_hh_fec!S23=0,0,11630*1000*SER_hh_fec!S23/SER_hh_num!S23)</f>
        <v>23275.881396974353</v>
      </c>
      <c r="T23" s="132">
        <f>IF(SER_hh_fec!T23=0,0,11630*1000*SER_hh_fec!T23/SER_hh_num!T23)</f>
        <v>23727.969139444092</v>
      </c>
      <c r="U23" s="132">
        <f>IF(SER_hh_fec!U23=0,0,11630*1000*SER_hh_fec!U23/SER_hh_num!U23)</f>
        <v>22027.972483219954</v>
      </c>
      <c r="V23" s="132">
        <f>IF(SER_hh_fec!V23=0,0,11630*1000*SER_hh_fec!V23/SER_hh_num!V23)</f>
        <v>19007.872823693324</v>
      </c>
      <c r="W23" s="132">
        <f>IF(SER_hh_fec!W23=0,0,11630*1000*SER_hh_fec!W23/SER_hh_num!W23)</f>
        <v>24502.503630471598</v>
      </c>
      <c r="X23" s="132">
        <f>IF(SER_hh_fec!X23=0,0,11630*1000*SER_hh_fec!X23/SER_hh_num!X23)</f>
        <v>22378.774367873291</v>
      </c>
      <c r="Y23" s="132">
        <f>IF(SER_hh_fec!Y23=0,0,11630*1000*SER_hh_fec!Y23/SER_hh_num!Y23)</f>
        <v>20622.548330616653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18335.711062736791</v>
      </c>
      <c r="C24" s="132">
        <f>IF(SER_hh_fec!C24=0,0,11630*1000*SER_hh_fec!C24/SER_hh_num!C24)</f>
        <v>19041.601888727968</v>
      </c>
      <c r="D24" s="132">
        <f>IF(SER_hh_fec!D24=0,0,11630*1000*SER_hh_fec!D24/SER_hh_num!D24)</f>
        <v>23516.538202120111</v>
      </c>
      <c r="E24" s="132">
        <f>IF(SER_hh_fec!E24=0,0,11630*1000*SER_hh_fec!E24/SER_hh_num!E24)</f>
        <v>24364.476926058633</v>
      </c>
      <c r="F24" s="132">
        <f>IF(SER_hh_fec!F24=0,0,11630*1000*SER_hh_fec!F24/SER_hh_num!F24)</f>
        <v>24776.57976276656</v>
      </c>
      <c r="G24" s="132">
        <f>IF(SER_hh_fec!G24=0,0,11630*1000*SER_hh_fec!G24/SER_hh_num!G24)</f>
        <v>23720.639585217541</v>
      </c>
      <c r="H24" s="132">
        <f>IF(SER_hh_fec!H24=0,0,11630*1000*SER_hh_fec!H24/SER_hh_num!H24)</f>
        <v>24657.045454466443</v>
      </c>
      <c r="I24" s="132">
        <f>IF(SER_hh_fec!I24=0,0,11630*1000*SER_hh_fec!I24/SER_hh_num!I24)</f>
        <v>26388.473897581462</v>
      </c>
      <c r="J24" s="132">
        <f>IF(SER_hh_fec!J24=0,0,11630*1000*SER_hh_fec!J24/SER_hh_num!J24)</f>
        <v>26244.685282438677</v>
      </c>
      <c r="K24" s="132">
        <f>IF(SER_hh_fec!K24=0,0,11630*1000*SER_hh_fec!K24/SER_hh_num!K24)</f>
        <v>25193.605217532775</v>
      </c>
      <c r="L24" s="132">
        <f>IF(SER_hh_fec!L24=0,0,11630*1000*SER_hh_fec!L24/SER_hh_num!L24)</f>
        <v>24275.097289863857</v>
      </c>
      <c r="M24" s="132">
        <f>IF(SER_hh_fec!M24=0,0,11630*1000*SER_hh_fec!M24/SER_hh_num!M24)</f>
        <v>23838.377008295527</v>
      </c>
      <c r="N24" s="132">
        <f>IF(SER_hh_fec!N24=0,0,11630*1000*SER_hh_fec!N24/SER_hh_num!N24)</f>
        <v>23710.164897764884</v>
      </c>
      <c r="O24" s="132">
        <f>IF(SER_hh_fec!O24=0,0,11630*1000*SER_hh_fec!O24/SER_hh_num!O24)</f>
        <v>23278.896760160958</v>
      </c>
      <c r="P24" s="132">
        <f>IF(SER_hh_fec!P24=0,0,11630*1000*SER_hh_fec!P24/SER_hh_num!P24)</f>
        <v>22640.794636523322</v>
      </c>
      <c r="Q24" s="132">
        <f>IF(SER_hh_fec!Q24=0,0,11630*1000*SER_hh_fec!Q24/SER_hh_num!Q24)</f>
        <v>23018.695610255505</v>
      </c>
      <c r="R24" s="132">
        <f>IF(SER_hh_fec!R24=0,0,11630*1000*SER_hh_fec!R24/SER_hh_num!R24)</f>
        <v>24562.114919740605</v>
      </c>
      <c r="S24" s="132">
        <f>IF(SER_hh_fec!S24=0,0,11630*1000*SER_hh_fec!S24/SER_hh_num!S24)</f>
        <v>24211.684520677485</v>
      </c>
      <c r="T24" s="132">
        <f>IF(SER_hh_fec!T24=0,0,11630*1000*SER_hh_fec!T24/SER_hh_num!T24)</f>
        <v>20818.474234811445</v>
      </c>
      <c r="U24" s="132">
        <f>IF(SER_hh_fec!U24=0,0,11630*1000*SER_hh_fec!U24/SER_hh_num!U24)</f>
        <v>19628.398873190723</v>
      </c>
      <c r="V24" s="132">
        <f>IF(SER_hh_fec!V24=0,0,11630*1000*SER_hh_fec!V24/SER_hh_num!V24)</f>
        <v>21372.913340071209</v>
      </c>
      <c r="W24" s="132">
        <f>IF(SER_hh_fec!W24=0,0,11630*1000*SER_hh_fec!W24/SER_hh_num!W24)</f>
        <v>24496.188982908472</v>
      </c>
      <c r="X24" s="132">
        <f>IF(SER_hh_fec!X24=0,0,11630*1000*SER_hh_fec!X24/SER_hh_num!X24)</f>
        <v>18933.336402928817</v>
      </c>
      <c r="Y24" s="132">
        <f>IF(SER_hh_fec!Y24=0,0,11630*1000*SER_hh_fec!Y24/SER_hh_num!Y24)</f>
        <v>20752.122910426562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10077.205880022826</v>
      </c>
      <c r="C25" s="132">
        <f>IF(SER_hh_fec!C25=0,0,11630*1000*SER_hh_fec!C25/SER_hh_num!C25)</f>
        <v>11260.100635578045</v>
      </c>
      <c r="D25" s="132">
        <f>IF(SER_hh_fec!D25=0,0,11630*1000*SER_hh_fec!D25/SER_hh_num!D25)</f>
        <v>13117.870952225632</v>
      </c>
      <c r="E25" s="132">
        <f>IF(SER_hh_fec!E25=0,0,11630*1000*SER_hh_fec!E25/SER_hh_num!E25)</f>
        <v>13674.691506359019</v>
      </c>
      <c r="F25" s="132">
        <f>IF(SER_hh_fec!F25=0,0,11630*1000*SER_hh_fec!F25/SER_hh_num!F25)</f>
        <v>15912.554176619438</v>
      </c>
      <c r="G25" s="132">
        <f>IF(SER_hh_fec!G25=0,0,11630*1000*SER_hh_fec!G25/SER_hh_num!G25)</f>
        <v>15898.801567458277</v>
      </c>
      <c r="H25" s="132">
        <f>IF(SER_hh_fec!H25=0,0,11630*1000*SER_hh_fec!H25/SER_hh_num!H25)</f>
        <v>16436.633404079639</v>
      </c>
      <c r="I25" s="132">
        <f>IF(SER_hh_fec!I25=0,0,11630*1000*SER_hh_fec!I25/SER_hh_num!I25)</f>
        <v>17188.113213748056</v>
      </c>
      <c r="J25" s="132">
        <f>IF(SER_hh_fec!J25=0,0,11630*1000*SER_hh_fec!J25/SER_hh_num!J25)</f>
        <v>17866.43276440628</v>
      </c>
      <c r="K25" s="132">
        <f>IF(SER_hh_fec!K25=0,0,11630*1000*SER_hh_fec!K25/SER_hh_num!K25)</f>
        <v>18045.763224269969</v>
      </c>
      <c r="L25" s="132">
        <f>IF(SER_hh_fec!L25=0,0,11630*1000*SER_hh_fec!L25/SER_hh_num!L25)</f>
        <v>17948.501302081295</v>
      </c>
      <c r="M25" s="132">
        <f>IF(SER_hh_fec!M25=0,0,11630*1000*SER_hh_fec!M25/SER_hh_num!M25)</f>
        <v>17921.332652410707</v>
      </c>
      <c r="N25" s="132">
        <f>IF(SER_hh_fec!N25=0,0,11630*1000*SER_hh_fec!N25/SER_hh_num!N25)</f>
        <v>18222.499725593727</v>
      </c>
      <c r="O25" s="132">
        <f>IF(SER_hh_fec!O25=0,0,11630*1000*SER_hh_fec!O25/SER_hh_num!O25)</f>
        <v>18865.281379473588</v>
      </c>
      <c r="P25" s="132">
        <f>IF(SER_hh_fec!P25=0,0,11630*1000*SER_hh_fec!P25/SER_hh_num!P25)</f>
        <v>18525.232978026517</v>
      </c>
      <c r="Q25" s="132">
        <f>IF(SER_hh_fec!Q25=0,0,11630*1000*SER_hh_fec!Q25/SER_hh_num!Q25)</f>
        <v>18208.438133602682</v>
      </c>
      <c r="R25" s="132">
        <f>IF(SER_hh_fec!R25=0,0,11630*1000*SER_hh_fec!R25/SER_hh_num!R25)</f>
        <v>18602.272520749364</v>
      </c>
      <c r="S25" s="132">
        <f>IF(SER_hh_fec!S25=0,0,11630*1000*SER_hh_fec!S25/SER_hh_num!S25)</f>
        <v>21361.255445056755</v>
      </c>
      <c r="T25" s="132">
        <f>IF(SER_hh_fec!T25=0,0,11630*1000*SER_hh_fec!T25/SER_hh_num!T25)</f>
        <v>17414.477888778612</v>
      </c>
      <c r="U25" s="132">
        <f>IF(SER_hh_fec!U25=0,0,11630*1000*SER_hh_fec!U25/SER_hh_num!U25)</f>
        <v>17622.319356332595</v>
      </c>
      <c r="V25" s="132">
        <f>IF(SER_hh_fec!V25=0,0,11630*1000*SER_hh_fec!V25/SER_hh_num!V25)</f>
        <v>18075.523753329555</v>
      </c>
      <c r="W25" s="132">
        <f>IF(SER_hh_fec!W25=0,0,11630*1000*SER_hh_fec!W25/SER_hh_num!W25)</f>
        <v>15474.195186860537</v>
      </c>
      <c r="X25" s="132">
        <f>IF(SER_hh_fec!X25=0,0,11630*1000*SER_hh_fec!X25/SER_hh_num!X25)</f>
        <v>18754.878704402428</v>
      </c>
      <c r="Y25" s="132">
        <f>IF(SER_hh_fec!Y25=0,0,11630*1000*SER_hh_fec!Y25/SER_hh_num!Y25)</f>
        <v>16847.24318512233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12815.225732062971</v>
      </c>
      <c r="C26" s="65">
        <f>IF(SER_hh_fec!C26=0,0,11630*1000*SER_hh_fec!C26/SER_hh_num!C26)</f>
        <v>12988.453965798255</v>
      </c>
      <c r="D26" s="65">
        <f>IF(SER_hh_fec!D26=0,0,11630*1000*SER_hh_fec!D26/SER_hh_num!D26)</f>
        <v>17331.226072907513</v>
      </c>
      <c r="E26" s="65">
        <f>IF(SER_hh_fec!E26=0,0,11630*1000*SER_hh_fec!E26/SER_hh_num!E26)</f>
        <v>16001.105579567406</v>
      </c>
      <c r="F26" s="65">
        <f>IF(SER_hh_fec!F26=0,0,11630*1000*SER_hh_fec!F26/SER_hh_num!F26)</f>
        <v>18266.388240117962</v>
      </c>
      <c r="G26" s="65">
        <f>IF(SER_hh_fec!G26=0,0,11630*1000*SER_hh_fec!G26/SER_hh_num!G26)</f>
        <v>18914.743831701515</v>
      </c>
      <c r="H26" s="65">
        <f>IF(SER_hh_fec!H26=0,0,11630*1000*SER_hh_fec!H26/SER_hh_num!H26)</f>
        <v>19619.627319007326</v>
      </c>
      <c r="I26" s="65">
        <f>IF(SER_hh_fec!I26=0,0,11630*1000*SER_hh_fec!I26/SER_hh_num!I26)</f>
        <v>21036.015140398715</v>
      </c>
      <c r="J26" s="65">
        <f>IF(SER_hh_fec!J26=0,0,11630*1000*SER_hh_fec!J26/SER_hh_num!J26)</f>
        <v>21270.781301533971</v>
      </c>
      <c r="K26" s="65">
        <f>IF(SER_hh_fec!K26=0,0,11630*1000*SER_hh_fec!K26/SER_hh_num!K26)</f>
        <v>21419.643404614897</v>
      </c>
      <c r="L26" s="65">
        <f>IF(SER_hh_fec!L26=0,0,11630*1000*SER_hh_fec!L26/SER_hh_num!L26)</f>
        <v>21037.564746265351</v>
      </c>
      <c r="M26" s="65">
        <f>IF(SER_hh_fec!M26=0,0,11630*1000*SER_hh_fec!M26/SER_hh_num!M26)</f>
        <v>21150.273071976528</v>
      </c>
      <c r="N26" s="65">
        <f>IF(SER_hh_fec!N26=0,0,11630*1000*SER_hh_fec!N26/SER_hh_num!N26)</f>
        <v>20475.586889088638</v>
      </c>
      <c r="O26" s="65">
        <f>IF(SER_hh_fec!O26=0,0,11630*1000*SER_hh_fec!O26/SER_hh_num!O26)</f>
        <v>22144.215218812078</v>
      </c>
      <c r="P26" s="65">
        <f>IF(SER_hh_fec!P26=0,0,11630*1000*SER_hh_fec!P26/SER_hh_num!P26)</f>
        <v>21567.974531918397</v>
      </c>
      <c r="Q26" s="65">
        <f>IF(SER_hh_fec!Q26=0,0,11630*1000*SER_hh_fec!Q26/SER_hh_num!Q26)</f>
        <v>22000.834324054948</v>
      </c>
      <c r="R26" s="65">
        <f>IF(SER_hh_fec!R26=0,0,11630*1000*SER_hh_fec!R26/SER_hh_num!R26)</f>
        <v>21494.186769580287</v>
      </c>
      <c r="S26" s="65">
        <f>IF(SER_hh_fec!S26=0,0,11630*1000*SER_hh_fec!S26/SER_hh_num!S26)</f>
        <v>20097.257536030476</v>
      </c>
      <c r="T26" s="65">
        <f>IF(SER_hh_fec!T26=0,0,11630*1000*SER_hh_fec!T26/SER_hh_num!T26)</f>
        <v>20740.805235951608</v>
      </c>
      <c r="U26" s="65">
        <f>IF(SER_hh_fec!U26=0,0,11630*1000*SER_hh_fec!U26/SER_hh_num!U26)</f>
        <v>20229.145405510852</v>
      </c>
      <c r="V26" s="65">
        <f>IF(SER_hh_fec!V26=0,0,11630*1000*SER_hh_fec!V26/SER_hh_num!V26)</f>
        <v>17772.485450728138</v>
      </c>
      <c r="W26" s="65">
        <f>IF(SER_hh_fec!W26=0,0,11630*1000*SER_hh_fec!W26/SER_hh_num!W26)</f>
        <v>18917.275915237489</v>
      </c>
      <c r="X26" s="65">
        <f>IF(SER_hh_fec!X26=0,0,11630*1000*SER_hh_fec!X26/SER_hh_num!X26)</f>
        <v>18469.353612761413</v>
      </c>
      <c r="Y26" s="65">
        <f>IF(SER_hh_fec!Y26=0,0,11630*1000*SER_hh_fec!Y26/SER_hh_num!Y26)</f>
        <v>18249.955109473703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0.87645224940867505</v>
      </c>
      <c r="E27" s="145">
        <f>IF(SER_hh_fec!E27=0,0,11630*1000*SER_hh_fec!E27/SER_hh_num!E19)</f>
        <v>0.86135355683329373</v>
      </c>
      <c r="F27" s="145">
        <f>IF(SER_hh_fec!F27=0,0,11630*1000*SER_hh_fec!F27/SER_hh_num!F19)</f>
        <v>3.3477482296028622</v>
      </c>
      <c r="G27" s="145">
        <f>IF(SER_hh_fec!G27=0,0,11630*1000*SER_hh_fec!G27/SER_hh_num!G19)</f>
        <v>4.9139185791831146</v>
      </c>
      <c r="H27" s="145">
        <f>IF(SER_hh_fec!H27=0,0,11630*1000*SER_hh_fec!H27/SER_hh_num!H19)</f>
        <v>8.6752433796665862</v>
      </c>
      <c r="I27" s="145">
        <f>IF(SER_hh_fec!I27=0,0,11630*1000*SER_hh_fec!I27/SER_hh_num!I19)</f>
        <v>11.360834018469456</v>
      </c>
      <c r="J27" s="145">
        <f>IF(SER_hh_fec!J27=0,0,11630*1000*SER_hh_fec!J27/SER_hh_num!J19)</f>
        <v>39.391613909586532</v>
      </c>
      <c r="K27" s="145">
        <f>IF(SER_hh_fec!K27=0,0,11630*1000*SER_hh_fec!K27/SER_hh_num!K19)</f>
        <v>58.775327635670564</v>
      </c>
      <c r="L27" s="145">
        <f>IF(SER_hh_fec!L27=0,0,11630*1000*SER_hh_fec!L27/SER_hh_num!L19)</f>
        <v>70.707995817430174</v>
      </c>
      <c r="M27" s="145">
        <f>IF(SER_hh_fec!M27=0,0,11630*1000*SER_hh_fec!M27/SER_hh_num!M19)</f>
        <v>92.367429200276703</v>
      </c>
      <c r="N27" s="145">
        <f>IF(SER_hh_fec!N27=0,0,11630*1000*SER_hh_fec!N27/SER_hh_num!N19)</f>
        <v>110.81414877475736</v>
      </c>
      <c r="O27" s="145">
        <f>IF(SER_hh_fec!O27=0,0,11630*1000*SER_hh_fec!O27/SER_hh_num!O19)</f>
        <v>120.20138132143443</v>
      </c>
      <c r="P27" s="145">
        <f>IF(SER_hh_fec!P27=0,0,11630*1000*SER_hh_fec!P27/SER_hh_num!P19)</f>
        <v>131.41248218813695</v>
      </c>
      <c r="Q27" s="145">
        <f>IF(SER_hh_fec!Q27=0,0,11630*1000*SER_hh_fec!Q27/SER_hh_num!Q19)</f>
        <v>149.27803386617774</v>
      </c>
      <c r="R27" s="145">
        <f>IF(SER_hh_fec!R27=0,0,11630*1000*SER_hh_fec!R27/SER_hh_num!R19)</f>
        <v>157.24834852896933</v>
      </c>
      <c r="S27" s="145">
        <f>IF(SER_hh_fec!S27=0,0,11630*1000*SER_hh_fec!S27/SER_hh_num!S19)</f>
        <v>155.07740790242738</v>
      </c>
      <c r="T27" s="145">
        <f>IF(SER_hh_fec!T27=0,0,11630*1000*SER_hh_fec!T27/SER_hh_num!T19)</f>
        <v>156.35212574841194</v>
      </c>
      <c r="U27" s="145">
        <f>IF(SER_hh_fec!U27=0,0,11630*1000*SER_hh_fec!U27/SER_hh_num!U19)</f>
        <v>148.0503612142895</v>
      </c>
      <c r="V27" s="145">
        <f>IF(SER_hh_fec!V27=0,0,11630*1000*SER_hh_fec!V27/SER_hh_num!V19)</f>
        <v>139.73217239816921</v>
      </c>
      <c r="W27" s="145">
        <f>IF(SER_hh_fec!W27=0,0,11630*1000*SER_hh_fec!W27/SER_hh_num!W19)</f>
        <v>133.87936193683871</v>
      </c>
      <c r="X27" s="145">
        <f>IF(SER_hh_fec!X27=0,0,11630*1000*SER_hh_fec!X27/SER_hh_num!X19)</f>
        <v>133.59538301013643</v>
      </c>
      <c r="Y27" s="145">
        <f>IF(SER_hh_fec!Y27=0,0,11630*1000*SER_hh_fec!Y27/SER_hh_num!Y19)</f>
        <v>126.07099486272338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5504.3400061671537</v>
      </c>
      <c r="E28" s="146">
        <f>IF(SER_hh_fec!E27=0,0,11630*1000*SER_hh_fec!E27/SER_hh_num!E27)</f>
        <v>5871.7485825536342</v>
      </c>
      <c r="F28" s="146">
        <f>IF(SER_hh_fec!F27=0,0,11630*1000*SER_hh_fec!F27/SER_hh_num!F27)</f>
        <v>6317.8382407226791</v>
      </c>
      <c r="G28" s="146">
        <f>IF(SER_hh_fec!G27=0,0,11630*1000*SER_hh_fec!G27/SER_hh_num!G27)</f>
        <v>6397.5069199427144</v>
      </c>
      <c r="H28" s="146">
        <f>IF(SER_hh_fec!H27=0,0,11630*1000*SER_hh_fec!H27/SER_hh_num!H27)</f>
        <v>6764.434410010781</v>
      </c>
      <c r="I28" s="146">
        <f>IF(SER_hh_fec!I27=0,0,11630*1000*SER_hh_fec!I27/SER_hh_num!I27)</f>
        <v>7197.2700669694186</v>
      </c>
      <c r="J28" s="146">
        <f>IF(SER_hh_fec!J27=0,0,11630*1000*SER_hh_fec!J27/SER_hh_num!J27)</f>
        <v>7425.9602262185417</v>
      </c>
      <c r="K28" s="146">
        <f>IF(SER_hh_fec!K27=0,0,11630*1000*SER_hh_fec!K27/SER_hh_num!K27)</f>
        <v>7549.8680398982915</v>
      </c>
      <c r="L28" s="146">
        <f>IF(SER_hh_fec!L27=0,0,11630*1000*SER_hh_fec!L27/SER_hh_num!L27)</f>
        <v>7272.7231606267478</v>
      </c>
      <c r="M28" s="146">
        <f>IF(SER_hh_fec!M27=0,0,11630*1000*SER_hh_fec!M27/SER_hh_num!M27)</f>
        <v>7616.1695811588743</v>
      </c>
      <c r="N28" s="146">
        <f>IF(SER_hh_fec!N27=0,0,11630*1000*SER_hh_fec!N27/SER_hh_num!N27)</f>
        <v>8028.8620186127637</v>
      </c>
      <c r="O28" s="146">
        <f>IF(SER_hh_fec!O27=0,0,11630*1000*SER_hh_fec!O27/SER_hh_num!O27)</f>
        <v>8051.2245371153231</v>
      </c>
      <c r="P28" s="146">
        <f>IF(SER_hh_fec!P27=0,0,11630*1000*SER_hh_fec!P27/SER_hh_num!P27)</f>
        <v>8210.2029327692126</v>
      </c>
      <c r="Q28" s="146">
        <f>IF(SER_hh_fec!Q27=0,0,11630*1000*SER_hh_fec!Q27/SER_hh_num!Q27)</f>
        <v>8257.4782603843651</v>
      </c>
      <c r="R28" s="146">
        <f>IF(SER_hh_fec!R27=0,0,11630*1000*SER_hh_fec!R27/SER_hh_num!R27)</f>
        <v>8474.7646807449328</v>
      </c>
      <c r="S28" s="146">
        <f>IF(SER_hh_fec!S27=0,0,11630*1000*SER_hh_fec!S27/SER_hh_num!S27)</f>
        <v>8485.7559810509556</v>
      </c>
      <c r="T28" s="146">
        <f>IF(SER_hh_fec!T27=0,0,11630*1000*SER_hh_fec!T27/SER_hh_num!T27)</f>
        <v>7141.337570068411</v>
      </c>
      <c r="U28" s="146">
        <f>IF(SER_hh_fec!U27=0,0,11630*1000*SER_hh_fec!U27/SER_hh_num!U27)</f>
        <v>7784.0737710719995</v>
      </c>
      <c r="V28" s="146">
        <f>IF(SER_hh_fec!V27=0,0,11630*1000*SER_hh_fec!V27/SER_hh_num!V27)</f>
        <v>7374.6665163980497</v>
      </c>
      <c r="W28" s="146">
        <f>IF(SER_hh_fec!W27=0,0,11630*1000*SER_hh_fec!W27/SER_hh_num!W27)</f>
        <v>7783.2357639426536</v>
      </c>
      <c r="X28" s="146">
        <f>IF(SER_hh_fec!X27=0,0,11630*1000*SER_hh_fec!X27/SER_hh_num!X27)</f>
        <v>9820.3756888963817</v>
      </c>
      <c r="Y28" s="146">
        <f>IF(SER_hh_fec!Y27=0,0,11630*1000*SER_hh_fec!Y27/SER_hh_num!Y27)</f>
        <v>11244.385054828281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14736.346427005406</v>
      </c>
      <c r="C29" s="130">
        <f>IF(SER_hh_fec!C29=0,0,11630*1000*SER_hh_fec!C29/SER_hh_num!C29)</f>
        <v>17169.504935579971</v>
      </c>
      <c r="D29" s="130">
        <f>IF(SER_hh_fec!D29=0,0,11630*1000*SER_hh_fec!D29/SER_hh_num!D29)</f>
        <v>19584.104202264003</v>
      </c>
      <c r="E29" s="130">
        <f>IF(SER_hh_fec!E29=0,0,11630*1000*SER_hh_fec!E29/SER_hh_num!E29)</f>
        <v>21708.079346541133</v>
      </c>
      <c r="F29" s="130">
        <f>IF(SER_hh_fec!F29=0,0,11630*1000*SER_hh_fec!F29/SER_hh_num!F29)</f>
        <v>21933.309830236114</v>
      </c>
      <c r="G29" s="130">
        <f>IF(SER_hh_fec!G29=0,0,11630*1000*SER_hh_fec!G29/SER_hh_num!G29)</f>
        <v>22308.891766192388</v>
      </c>
      <c r="H29" s="130">
        <f>IF(SER_hh_fec!H29=0,0,11630*1000*SER_hh_fec!H29/SER_hh_num!H29)</f>
        <v>22747.951864438659</v>
      </c>
      <c r="I29" s="130">
        <f>IF(SER_hh_fec!I29=0,0,11630*1000*SER_hh_fec!I29/SER_hh_num!I29)</f>
        <v>23536.11756185893</v>
      </c>
      <c r="J29" s="130">
        <f>IF(SER_hh_fec!J29=0,0,11630*1000*SER_hh_fec!J29/SER_hh_num!J29)</f>
        <v>23846.046543196691</v>
      </c>
      <c r="K29" s="130">
        <f>IF(SER_hh_fec!K29=0,0,11630*1000*SER_hh_fec!K29/SER_hh_num!K29)</f>
        <v>23199.039619024457</v>
      </c>
      <c r="L29" s="130">
        <f>IF(SER_hh_fec!L29=0,0,11630*1000*SER_hh_fec!L29/SER_hh_num!L29)</f>
        <v>23427.825719587439</v>
      </c>
      <c r="M29" s="130">
        <f>IF(SER_hh_fec!M29=0,0,11630*1000*SER_hh_fec!M29/SER_hh_num!M29)</f>
        <v>23598.064726472137</v>
      </c>
      <c r="N29" s="130">
        <f>IF(SER_hh_fec!N29=0,0,11630*1000*SER_hh_fec!N29/SER_hh_num!N29)</f>
        <v>23439.049587335008</v>
      </c>
      <c r="O29" s="130">
        <f>IF(SER_hh_fec!O29=0,0,11630*1000*SER_hh_fec!O29/SER_hh_num!O29)</f>
        <v>23432.05504620793</v>
      </c>
      <c r="P29" s="130">
        <f>IF(SER_hh_fec!P29=0,0,11630*1000*SER_hh_fec!P29/SER_hh_num!P29)</f>
        <v>23409.336195749544</v>
      </c>
      <c r="Q29" s="130">
        <f>IF(SER_hh_fec!Q29=0,0,11630*1000*SER_hh_fec!Q29/SER_hh_num!Q29)</f>
        <v>23398.958981883083</v>
      </c>
      <c r="R29" s="130">
        <f>IF(SER_hh_fec!R29=0,0,11630*1000*SER_hh_fec!R29/SER_hh_num!R29)</f>
        <v>23074.739947605747</v>
      </c>
      <c r="S29" s="130">
        <f>IF(SER_hh_fec!S29=0,0,11630*1000*SER_hh_fec!S29/SER_hh_num!S29)</f>
        <v>22276.225022016923</v>
      </c>
      <c r="T29" s="130">
        <f>IF(SER_hh_fec!T29=0,0,11630*1000*SER_hh_fec!T29/SER_hh_num!T29)</f>
        <v>22098.132389164308</v>
      </c>
      <c r="U29" s="130">
        <f>IF(SER_hh_fec!U29=0,0,11630*1000*SER_hh_fec!U29/SER_hh_num!U29)</f>
        <v>21785.280888709203</v>
      </c>
      <c r="V29" s="130">
        <f>IF(SER_hh_fec!V29=0,0,11630*1000*SER_hh_fec!V29/SER_hh_num!V29)</f>
        <v>20017.965145814462</v>
      </c>
      <c r="W29" s="130">
        <f>IF(SER_hh_fec!W29=0,0,11630*1000*SER_hh_fec!W29/SER_hh_num!W29)</f>
        <v>20438.288835640975</v>
      </c>
      <c r="X29" s="130">
        <f>IF(SER_hh_fec!X29=0,0,11630*1000*SER_hh_fec!X29/SER_hh_num!X29)</f>
        <v>20697.363796204805</v>
      </c>
      <c r="Y29" s="130">
        <f>IF(SER_hh_fec!Y29=0,0,11630*1000*SER_hh_fec!Y29/SER_hh_num!Y29)</f>
        <v>20562.165573361999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8288.7345509764382</v>
      </c>
      <c r="C30" s="132">
        <f>IF(SER_hh_fec!C30=0,0,11630*1000*SER_hh_fec!C30/SER_hh_num!C30)</f>
        <v>25615.990375919911</v>
      </c>
      <c r="D30" s="132">
        <f>IF(SER_hh_fec!D30=0,0,11630*1000*SER_hh_fec!D30/SER_hh_num!D30)</f>
        <v>20920.477485170537</v>
      </c>
      <c r="E30" s="132">
        <f>IF(SER_hh_fec!E30=0,0,11630*1000*SER_hh_fec!E30/SER_hh_num!E30)</f>
        <v>30559.838305252975</v>
      </c>
      <c r="F30" s="132">
        <f>IF(SER_hh_fec!F30=0,0,11630*1000*SER_hh_fec!F30/SER_hh_num!F30)</f>
        <v>27545.641137215411</v>
      </c>
      <c r="G30" s="132">
        <f>IF(SER_hh_fec!G30=0,0,11630*1000*SER_hh_fec!G30/SER_hh_num!G30)</f>
        <v>26577.463938538433</v>
      </c>
      <c r="H30" s="132">
        <f>IF(SER_hh_fec!H30=0,0,11630*1000*SER_hh_fec!H30/SER_hh_num!H30)</f>
        <v>29726.673436415145</v>
      </c>
      <c r="I30" s="132">
        <f>IF(SER_hh_fec!I30=0,0,11630*1000*SER_hh_fec!I30/SER_hh_num!I30)</f>
        <v>31613.446677866086</v>
      </c>
      <c r="J30" s="132">
        <f>IF(SER_hh_fec!J30=0,0,11630*1000*SER_hh_fec!J30/SER_hh_num!J30)</f>
        <v>31067.408568160998</v>
      </c>
      <c r="K30" s="132">
        <f>IF(SER_hh_fec!K30=0,0,11630*1000*SER_hh_fec!K30/SER_hh_num!K30)</f>
        <v>27047.090556985095</v>
      </c>
      <c r="L30" s="132">
        <f>IF(SER_hh_fec!L30=0,0,11630*1000*SER_hh_fec!L30/SER_hh_num!L30)</f>
        <v>25806.710152424403</v>
      </c>
      <c r="M30" s="132">
        <f>IF(SER_hh_fec!M30=0,0,11630*1000*SER_hh_fec!M30/SER_hh_num!M30)</f>
        <v>27841.849023884355</v>
      </c>
      <c r="N30" s="132">
        <f>IF(SER_hh_fec!N30=0,0,11630*1000*SER_hh_fec!N30/SER_hh_num!N30)</f>
        <v>29070.939320609617</v>
      </c>
      <c r="O30" s="132">
        <f>IF(SER_hh_fec!O30=0,0,11630*1000*SER_hh_fec!O30/SER_hh_num!O30)</f>
        <v>29907.701733052509</v>
      </c>
      <c r="P30" s="132">
        <f>IF(SER_hh_fec!P30=0,0,11630*1000*SER_hh_fec!P30/SER_hh_num!P30)</f>
        <v>25957.410653011069</v>
      </c>
      <c r="Q30" s="132">
        <f>IF(SER_hh_fec!Q30=0,0,11630*1000*SER_hh_fec!Q30/SER_hh_num!Q30)</f>
        <v>28781.007104166645</v>
      </c>
      <c r="R30" s="132">
        <f>IF(SER_hh_fec!R30=0,0,11630*1000*SER_hh_fec!R30/SER_hh_num!R30)</f>
        <v>29650.842438147858</v>
      </c>
      <c r="S30" s="132">
        <f>IF(SER_hh_fec!S30=0,0,11630*1000*SER_hh_fec!S30/SER_hh_num!S30)</f>
        <v>28697.378270169374</v>
      </c>
      <c r="T30" s="132">
        <f>IF(SER_hh_fec!T30=0,0,11630*1000*SER_hh_fec!T30/SER_hh_num!T30)</f>
        <v>27310.301946318668</v>
      </c>
      <c r="U30" s="132">
        <f>IF(SER_hh_fec!U30=0,0,11630*1000*SER_hh_fec!U30/SER_hh_num!U30)</f>
        <v>31816.26893897729</v>
      </c>
      <c r="V30" s="132">
        <f>IF(SER_hh_fec!V30=0,0,11630*1000*SER_hh_fec!V30/SER_hh_num!V30)</f>
        <v>22545.194005312656</v>
      </c>
      <c r="W30" s="132">
        <f>IF(SER_hh_fec!W30=0,0,11630*1000*SER_hh_fec!W30/SER_hh_num!W30)</f>
        <v>24008.788527512017</v>
      </c>
      <c r="X30" s="132">
        <f>IF(SER_hh_fec!X30=0,0,11630*1000*SER_hh_fec!X30/SER_hh_num!X30)</f>
        <v>22891.273710070549</v>
      </c>
      <c r="Y30" s="132">
        <f>IF(SER_hh_fec!Y30=0,0,11630*1000*SER_hh_fec!Y30/SER_hh_num!Y30)</f>
        <v>26245.303064579984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17987.756639387775</v>
      </c>
      <c r="C31" s="132">
        <f>IF(SER_hh_fec!C31=0,0,11630*1000*SER_hh_fec!C31/SER_hh_num!C31)</f>
        <v>21228.461700086431</v>
      </c>
      <c r="D31" s="132">
        <f>IF(SER_hh_fec!D31=0,0,11630*1000*SER_hh_fec!D31/SER_hh_num!D31)</f>
        <v>23970.986547933346</v>
      </c>
      <c r="E31" s="132">
        <f>IF(SER_hh_fec!E31=0,0,11630*1000*SER_hh_fec!E31/SER_hh_num!E31)</f>
        <v>26255.855892072701</v>
      </c>
      <c r="F31" s="132">
        <f>IF(SER_hh_fec!F31=0,0,11630*1000*SER_hh_fec!F31/SER_hh_num!F31)</f>
        <v>26193.985610155112</v>
      </c>
      <c r="G31" s="132">
        <f>IF(SER_hh_fec!G31=0,0,11630*1000*SER_hh_fec!G31/SER_hh_num!G31)</f>
        <v>27423.520023278652</v>
      </c>
      <c r="H31" s="132">
        <f>IF(SER_hh_fec!H31=0,0,11630*1000*SER_hh_fec!H31/SER_hh_num!H31)</f>
        <v>28198.680932551208</v>
      </c>
      <c r="I31" s="132">
        <f>IF(SER_hh_fec!I31=0,0,11630*1000*SER_hh_fec!I31/SER_hh_num!I31)</f>
        <v>28614.562614508959</v>
      </c>
      <c r="J31" s="132">
        <f>IF(SER_hh_fec!J31=0,0,11630*1000*SER_hh_fec!J31/SER_hh_num!J31)</f>
        <v>28846.115847456946</v>
      </c>
      <c r="K31" s="132">
        <f>IF(SER_hh_fec!K31=0,0,11630*1000*SER_hh_fec!K31/SER_hh_num!K31)</f>
        <v>28620.685008656408</v>
      </c>
      <c r="L31" s="132">
        <f>IF(SER_hh_fec!L31=0,0,11630*1000*SER_hh_fec!L31/SER_hh_num!L31)</f>
        <v>27324.631452592967</v>
      </c>
      <c r="M31" s="132">
        <f>IF(SER_hh_fec!M31=0,0,11630*1000*SER_hh_fec!M31/SER_hh_num!M31)</f>
        <v>28920.464196779252</v>
      </c>
      <c r="N31" s="132">
        <f>IF(SER_hh_fec!N31=0,0,11630*1000*SER_hh_fec!N31/SER_hh_num!N31)</f>
        <v>29685.950625295525</v>
      </c>
      <c r="O31" s="132">
        <f>IF(SER_hh_fec!O31=0,0,11630*1000*SER_hh_fec!O31/SER_hh_num!O31)</f>
        <v>28967.926446615718</v>
      </c>
      <c r="P31" s="132">
        <f>IF(SER_hh_fec!P31=0,0,11630*1000*SER_hh_fec!P31/SER_hh_num!P31)</f>
        <v>28492.50120642492</v>
      </c>
      <c r="Q31" s="132">
        <f>IF(SER_hh_fec!Q31=0,0,11630*1000*SER_hh_fec!Q31/SER_hh_num!Q31)</f>
        <v>29302.012056035834</v>
      </c>
      <c r="R31" s="132">
        <f>IF(SER_hh_fec!R31=0,0,11630*1000*SER_hh_fec!R31/SER_hh_num!R31)</f>
        <v>28502.351998822192</v>
      </c>
      <c r="S31" s="132">
        <f>IF(SER_hh_fec!S31=0,0,11630*1000*SER_hh_fec!S31/SER_hh_num!S31)</f>
        <v>27392.48221961482</v>
      </c>
      <c r="T31" s="132">
        <f>IF(SER_hh_fec!T31=0,0,11630*1000*SER_hh_fec!T31/SER_hh_num!T31)</f>
        <v>27210.446191181796</v>
      </c>
      <c r="U31" s="132">
        <f>IF(SER_hh_fec!U31=0,0,11630*1000*SER_hh_fec!U31/SER_hh_num!U31)</f>
        <v>27402.833275482004</v>
      </c>
      <c r="V31" s="132">
        <f>IF(SER_hh_fec!V31=0,0,11630*1000*SER_hh_fec!V31/SER_hh_num!V31)</f>
        <v>22224.966273883307</v>
      </c>
      <c r="W31" s="132">
        <f>IF(SER_hh_fec!W31=0,0,11630*1000*SER_hh_fec!W31/SER_hh_num!W31)</f>
        <v>27478.839498076264</v>
      </c>
      <c r="X31" s="132">
        <f>IF(SER_hh_fec!X31=0,0,11630*1000*SER_hh_fec!X31/SER_hh_num!X31)</f>
        <v>26073.69002540387</v>
      </c>
      <c r="Y31" s="132">
        <f>IF(SER_hh_fec!Y31=0,0,11630*1000*SER_hh_fec!Y31/SER_hh_num!Y31)</f>
        <v>25854.721540794148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14104.061571848195</v>
      </c>
      <c r="C33" s="68">
        <f>IF(SER_hh_fec!C33=0,0,11630*1000*SER_hh_fec!C33/SER_hh_num!C33)</f>
        <v>16023.483183278375</v>
      </c>
      <c r="D33" s="68">
        <f>IF(SER_hh_fec!D33=0,0,11630*1000*SER_hh_fec!D33/SER_hh_num!D33)</f>
        <v>18481.306260805883</v>
      </c>
      <c r="E33" s="68">
        <f>IF(SER_hh_fec!E33=0,0,11630*1000*SER_hh_fec!E33/SER_hh_num!E33)</f>
        <v>20109.338932688624</v>
      </c>
      <c r="F33" s="68">
        <f>IF(SER_hh_fec!F33=0,0,11630*1000*SER_hh_fec!F33/SER_hh_num!F33)</f>
        <v>20517.481018562859</v>
      </c>
      <c r="G33" s="68">
        <f>IF(SER_hh_fec!G33=0,0,11630*1000*SER_hh_fec!G33/SER_hh_num!G33)</f>
        <v>20681.140222697082</v>
      </c>
      <c r="H33" s="68">
        <f>IF(SER_hh_fec!H33=0,0,11630*1000*SER_hh_fec!H33/SER_hh_num!H33)</f>
        <v>20838.515707561299</v>
      </c>
      <c r="I33" s="68">
        <f>IF(SER_hh_fec!I33=0,0,11630*1000*SER_hh_fec!I33/SER_hh_num!I33)</f>
        <v>21721.086899991125</v>
      </c>
      <c r="J33" s="68">
        <f>IF(SER_hh_fec!J33=0,0,11630*1000*SER_hh_fec!J33/SER_hh_num!J33)</f>
        <v>22222.810632652156</v>
      </c>
      <c r="K33" s="68">
        <f>IF(SER_hh_fec!K33=0,0,11630*1000*SER_hh_fec!K33/SER_hh_num!K33)</f>
        <v>21697.24000299886</v>
      </c>
      <c r="L33" s="68">
        <f>IF(SER_hh_fec!L33=0,0,11630*1000*SER_hh_fec!L33/SER_hh_num!L33)</f>
        <v>22326.712642006045</v>
      </c>
      <c r="M33" s="68">
        <f>IF(SER_hh_fec!M33=0,0,11630*1000*SER_hh_fec!M33/SER_hh_num!M33)</f>
        <v>21966.724460910602</v>
      </c>
      <c r="N33" s="68">
        <f>IF(SER_hh_fec!N33=0,0,11630*1000*SER_hh_fec!N33/SER_hh_num!N33)</f>
        <v>21375.603275030357</v>
      </c>
      <c r="O33" s="68">
        <f>IF(SER_hh_fec!O33=0,0,11630*1000*SER_hh_fec!O33/SER_hh_num!O33)</f>
        <v>21461.820226497068</v>
      </c>
      <c r="P33" s="68">
        <f>IF(SER_hh_fec!P33=0,0,11630*1000*SER_hh_fec!P33/SER_hh_num!P33)</f>
        <v>21711.352415652225</v>
      </c>
      <c r="Q33" s="68">
        <f>IF(SER_hh_fec!Q33=0,0,11630*1000*SER_hh_fec!Q33/SER_hh_num!Q33)</f>
        <v>21355.761565519315</v>
      </c>
      <c r="R33" s="68">
        <f>IF(SER_hh_fec!R33=0,0,11630*1000*SER_hh_fec!R33/SER_hh_num!R33)</f>
        <v>21198.741045717714</v>
      </c>
      <c r="S33" s="68">
        <f>IF(SER_hh_fec!S33=0,0,11630*1000*SER_hh_fec!S33/SER_hh_num!S33)</f>
        <v>20562.583150143109</v>
      </c>
      <c r="T33" s="68">
        <f>IF(SER_hh_fec!T33=0,0,11630*1000*SER_hh_fec!T33/SER_hh_num!T33)</f>
        <v>20519.079767487776</v>
      </c>
      <c r="U33" s="68">
        <f>IF(SER_hh_fec!U33=0,0,11630*1000*SER_hh_fec!U33/SER_hh_num!U33)</f>
        <v>19895.02982796841</v>
      </c>
      <c r="V33" s="68">
        <f>IF(SER_hh_fec!V33=0,0,11630*1000*SER_hh_fec!V33/SER_hh_num!V33)</f>
        <v>19322.565444573003</v>
      </c>
      <c r="W33" s="68">
        <f>IF(SER_hh_fec!W33=0,0,11630*1000*SER_hh_fec!W33/SER_hh_num!W33)</f>
        <v>18142.794853255695</v>
      </c>
      <c r="X33" s="68">
        <f>IF(SER_hh_fec!X33=0,0,11630*1000*SER_hh_fec!X33/SER_hh_num!X33)</f>
        <v>18883.888288853312</v>
      </c>
      <c r="Y33" s="68">
        <f>IF(SER_hh_fec!Y33=0,0,11630*1000*SER_hh_fec!Y33/SER_hh_num!Y33)</f>
        <v>18705.274088779777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84866.324789417384</v>
      </c>
      <c r="C3" s="125">
        <f>IF(SER_hh_tes!C3=0,0,11630*1000*SER_hh_tes!C3/SER_hh_num!C3)</f>
        <v>93940.000562148343</v>
      </c>
      <c r="D3" s="125">
        <f>IF(SER_hh_tes!D3=0,0,11630*1000*SER_hh_tes!D3/SER_hh_num!D3)</f>
        <v>108257.5911083775</v>
      </c>
      <c r="E3" s="125">
        <f>IF(SER_hh_tes!E3=0,0,11630*1000*SER_hh_tes!E3/SER_hh_num!E3)</f>
        <v>110270.44580236737</v>
      </c>
      <c r="F3" s="125">
        <f>IF(SER_hh_tes!F3=0,0,11630*1000*SER_hh_tes!F3/SER_hh_num!F3)</f>
        <v>117543.76742761365</v>
      </c>
      <c r="G3" s="125">
        <f>IF(SER_hh_tes!G3=0,0,11630*1000*SER_hh_tes!G3/SER_hh_num!G3)</f>
        <v>114546.93131591837</v>
      </c>
      <c r="H3" s="125">
        <f>IF(SER_hh_tes!H3=0,0,11630*1000*SER_hh_tes!H3/SER_hh_num!H3)</f>
        <v>126245.14144728184</v>
      </c>
      <c r="I3" s="125">
        <f>IF(SER_hh_tes!I3=0,0,11630*1000*SER_hh_tes!I3/SER_hh_num!I3)</f>
        <v>111909.15102049184</v>
      </c>
      <c r="J3" s="125">
        <f>IF(SER_hh_tes!J3=0,0,11630*1000*SER_hh_tes!J3/SER_hh_num!J3)</f>
        <v>126386.39848265973</v>
      </c>
      <c r="K3" s="125">
        <f>IF(SER_hh_tes!K3=0,0,11630*1000*SER_hh_tes!K3/SER_hh_num!K3)</f>
        <v>122778.43901920297</v>
      </c>
      <c r="L3" s="125">
        <f>IF(SER_hh_tes!L3=0,0,11630*1000*SER_hh_tes!L3/SER_hh_num!L3)</f>
        <v>138573.27526080218</v>
      </c>
      <c r="M3" s="125">
        <f>IF(SER_hh_tes!M3=0,0,11630*1000*SER_hh_tes!M3/SER_hh_num!M3)</f>
        <v>127696.53913797636</v>
      </c>
      <c r="N3" s="125">
        <f>IF(SER_hh_tes!N3=0,0,11630*1000*SER_hh_tes!N3/SER_hh_num!N3)</f>
        <v>125428.19148870511</v>
      </c>
      <c r="O3" s="125">
        <f>IF(SER_hh_tes!O3=0,0,11630*1000*SER_hh_tes!O3/SER_hh_num!O3)</f>
        <v>120446.19316109484</v>
      </c>
      <c r="P3" s="125">
        <f>IF(SER_hh_tes!P3=0,0,11630*1000*SER_hh_tes!P3/SER_hh_num!P3)</f>
        <v>112531.43622555361</v>
      </c>
      <c r="Q3" s="125">
        <f>IF(SER_hh_tes!Q3=0,0,11630*1000*SER_hh_tes!Q3/SER_hh_num!Q3)</f>
        <v>111802.79676964981</v>
      </c>
      <c r="R3" s="125">
        <f>IF(SER_hh_tes!R3=0,0,11630*1000*SER_hh_tes!R3/SER_hh_num!R3)</f>
        <v>122399.66943221005</v>
      </c>
      <c r="S3" s="125">
        <f>IF(SER_hh_tes!S3=0,0,11630*1000*SER_hh_tes!S3/SER_hh_num!S3)</f>
        <v>113927.35324074203</v>
      </c>
      <c r="T3" s="125">
        <f>IF(SER_hh_tes!T3=0,0,11630*1000*SER_hh_tes!T3/SER_hh_num!T3)</f>
        <v>111491.40471063417</v>
      </c>
      <c r="U3" s="125">
        <f>IF(SER_hh_tes!U3=0,0,11630*1000*SER_hh_tes!U3/SER_hh_num!U3)</f>
        <v>110194.76637365307</v>
      </c>
      <c r="V3" s="125">
        <f>IF(SER_hh_tes!V3=0,0,11630*1000*SER_hh_tes!V3/SER_hh_num!V3)</f>
        <v>106247.26855492708</v>
      </c>
      <c r="W3" s="125">
        <f>IF(SER_hh_tes!W3=0,0,11630*1000*SER_hh_tes!W3/SER_hh_num!W3)</f>
        <v>119450.39187123007</v>
      </c>
      <c r="X3" s="125">
        <f>IF(SER_hh_tes!X3=0,0,11630*1000*SER_hh_tes!X3/SER_hh_num!X3)</f>
        <v>114592.8539116492</v>
      </c>
      <c r="Y3" s="125">
        <f>IF(SER_hh_tes!Y3=0,0,11630*1000*SER_hh_tes!Y3/SER_hh_num!Y3)</f>
        <v>114481.60586209531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64804.055872732613</v>
      </c>
      <c r="C4" s="130">
        <f>IF(SER_hh_tes!C4=0,0,11630*1000*SER_hh_tes!C4/SER_hh_num!C4)</f>
        <v>71391.423418439546</v>
      </c>
      <c r="D4" s="130">
        <f>IF(SER_hh_tes!D4=0,0,11630*1000*SER_hh_tes!D4/SER_hh_num!D4)</f>
        <v>81981.299076996424</v>
      </c>
      <c r="E4" s="130">
        <f>IF(SER_hh_tes!E4=0,0,11630*1000*SER_hh_tes!E4/SER_hh_num!E4)</f>
        <v>81765.34351789378</v>
      </c>
      <c r="F4" s="130">
        <f>IF(SER_hh_tes!F4=0,0,11630*1000*SER_hh_tes!F4/SER_hh_num!F4)</f>
        <v>87842.837203137853</v>
      </c>
      <c r="G4" s="130">
        <f>IF(SER_hh_tes!G4=0,0,11630*1000*SER_hh_tes!G4/SER_hh_num!G4)</f>
        <v>84260.483337658618</v>
      </c>
      <c r="H4" s="130">
        <f>IF(SER_hh_tes!H4=0,0,11630*1000*SER_hh_tes!H4/SER_hh_num!H4)</f>
        <v>94602.686891914651</v>
      </c>
      <c r="I4" s="130">
        <f>IF(SER_hh_tes!I4=0,0,11630*1000*SER_hh_tes!I4/SER_hh_num!I4)</f>
        <v>78565.239567784272</v>
      </c>
      <c r="J4" s="130">
        <f>IF(SER_hh_tes!J4=0,0,11630*1000*SER_hh_tes!J4/SER_hh_num!J4)</f>
        <v>92066.555215631888</v>
      </c>
      <c r="K4" s="130">
        <f>IF(SER_hh_tes!K4=0,0,11630*1000*SER_hh_tes!K4/SER_hh_num!K4)</f>
        <v>88504.565568435486</v>
      </c>
      <c r="L4" s="130">
        <f>IF(SER_hh_tes!L4=0,0,11630*1000*SER_hh_tes!L4/SER_hh_num!L4)</f>
        <v>103315.41317518553</v>
      </c>
      <c r="M4" s="130">
        <f>IF(SER_hh_tes!M4=0,0,11630*1000*SER_hh_tes!M4/SER_hh_num!M4)</f>
        <v>92552.486598317075</v>
      </c>
      <c r="N4" s="130">
        <f>IF(SER_hh_tes!N4=0,0,11630*1000*SER_hh_tes!N4/SER_hh_num!N4)</f>
        <v>89928.360890848082</v>
      </c>
      <c r="O4" s="130">
        <f>IF(SER_hh_tes!O4=0,0,11630*1000*SER_hh_tes!O4/SER_hh_num!O4)</f>
        <v>84405.480311157415</v>
      </c>
      <c r="P4" s="130">
        <f>IF(SER_hh_tes!P4=0,0,11630*1000*SER_hh_tes!P4/SER_hh_num!P4)</f>
        <v>76391.72180514186</v>
      </c>
      <c r="Q4" s="130">
        <f>IF(SER_hh_tes!Q4=0,0,11630*1000*SER_hh_tes!Q4/SER_hh_num!Q4)</f>
        <v>74692.728443767191</v>
      </c>
      <c r="R4" s="130">
        <f>IF(SER_hh_tes!R4=0,0,11630*1000*SER_hh_tes!R4/SER_hh_num!R4)</f>
        <v>85679.992834156976</v>
      </c>
      <c r="S4" s="130">
        <f>IF(SER_hh_tes!S4=0,0,11630*1000*SER_hh_tes!S4/SER_hh_num!S4)</f>
        <v>77841.828867902208</v>
      </c>
      <c r="T4" s="130">
        <f>IF(SER_hh_tes!T4=0,0,11630*1000*SER_hh_tes!T4/SER_hh_num!T4)</f>
        <v>75490.281764316343</v>
      </c>
      <c r="U4" s="130">
        <f>IF(SER_hh_tes!U4=0,0,11630*1000*SER_hh_tes!U4/SER_hh_num!U4)</f>
        <v>74069.140013857308</v>
      </c>
      <c r="V4" s="130">
        <f>IF(SER_hh_tes!V4=0,0,11630*1000*SER_hh_tes!V4/SER_hh_num!V4)</f>
        <v>72757.551770346894</v>
      </c>
      <c r="W4" s="130">
        <f>IF(SER_hh_tes!W4=0,0,11630*1000*SER_hh_tes!W4/SER_hh_num!W4)</f>
        <v>84383.105094195853</v>
      </c>
      <c r="X4" s="130">
        <f>IF(SER_hh_tes!X4=0,0,11630*1000*SER_hh_tes!X4/SER_hh_num!X4)</f>
        <v>78832.010674221645</v>
      </c>
      <c r="Y4" s="130">
        <f>IF(SER_hh_tes!Y4=0,0,11630*1000*SER_hh_tes!Y4/SER_hh_num!Y4)</f>
        <v>79171.036187155682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71285.325834191754</v>
      </c>
      <c r="C5" s="132">
        <f>IF(SER_hh_tes!C5=0,0,11630*1000*SER_hh_tes!C5/SER_hh_num!C5)</f>
        <v>53162.337871999574</v>
      </c>
      <c r="D5" s="132">
        <f>IF(SER_hh_tes!D5=0,0,11630*1000*SER_hh_tes!D5/SER_hh_num!D5)</f>
        <v>88789.543176360021</v>
      </c>
      <c r="E5" s="132">
        <f>IF(SER_hh_tes!E5=0,0,11630*1000*SER_hh_tes!E5/SER_hh_num!E5)</f>
        <v>86761.740443522562</v>
      </c>
      <c r="F5" s="132">
        <f>IF(SER_hh_tes!F5=0,0,11630*1000*SER_hh_tes!F5/SER_hh_num!F5)</f>
        <v>82625.776581740647</v>
      </c>
      <c r="G5" s="132">
        <f>IF(SER_hh_tes!G5=0,0,11630*1000*SER_hh_tes!G5/SER_hh_num!G5)</f>
        <v>82122.62080142014</v>
      </c>
      <c r="H5" s="132">
        <f>IF(SER_hh_tes!H5=0,0,11630*1000*SER_hh_tes!H5/SER_hh_num!H5)</f>
        <v>94560.019130784305</v>
      </c>
      <c r="I5" s="132">
        <f>IF(SER_hh_tes!I5=0,0,11630*1000*SER_hh_tes!I5/SER_hh_num!I5)</f>
        <v>78941.274933490335</v>
      </c>
      <c r="J5" s="132">
        <f>IF(SER_hh_tes!J5=0,0,11630*1000*SER_hh_tes!J5/SER_hh_num!J5)</f>
        <v>86714.393392199519</v>
      </c>
      <c r="K5" s="132">
        <f>IF(SER_hh_tes!K5=0,0,11630*1000*SER_hh_tes!K5/SER_hh_num!K5)</f>
        <v>91327.537109336903</v>
      </c>
      <c r="L5" s="132">
        <f>IF(SER_hh_tes!L5=0,0,11630*1000*SER_hh_tes!L5/SER_hh_num!L5)</f>
        <v>103091.29695476622</v>
      </c>
      <c r="M5" s="132">
        <f>IF(SER_hh_tes!M5=0,0,11630*1000*SER_hh_tes!M5/SER_hh_num!M5)</f>
        <v>89889.723223816734</v>
      </c>
      <c r="N5" s="132">
        <f>IF(SER_hh_tes!N5=0,0,11630*1000*SER_hh_tes!N5/SER_hh_num!N5)</f>
        <v>91047.605444379369</v>
      </c>
      <c r="O5" s="132">
        <f>IF(SER_hh_tes!O5=0,0,11630*1000*SER_hh_tes!O5/SER_hh_num!O5)</f>
        <v>85000.331949647079</v>
      </c>
      <c r="P5" s="132">
        <f>IF(SER_hh_tes!P5=0,0,11630*1000*SER_hh_tes!P5/SER_hh_num!P5)</f>
        <v>75996.87588393387</v>
      </c>
      <c r="Q5" s="132">
        <f>IF(SER_hh_tes!Q5=0,0,11630*1000*SER_hh_tes!Q5/SER_hh_num!Q5)</f>
        <v>74784.533792993388</v>
      </c>
      <c r="R5" s="132">
        <f>IF(SER_hh_tes!R5=0,0,11630*1000*SER_hh_tes!R5/SER_hh_num!R5)</f>
        <v>80454.615350861612</v>
      </c>
      <c r="S5" s="132">
        <f>IF(SER_hh_tes!S5=0,0,11630*1000*SER_hh_tes!S5/SER_hh_num!S5)</f>
        <v>81224.683015942632</v>
      </c>
      <c r="T5" s="132">
        <f>IF(SER_hh_tes!T5=0,0,11630*1000*SER_hh_tes!T5/SER_hh_num!T5)</f>
        <v>78425.38553391803</v>
      </c>
      <c r="U5" s="132">
        <f>IF(SER_hh_tes!U5=0,0,11630*1000*SER_hh_tes!U5/SER_hh_num!U5)</f>
        <v>66704.185131386577</v>
      </c>
      <c r="V5" s="132">
        <f>IF(SER_hh_tes!V5=0,0,11630*1000*SER_hh_tes!V5/SER_hh_num!V5)</f>
        <v>72834.47170948537</v>
      </c>
      <c r="W5" s="132">
        <f>IF(SER_hh_tes!W5=0,0,11630*1000*SER_hh_tes!W5/SER_hh_num!W5)</f>
        <v>106722.54612714927</v>
      </c>
      <c r="X5" s="132">
        <f>IF(SER_hh_tes!X5=0,0,11630*1000*SER_hh_tes!X5/SER_hh_num!X5)</f>
        <v>64381.061362551154</v>
      </c>
      <c r="Y5" s="132">
        <f>IF(SER_hh_tes!Y5=0,0,11630*1000*SER_hh_tes!Y5/SER_hh_num!Y5)</f>
        <v>74889.740860021368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59990.122604985438</v>
      </c>
      <c r="C7" s="132">
        <f>IF(SER_hh_tes!C7=0,0,11630*1000*SER_hh_tes!C7/SER_hh_num!C7)</f>
        <v>76457.407561928092</v>
      </c>
      <c r="D7" s="132">
        <f>IF(SER_hh_tes!D7=0,0,11630*1000*SER_hh_tes!D7/SER_hh_num!D7)</f>
        <v>82992.909806495998</v>
      </c>
      <c r="E7" s="132">
        <f>IF(SER_hh_tes!E7=0,0,11630*1000*SER_hh_tes!E7/SER_hh_num!E7)</f>
        <v>84207.927865563848</v>
      </c>
      <c r="F7" s="132">
        <f>IF(SER_hh_tes!F7=0,0,11630*1000*SER_hh_tes!F7/SER_hh_num!F7)</f>
        <v>79358.662113483282</v>
      </c>
      <c r="G7" s="132">
        <f>IF(SER_hh_tes!G7=0,0,11630*1000*SER_hh_tes!G7/SER_hh_num!G7)</f>
        <v>62697.873221856149</v>
      </c>
      <c r="H7" s="132">
        <f>IF(SER_hh_tes!H7=0,0,11630*1000*SER_hh_tes!H7/SER_hh_num!H7)</f>
        <v>99549.909463131131</v>
      </c>
      <c r="I7" s="132">
        <f>IF(SER_hh_tes!I7=0,0,11630*1000*SER_hh_tes!I7/SER_hh_num!I7)</f>
        <v>88260.871232183956</v>
      </c>
      <c r="J7" s="132">
        <f>IF(SER_hh_tes!J7=0,0,11630*1000*SER_hh_tes!J7/SER_hh_num!J7)</f>
        <v>86957.641362702241</v>
      </c>
      <c r="K7" s="132">
        <f>IF(SER_hh_tes!K7=0,0,11630*1000*SER_hh_tes!K7/SER_hh_num!K7)</f>
        <v>82644.370863893782</v>
      </c>
      <c r="L7" s="132">
        <f>IF(SER_hh_tes!L7=0,0,11630*1000*SER_hh_tes!L7/SER_hh_num!L7)</f>
        <v>106152.73142350913</v>
      </c>
      <c r="M7" s="132">
        <f>IF(SER_hh_tes!M7=0,0,11630*1000*SER_hh_tes!M7/SER_hh_num!M7)</f>
        <v>102941.73564593549</v>
      </c>
      <c r="N7" s="132">
        <f>IF(SER_hh_tes!N7=0,0,11630*1000*SER_hh_tes!N7/SER_hh_num!N7)</f>
        <v>82402.331339907279</v>
      </c>
      <c r="O7" s="132">
        <f>IF(SER_hh_tes!O7=0,0,11630*1000*SER_hh_tes!O7/SER_hh_num!O7)</f>
        <v>74596.051800979869</v>
      </c>
      <c r="P7" s="132">
        <f>IF(SER_hh_tes!P7=0,0,11630*1000*SER_hh_tes!P7/SER_hh_num!P7)</f>
        <v>76064.581726465956</v>
      </c>
      <c r="Q7" s="132">
        <f>IF(SER_hh_tes!Q7=0,0,11630*1000*SER_hh_tes!Q7/SER_hh_num!Q7)</f>
        <v>75663.171743866973</v>
      </c>
      <c r="R7" s="132">
        <f>IF(SER_hh_tes!R7=0,0,11630*1000*SER_hh_tes!R7/SER_hh_num!R7)</f>
        <v>76423.943801590518</v>
      </c>
      <c r="S7" s="132">
        <f>IF(SER_hh_tes!S7=0,0,11630*1000*SER_hh_tes!S7/SER_hh_num!S7)</f>
        <v>77282.133842694282</v>
      </c>
      <c r="T7" s="132">
        <f>IF(SER_hh_tes!T7=0,0,11630*1000*SER_hh_tes!T7/SER_hh_num!T7)</f>
        <v>79476.863802185326</v>
      </c>
      <c r="U7" s="132">
        <f>IF(SER_hh_tes!U7=0,0,11630*1000*SER_hh_tes!U7/SER_hh_num!U7)</f>
        <v>70386.611198585058</v>
      </c>
      <c r="V7" s="132">
        <f>IF(SER_hh_tes!V7=0,0,11630*1000*SER_hh_tes!V7/SER_hh_num!V7)</f>
        <v>72954.230436259371</v>
      </c>
      <c r="W7" s="132">
        <f>IF(SER_hh_tes!W7=0,0,11630*1000*SER_hh_tes!W7/SER_hh_num!W7)</f>
        <v>87325.957904533265</v>
      </c>
      <c r="X7" s="132">
        <f>IF(SER_hh_tes!X7=0,0,11630*1000*SER_hh_tes!X7/SER_hh_num!X7)</f>
        <v>83054.750046390051</v>
      </c>
      <c r="Y7" s="132">
        <f>IF(SER_hh_tes!Y7=0,0,11630*1000*SER_hh_tes!Y7/SER_hh_num!Y7)</f>
        <v>67550.984001393736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61856.337809241995</v>
      </c>
      <c r="C8" s="132">
        <f>IF(SER_hh_tes!C8=0,0,11630*1000*SER_hh_tes!C8/SER_hh_num!C8)</f>
        <v>73465.329622837555</v>
      </c>
      <c r="D8" s="132">
        <f>IF(SER_hh_tes!D8=0,0,11630*1000*SER_hh_tes!D8/SER_hh_num!D8)</f>
        <v>78482.132781616034</v>
      </c>
      <c r="E8" s="132">
        <f>IF(SER_hh_tes!E8=0,0,11630*1000*SER_hh_tes!E8/SER_hh_num!E8)</f>
        <v>84494.127799370777</v>
      </c>
      <c r="F8" s="132">
        <f>IF(SER_hh_tes!F8=0,0,11630*1000*SER_hh_tes!F8/SER_hh_num!F8)</f>
        <v>85141.525966986868</v>
      </c>
      <c r="G8" s="132">
        <f>IF(SER_hh_tes!G8=0,0,11630*1000*SER_hh_tes!G8/SER_hh_num!G8)</f>
        <v>85719.766137179759</v>
      </c>
      <c r="H8" s="132">
        <f>IF(SER_hh_tes!H8=0,0,11630*1000*SER_hh_tes!H8/SER_hh_num!H8)</f>
        <v>85708.137890591097</v>
      </c>
      <c r="I8" s="132">
        <f>IF(SER_hh_tes!I8=0,0,11630*1000*SER_hh_tes!I8/SER_hh_num!I8)</f>
        <v>85005.39691141207</v>
      </c>
      <c r="J8" s="132">
        <f>IF(SER_hh_tes!J8=0,0,11630*1000*SER_hh_tes!J8/SER_hh_num!J8)</f>
        <v>89912.040399785517</v>
      </c>
      <c r="K8" s="132">
        <f>IF(SER_hh_tes!K8=0,0,11630*1000*SER_hh_tes!K8/SER_hh_num!K8)</f>
        <v>96035.054984991802</v>
      </c>
      <c r="L8" s="132">
        <f>IF(SER_hh_tes!L8=0,0,11630*1000*SER_hh_tes!L8/SER_hh_num!L8)</f>
        <v>97467.613541858227</v>
      </c>
      <c r="M8" s="132">
        <f>IF(SER_hh_tes!M8=0,0,11630*1000*SER_hh_tes!M8/SER_hh_num!M8)</f>
        <v>85279.316843233595</v>
      </c>
      <c r="N8" s="132">
        <f>IF(SER_hh_tes!N8=0,0,11630*1000*SER_hh_tes!N8/SER_hh_num!N8)</f>
        <v>85920.327887787716</v>
      </c>
      <c r="O8" s="132">
        <f>IF(SER_hh_tes!O8=0,0,11630*1000*SER_hh_tes!O8/SER_hh_num!O8)</f>
        <v>74226.239973644362</v>
      </c>
      <c r="P8" s="132">
        <f>IF(SER_hh_tes!P8=0,0,11630*1000*SER_hh_tes!P8/SER_hh_num!P8)</f>
        <v>83772.473827765076</v>
      </c>
      <c r="Q8" s="132">
        <f>IF(SER_hh_tes!Q8=0,0,11630*1000*SER_hh_tes!Q8/SER_hh_num!Q8)</f>
        <v>80638.690983326116</v>
      </c>
      <c r="R8" s="132">
        <f>IF(SER_hh_tes!R8=0,0,11630*1000*SER_hh_tes!R8/SER_hh_num!R8)</f>
        <v>82181.395224658409</v>
      </c>
      <c r="S8" s="132">
        <f>IF(SER_hh_tes!S8=0,0,11630*1000*SER_hh_tes!S8/SER_hh_num!S8)</f>
        <v>75539.413794343345</v>
      </c>
      <c r="T8" s="132">
        <f>IF(SER_hh_tes!T8=0,0,11630*1000*SER_hh_tes!T8/SER_hh_num!T8)</f>
        <v>72618.577635120339</v>
      </c>
      <c r="U8" s="132">
        <f>IF(SER_hh_tes!U8=0,0,11630*1000*SER_hh_tes!U8/SER_hh_num!U8)</f>
        <v>71548.853351420388</v>
      </c>
      <c r="V8" s="132">
        <f>IF(SER_hh_tes!V8=0,0,11630*1000*SER_hh_tes!V8/SER_hh_num!V8)</f>
        <v>72374.029749350462</v>
      </c>
      <c r="W8" s="132">
        <f>IF(SER_hh_tes!W8=0,0,11630*1000*SER_hh_tes!W8/SER_hh_num!W8)</f>
        <v>81627.914364721801</v>
      </c>
      <c r="X8" s="132">
        <f>IF(SER_hh_tes!X8=0,0,11630*1000*SER_hh_tes!X8/SER_hh_num!X8)</f>
        <v>76443.148987738052</v>
      </c>
      <c r="Y8" s="132">
        <f>IF(SER_hh_tes!Y8=0,0,11630*1000*SER_hh_tes!Y8/SER_hh_num!Y8)</f>
        <v>84393.465421407062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59599.303413861184</v>
      </c>
      <c r="C9" s="132">
        <f>IF(SER_hh_tes!C9=0,0,11630*1000*SER_hh_tes!C9/SER_hh_num!C9)</f>
        <v>73717.402611384532</v>
      </c>
      <c r="D9" s="132">
        <f>IF(SER_hh_tes!D9=0,0,11630*1000*SER_hh_tes!D9/SER_hh_num!D9)</f>
        <v>83226.204418087145</v>
      </c>
      <c r="E9" s="132">
        <f>IF(SER_hh_tes!E9=0,0,11630*1000*SER_hh_tes!E9/SER_hh_num!E9)</f>
        <v>84818.338980449786</v>
      </c>
      <c r="F9" s="132">
        <f>IF(SER_hh_tes!F9=0,0,11630*1000*SER_hh_tes!F9/SER_hh_num!F9)</f>
        <v>87959.591845886709</v>
      </c>
      <c r="G9" s="132">
        <f>IF(SER_hh_tes!G9=0,0,11630*1000*SER_hh_tes!G9/SER_hh_num!G9)</f>
        <v>88193.950619706826</v>
      </c>
      <c r="H9" s="132">
        <f>IF(SER_hh_tes!H9=0,0,11630*1000*SER_hh_tes!H9/SER_hh_num!H9)</f>
        <v>82325.476410067524</v>
      </c>
      <c r="I9" s="132">
        <f>IF(SER_hh_tes!I9=0,0,11630*1000*SER_hh_tes!I9/SER_hh_num!I9)</f>
        <v>82861.112976056436</v>
      </c>
      <c r="J9" s="132">
        <f>IF(SER_hh_tes!J9=0,0,11630*1000*SER_hh_tes!J9/SER_hh_num!J9)</f>
        <v>86229.34199970882</v>
      </c>
      <c r="K9" s="132">
        <f>IF(SER_hh_tes!K9=0,0,11630*1000*SER_hh_tes!K9/SER_hh_num!K9)</f>
        <v>87424.118645813709</v>
      </c>
      <c r="L9" s="132">
        <f>IF(SER_hh_tes!L9=0,0,11630*1000*SER_hh_tes!L9/SER_hh_num!L9)</f>
        <v>101920.43243926598</v>
      </c>
      <c r="M9" s="132">
        <f>IF(SER_hh_tes!M9=0,0,11630*1000*SER_hh_tes!M9/SER_hh_num!M9)</f>
        <v>89039.700871455585</v>
      </c>
      <c r="N9" s="132">
        <f>IF(SER_hh_tes!N9=0,0,11630*1000*SER_hh_tes!N9/SER_hh_num!N9)</f>
        <v>89723.553095896321</v>
      </c>
      <c r="O9" s="132">
        <f>IF(SER_hh_tes!O9=0,0,11630*1000*SER_hh_tes!O9/SER_hh_num!O9)</f>
        <v>85132.500883434142</v>
      </c>
      <c r="P9" s="132">
        <f>IF(SER_hh_tes!P9=0,0,11630*1000*SER_hh_tes!P9/SER_hh_num!P9)</f>
        <v>70825.428743704397</v>
      </c>
      <c r="Q9" s="132">
        <f>IF(SER_hh_tes!Q9=0,0,11630*1000*SER_hh_tes!Q9/SER_hh_num!Q9)</f>
        <v>76478.106637762176</v>
      </c>
      <c r="R9" s="132">
        <f>IF(SER_hh_tes!R9=0,0,11630*1000*SER_hh_tes!R9/SER_hh_num!R9)</f>
        <v>92521.645616986803</v>
      </c>
      <c r="S9" s="132">
        <f>IF(SER_hh_tes!S9=0,0,11630*1000*SER_hh_tes!S9/SER_hh_num!S9)</f>
        <v>72152.47800506567</v>
      </c>
      <c r="T9" s="132">
        <f>IF(SER_hh_tes!T9=0,0,11630*1000*SER_hh_tes!T9/SER_hh_num!T9)</f>
        <v>71293.077332074114</v>
      </c>
      <c r="U9" s="132">
        <f>IF(SER_hh_tes!U9=0,0,11630*1000*SER_hh_tes!U9/SER_hh_num!U9)</f>
        <v>74837.938488878499</v>
      </c>
      <c r="V9" s="132">
        <f>IF(SER_hh_tes!V9=0,0,11630*1000*SER_hh_tes!V9/SER_hh_num!V9)</f>
        <v>65887.170088000814</v>
      </c>
      <c r="W9" s="132">
        <f>IF(SER_hh_tes!W9=0,0,11630*1000*SER_hh_tes!W9/SER_hh_num!W9)</f>
        <v>88411.955003443203</v>
      </c>
      <c r="X9" s="132">
        <f>IF(SER_hh_tes!X9=0,0,11630*1000*SER_hh_tes!X9/SER_hh_num!X9)</f>
        <v>82796.320424358608</v>
      </c>
      <c r="Y9" s="132">
        <f>IF(SER_hh_tes!Y9=0,0,11630*1000*SER_hh_tes!Y9/SER_hh_num!Y9)</f>
        <v>75513.915377549871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73782.60580381882</v>
      </c>
      <c r="C10" s="132">
        <f>IF(SER_hh_tes!C10=0,0,11630*1000*SER_hh_tes!C10/SER_hh_num!C10)</f>
        <v>62706.253572120906</v>
      </c>
      <c r="D10" s="132">
        <f>IF(SER_hh_tes!D10=0,0,11630*1000*SER_hh_tes!D10/SER_hh_num!D10)</f>
        <v>72763.745821846984</v>
      </c>
      <c r="E10" s="132">
        <f>IF(SER_hh_tes!E10=0,0,11630*1000*SER_hh_tes!E10/SER_hh_num!E10)</f>
        <v>80006.082826649916</v>
      </c>
      <c r="F10" s="132">
        <f>IF(SER_hh_tes!F10=0,0,11630*1000*SER_hh_tes!F10/SER_hh_num!F10)</f>
        <v>87451.541631524989</v>
      </c>
      <c r="G10" s="132">
        <f>IF(SER_hh_tes!G10=0,0,11630*1000*SER_hh_tes!G10/SER_hh_num!G10)</f>
        <v>92131.888339210534</v>
      </c>
      <c r="H10" s="132">
        <f>IF(SER_hh_tes!H10=0,0,11630*1000*SER_hh_tes!H10/SER_hh_num!H10)</f>
        <v>69111.280103184035</v>
      </c>
      <c r="I10" s="132">
        <f>IF(SER_hh_tes!I10=0,0,11630*1000*SER_hh_tes!I10/SER_hh_num!I10)</f>
        <v>84022.520667107412</v>
      </c>
      <c r="J10" s="132">
        <f>IF(SER_hh_tes!J10=0,0,11630*1000*SER_hh_tes!J10/SER_hh_num!J10)</f>
        <v>75180.72615209996</v>
      </c>
      <c r="K10" s="132">
        <f>IF(SER_hh_tes!K10=0,0,11630*1000*SER_hh_tes!K10/SER_hh_num!K10)</f>
        <v>96194.906132934862</v>
      </c>
      <c r="L10" s="132">
        <f>IF(SER_hh_tes!L10=0,0,11630*1000*SER_hh_tes!L10/SER_hh_num!L10)</f>
        <v>103493.52556085592</v>
      </c>
      <c r="M10" s="132">
        <f>IF(SER_hh_tes!M10=0,0,11630*1000*SER_hh_tes!M10/SER_hh_num!M10)</f>
        <v>95086.431814159499</v>
      </c>
      <c r="N10" s="132">
        <f>IF(SER_hh_tes!N10=0,0,11630*1000*SER_hh_tes!N10/SER_hh_num!N10)</f>
        <v>82037.956067500694</v>
      </c>
      <c r="O10" s="132">
        <f>IF(SER_hh_tes!O10=0,0,11630*1000*SER_hh_tes!O10/SER_hh_num!O10)</f>
        <v>89175.905522270055</v>
      </c>
      <c r="P10" s="132">
        <f>IF(SER_hh_tes!P10=0,0,11630*1000*SER_hh_tes!P10/SER_hh_num!P10)</f>
        <v>74144.895631721418</v>
      </c>
      <c r="Q10" s="132">
        <f>IF(SER_hh_tes!Q10=0,0,11630*1000*SER_hh_tes!Q10/SER_hh_num!Q10)</f>
        <v>74982.714178265378</v>
      </c>
      <c r="R10" s="132">
        <f>IF(SER_hh_tes!R10=0,0,11630*1000*SER_hh_tes!R10/SER_hh_num!R10)</f>
        <v>82813.971531243311</v>
      </c>
      <c r="S10" s="132">
        <f>IF(SER_hh_tes!S10=0,0,11630*1000*SER_hh_tes!S10/SER_hh_num!S10)</f>
        <v>80351.884246533795</v>
      </c>
      <c r="T10" s="132">
        <f>IF(SER_hh_tes!T10=0,0,11630*1000*SER_hh_tes!T10/SER_hh_num!T10)</f>
        <v>75011.992182976916</v>
      </c>
      <c r="U10" s="132">
        <f>IF(SER_hh_tes!U10=0,0,11630*1000*SER_hh_tes!U10/SER_hh_num!U10)</f>
        <v>71284.048248957057</v>
      </c>
      <c r="V10" s="132">
        <f>IF(SER_hh_tes!V10=0,0,11630*1000*SER_hh_tes!V10/SER_hh_num!V10)</f>
        <v>75686.173828592087</v>
      </c>
      <c r="W10" s="132">
        <f>IF(SER_hh_tes!W10=0,0,11630*1000*SER_hh_tes!W10/SER_hh_num!W10)</f>
        <v>87208.901794575519</v>
      </c>
      <c r="X10" s="132">
        <f>IF(SER_hh_tes!X10=0,0,11630*1000*SER_hh_tes!X10/SER_hh_num!X10)</f>
        <v>69486.0545640731</v>
      </c>
      <c r="Y10" s="132">
        <f>IF(SER_hh_tes!Y10=0,0,11630*1000*SER_hh_tes!Y10/SER_hh_num!Y10)</f>
        <v>81677.932609721771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69926.87851889334</v>
      </c>
      <c r="C11" s="132">
        <f>IF(SER_hh_tes!C11=0,0,11630*1000*SER_hh_tes!C11/SER_hh_num!C11)</f>
        <v>50950.682330431395</v>
      </c>
      <c r="D11" s="132">
        <f>IF(SER_hh_tes!D11=0,0,11630*1000*SER_hh_tes!D11/SER_hh_num!D11)</f>
        <v>85509.030458512803</v>
      </c>
      <c r="E11" s="132">
        <f>IF(SER_hh_tes!E11=0,0,11630*1000*SER_hh_tes!E11/SER_hh_num!E11)</f>
        <v>91539.750858305459</v>
      </c>
      <c r="F11" s="132">
        <f>IF(SER_hh_tes!F11=0,0,11630*1000*SER_hh_tes!F11/SER_hh_num!F11)</f>
        <v>79936.195592737815</v>
      </c>
      <c r="G11" s="132">
        <f>IF(SER_hh_tes!G11=0,0,11630*1000*SER_hh_tes!G11/SER_hh_num!G11)</f>
        <v>90686.96506615392</v>
      </c>
      <c r="H11" s="132">
        <f>IF(SER_hh_tes!H11=0,0,11630*1000*SER_hh_tes!H11/SER_hh_num!H11)</f>
        <v>93415.469623859273</v>
      </c>
      <c r="I11" s="132">
        <f>IF(SER_hh_tes!I11=0,0,11630*1000*SER_hh_tes!I11/SER_hh_num!I11)</f>
        <v>69484.774809753289</v>
      </c>
      <c r="J11" s="132">
        <f>IF(SER_hh_tes!J11=0,0,11630*1000*SER_hh_tes!J11/SER_hh_num!J11)</f>
        <v>98052.11665905203</v>
      </c>
      <c r="K11" s="132">
        <f>IF(SER_hh_tes!K11=0,0,11630*1000*SER_hh_tes!K11/SER_hh_num!K11)</f>
        <v>102207.2055707801</v>
      </c>
      <c r="L11" s="132">
        <f>IF(SER_hh_tes!L11=0,0,11630*1000*SER_hh_tes!L11/SER_hh_num!L11)</f>
        <v>92692.174215704144</v>
      </c>
      <c r="M11" s="132">
        <f>IF(SER_hh_tes!M11=0,0,11630*1000*SER_hh_tes!M11/SER_hh_num!M11)</f>
        <v>70260.937202786023</v>
      </c>
      <c r="N11" s="132">
        <f>IF(SER_hh_tes!N11=0,0,11630*1000*SER_hh_tes!N11/SER_hh_num!N11)</f>
        <v>81690.921850641564</v>
      </c>
      <c r="O11" s="132">
        <f>IF(SER_hh_tes!O11=0,0,11630*1000*SER_hh_tes!O11/SER_hh_num!O11)</f>
        <v>89533.014852201901</v>
      </c>
      <c r="P11" s="132">
        <f>IF(SER_hh_tes!P11=0,0,11630*1000*SER_hh_tes!P11/SER_hh_num!P11)</f>
        <v>84293.280202070586</v>
      </c>
      <c r="Q11" s="132">
        <f>IF(SER_hh_tes!Q11=0,0,11630*1000*SER_hh_tes!Q11/SER_hh_num!Q11)</f>
        <v>78913.384697402566</v>
      </c>
      <c r="R11" s="132">
        <f>IF(SER_hh_tes!R11=0,0,11630*1000*SER_hh_tes!R11/SER_hh_num!R11)</f>
        <v>76648.121191776154</v>
      </c>
      <c r="S11" s="132">
        <f>IF(SER_hh_tes!S11=0,0,11630*1000*SER_hh_tes!S11/SER_hh_num!S11)</f>
        <v>76245.936382799962</v>
      </c>
      <c r="T11" s="132">
        <f>IF(SER_hh_tes!T11=0,0,11630*1000*SER_hh_tes!T11/SER_hh_num!T11)</f>
        <v>75828.459504976257</v>
      </c>
      <c r="U11" s="132">
        <f>IF(SER_hh_tes!U11=0,0,11630*1000*SER_hh_tes!U11/SER_hh_num!U11)</f>
        <v>75496.587954365445</v>
      </c>
      <c r="V11" s="132">
        <f>IF(SER_hh_tes!V11=0,0,11630*1000*SER_hh_tes!V11/SER_hh_num!V11)</f>
        <v>73526.542374684839</v>
      </c>
      <c r="W11" s="132">
        <f>IF(SER_hh_tes!W11=0,0,11630*1000*SER_hh_tes!W11/SER_hh_num!W11)</f>
        <v>76824.181482756467</v>
      </c>
      <c r="X11" s="132">
        <f>IF(SER_hh_tes!X11=0,0,11630*1000*SER_hh_tes!X11/SER_hh_num!X11)</f>
        <v>80926.550584988116</v>
      </c>
      <c r="Y11" s="132">
        <f>IF(SER_hh_tes!Y11=0,0,11630*1000*SER_hh_tes!Y11/SER_hh_num!Y11)</f>
        <v>79893.052198272577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63070.075856990676</v>
      </c>
      <c r="C12" s="132">
        <f>IF(SER_hh_tes!C12=0,0,11630*1000*SER_hh_tes!C12/SER_hh_num!C12)</f>
        <v>70426.212518712782</v>
      </c>
      <c r="D12" s="132">
        <f>IF(SER_hh_tes!D12=0,0,11630*1000*SER_hh_tes!D12/SER_hh_num!D12)</f>
        <v>83484.84932997021</v>
      </c>
      <c r="E12" s="132">
        <f>IF(SER_hh_tes!E12=0,0,11630*1000*SER_hh_tes!E12/SER_hh_num!E12)</f>
        <v>71719.192895692715</v>
      </c>
      <c r="F12" s="132">
        <f>IF(SER_hh_tes!F12=0,0,11630*1000*SER_hh_tes!F12/SER_hh_num!F12)</f>
        <v>95733.309415912459</v>
      </c>
      <c r="G12" s="132">
        <f>IF(SER_hh_tes!G12=0,0,11630*1000*SER_hh_tes!G12/SER_hh_num!G12)</f>
        <v>82772.995407985407</v>
      </c>
      <c r="H12" s="132">
        <f>IF(SER_hh_tes!H12=0,0,11630*1000*SER_hh_tes!H12/SER_hh_num!H12)</f>
        <v>101919.11754546103</v>
      </c>
      <c r="I12" s="132">
        <f>IF(SER_hh_tes!I12=0,0,11630*1000*SER_hh_tes!I12/SER_hh_num!I12)</f>
        <v>67939.31544836727</v>
      </c>
      <c r="J12" s="132">
        <f>IF(SER_hh_tes!J12=0,0,11630*1000*SER_hh_tes!J12/SER_hh_num!J12)</f>
        <v>97226.888744369848</v>
      </c>
      <c r="K12" s="132">
        <f>IF(SER_hh_tes!K12=0,0,11630*1000*SER_hh_tes!K12/SER_hh_num!K12)</f>
        <v>91314.535141991015</v>
      </c>
      <c r="L12" s="132">
        <f>IF(SER_hh_tes!L12=0,0,11630*1000*SER_hh_tes!L12/SER_hh_num!L12)</f>
        <v>101786.1305810269</v>
      </c>
      <c r="M12" s="132">
        <f>IF(SER_hh_tes!M12=0,0,11630*1000*SER_hh_tes!M12/SER_hh_num!M12)</f>
        <v>87170.570256719206</v>
      </c>
      <c r="N12" s="132">
        <f>IF(SER_hh_tes!N12=0,0,11630*1000*SER_hh_tes!N12/SER_hh_num!N12)</f>
        <v>86723.238730541241</v>
      </c>
      <c r="O12" s="132">
        <f>IF(SER_hh_tes!O12=0,0,11630*1000*SER_hh_tes!O12/SER_hh_num!O12)</f>
        <v>89462.767829119024</v>
      </c>
      <c r="P12" s="132">
        <f>IF(SER_hh_tes!P12=0,0,11630*1000*SER_hh_tes!P12/SER_hh_num!P12)</f>
        <v>76944.474542512326</v>
      </c>
      <c r="Q12" s="132">
        <f>IF(SER_hh_tes!Q12=0,0,11630*1000*SER_hh_tes!Q12/SER_hh_num!Q12)</f>
        <v>70154.110014732127</v>
      </c>
      <c r="R12" s="132">
        <f>IF(SER_hh_tes!R12=0,0,11630*1000*SER_hh_tes!R12/SER_hh_num!R12)</f>
        <v>82692.205758243377</v>
      </c>
      <c r="S12" s="132">
        <f>IF(SER_hh_tes!S12=0,0,11630*1000*SER_hh_tes!S12/SER_hh_num!S12)</f>
        <v>83602.33363097519</v>
      </c>
      <c r="T12" s="132">
        <f>IF(SER_hh_tes!T12=0,0,11630*1000*SER_hh_tes!T12/SER_hh_num!T12)</f>
        <v>71304.756316428451</v>
      </c>
      <c r="U12" s="132">
        <f>IF(SER_hh_tes!U12=0,0,11630*1000*SER_hh_tes!U12/SER_hh_num!U12)</f>
        <v>75341.836574817266</v>
      </c>
      <c r="V12" s="132">
        <f>IF(SER_hh_tes!V12=0,0,11630*1000*SER_hh_tes!V12/SER_hh_num!V12)</f>
        <v>78155.369728178383</v>
      </c>
      <c r="W12" s="132">
        <f>IF(SER_hh_tes!W12=0,0,11630*1000*SER_hh_tes!W12/SER_hh_num!W12)</f>
        <v>71373.190460515354</v>
      </c>
      <c r="X12" s="132">
        <f>IF(SER_hh_tes!X12=0,0,11630*1000*SER_hh_tes!X12/SER_hh_num!X12)</f>
        <v>83358.181905231759</v>
      </c>
      <c r="Y12" s="132">
        <f>IF(SER_hh_tes!Y12=0,0,11630*1000*SER_hh_tes!Y12/SER_hh_num!Y12)</f>
        <v>74792.71293953518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59443.599033764731</v>
      </c>
      <c r="C13" s="132">
        <f>IF(SER_hh_tes!C13=0,0,11630*1000*SER_hh_tes!C13/SER_hh_num!C13)</f>
        <v>76508.591587204879</v>
      </c>
      <c r="D13" s="132">
        <f>IF(SER_hh_tes!D13=0,0,11630*1000*SER_hh_tes!D13/SER_hh_num!D13)</f>
        <v>70405.237126938533</v>
      </c>
      <c r="E13" s="132">
        <f>IF(SER_hh_tes!E13=0,0,11630*1000*SER_hh_tes!E13/SER_hh_num!E13)</f>
        <v>80385.576340116706</v>
      </c>
      <c r="F13" s="132">
        <f>IF(SER_hh_tes!F13=0,0,11630*1000*SER_hh_tes!F13/SER_hh_num!F13)</f>
        <v>74628.852783647555</v>
      </c>
      <c r="G13" s="132">
        <f>IF(SER_hh_tes!G13=0,0,11630*1000*SER_hh_tes!G13/SER_hh_num!G13)</f>
        <v>83832.752914403594</v>
      </c>
      <c r="H13" s="132">
        <f>IF(SER_hh_tes!H13=0,0,11630*1000*SER_hh_tes!H13/SER_hh_num!H13)</f>
        <v>88116.976849508021</v>
      </c>
      <c r="I13" s="132">
        <f>IF(SER_hh_tes!I13=0,0,11630*1000*SER_hh_tes!I13/SER_hh_num!I13)</f>
        <v>87091.014680525579</v>
      </c>
      <c r="J13" s="132">
        <f>IF(SER_hh_tes!J13=0,0,11630*1000*SER_hh_tes!J13/SER_hh_num!J13)</f>
        <v>91435.97486630475</v>
      </c>
      <c r="K13" s="132">
        <f>IF(SER_hh_tes!K13=0,0,11630*1000*SER_hh_tes!K13/SER_hh_num!K13)</f>
        <v>94805.661020502244</v>
      </c>
      <c r="L13" s="132">
        <f>IF(SER_hh_tes!L13=0,0,11630*1000*SER_hh_tes!L13/SER_hh_num!L13)</f>
        <v>94378.401418928173</v>
      </c>
      <c r="M13" s="132">
        <f>IF(SER_hh_tes!M13=0,0,11630*1000*SER_hh_tes!M13/SER_hh_num!M13)</f>
        <v>89743.869631456371</v>
      </c>
      <c r="N13" s="132">
        <f>IF(SER_hh_tes!N13=0,0,11630*1000*SER_hh_tes!N13/SER_hh_num!N13)</f>
        <v>85283.870548771796</v>
      </c>
      <c r="O13" s="132">
        <f>IF(SER_hh_tes!O13=0,0,11630*1000*SER_hh_tes!O13/SER_hh_num!O13)</f>
        <v>72912.396049271701</v>
      </c>
      <c r="P13" s="132">
        <f>IF(SER_hh_tes!P13=0,0,11630*1000*SER_hh_tes!P13/SER_hh_num!P13)</f>
        <v>82950.257409547354</v>
      </c>
      <c r="Q13" s="132">
        <f>IF(SER_hh_tes!Q13=0,0,11630*1000*SER_hh_tes!Q13/SER_hh_num!Q13)</f>
        <v>80549.051760727772</v>
      </c>
      <c r="R13" s="132">
        <f>IF(SER_hh_tes!R13=0,0,11630*1000*SER_hh_tes!R13/SER_hh_num!R13)</f>
        <v>80129.049255409234</v>
      </c>
      <c r="S13" s="132">
        <f>IF(SER_hh_tes!S13=0,0,11630*1000*SER_hh_tes!S13/SER_hh_num!S13)</f>
        <v>77665.461282338976</v>
      </c>
      <c r="T13" s="132">
        <f>IF(SER_hh_tes!T13=0,0,11630*1000*SER_hh_tes!T13/SER_hh_num!T13)</f>
        <v>74549.983193190419</v>
      </c>
      <c r="U13" s="132">
        <f>IF(SER_hh_tes!U13=0,0,11630*1000*SER_hh_tes!U13/SER_hh_num!U13)</f>
        <v>73893.91488937907</v>
      </c>
      <c r="V13" s="132">
        <f>IF(SER_hh_tes!V13=0,0,11630*1000*SER_hh_tes!V13/SER_hh_num!V13)</f>
        <v>73298.522939250834</v>
      </c>
      <c r="W13" s="132">
        <f>IF(SER_hh_tes!W13=0,0,11630*1000*SER_hh_tes!W13/SER_hh_num!W13)</f>
        <v>80576.959620530848</v>
      </c>
      <c r="X13" s="132">
        <f>IF(SER_hh_tes!X13=0,0,11630*1000*SER_hh_tes!X13/SER_hh_num!X13)</f>
        <v>79210.146305420974</v>
      </c>
      <c r="Y13" s="132">
        <f>IF(SER_hh_tes!Y13=0,0,11630*1000*SER_hh_tes!Y13/SER_hh_num!Y13)</f>
        <v>81944.774821026775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65474.518462002045</v>
      </c>
      <c r="C14" s="65">
        <f>IF(SER_hh_tes!C14=0,0,11630*1000*SER_hh_tes!C14/SER_hh_num!C14)</f>
        <v>77338.154931101424</v>
      </c>
      <c r="D14" s="65">
        <f>IF(SER_hh_tes!D14=0,0,11630*1000*SER_hh_tes!D14/SER_hh_num!D14)</f>
        <v>69653.540457388794</v>
      </c>
      <c r="E14" s="65">
        <f>IF(SER_hh_tes!E14=0,0,11630*1000*SER_hh_tes!E14/SER_hh_num!E14)</f>
        <v>80464.891633241787</v>
      </c>
      <c r="F14" s="65">
        <f>IF(SER_hh_tes!F14=0,0,11630*1000*SER_hh_tes!F14/SER_hh_num!F14)</f>
        <v>78527.071305156845</v>
      </c>
      <c r="G14" s="65">
        <f>IF(SER_hh_tes!G14=0,0,11630*1000*SER_hh_tes!G14/SER_hh_num!G14)</f>
        <v>85553.729123878889</v>
      </c>
      <c r="H14" s="65">
        <f>IF(SER_hh_tes!H14=0,0,11630*1000*SER_hh_tes!H14/SER_hh_num!H14)</f>
        <v>97812.362242562536</v>
      </c>
      <c r="I14" s="65">
        <f>IF(SER_hh_tes!I14=0,0,11630*1000*SER_hh_tes!I14/SER_hh_num!I14)</f>
        <v>78374.784915400858</v>
      </c>
      <c r="J14" s="65">
        <f>IF(SER_hh_tes!J14=0,0,11630*1000*SER_hh_tes!J14/SER_hh_num!J14)</f>
        <v>97408.54618655704</v>
      </c>
      <c r="K14" s="65">
        <f>IF(SER_hh_tes!K14=0,0,11630*1000*SER_hh_tes!K14/SER_hh_num!K14)</f>
        <v>81432.520054707318</v>
      </c>
      <c r="L14" s="65">
        <f>IF(SER_hh_tes!L14=0,0,11630*1000*SER_hh_tes!L14/SER_hh_num!L14)</f>
        <v>101735.19508317405</v>
      </c>
      <c r="M14" s="65">
        <f>IF(SER_hh_tes!M14=0,0,11630*1000*SER_hh_tes!M14/SER_hh_num!M14)</f>
        <v>97364.367495625891</v>
      </c>
      <c r="N14" s="65">
        <f>IF(SER_hh_tes!N14=0,0,11630*1000*SER_hh_tes!N14/SER_hh_num!N14)</f>
        <v>93331.052053190331</v>
      </c>
      <c r="O14" s="65">
        <f>IF(SER_hh_tes!O14=0,0,11630*1000*SER_hh_tes!O14/SER_hh_num!O14)</f>
        <v>76042.867183509748</v>
      </c>
      <c r="P14" s="65">
        <f>IF(SER_hh_tes!P14=0,0,11630*1000*SER_hh_tes!P14/SER_hh_num!P14)</f>
        <v>80972.532506129472</v>
      </c>
      <c r="Q14" s="65">
        <f>IF(SER_hh_tes!Q14=0,0,11630*1000*SER_hh_tes!Q14/SER_hh_num!Q14)</f>
        <v>74020.30703342559</v>
      </c>
      <c r="R14" s="65">
        <f>IF(SER_hh_tes!R14=0,0,11630*1000*SER_hh_tes!R14/SER_hh_num!R14)</f>
        <v>83577.131105269509</v>
      </c>
      <c r="S14" s="65">
        <f>IF(SER_hh_tes!S14=0,0,11630*1000*SER_hh_tes!S14/SER_hh_num!S14)</f>
        <v>73102.242286203502</v>
      </c>
      <c r="T14" s="65">
        <f>IF(SER_hh_tes!T14=0,0,11630*1000*SER_hh_tes!T14/SER_hh_num!T14)</f>
        <v>79480.626302666133</v>
      </c>
      <c r="U14" s="65">
        <f>IF(SER_hh_tes!U14=0,0,11630*1000*SER_hh_tes!U14/SER_hh_num!U14)</f>
        <v>74660.318458330104</v>
      </c>
      <c r="V14" s="65">
        <f>IF(SER_hh_tes!V14=0,0,11630*1000*SER_hh_tes!V14/SER_hh_num!V14)</f>
        <v>71374.388134163775</v>
      </c>
      <c r="W14" s="65">
        <f>IF(SER_hh_tes!W14=0,0,11630*1000*SER_hh_tes!W14/SER_hh_num!W14)</f>
        <v>82480.787240088801</v>
      </c>
      <c r="X14" s="65">
        <f>IF(SER_hh_tes!X14=0,0,11630*1000*SER_hh_tes!X14/SER_hh_num!X14)</f>
        <v>73638.728888969679</v>
      </c>
      <c r="Y14" s="65">
        <f>IF(SER_hh_tes!Y14=0,0,11630*1000*SER_hh_tes!Y14/SER_hh_num!Y14)</f>
        <v>85173.442599097281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818.8370946966611</v>
      </c>
      <c r="C15" s="134">
        <f>IF(SER_hh_tes!C15=0,0,11630*1000*SER_hh_tes!C15/SER_hh_num!C15)</f>
        <v>909.66747400817292</v>
      </c>
      <c r="D15" s="134">
        <f>IF(SER_hh_tes!D15=0,0,11630*1000*SER_hh_tes!D15/SER_hh_num!D15)</f>
        <v>1062.6389400295363</v>
      </c>
      <c r="E15" s="134">
        <f>IF(SER_hh_tes!E15=0,0,11630*1000*SER_hh_tes!E15/SER_hh_num!E15)</f>
        <v>1037.6901855004387</v>
      </c>
      <c r="F15" s="134">
        <f>IF(SER_hh_tes!F15=0,0,11630*1000*SER_hh_tes!F15/SER_hh_num!F15)</f>
        <v>1035.9802294536225</v>
      </c>
      <c r="G15" s="134">
        <f>IF(SER_hh_tes!G15=0,0,11630*1000*SER_hh_tes!G15/SER_hh_num!G15)</f>
        <v>960.8355686005691</v>
      </c>
      <c r="H15" s="134">
        <f>IF(SER_hh_tes!H15=0,0,11630*1000*SER_hh_tes!H15/SER_hh_num!H15)</f>
        <v>1012.9678929195483</v>
      </c>
      <c r="I15" s="134">
        <f>IF(SER_hh_tes!I15=0,0,11630*1000*SER_hh_tes!I15/SER_hh_num!I15)</f>
        <v>912.62898907914484</v>
      </c>
      <c r="J15" s="134">
        <f>IF(SER_hh_tes!J15=0,0,11630*1000*SER_hh_tes!J15/SER_hh_num!J15)</f>
        <v>980.29374508541753</v>
      </c>
      <c r="K15" s="134">
        <f>IF(SER_hh_tes!K15=0,0,11630*1000*SER_hh_tes!K15/SER_hh_num!K15)</f>
        <v>983.10108225016575</v>
      </c>
      <c r="L15" s="134">
        <f>IF(SER_hh_tes!L15=0,0,11630*1000*SER_hh_tes!L15/SER_hh_num!L15)</f>
        <v>1131.9578518218148</v>
      </c>
      <c r="M15" s="134">
        <f>IF(SER_hh_tes!M15=0,0,11630*1000*SER_hh_tes!M15/SER_hh_num!M15)</f>
        <v>1006.195977089983</v>
      </c>
      <c r="N15" s="134">
        <f>IF(SER_hh_tes!N15=0,0,11630*1000*SER_hh_tes!N15/SER_hh_num!N15)</f>
        <v>959.14360426550525</v>
      </c>
      <c r="O15" s="134">
        <f>IF(SER_hh_tes!O15=0,0,11630*1000*SER_hh_tes!O15/SER_hh_num!O15)</f>
        <v>894.5797714181258</v>
      </c>
      <c r="P15" s="134">
        <f>IF(SER_hh_tes!P15=0,0,11630*1000*SER_hh_tes!P15/SER_hh_num!P15)</f>
        <v>771.98364641995101</v>
      </c>
      <c r="Q15" s="134">
        <f>IF(SER_hh_tes!Q15=0,0,11630*1000*SER_hh_tes!Q15/SER_hh_num!Q15)</f>
        <v>790.83067934824317</v>
      </c>
      <c r="R15" s="134">
        <f>IF(SER_hh_tes!R15=0,0,11630*1000*SER_hh_tes!R15/SER_hh_num!R15)</f>
        <v>903.64332231793321</v>
      </c>
      <c r="S15" s="134">
        <f>IF(SER_hh_tes!S15=0,0,11630*1000*SER_hh_tes!S15/SER_hh_num!S15)</f>
        <v>765.31051728426826</v>
      </c>
      <c r="T15" s="134">
        <f>IF(SER_hh_tes!T15=0,0,11630*1000*SER_hh_tes!T15/SER_hh_num!T15)</f>
        <v>729.37648708728034</v>
      </c>
      <c r="U15" s="134">
        <f>IF(SER_hh_tes!U15=0,0,11630*1000*SER_hh_tes!U15/SER_hh_num!U15)</f>
        <v>719.27750024212128</v>
      </c>
      <c r="V15" s="134">
        <f>IF(SER_hh_tes!V15=0,0,11630*1000*SER_hh_tes!V15/SER_hh_num!V15)</f>
        <v>691.47076719354629</v>
      </c>
      <c r="W15" s="134">
        <f>IF(SER_hh_tes!W15=0,0,11630*1000*SER_hh_tes!W15/SER_hh_num!W15)</f>
        <v>877.21988997990684</v>
      </c>
      <c r="X15" s="134">
        <f>IF(SER_hh_tes!X15=0,0,11630*1000*SER_hh_tes!X15/SER_hh_num!X15)</f>
        <v>825.70494187753081</v>
      </c>
      <c r="Y15" s="134">
        <f>IF(SER_hh_tes!Y15=0,0,11630*1000*SER_hh_tes!Y15/SER_hh_num!Y15)</f>
        <v>769.63403856465141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25306.246537016294</v>
      </c>
      <c r="C16" s="130">
        <f>IF(SER_hh_tes!C16=0,0,11630*1000*SER_hh_tes!C16/SER_hh_num!C16)</f>
        <v>25397.106631329949</v>
      </c>
      <c r="D16" s="130">
        <f>IF(SER_hh_tes!D16=0,0,11630*1000*SER_hh_tes!D16/SER_hh_num!D16)</f>
        <v>25835.044807615574</v>
      </c>
      <c r="E16" s="130">
        <f>IF(SER_hh_tes!E16=0,0,11630*1000*SER_hh_tes!E16/SER_hh_num!E16)</f>
        <v>25371.727912262202</v>
      </c>
      <c r="F16" s="130">
        <f>IF(SER_hh_tes!F16=0,0,11630*1000*SER_hh_tes!F16/SER_hh_num!F16)</f>
        <v>25306.485314832913</v>
      </c>
      <c r="G16" s="130">
        <f>IF(SER_hh_tes!G16=0,0,11630*1000*SER_hh_tes!G16/SER_hh_num!G16)</f>
        <v>25519.648647907241</v>
      </c>
      <c r="H16" s="130">
        <f>IF(SER_hh_tes!H16=0,0,11630*1000*SER_hh_tes!H16/SER_hh_num!H16)</f>
        <v>26962.813844010503</v>
      </c>
      <c r="I16" s="130">
        <f>IF(SER_hh_tes!I16=0,0,11630*1000*SER_hh_tes!I16/SER_hh_num!I16)</f>
        <v>25931.995850274205</v>
      </c>
      <c r="J16" s="130">
        <f>IF(SER_hh_tes!J16=0,0,11630*1000*SER_hh_tes!J16/SER_hh_num!J16)</f>
        <v>25476.1020820868</v>
      </c>
      <c r="K16" s="130">
        <f>IF(SER_hh_tes!K16=0,0,11630*1000*SER_hh_tes!K16/SER_hh_num!K16)</f>
        <v>25540.93084217696</v>
      </c>
      <c r="L16" s="130">
        <f>IF(SER_hh_tes!L16=0,0,11630*1000*SER_hh_tes!L16/SER_hh_num!L16)</f>
        <v>28943.201150422825</v>
      </c>
      <c r="M16" s="130">
        <f>IF(SER_hh_tes!M16=0,0,11630*1000*SER_hh_tes!M16/SER_hh_num!M16)</f>
        <v>25636.158455708821</v>
      </c>
      <c r="N16" s="130">
        <f>IF(SER_hh_tes!N16=0,0,11630*1000*SER_hh_tes!N16/SER_hh_num!N16)</f>
        <v>26899.47775736191</v>
      </c>
      <c r="O16" s="130">
        <f>IF(SER_hh_tes!O16=0,0,11630*1000*SER_hh_tes!O16/SER_hh_num!O16)</f>
        <v>26855.497846370559</v>
      </c>
      <c r="P16" s="130">
        <f>IF(SER_hh_tes!P16=0,0,11630*1000*SER_hh_tes!P16/SER_hh_num!P16)</f>
        <v>26423.680677634427</v>
      </c>
      <c r="Q16" s="130">
        <f>IF(SER_hh_tes!Q16=0,0,11630*1000*SER_hh_tes!Q16/SER_hh_num!Q16)</f>
        <v>30258.877595213704</v>
      </c>
      <c r="R16" s="130">
        <f>IF(SER_hh_tes!R16=0,0,11630*1000*SER_hh_tes!R16/SER_hh_num!R16)</f>
        <v>26216.032012541888</v>
      </c>
      <c r="S16" s="130">
        <f>IF(SER_hh_tes!S16=0,0,11630*1000*SER_hh_tes!S16/SER_hh_num!S16)</f>
        <v>26410.621184985313</v>
      </c>
      <c r="T16" s="130">
        <f>IF(SER_hh_tes!T16=0,0,11630*1000*SER_hh_tes!T16/SER_hh_num!T16)</f>
        <v>27178.112836681714</v>
      </c>
      <c r="U16" s="130">
        <f>IF(SER_hh_tes!U16=0,0,11630*1000*SER_hh_tes!U16/SER_hh_num!U16)</f>
        <v>29460.90335529072</v>
      </c>
      <c r="V16" s="130">
        <f>IF(SER_hh_tes!V16=0,0,11630*1000*SER_hh_tes!V16/SER_hh_num!V16)</f>
        <v>25337.642022391512</v>
      </c>
      <c r="W16" s="130">
        <f>IF(SER_hh_tes!W16=0,0,11630*1000*SER_hh_tes!W16/SER_hh_num!W16)</f>
        <v>26807.387221156794</v>
      </c>
      <c r="X16" s="130">
        <f>IF(SER_hh_tes!X16=0,0,11630*1000*SER_hh_tes!X16/SER_hh_num!X16)</f>
        <v>28443.95612098373</v>
      </c>
      <c r="Y16" s="130">
        <f>IF(SER_hh_tes!Y16=0,0,11630*1000*SER_hh_tes!Y16/SER_hh_num!Y16)</f>
        <v>27316.30985504316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25306.24653701629</v>
      </c>
      <c r="C17" s="132">
        <f>IF(SER_hh_tes!C17=0,0,11630*1000*SER_hh_tes!C17/SER_hh_num!C17)</f>
        <v>25397.10663133</v>
      </c>
      <c r="D17" s="132">
        <f>IF(SER_hh_tes!D17=0,0,11630*1000*SER_hh_tes!D17/SER_hh_num!D17)</f>
        <v>25835.044807614344</v>
      </c>
      <c r="E17" s="132">
        <f>IF(SER_hh_tes!E17=0,0,11630*1000*SER_hh_tes!E17/SER_hh_num!E17)</f>
        <v>25371.727912262337</v>
      </c>
      <c r="F17" s="132">
        <f>IF(SER_hh_tes!F17=0,0,11630*1000*SER_hh_tes!F17/SER_hh_num!F17)</f>
        <v>25306.485314834234</v>
      </c>
      <c r="G17" s="132">
        <f>IF(SER_hh_tes!G17=0,0,11630*1000*SER_hh_tes!G17/SER_hh_num!G17)</f>
        <v>25519.648647908001</v>
      </c>
      <c r="H17" s="132">
        <f>IF(SER_hh_tes!H17=0,0,11630*1000*SER_hh_tes!H17/SER_hh_num!H17)</f>
        <v>26962.813844010438</v>
      </c>
      <c r="I17" s="132">
        <f>IF(SER_hh_tes!I17=0,0,11630*1000*SER_hh_tes!I17/SER_hh_num!I17)</f>
        <v>25931.995850273954</v>
      </c>
      <c r="J17" s="132">
        <f>IF(SER_hh_tes!J17=0,0,11630*1000*SER_hh_tes!J17/SER_hh_num!J17)</f>
        <v>25476.102082086603</v>
      </c>
      <c r="K17" s="132">
        <f>IF(SER_hh_tes!K17=0,0,11630*1000*SER_hh_tes!K17/SER_hh_num!K17)</f>
        <v>25540.930842176695</v>
      </c>
      <c r="L17" s="132">
        <f>IF(SER_hh_tes!L17=0,0,11630*1000*SER_hh_tes!L17/SER_hh_num!L17)</f>
        <v>28943.201150422672</v>
      </c>
      <c r="M17" s="132">
        <f>IF(SER_hh_tes!M17=0,0,11630*1000*SER_hh_tes!M17/SER_hh_num!M17)</f>
        <v>25636.158455708592</v>
      </c>
      <c r="N17" s="132">
        <f>IF(SER_hh_tes!N17=0,0,11630*1000*SER_hh_tes!N17/SER_hh_num!N17)</f>
        <v>26899.477757361867</v>
      </c>
      <c r="O17" s="132">
        <f>IF(SER_hh_tes!O17=0,0,11630*1000*SER_hh_tes!O17/SER_hh_num!O17)</f>
        <v>26855.497846371862</v>
      </c>
      <c r="P17" s="132">
        <f>IF(SER_hh_tes!P17=0,0,11630*1000*SER_hh_tes!P17/SER_hh_num!P17)</f>
        <v>26423.680677636399</v>
      </c>
      <c r="Q17" s="132">
        <f>IF(SER_hh_tes!Q17=0,0,11630*1000*SER_hh_tes!Q17/SER_hh_num!Q17)</f>
        <v>30258.87759521445</v>
      </c>
      <c r="R17" s="132">
        <f>IF(SER_hh_tes!R17=0,0,11630*1000*SER_hh_tes!R17/SER_hh_num!R17)</f>
        <v>26216.032012540694</v>
      </c>
      <c r="S17" s="132">
        <f>IF(SER_hh_tes!S17=0,0,11630*1000*SER_hh_tes!S17/SER_hh_num!S17)</f>
        <v>26410.621184983571</v>
      </c>
      <c r="T17" s="132">
        <f>IF(SER_hh_tes!T17=0,0,11630*1000*SER_hh_tes!T17/SER_hh_num!T17)</f>
        <v>27178.112836680069</v>
      </c>
      <c r="U17" s="132">
        <f>IF(SER_hh_tes!U17=0,0,11630*1000*SER_hh_tes!U17/SER_hh_num!U17)</f>
        <v>29460.903355289302</v>
      </c>
      <c r="V17" s="132">
        <f>IF(SER_hh_tes!V17=0,0,11630*1000*SER_hh_tes!V17/SER_hh_num!V17)</f>
        <v>24398.293302558366</v>
      </c>
      <c r="W17" s="132">
        <f>IF(SER_hh_tes!W17=0,0,11630*1000*SER_hh_tes!W17/SER_hh_num!W17)</f>
        <v>25470.621913118855</v>
      </c>
      <c r="X17" s="132">
        <f>IF(SER_hh_tes!X17=0,0,11630*1000*SER_hh_tes!X17/SER_hh_num!X17)</f>
        <v>28851.45458018365</v>
      </c>
      <c r="Y17" s="132">
        <f>IF(SER_hh_tes!Y17=0,0,11630*1000*SER_hh_tes!Y17/SER_hh_num!Y17)</f>
        <v>27316.309889593569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25306.246537016294</v>
      </c>
      <c r="C18" s="132">
        <f>IF(SER_hh_tes!C18=0,0,11630*1000*SER_hh_tes!C18/SER_hh_num!C18)</f>
        <v>25397.106631329953</v>
      </c>
      <c r="D18" s="132">
        <f>IF(SER_hh_tes!D18=0,0,11630*1000*SER_hh_tes!D18/SER_hh_num!D18)</f>
        <v>25835.044807615577</v>
      </c>
      <c r="E18" s="132">
        <f>IF(SER_hh_tes!E18=0,0,11630*1000*SER_hh_tes!E18/SER_hh_num!E18)</f>
        <v>25371.727912262202</v>
      </c>
      <c r="F18" s="132">
        <f>IF(SER_hh_tes!F18=0,0,11630*1000*SER_hh_tes!F18/SER_hh_num!F18)</f>
        <v>25306.485314832909</v>
      </c>
      <c r="G18" s="132">
        <f>IF(SER_hh_tes!G18=0,0,11630*1000*SER_hh_tes!G18/SER_hh_num!G18)</f>
        <v>25519.648647907241</v>
      </c>
      <c r="H18" s="132">
        <f>IF(SER_hh_tes!H18=0,0,11630*1000*SER_hh_tes!H18/SER_hh_num!H18)</f>
        <v>26962.813844010499</v>
      </c>
      <c r="I18" s="132">
        <f>IF(SER_hh_tes!I18=0,0,11630*1000*SER_hh_tes!I18/SER_hh_num!I18)</f>
        <v>25931.995850274205</v>
      </c>
      <c r="J18" s="132">
        <f>IF(SER_hh_tes!J18=0,0,11630*1000*SER_hh_tes!J18/SER_hh_num!J18)</f>
        <v>25476.102082086796</v>
      </c>
      <c r="K18" s="132">
        <f>IF(SER_hh_tes!K18=0,0,11630*1000*SER_hh_tes!K18/SER_hh_num!K18)</f>
        <v>25540.930842176964</v>
      </c>
      <c r="L18" s="132">
        <f>IF(SER_hh_tes!L18=0,0,11630*1000*SER_hh_tes!L18/SER_hh_num!L18)</f>
        <v>28943.201150422825</v>
      </c>
      <c r="M18" s="132">
        <f>IF(SER_hh_tes!M18=0,0,11630*1000*SER_hh_tes!M18/SER_hh_num!M18)</f>
        <v>25636.158455708817</v>
      </c>
      <c r="N18" s="132">
        <f>IF(SER_hh_tes!N18=0,0,11630*1000*SER_hh_tes!N18/SER_hh_num!N18)</f>
        <v>26899.47775736191</v>
      </c>
      <c r="O18" s="132">
        <f>IF(SER_hh_tes!O18=0,0,11630*1000*SER_hh_tes!O18/SER_hh_num!O18)</f>
        <v>26855.497846370552</v>
      </c>
      <c r="P18" s="132">
        <f>IF(SER_hh_tes!P18=0,0,11630*1000*SER_hh_tes!P18/SER_hh_num!P18)</f>
        <v>26423.680677634416</v>
      </c>
      <c r="Q18" s="132">
        <f>IF(SER_hh_tes!Q18=0,0,11630*1000*SER_hh_tes!Q18/SER_hh_num!Q18)</f>
        <v>30258.877595213697</v>
      </c>
      <c r="R18" s="132">
        <f>IF(SER_hh_tes!R18=0,0,11630*1000*SER_hh_tes!R18/SER_hh_num!R18)</f>
        <v>26216.032012541898</v>
      </c>
      <c r="S18" s="132">
        <f>IF(SER_hh_tes!S18=0,0,11630*1000*SER_hh_tes!S18/SER_hh_num!S18)</f>
        <v>26410.621184985332</v>
      </c>
      <c r="T18" s="132">
        <f>IF(SER_hh_tes!T18=0,0,11630*1000*SER_hh_tes!T18/SER_hh_num!T18)</f>
        <v>27178.112836681732</v>
      </c>
      <c r="U18" s="132">
        <f>IF(SER_hh_tes!U18=0,0,11630*1000*SER_hh_tes!U18/SER_hh_num!U18)</f>
        <v>29460.903355290739</v>
      </c>
      <c r="V18" s="132">
        <f>IF(SER_hh_tes!V18=0,0,11630*1000*SER_hh_tes!V18/SER_hh_num!V18)</f>
        <v>25348.109675151922</v>
      </c>
      <c r="W18" s="132">
        <f>IF(SER_hh_tes!W18=0,0,11630*1000*SER_hh_tes!W18/SER_hh_num!W18)</f>
        <v>26822.357252086942</v>
      </c>
      <c r="X18" s="132">
        <f>IF(SER_hh_tes!X18=0,0,11630*1000*SER_hh_tes!X18/SER_hh_num!X18)</f>
        <v>28439.372989752959</v>
      </c>
      <c r="Y18" s="132">
        <f>IF(SER_hh_tes!Y18=0,0,11630*1000*SER_hh_tes!Y18/SER_hh_num!Y18)</f>
        <v>27316.309854642928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8008.2850851692583</v>
      </c>
      <c r="C19" s="130">
        <f>IF(SER_hh_tes!C19=0,0,11630*1000*SER_hh_tes!C19/SER_hh_num!C19)</f>
        <v>8780.4291894739508</v>
      </c>
      <c r="D19" s="130">
        <f>IF(SER_hh_tes!D19=0,0,11630*1000*SER_hh_tes!D19/SER_hh_num!D19)</f>
        <v>10654.491646501003</v>
      </c>
      <c r="E19" s="130">
        <f>IF(SER_hh_tes!E19=0,0,11630*1000*SER_hh_tes!E19/SER_hh_num!E19)</f>
        <v>11365.667078868308</v>
      </c>
      <c r="F19" s="130">
        <f>IF(SER_hh_tes!F19=0,0,11630*1000*SER_hh_tes!F19/SER_hh_num!F19)</f>
        <v>12229.141792235805</v>
      </c>
      <c r="G19" s="130">
        <f>IF(SER_hh_tes!G19=0,0,11630*1000*SER_hh_tes!G19/SER_hh_num!G19)</f>
        <v>12383.35271630663</v>
      </c>
      <c r="H19" s="130">
        <f>IF(SER_hh_tes!H19=0,0,11630*1000*SER_hh_tes!H19/SER_hh_num!H19)</f>
        <v>13093.597020442465</v>
      </c>
      <c r="I19" s="130">
        <f>IF(SER_hh_tes!I19=0,0,11630*1000*SER_hh_tes!I19/SER_hh_num!I19)</f>
        <v>13931.416679932325</v>
      </c>
      <c r="J19" s="130">
        <f>IF(SER_hh_tes!J19=0,0,11630*1000*SER_hh_tes!J19/SER_hh_num!J19)</f>
        <v>14374.081506880671</v>
      </c>
      <c r="K19" s="130">
        <f>IF(SER_hh_tes!K19=0,0,11630*1000*SER_hh_tes!K19/SER_hh_num!K19)</f>
        <v>14468.706220673823</v>
      </c>
      <c r="L19" s="130">
        <f>IF(SER_hh_tes!L19=0,0,11630*1000*SER_hh_tes!L19/SER_hh_num!L19)</f>
        <v>14578.587276816264</v>
      </c>
      <c r="M19" s="130">
        <f>IF(SER_hh_tes!M19=0,0,11630*1000*SER_hh_tes!M19/SER_hh_num!M19)</f>
        <v>14677.066201764346</v>
      </c>
      <c r="N19" s="130">
        <f>IF(SER_hh_tes!N19=0,0,11630*1000*SER_hh_tes!N19/SER_hh_num!N19)</f>
        <v>14944.263536792443</v>
      </c>
      <c r="O19" s="130">
        <f>IF(SER_hh_tes!O19=0,0,11630*1000*SER_hh_tes!O19/SER_hh_num!O19)</f>
        <v>15410.21426079047</v>
      </c>
      <c r="P19" s="130">
        <f>IF(SER_hh_tes!P19=0,0,11630*1000*SER_hh_tes!P19/SER_hh_num!P19)</f>
        <v>15425.568135503034</v>
      </c>
      <c r="Q19" s="130">
        <f>IF(SER_hh_tes!Q19=0,0,11630*1000*SER_hh_tes!Q19/SER_hh_num!Q19)</f>
        <v>15738.776068155454</v>
      </c>
      <c r="R19" s="130">
        <f>IF(SER_hh_tes!R19=0,0,11630*1000*SER_hh_tes!R19/SER_hh_num!R19)</f>
        <v>16017.330851904437</v>
      </c>
      <c r="S19" s="130">
        <f>IF(SER_hh_tes!S19=0,0,11630*1000*SER_hh_tes!S19/SER_hh_num!S19)</f>
        <v>15781.317663593314</v>
      </c>
      <c r="T19" s="130">
        <f>IF(SER_hh_tes!T19=0,0,11630*1000*SER_hh_tes!T19/SER_hh_num!T19)</f>
        <v>15467.321584493189</v>
      </c>
      <c r="U19" s="130">
        <f>IF(SER_hh_tes!U19=0,0,11630*1000*SER_hh_tes!U19/SER_hh_num!U19)</f>
        <v>15339.25171968768</v>
      </c>
      <c r="V19" s="130">
        <f>IF(SER_hh_tes!V19=0,0,11630*1000*SER_hh_tes!V19/SER_hh_num!V19)</f>
        <v>14271.259284735181</v>
      </c>
      <c r="W19" s="130">
        <f>IF(SER_hh_tes!W19=0,0,11630*1000*SER_hh_tes!W19/SER_hh_num!W19)</f>
        <v>15489.542087526892</v>
      </c>
      <c r="X19" s="130">
        <f>IF(SER_hh_tes!X19=0,0,11630*1000*SER_hh_tes!X19/SER_hh_num!X19)</f>
        <v>15596.600497130205</v>
      </c>
      <c r="Y19" s="130">
        <f>IF(SER_hh_tes!Y19=0,0,11630*1000*SER_hh_tes!Y19/SER_hh_num!Y19)</f>
        <v>15322.860978903413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6012.7062264536617</v>
      </c>
      <c r="C20" s="132">
        <f>IF(SER_hh_tes!C20=0,0,11630*1000*SER_hh_tes!C20/SER_hh_num!C20)</f>
        <v>9642.0085633638937</v>
      </c>
      <c r="D20" s="132">
        <f>IF(SER_hh_tes!D20=0,0,11630*1000*SER_hh_tes!D20/SER_hh_num!D20)</f>
        <v>11632.793832235768</v>
      </c>
      <c r="E20" s="132">
        <f>IF(SER_hh_tes!E20=0,0,11630*1000*SER_hh_tes!E20/SER_hh_num!E20)</f>
        <v>11722.393826120433</v>
      </c>
      <c r="F20" s="132">
        <f>IF(SER_hh_tes!F20=0,0,11630*1000*SER_hh_tes!F20/SER_hh_num!F20)</f>
        <v>12373.01747791504</v>
      </c>
      <c r="G20" s="132">
        <f>IF(SER_hh_tes!G20=0,0,11630*1000*SER_hh_tes!G20/SER_hh_num!G20)</f>
        <v>12624.958922119782</v>
      </c>
      <c r="H20" s="132">
        <f>IF(SER_hh_tes!H20=0,0,11630*1000*SER_hh_tes!H20/SER_hh_num!H20)</f>
        <v>11788.352905280723</v>
      </c>
      <c r="I20" s="132">
        <f>IF(SER_hh_tes!I20=0,0,11630*1000*SER_hh_tes!I20/SER_hh_num!I20)</f>
        <v>14174.709595899343</v>
      </c>
      <c r="J20" s="132">
        <f>IF(SER_hh_tes!J20=0,0,11630*1000*SER_hh_tes!J20/SER_hh_num!J20)</f>
        <v>14295.205073180436</v>
      </c>
      <c r="K20" s="132">
        <f>IF(SER_hh_tes!K20=0,0,11630*1000*SER_hh_tes!K20/SER_hh_num!K20)</f>
        <v>14298.783778056577</v>
      </c>
      <c r="L20" s="132">
        <f>IF(SER_hh_tes!L20=0,0,11630*1000*SER_hh_tes!L20/SER_hh_num!L20)</f>
        <v>14832.359338296488</v>
      </c>
      <c r="M20" s="132">
        <f>IF(SER_hh_tes!M20=0,0,11630*1000*SER_hh_tes!M20/SER_hh_num!M20)</f>
        <v>14771.569234700506</v>
      </c>
      <c r="N20" s="132">
        <f>IF(SER_hh_tes!N20=0,0,11630*1000*SER_hh_tes!N20/SER_hh_num!N20)</f>
        <v>14970.029470555983</v>
      </c>
      <c r="O20" s="132">
        <f>IF(SER_hh_tes!O20=0,0,11630*1000*SER_hh_tes!O20/SER_hh_num!O20)</f>
        <v>15406.46776444356</v>
      </c>
      <c r="P20" s="132">
        <f>IF(SER_hh_tes!P20=0,0,11630*1000*SER_hh_tes!P20/SER_hh_num!P20)</f>
        <v>15401.427258833133</v>
      </c>
      <c r="Q20" s="132">
        <f>IF(SER_hh_tes!Q20=0,0,11630*1000*SER_hh_tes!Q20/SER_hh_num!Q20)</f>
        <v>15595.543318599046</v>
      </c>
      <c r="R20" s="132">
        <f>IF(SER_hh_tes!R20=0,0,11630*1000*SER_hh_tes!R20/SER_hh_num!R20)</f>
        <v>17761.352572152144</v>
      </c>
      <c r="S20" s="132">
        <f>IF(SER_hh_tes!S20=0,0,11630*1000*SER_hh_tes!S20/SER_hh_num!S20)</f>
        <v>16581.323427044746</v>
      </c>
      <c r="T20" s="132">
        <f>IF(SER_hh_tes!T20=0,0,11630*1000*SER_hh_tes!T20/SER_hh_num!T20)</f>
        <v>13921.205577809244</v>
      </c>
      <c r="U20" s="132">
        <f>IF(SER_hh_tes!U20=0,0,11630*1000*SER_hh_tes!U20/SER_hh_num!U20)</f>
        <v>11798.680513307863</v>
      </c>
      <c r="V20" s="132">
        <f>IF(SER_hh_tes!V20=0,0,11630*1000*SER_hh_tes!V20/SER_hh_num!V20)</f>
        <v>14681.638155282626</v>
      </c>
      <c r="W20" s="132">
        <f>IF(SER_hh_tes!W20=0,0,11630*1000*SER_hh_tes!W20/SER_hh_num!W20)</f>
        <v>24129.146069456219</v>
      </c>
      <c r="X20" s="132">
        <f>IF(SER_hh_tes!X20=0,0,11630*1000*SER_hh_tes!X20/SER_hh_num!X20)</f>
        <v>14657.115299049574</v>
      </c>
      <c r="Y20" s="132">
        <f>IF(SER_hh_tes!Y20=0,0,11630*1000*SER_hh_tes!Y20/SER_hh_num!Y20)</f>
        <v>13566.786008226347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7682.5067472411056</v>
      </c>
      <c r="C21" s="132">
        <f>IF(SER_hh_tes!C21=0,0,11630*1000*SER_hh_tes!C21/SER_hh_num!C21)</f>
        <v>9496.6130956654488</v>
      </c>
      <c r="D21" s="132">
        <f>IF(SER_hh_tes!D21=0,0,11630*1000*SER_hh_tes!D21/SER_hh_num!D21)</f>
        <v>9159.8476070213401</v>
      </c>
      <c r="E21" s="132">
        <f>IF(SER_hh_tes!E21=0,0,11630*1000*SER_hh_tes!E21/SER_hh_num!E21)</f>
        <v>13931.313156945665</v>
      </c>
      <c r="F21" s="132">
        <f>IF(SER_hh_tes!F21=0,0,11630*1000*SER_hh_tes!F21/SER_hh_num!F21)</f>
        <v>12312.697195821567</v>
      </c>
      <c r="G21" s="132">
        <f>IF(SER_hh_tes!G21=0,0,11630*1000*SER_hh_tes!G21/SER_hh_num!G21)</f>
        <v>11420.884717529967</v>
      </c>
      <c r="H21" s="132">
        <f>IF(SER_hh_tes!H21=0,0,11630*1000*SER_hh_tes!H21/SER_hh_num!H21)</f>
        <v>13890.469506879967</v>
      </c>
      <c r="I21" s="132">
        <f>IF(SER_hh_tes!I21=0,0,11630*1000*SER_hh_tes!I21/SER_hh_num!I21)</f>
        <v>13709.441625543503</v>
      </c>
      <c r="J21" s="132">
        <f>IF(SER_hh_tes!J21=0,0,11630*1000*SER_hh_tes!J21/SER_hh_num!J21)</f>
        <v>14119.400169051756</v>
      </c>
      <c r="K21" s="132">
        <f>IF(SER_hh_tes!K21=0,0,11630*1000*SER_hh_tes!K21/SER_hh_num!K21)</f>
        <v>13963.411265365738</v>
      </c>
      <c r="L21" s="132">
        <f>IF(SER_hh_tes!L21=0,0,11630*1000*SER_hh_tes!L21/SER_hh_num!L21)</f>
        <v>13906.010870997281</v>
      </c>
      <c r="M21" s="132">
        <f>IF(SER_hh_tes!M21=0,0,11630*1000*SER_hh_tes!M21/SER_hh_num!M21)</f>
        <v>14000.898735835319</v>
      </c>
      <c r="N21" s="132">
        <f>IF(SER_hh_tes!N21=0,0,11630*1000*SER_hh_tes!N21/SER_hh_num!N21)</f>
        <v>18943.278021356771</v>
      </c>
      <c r="O21" s="132">
        <f>IF(SER_hh_tes!O21=0,0,11630*1000*SER_hh_tes!O21/SER_hh_num!O21)</f>
        <v>12873.509998579131</v>
      </c>
      <c r="P21" s="132">
        <f>IF(SER_hh_tes!P21=0,0,11630*1000*SER_hh_tes!P21/SER_hh_num!P21)</f>
        <v>15426.647299568145</v>
      </c>
      <c r="Q21" s="132">
        <f>IF(SER_hh_tes!Q21=0,0,11630*1000*SER_hh_tes!Q21/SER_hh_num!Q21)</f>
        <v>15036.906114467516</v>
      </c>
      <c r="R21" s="132">
        <f>IF(SER_hh_tes!R21=0,0,11630*1000*SER_hh_tes!R21/SER_hh_num!R21)</f>
        <v>15899.414692702338</v>
      </c>
      <c r="S21" s="132">
        <f>IF(SER_hh_tes!S21=0,0,11630*1000*SER_hh_tes!S21/SER_hh_num!S21)</f>
        <v>16107.894851643508</v>
      </c>
      <c r="T21" s="132">
        <f>IF(SER_hh_tes!T21=0,0,11630*1000*SER_hh_tes!T21/SER_hh_num!T21)</f>
        <v>15175.856830975197</v>
      </c>
      <c r="U21" s="132">
        <f>IF(SER_hh_tes!U21=0,0,11630*1000*SER_hh_tes!U21/SER_hh_num!U21)</f>
        <v>17560.937517409067</v>
      </c>
      <c r="V21" s="132">
        <f>IF(SER_hh_tes!V21=0,0,11630*1000*SER_hh_tes!V21/SER_hh_num!V21)</f>
        <v>13629.205774470227</v>
      </c>
      <c r="W21" s="132">
        <f>IF(SER_hh_tes!W21=0,0,11630*1000*SER_hh_tes!W21/SER_hh_num!W21)</f>
        <v>14980.042375878784</v>
      </c>
      <c r="X21" s="132">
        <f>IF(SER_hh_tes!X21=0,0,11630*1000*SER_hh_tes!X21/SER_hh_num!X21)</f>
        <v>14841.104847027873</v>
      </c>
      <c r="Y21" s="132">
        <f>IF(SER_hh_tes!Y21=0,0,11630*1000*SER_hh_tes!Y21/SER_hh_num!Y21)</f>
        <v>14989.682220409835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8220.4036413838512</v>
      </c>
      <c r="C22" s="132">
        <f>IF(SER_hh_tes!C22=0,0,11630*1000*SER_hh_tes!C22/SER_hh_num!C22)</f>
        <v>8618.7415010677978</v>
      </c>
      <c r="D22" s="132">
        <f>IF(SER_hh_tes!D22=0,0,11630*1000*SER_hh_tes!D22/SER_hh_num!D22)</f>
        <v>10539.68415549358</v>
      </c>
      <c r="E22" s="132">
        <f>IF(SER_hh_tes!E22=0,0,11630*1000*SER_hh_tes!E22/SER_hh_num!E22)</f>
        <v>11420.872235414174</v>
      </c>
      <c r="F22" s="132">
        <f>IF(SER_hh_tes!F22=0,0,11630*1000*SER_hh_tes!F22/SER_hh_num!F22)</f>
        <v>12236.03684140171</v>
      </c>
      <c r="G22" s="132">
        <f>IF(SER_hh_tes!G22=0,0,11630*1000*SER_hh_tes!G22/SER_hh_num!G22)</f>
        <v>12052.090734456107</v>
      </c>
      <c r="H22" s="132">
        <f>IF(SER_hh_tes!H22=0,0,11630*1000*SER_hh_tes!H22/SER_hh_num!H22)</f>
        <v>12979.168469446506</v>
      </c>
      <c r="I22" s="132">
        <f>IF(SER_hh_tes!I22=0,0,11630*1000*SER_hh_tes!I22/SER_hh_num!I22)</f>
        <v>13923.969363293396</v>
      </c>
      <c r="J22" s="132">
        <f>IF(SER_hh_tes!J22=0,0,11630*1000*SER_hh_tes!J22/SER_hh_num!J22)</f>
        <v>14399.666506568094</v>
      </c>
      <c r="K22" s="132">
        <f>IF(SER_hh_tes!K22=0,0,11630*1000*SER_hh_tes!K22/SER_hh_num!K22)</f>
        <v>14343.438143642288</v>
      </c>
      <c r="L22" s="132">
        <f>IF(SER_hh_tes!L22=0,0,11630*1000*SER_hh_tes!L22/SER_hh_num!L22)</f>
        <v>14934.776315911493</v>
      </c>
      <c r="M22" s="132">
        <f>IF(SER_hh_tes!M22=0,0,11630*1000*SER_hh_tes!M22/SER_hh_num!M22)</f>
        <v>14786.570568240208</v>
      </c>
      <c r="N22" s="132">
        <f>IF(SER_hh_tes!N22=0,0,11630*1000*SER_hh_tes!N22/SER_hh_num!N22)</f>
        <v>14936.228764743504</v>
      </c>
      <c r="O22" s="132">
        <f>IF(SER_hh_tes!O22=0,0,11630*1000*SER_hh_tes!O22/SER_hh_num!O22)</f>
        <v>15317.748753115498</v>
      </c>
      <c r="P22" s="132">
        <f>IF(SER_hh_tes!P22=0,0,11630*1000*SER_hh_tes!P22/SER_hh_num!P22)</f>
        <v>15344.479516581938</v>
      </c>
      <c r="Q22" s="132">
        <f>IF(SER_hh_tes!Q22=0,0,11630*1000*SER_hh_tes!Q22/SER_hh_num!Q22)</f>
        <v>15736.127535131669</v>
      </c>
      <c r="R22" s="132">
        <f>IF(SER_hh_tes!R22=0,0,11630*1000*SER_hh_tes!R22/SER_hh_num!R22)</f>
        <v>15504.027049897821</v>
      </c>
      <c r="S22" s="132">
        <f>IF(SER_hh_tes!S22=0,0,11630*1000*SER_hh_tes!S22/SER_hh_num!S22)</f>
        <v>16473.003582799545</v>
      </c>
      <c r="T22" s="132">
        <f>IF(SER_hh_tes!T22=0,0,11630*1000*SER_hh_tes!T22/SER_hh_num!T22)</f>
        <v>15976.837493763238</v>
      </c>
      <c r="U22" s="132">
        <f>IF(SER_hh_tes!U22=0,0,11630*1000*SER_hh_tes!U22/SER_hh_num!U22)</f>
        <v>13757.053215591104</v>
      </c>
      <c r="V22" s="132">
        <f>IF(SER_hh_tes!V22=0,0,11630*1000*SER_hh_tes!V22/SER_hh_num!V22)</f>
        <v>13848.117208034972</v>
      </c>
      <c r="W22" s="132">
        <f>IF(SER_hh_tes!W22=0,0,11630*1000*SER_hh_tes!W22/SER_hh_num!W22)</f>
        <v>15869.328133099038</v>
      </c>
      <c r="X22" s="132">
        <f>IF(SER_hh_tes!X22=0,0,11630*1000*SER_hh_tes!X22/SER_hh_num!X22)</f>
        <v>16492.206535977381</v>
      </c>
      <c r="Y22" s="132">
        <f>IF(SER_hh_tes!Y22=0,0,11630*1000*SER_hh_tes!Y22/SER_hh_num!Y22)</f>
        <v>14824.848795803908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7442.2430829667592</v>
      </c>
      <c r="C23" s="132">
        <f>IF(SER_hh_tes!C23=0,0,11630*1000*SER_hh_tes!C23/SER_hh_num!C23)</f>
        <v>8982.4974465425948</v>
      </c>
      <c r="D23" s="132">
        <f>IF(SER_hh_tes!D23=0,0,11630*1000*SER_hh_tes!D23/SER_hh_num!D23)</f>
        <v>10089.21461056817</v>
      </c>
      <c r="E23" s="132">
        <f>IF(SER_hh_tes!E23=0,0,11630*1000*SER_hh_tes!E23/SER_hh_num!E23)</f>
        <v>12161.07373055841</v>
      </c>
      <c r="F23" s="132">
        <f>IF(SER_hh_tes!F23=0,0,11630*1000*SER_hh_tes!F23/SER_hh_num!F23)</f>
        <v>12236.016779853382</v>
      </c>
      <c r="G23" s="132">
        <f>IF(SER_hh_tes!G23=0,0,11630*1000*SER_hh_tes!G23/SER_hh_num!G23)</f>
        <v>12552.193958600663</v>
      </c>
      <c r="H23" s="132">
        <f>IF(SER_hh_tes!H23=0,0,11630*1000*SER_hh_tes!H23/SER_hh_num!H23)</f>
        <v>13009.279240579257</v>
      </c>
      <c r="I23" s="132">
        <f>IF(SER_hh_tes!I23=0,0,11630*1000*SER_hh_tes!I23/SER_hh_num!I23)</f>
        <v>13700.228322671475</v>
      </c>
      <c r="J23" s="132">
        <f>IF(SER_hh_tes!J23=0,0,11630*1000*SER_hh_tes!J23/SER_hh_num!J23)</f>
        <v>14406.668291509941</v>
      </c>
      <c r="K23" s="132">
        <f>IF(SER_hh_tes!K23=0,0,11630*1000*SER_hh_tes!K23/SER_hh_num!K23)</f>
        <v>14163.321838359001</v>
      </c>
      <c r="L23" s="132">
        <f>IF(SER_hh_tes!L23=0,0,11630*1000*SER_hh_tes!L23/SER_hh_num!L23)</f>
        <v>15031.916771058661</v>
      </c>
      <c r="M23" s="132">
        <f>IF(SER_hh_tes!M23=0,0,11630*1000*SER_hh_tes!M23/SER_hh_num!M23)</f>
        <v>14928.172254795118</v>
      </c>
      <c r="N23" s="132">
        <f>IF(SER_hh_tes!N23=0,0,11630*1000*SER_hh_tes!N23/SER_hh_num!N23)</f>
        <v>14888.912579640843</v>
      </c>
      <c r="O23" s="132">
        <f>IF(SER_hh_tes!O23=0,0,11630*1000*SER_hh_tes!O23/SER_hh_num!O23)</f>
        <v>15268.765936633268</v>
      </c>
      <c r="P23" s="132">
        <f>IF(SER_hh_tes!P23=0,0,11630*1000*SER_hh_tes!P23/SER_hh_num!P23)</f>
        <v>15526.023865470836</v>
      </c>
      <c r="Q23" s="132">
        <f>IF(SER_hh_tes!Q23=0,0,11630*1000*SER_hh_tes!Q23/SER_hh_num!Q23)</f>
        <v>16164.185845069063</v>
      </c>
      <c r="R23" s="132">
        <f>IF(SER_hh_tes!R23=0,0,11630*1000*SER_hh_tes!R23/SER_hh_num!R23)</f>
        <v>17055.576319314034</v>
      </c>
      <c r="S23" s="132">
        <f>IF(SER_hh_tes!S23=0,0,11630*1000*SER_hh_tes!S23/SER_hh_num!S23)</f>
        <v>15068.002940340035</v>
      </c>
      <c r="T23" s="132">
        <f>IF(SER_hh_tes!T23=0,0,11630*1000*SER_hh_tes!T23/SER_hh_num!T23)</f>
        <v>15488.162591940742</v>
      </c>
      <c r="U23" s="132">
        <f>IF(SER_hh_tes!U23=0,0,11630*1000*SER_hh_tes!U23/SER_hh_num!U23)</f>
        <v>14508.130634109157</v>
      </c>
      <c r="V23" s="132">
        <f>IF(SER_hh_tes!V23=0,0,11630*1000*SER_hh_tes!V23/SER_hh_num!V23)</f>
        <v>12808.776418119322</v>
      </c>
      <c r="W23" s="132">
        <f>IF(SER_hh_tes!W23=0,0,11630*1000*SER_hh_tes!W23/SER_hh_num!W23)</f>
        <v>17048.10183109128</v>
      </c>
      <c r="X23" s="132">
        <f>IF(SER_hh_tes!X23=0,0,11630*1000*SER_hh_tes!X23/SER_hh_num!X23)</f>
        <v>16020.694081497231</v>
      </c>
      <c r="Y23" s="132">
        <f>IF(SER_hh_tes!Y23=0,0,11630*1000*SER_hh_tes!Y23/SER_hh_num!Y23)</f>
        <v>15219.950271878548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8204.0985496651829</v>
      </c>
      <c r="C24" s="132">
        <f>IF(SER_hh_tes!C24=0,0,11630*1000*SER_hh_tes!C24/SER_hh_num!C24)</f>
        <v>8610.070232327369</v>
      </c>
      <c r="D24" s="132">
        <f>IF(SER_hh_tes!D24=0,0,11630*1000*SER_hh_tes!D24/SER_hh_num!D24)</f>
        <v>10770.581372752775</v>
      </c>
      <c r="E24" s="132">
        <f>IF(SER_hh_tes!E24=0,0,11630*1000*SER_hh_tes!E24/SER_hh_num!E24)</f>
        <v>11315.990440692884</v>
      </c>
      <c r="F24" s="132">
        <f>IF(SER_hh_tes!F24=0,0,11630*1000*SER_hh_tes!F24/SER_hh_num!F24)</f>
        <v>11759.129978624196</v>
      </c>
      <c r="G24" s="132">
        <f>IF(SER_hh_tes!G24=0,0,11630*1000*SER_hh_tes!G24/SER_hh_num!G24)</f>
        <v>11654.436516740871</v>
      </c>
      <c r="H24" s="132">
        <f>IF(SER_hh_tes!H24=0,0,11630*1000*SER_hh_tes!H24/SER_hh_num!H24)</f>
        <v>12685.670644476071</v>
      </c>
      <c r="I24" s="132">
        <f>IF(SER_hh_tes!I24=0,0,11630*1000*SER_hh_tes!I24/SER_hh_num!I24)</f>
        <v>14230.677985990465</v>
      </c>
      <c r="J24" s="132">
        <f>IF(SER_hh_tes!J24=0,0,11630*1000*SER_hh_tes!J24/SER_hh_num!J24)</f>
        <v>14728.669070563747</v>
      </c>
      <c r="K24" s="132">
        <f>IF(SER_hh_tes!K24=0,0,11630*1000*SER_hh_tes!K24/SER_hh_num!K24)</f>
        <v>14626.072079805796</v>
      </c>
      <c r="L24" s="132">
        <f>IF(SER_hh_tes!L24=0,0,11630*1000*SER_hh_tes!L24/SER_hh_num!L24)</f>
        <v>14536.228695324604</v>
      </c>
      <c r="M24" s="132">
        <f>IF(SER_hh_tes!M24=0,0,11630*1000*SER_hh_tes!M24/SER_hh_num!M24)</f>
        <v>14715.221696807837</v>
      </c>
      <c r="N24" s="132">
        <f>IF(SER_hh_tes!N24=0,0,11630*1000*SER_hh_tes!N24/SER_hh_num!N24)</f>
        <v>15091.920107306041</v>
      </c>
      <c r="O24" s="132">
        <f>IF(SER_hh_tes!O24=0,0,11630*1000*SER_hh_tes!O24/SER_hh_num!O24)</f>
        <v>15213.593669949572</v>
      </c>
      <c r="P24" s="132">
        <f>IF(SER_hh_tes!P24=0,0,11630*1000*SER_hh_tes!P24/SER_hh_num!P24)</f>
        <v>14911.814916820507</v>
      </c>
      <c r="Q24" s="132">
        <f>IF(SER_hh_tes!Q24=0,0,11630*1000*SER_hh_tes!Q24/SER_hh_num!Q24)</f>
        <v>15332.111554702577</v>
      </c>
      <c r="R24" s="132">
        <f>IF(SER_hh_tes!R24=0,0,11630*1000*SER_hh_tes!R24/SER_hh_num!R24)</f>
        <v>16579.472057232502</v>
      </c>
      <c r="S24" s="132">
        <f>IF(SER_hh_tes!S24=0,0,11630*1000*SER_hh_tes!S24/SER_hh_num!S24)</f>
        <v>16557.064804339454</v>
      </c>
      <c r="T24" s="132">
        <f>IF(SER_hh_tes!T24=0,0,11630*1000*SER_hh_tes!T24/SER_hh_num!T24)</f>
        <v>14426.307533457808</v>
      </c>
      <c r="U24" s="132">
        <f>IF(SER_hh_tes!U24=0,0,11630*1000*SER_hh_tes!U24/SER_hh_num!U24)</f>
        <v>13865.899956152038</v>
      </c>
      <c r="V24" s="132">
        <f>IF(SER_hh_tes!V24=0,0,11630*1000*SER_hh_tes!V24/SER_hh_num!V24)</f>
        <v>15422.429732917366</v>
      </c>
      <c r="W24" s="132">
        <f>IF(SER_hh_tes!W24=0,0,11630*1000*SER_hh_tes!W24/SER_hh_num!W24)</f>
        <v>17960.803686010895</v>
      </c>
      <c r="X24" s="132">
        <f>IF(SER_hh_tes!X24=0,0,11630*1000*SER_hh_tes!X24/SER_hh_num!X24)</f>
        <v>13993.620935865629</v>
      </c>
      <c r="Y24" s="132">
        <f>IF(SER_hh_tes!Y24=0,0,11630*1000*SER_hh_tes!Y24/SER_hh_num!Y24)</f>
        <v>15450.836487922516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7881.8513758532026</v>
      </c>
      <c r="C25" s="132">
        <f>IF(SER_hh_tes!C25=0,0,11630*1000*SER_hh_tes!C25/SER_hh_num!C25)</f>
        <v>8835.9118099941497</v>
      </c>
      <c r="D25" s="132">
        <f>IF(SER_hh_tes!D25=0,0,11630*1000*SER_hh_tes!D25/SER_hh_num!D25)</f>
        <v>10338.240779144875</v>
      </c>
      <c r="E25" s="132">
        <f>IF(SER_hh_tes!E25=0,0,11630*1000*SER_hh_tes!E25/SER_hh_num!E25)</f>
        <v>10830.001187272774</v>
      </c>
      <c r="F25" s="132">
        <f>IF(SER_hh_tes!F25=0,0,11630*1000*SER_hh_tes!F25/SER_hh_num!F25)</f>
        <v>12669.062441375299</v>
      </c>
      <c r="G25" s="132">
        <f>IF(SER_hh_tes!G25=0,0,11630*1000*SER_hh_tes!G25/SER_hh_num!G25)</f>
        <v>12712.16441556959</v>
      </c>
      <c r="H25" s="132">
        <f>IF(SER_hh_tes!H25=0,0,11630*1000*SER_hh_tes!H25/SER_hh_num!H25)</f>
        <v>13189.480747512978</v>
      </c>
      <c r="I25" s="132">
        <f>IF(SER_hh_tes!I25=0,0,11630*1000*SER_hh_tes!I25/SER_hh_num!I25)</f>
        <v>13837.008042099113</v>
      </c>
      <c r="J25" s="132">
        <f>IF(SER_hh_tes!J25=0,0,11630*1000*SER_hh_tes!J25/SER_hh_num!J25)</f>
        <v>14431.000781200024</v>
      </c>
      <c r="K25" s="132">
        <f>IF(SER_hh_tes!K25=0,0,11630*1000*SER_hh_tes!K25/SER_hh_num!K25)</f>
        <v>14625.544188898724</v>
      </c>
      <c r="L25" s="132">
        <f>IF(SER_hh_tes!L25=0,0,11630*1000*SER_hh_tes!L25/SER_hh_num!L25)</f>
        <v>14597.604837467354</v>
      </c>
      <c r="M25" s="132">
        <f>IF(SER_hh_tes!M25=0,0,11630*1000*SER_hh_tes!M25/SER_hh_num!M25)</f>
        <v>14631.586453227999</v>
      </c>
      <c r="N25" s="132">
        <f>IF(SER_hh_tes!N25=0,0,11630*1000*SER_hh_tes!N25/SER_hh_num!N25)</f>
        <v>14944.267038286896</v>
      </c>
      <c r="O25" s="132">
        <f>IF(SER_hh_tes!O25=0,0,11630*1000*SER_hh_tes!O25/SER_hh_num!O25)</f>
        <v>15543.183823313781</v>
      </c>
      <c r="P25" s="132">
        <f>IF(SER_hh_tes!P25=0,0,11630*1000*SER_hh_tes!P25/SER_hh_num!P25)</f>
        <v>15293.630018400334</v>
      </c>
      <c r="Q25" s="132">
        <f>IF(SER_hh_tes!Q25=0,0,11630*1000*SER_hh_tes!Q25/SER_hh_num!Q25)</f>
        <v>15094.478736164518</v>
      </c>
      <c r="R25" s="132">
        <f>IF(SER_hh_tes!R25=0,0,11630*1000*SER_hh_tes!R25/SER_hh_num!R25)</f>
        <v>15513.135331762935</v>
      </c>
      <c r="S25" s="132">
        <f>IF(SER_hh_tes!S25=0,0,11630*1000*SER_hh_tes!S25/SER_hh_num!S25)</f>
        <v>17939.68863586798</v>
      </c>
      <c r="T25" s="132">
        <f>IF(SER_hh_tes!T25=0,0,11630*1000*SER_hh_tes!T25/SER_hh_num!T25)</f>
        <v>14725.795656837499</v>
      </c>
      <c r="U25" s="132">
        <f>IF(SER_hh_tes!U25=0,0,11630*1000*SER_hh_tes!U25/SER_hh_num!U25)</f>
        <v>14995.554015799731</v>
      </c>
      <c r="V25" s="132">
        <f>IF(SER_hh_tes!V25=0,0,11630*1000*SER_hh_tes!V25/SER_hh_num!V25)</f>
        <v>15484.131838044679</v>
      </c>
      <c r="W25" s="132">
        <f>IF(SER_hh_tes!W25=0,0,11630*1000*SER_hh_tes!W25/SER_hh_num!W25)</f>
        <v>13332.786592825923</v>
      </c>
      <c r="X25" s="132">
        <f>IF(SER_hh_tes!X25=0,0,11630*1000*SER_hh_tes!X25/SER_hh_num!X25)</f>
        <v>16244.772588836791</v>
      </c>
      <c r="Y25" s="132">
        <f>IF(SER_hh_tes!Y25=0,0,11630*1000*SER_hh_tes!Y25/SER_hh_num!Y25)</f>
        <v>14661.799021136772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8335.710530247643</v>
      </c>
      <c r="C26" s="65">
        <f>IF(SER_hh_tes!C26=0,0,11630*1000*SER_hh_tes!C26/SER_hh_num!C26)</f>
        <v>8455.9945128262498</v>
      </c>
      <c r="D26" s="65">
        <f>IF(SER_hh_tes!D26=0,0,11630*1000*SER_hh_tes!D26/SER_hh_num!D26)</f>
        <v>11289.8745446791</v>
      </c>
      <c r="E26" s="65">
        <f>IF(SER_hh_tes!E26=0,0,11630*1000*SER_hh_tes!E26/SER_hh_num!E26)</f>
        <v>10441.007194040891</v>
      </c>
      <c r="F26" s="65">
        <f>IF(SER_hh_tes!F26=0,0,11630*1000*SER_hh_tes!F26/SER_hh_num!F26)</f>
        <v>11965.950347964641</v>
      </c>
      <c r="G26" s="65">
        <f>IF(SER_hh_tes!G26=0,0,11630*1000*SER_hh_tes!G26/SER_hh_num!G26)</f>
        <v>12452.786998312737</v>
      </c>
      <c r="H26" s="65">
        <f>IF(SER_hh_tes!H26=0,0,11630*1000*SER_hh_tes!H26/SER_hh_num!H26)</f>
        <v>13006.783958471216</v>
      </c>
      <c r="I26" s="65">
        <f>IF(SER_hh_tes!I26=0,0,11630*1000*SER_hh_tes!I26/SER_hh_num!I26)</f>
        <v>14043.982103488228</v>
      </c>
      <c r="J26" s="65">
        <f>IF(SER_hh_tes!J26=0,0,11630*1000*SER_hh_tes!J26/SER_hh_num!J26)</f>
        <v>14291.041241652847</v>
      </c>
      <c r="K26" s="65">
        <f>IF(SER_hh_tes!K26=0,0,11630*1000*SER_hh_tes!K26/SER_hh_num!K26)</f>
        <v>14479.497473800751</v>
      </c>
      <c r="L26" s="65">
        <f>IF(SER_hh_tes!L26=0,0,11630*1000*SER_hh_tes!L26/SER_hh_num!L26)</f>
        <v>14286.113848852896</v>
      </c>
      <c r="M26" s="65">
        <f>IF(SER_hh_tes!M26=0,0,11630*1000*SER_hh_tes!M26/SER_hh_num!M26)</f>
        <v>14478.932037351786</v>
      </c>
      <c r="N26" s="65">
        <f>IF(SER_hh_tes!N26=0,0,11630*1000*SER_hh_tes!N26/SER_hh_num!N26)</f>
        <v>14158.87815684262</v>
      </c>
      <c r="O26" s="65">
        <f>IF(SER_hh_tes!O26=0,0,11630*1000*SER_hh_tes!O26/SER_hh_num!O26)</f>
        <v>15480.218590542543</v>
      </c>
      <c r="P26" s="65">
        <f>IF(SER_hh_tes!P26=0,0,11630*1000*SER_hh_tes!P26/SER_hh_num!P26)</f>
        <v>15196.810096508587</v>
      </c>
      <c r="Q26" s="65">
        <f>IF(SER_hh_tes!Q26=0,0,11630*1000*SER_hh_tes!Q26/SER_hh_num!Q26)</f>
        <v>15635.237219284367</v>
      </c>
      <c r="R26" s="65">
        <f>IF(SER_hh_tes!R26=0,0,11630*1000*SER_hh_tes!R26/SER_hh_num!R26)</f>
        <v>15456.581839873328</v>
      </c>
      <c r="S26" s="65">
        <f>IF(SER_hh_tes!S26=0,0,11630*1000*SER_hh_tes!S26/SER_hh_num!S26)</f>
        <v>14736.144259913619</v>
      </c>
      <c r="T26" s="65">
        <f>IF(SER_hh_tes!T26=0,0,11630*1000*SER_hh_tes!T26/SER_hh_num!T26)</f>
        <v>15538.224258326627</v>
      </c>
      <c r="U26" s="65">
        <f>IF(SER_hh_tes!U26=0,0,11630*1000*SER_hh_tes!U26/SER_hh_num!U26)</f>
        <v>15505.234548479659</v>
      </c>
      <c r="V26" s="65">
        <f>IF(SER_hh_tes!V26=0,0,11630*1000*SER_hh_tes!V26/SER_hh_num!V26)</f>
        <v>13943.232291186963</v>
      </c>
      <c r="W26" s="65">
        <f>IF(SER_hh_tes!W26=0,0,11630*1000*SER_hh_tes!W26/SER_hh_num!W26)</f>
        <v>15200.106825924588</v>
      </c>
      <c r="X26" s="65">
        <f>IF(SER_hh_tes!X26=0,0,11630*1000*SER_hh_tes!X26/SER_hh_num!X26)</f>
        <v>15216.930045405468</v>
      </c>
      <c r="Y26" s="65">
        <f>IF(SER_hh_tes!Y26=0,0,11630*1000*SER_hh_tes!Y26/SER_hh_num!Y26)</f>
        <v>15372.006503246481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0.87645224940867505</v>
      </c>
      <c r="E27" s="145">
        <f>IF(SER_hh_tes!E27=0,0,11630*1000*SER_hh_tes!E27/SER_hh_num!E19)</f>
        <v>0.86135355683329373</v>
      </c>
      <c r="F27" s="145">
        <f>IF(SER_hh_tes!F27=0,0,11630*1000*SER_hh_tes!F27/SER_hh_num!F19)</f>
        <v>3.3477482296028622</v>
      </c>
      <c r="G27" s="145">
        <f>IF(SER_hh_tes!G27=0,0,11630*1000*SER_hh_tes!G27/SER_hh_num!G19)</f>
        <v>4.9139185791831146</v>
      </c>
      <c r="H27" s="145">
        <f>IF(SER_hh_tes!H27=0,0,11630*1000*SER_hh_tes!H27/SER_hh_num!H19)</f>
        <v>8.6752433796665862</v>
      </c>
      <c r="I27" s="145">
        <f>IF(SER_hh_tes!I27=0,0,11630*1000*SER_hh_tes!I27/SER_hh_num!I19)</f>
        <v>11.360834018469456</v>
      </c>
      <c r="J27" s="145">
        <f>IF(SER_hh_tes!J27=0,0,11630*1000*SER_hh_tes!J27/SER_hh_num!J19)</f>
        <v>39.391613909586532</v>
      </c>
      <c r="K27" s="145">
        <f>IF(SER_hh_tes!K27=0,0,11630*1000*SER_hh_tes!K27/SER_hh_num!K19)</f>
        <v>58.775327635670564</v>
      </c>
      <c r="L27" s="145">
        <f>IF(SER_hh_tes!L27=0,0,11630*1000*SER_hh_tes!L27/SER_hh_num!L19)</f>
        <v>70.707995817430174</v>
      </c>
      <c r="M27" s="145">
        <f>IF(SER_hh_tes!M27=0,0,11630*1000*SER_hh_tes!M27/SER_hh_num!M19)</f>
        <v>92.367429200276703</v>
      </c>
      <c r="N27" s="145">
        <f>IF(SER_hh_tes!N27=0,0,11630*1000*SER_hh_tes!N27/SER_hh_num!N19)</f>
        <v>110.81414877475736</v>
      </c>
      <c r="O27" s="145">
        <f>IF(SER_hh_tes!O27=0,0,11630*1000*SER_hh_tes!O27/SER_hh_num!O19)</f>
        <v>120.20138132143443</v>
      </c>
      <c r="P27" s="145">
        <f>IF(SER_hh_tes!P27=0,0,11630*1000*SER_hh_tes!P27/SER_hh_num!P19)</f>
        <v>131.41248218813695</v>
      </c>
      <c r="Q27" s="145">
        <f>IF(SER_hh_tes!Q27=0,0,11630*1000*SER_hh_tes!Q27/SER_hh_num!Q19)</f>
        <v>149.27803386617774</v>
      </c>
      <c r="R27" s="145">
        <f>IF(SER_hh_tes!R27=0,0,11630*1000*SER_hh_tes!R27/SER_hh_num!R19)</f>
        <v>157.24834852896933</v>
      </c>
      <c r="S27" s="145">
        <f>IF(SER_hh_tes!S27=0,0,11630*1000*SER_hh_tes!S27/SER_hh_num!S19)</f>
        <v>155.07740790242738</v>
      </c>
      <c r="T27" s="145">
        <f>IF(SER_hh_tes!T27=0,0,11630*1000*SER_hh_tes!T27/SER_hh_num!T19)</f>
        <v>156.35212574841194</v>
      </c>
      <c r="U27" s="145">
        <f>IF(SER_hh_tes!U27=0,0,11630*1000*SER_hh_tes!U27/SER_hh_num!U19)</f>
        <v>148.0503612142895</v>
      </c>
      <c r="V27" s="145">
        <f>IF(SER_hh_tes!V27=0,0,11630*1000*SER_hh_tes!V27/SER_hh_num!V19)</f>
        <v>139.73217239816921</v>
      </c>
      <c r="W27" s="145">
        <f>IF(SER_hh_tes!W27=0,0,11630*1000*SER_hh_tes!W27/SER_hh_num!W19)</f>
        <v>133.87936193683871</v>
      </c>
      <c r="X27" s="145">
        <f>IF(SER_hh_tes!X27=0,0,11630*1000*SER_hh_tes!X27/SER_hh_num!X19)</f>
        <v>133.59538301013643</v>
      </c>
      <c r="Y27" s="145">
        <f>IF(SER_hh_tes!Y27=0,0,11630*1000*SER_hh_tes!Y27/SER_hh_num!Y19)</f>
        <v>126.07099486272338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5504.3400061671537</v>
      </c>
      <c r="E28" s="146">
        <f>IF(SER_hh_tes!E27=0,0,11630*1000*SER_hh_tes!E27/SER_hh_num!E27)</f>
        <v>5871.7485825536342</v>
      </c>
      <c r="F28" s="146">
        <f>IF(SER_hh_tes!F27=0,0,11630*1000*SER_hh_tes!F27/SER_hh_num!F27)</f>
        <v>6317.8382407226791</v>
      </c>
      <c r="G28" s="146">
        <f>IF(SER_hh_tes!G27=0,0,11630*1000*SER_hh_tes!G27/SER_hh_num!G27)</f>
        <v>6397.5069199427144</v>
      </c>
      <c r="H28" s="146">
        <f>IF(SER_hh_tes!H27=0,0,11630*1000*SER_hh_tes!H27/SER_hh_num!H27)</f>
        <v>6764.434410010781</v>
      </c>
      <c r="I28" s="146">
        <f>IF(SER_hh_tes!I27=0,0,11630*1000*SER_hh_tes!I27/SER_hh_num!I27)</f>
        <v>7197.2700669694186</v>
      </c>
      <c r="J28" s="146">
        <f>IF(SER_hh_tes!J27=0,0,11630*1000*SER_hh_tes!J27/SER_hh_num!J27)</f>
        <v>7425.9602262185417</v>
      </c>
      <c r="K28" s="146">
        <f>IF(SER_hh_tes!K27=0,0,11630*1000*SER_hh_tes!K27/SER_hh_num!K27)</f>
        <v>7549.8680398982915</v>
      </c>
      <c r="L28" s="146">
        <f>IF(SER_hh_tes!L27=0,0,11630*1000*SER_hh_tes!L27/SER_hh_num!L27)</f>
        <v>7272.7231606267478</v>
      </c>
      <c r="M28" s="146">
        <f>IF(SER_hh_tes!M27=0,0,11630*1000*SER_hh_tes!M27/SER_hh_num!M27)</f>
        <v>7616.1695811588743</v>
      </c>
      <c r="N28" s="146">
        <f>IF(SER_hh_tes!N27=0,0,11630*1000*SER_hh_tes!N27/SER_hh_num!N27)</f>
        <v>8028.8620186127637</v>
      </c>
      <c r="O28" s="146">
        <f>IF(SER_hh_tes!O27=0,0,11630*1000*SER_hh_tes!O27/SER_hh_num!O27)</f>
        <v>8051.2245371153231</v>
      </c>
      <c r="P28" s="146">
        <f>IF(SER_hh_tes!P27=0,0,11630*1000*SER_hh_tes!P27/SER_hh_num!P27)</f>
        <v>8210.2029327692126</v>
      </c>
      <c r="Q28" s="146">
        <f>IF(SER_hh_tes!Q27=0,0,11630*1000*SER_hh_tes!Q27/SER_hh_num!Q27)</f>
        <v>8257.4782603843651</v>
      </c>
      <c r="R28" s="146">
        <f>IF(SER_hh_tes!R27=0,0,11630*1000*SER_hh_tes!R27/SER_hh_num!R27)</f>
        <v>8474.7646807449328</v>
      </c>
      <c r="S28" s="146">
        <f>IF(SER_hh_tes!S27=0,0,11630*1000*SER_hh_tes!S27/SER_hh_num!S27)</f>
        <v>8485.7559810509556</v>
      </c>
      <c r="T28" s="146">
        <f>IF(SER_hh_tes!T27=0,0,11630*1000*SER_hh_tes!T27/SER_hh_num!T27)</f>
        <v>7141.337570068411</v>
      </c>
      <c r="U28" s="146">
        <f>IF(SER_hh_tes!U27=0,0,11630*1000*SER_hh_tes!U27/SER_hh_num!U27)</f>
        <v>7784.0737710719995</v>
      </c>
      <c r="V28" s="146">
        <f>IF(SER_hh_tes!V27=0,0,11630*1000*SER_hh_tes!V27/SER_hh_num!V27)</f>
        <v>7374.6665163980497</v>
      </c>
      <c r="W28" s="146">
        <f>IF(SER_hh_tes!W27=0,0,11630*1000*SER_hh_tes!W27/SER_hh_num!W27)</f>
        <v>7783.2357639426536</v>
      </c>
      <c r="X28" s="146">
        <f>IF(SER_hh_tes!X27=0,0,11630*1000*SER_hh_tes!X27/SER_hh_num!X27)</f>
        <v>9820.3756888963817</v>
      </c>
      <c r="Y28" s="146">
        <f>IF(SER_hh_tes!Y27=0,0,11630*1000*SER_hh_tes!Y27/SER_hh_num!Y27)</f>
        <v>11244.385054828281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10689.547674258554</v>
      </c>
      <c r="C29" s="130">
        <f>IF(SER_hh_tes!C29=0,0,11630*1000*SER_hh_tes!C29/SER_hh_num!C29)</f>
        <v>12374.839072902234</v>
      </c>
      <c r="D29" s="130">
        <f>IF(SER_hh_tes!D29=0,0,11630*1000*SER_hh_tes!D29/SER_hh_num!D29)</f>
        <v>14120.401479120172</v>
      </c>
      <c r="E29" s="130">
        <f>IF(SER_hh_tes!E29=0,0,11630*1000*SER_hh_tes!E29/SER_hh_num!E29)</f>
        <v>15578.290956480443</v>
      </c>
      <c r="F29" s="130">
        <f>IF(SER_hh_tes!F29=0,0,11630*1000*SER_hh_tes!F29/SER_hh_num!F29)</f>
        <v>15776.879598022331</v>
      </c>
      <c r="G29" s="130">
        <f>IF(SER_hh_tes!G29=0,0,11630*1000*SER_hh_tes!G29/SER_hh_num!G29)</f>
        <v>16022.111359858563</v>
      </c>
      <c r="H29" s="130">
        <f>IF(SER_hh_tes!H29=0,0,11630*1000*SER_hh_tes!H29/SER_hh_num!H29)</f>
        <v>16340.216930373692</v>
      </c>
      <c r="I29" s="130">
        <f>IF(SER_hh_tes!I29=0,0,11630*1000*SER_hh_tes!I29/SER_hh_num!I29)</f>
        <v>17000.621950726341</v>
      </c>
      <c r="J29" s="130">
        <f>IF(SER_hh_tes!J29=0,0,11630*1000*SER_hh_tes!J29/SER_hh_num!J29)</f>
        <v>17351.347201668035</v>
      </c>
      <c r="K29" s="130">
        <f>IF(SER_hh_tes!K29=0,0,11630*1000*SER_hh_tes!K29/SER_hh_num!K29)</f>
        <v>16973.838212625673</v>
      </c>
      <c r="L29" s="130">
        <f>IF(SER_hh_tes!L29=0,0,11630*1000*SER_hh_tes!L29/SER_hh_num!L29)</f>
        <v>17220.108792337342</v>
      </c>
      <c r="M29" s="130">
        <f>IF(SER_hh_tes!M29=0,0,11630*1000*SER_hh_tes!M29/SER_hh_num!M29)</f>
        <v>17241.628875477803</v>
      </c>
      <c r="N29" s="130">
        <f>IF(SER_hh_tes!N29=0,0,11630*1000*SER_hh_tes!N29/SER_hh_num!N29)</f>
        <v>17033.332186080039</v>
      </c>
      <c r="O29" s="130">
        <f>IF(SER_hh_tes!O29=0,0,11630*1000*SER_hh_tes!O29/SER_hh_num!O29)</f>
        <v>17030.325539804773</v>
      </c>
      <c r="P29" s="130">
        <f>IF(SER_hh_tes!P29=0,0,11630*1000*SER_hh_tes!P29/SER_hh_num!P29)</f>
        <v>17103.741297850978</v>
      </c>
      <c r="Q29" s="130">
        <f>IF(SER_hh_tes!Q29=0,0,11630*1000*SER_hh_tes!Q29/SER_hh_num!Q29)</f>
        <v>17102.745559080224</v>
      </c>
      <c r="R29" s="130">
        <f>IF(SER_hh_tes!R29=0,0,11630*1000*SER_hh_tes!R29/SER_hh_num!R29)</f>
        <v>16993.045961067884</v>
      </c>
      <c r="S29" s="130">
        <f>IF(SER_hh_tes!S29=0,0,11630*1000*SER_hh_tes!S29/SER_hh_num!S29)</f>
        <v>16557.959782847425</v>
      </c>
      <c r="T29" s="130">
        <f>IF(SER_hh_tes!T29=0,0,11630*1000*SER_hh_tes!T29/SER_hh_num!T29)</f>
        <v>16625.355111634137</v>
      </c>
      <c r="U29" s="130">
        <f>IF(SER_hh_tes!U29=0,0,11630*1000*SER_hh_tes!U29/SER_hh_num!U29)</f>
        <v>16485.04769664802</v>
      </c>
      <c r="V29" s="130">
        <f>IF(SER_hh_tes!V29=0,0,11630*1000*SER_hh_tes!V29/SER_hh_num!V29)</f>
        <v>15466.18004751807</v>
      </c>
      <c r="W29" s="130">
        <f>IF(SER_hh_tes!W29=0,0,11630*1000*SER_hh_tes!W29/SER_hh_num!W29)</f>
        <v>15584.125354577543</v>
      </c>
      <c r="X29" s="130">
        <f>IF(SER_hh_tes!X29=0,0,11630*1000*SER_hh_tes!X29/SER_hh_num!X29)</f>
        <v>15967.7094261609</v>
      </c>
      <c r="Y29" s="130">
        <f>IF(SER_hh_tes!Y29=0,0,11630*1000*SER_hh_tes!Y29/SER_hh_num!Y29)</f>
        <v>15994.641202901457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4798.6548742620107</v>
      </c>
      <c r="C30" s="132">
        <f>IF(SER_hh_tes!C30=0,0,11630*1000*SER_hh_tes!C30/SER_hh_num!C30)</f>
        <v>14908.566489895205</v>
      </c>
      <c r="D30" s="132">
        <f>IF(SER_hh_tes!D30=0,0,11630*1000*SER_hh_tes!D30/SER_hh_num!D30)</f>
        <v>12208.823713745747</v>
      </c>
      <c r="E30" s="132">
        <f>IF(SER_hh_tes!E30=0,0,11630*1000*SER_hh_tes!E30/SER_hh_num!E30)</f>
        <v>17863.063291520186</v>
      </c>
      <c r="F30" s="132">
        <f>IF(SER_hh_tes!F30=0,0,11630*1000*SER_hh_tes!F30/SER_hh_num!F30)</f>
        <v>16114.684381262321</v>
      </c>
      <c r="G30" s="132">
        <f>IF(SER_hh_tes!G30=0,0,11630*1000*SER_hh_tes!G30/SER_hh_num!G30)</f>
        <v>15559.012330239328</v>
      </c>
      <c r="H30" s="132">
        <f>IF(SER_hh_tes!H30=0,0,11630*1000*SER_hh_tes!H30/SER_hh_num!H30)</f>
        <v>17412.448102379964</v>
      </c>
      <c r="I30" s="132">
        <f>IF(SER_hh_tes!I30=0,0,11630*1000*SER_hh_tes!I30/SER_hh_num!I30)</f>
        <v>18523.672457492627</v>
      </c>
      <c r="J30" s="132">
        <f>IF(SER_hh_tes!J30=0,0,11630*1000*SER_hh_tes!J30/SER_hh_num!J30)</f>
        <v>18208.81703029374</v>
      </c>
      <c r="K30" s="132">
        <f>IF(SER_hh_tes!K30=0,0,11630*1000*SER_hh_tes!K30/SER_hh_num!K30)</f>
        <v>15857.131291574133</v>
      </c>
      <c r="L30" s="132">
        <f>IF(SER_hh_tes!L30=0,0,11630*1000*SER_hh_tes!L30/SER_hh_num!L30)</f>
        <v>15132.918697740135</v>
      </c>
      <c r="M30" s="132">
        <f>IF(SER_hh_tes!M30=0,0,11630*1000*SER_hh_tes!M30/SER_hh_num!M30)</f>
        <v>16326.860459756484</v>
      </c>
      <c r="N30" s="132">
        <f>IF(SER_hh_tes!N30=0,0,11630*1000*SER_hh_tes!N30/SER_hh_num!N30)</f>
        <v>17057.264759516525</v>
      </c>
      <c r="O30" s="132">
        <f>IF(SER_hh_tes!O30=0,0,11630*1000*SER_hh_tes!O30/SER_hh_num!O30)</f>
        <v>17580.301857814211</v>
      </c>
      <c r="P30" s="132">
        <f>IF(SER_hh_tes!P30=0,0,11630*1000*SER_hh_tes!P30/SER_hh_num!P30)</f>
        <v>15285.992520283382</v>
      </c>
      <c r="Q30" s="132">
        <f>IF(SER_hh_tes!Q30=0,0,11630*1000*SER_hh_tes!Q30/SER_hh_num!Q30)</f>
        <v>16985.174066092601</v>
      </c>
      <c r="R30" s="132">
        <f>IF(SER_hh_tes!R30=0,0,11630*1000*SER_hh_tes!R30/SER_hh_num!R30)</f>
        <v>17542.188982818447</v>
      </c>
      <c r="S30" s="132">
        <f>IF(SER_hh_tes!S30=0,0,11630*1000*SER_hh_tes!S30/SER_hh_num!S30)</f>
        <v>17028.991012875489</v>
      </c>
      <c r="T30" s="132">
        <f>IF(SER_hh_tes!T30=0,0,11630*1000*SER_hh_tes!T30/SER_hh_num!T30)</f>
        <v>16236.265363682844</v>
      </c>
      <c r="U30" s="132">
        <f>IF(SER_hh_tes!U30=0,0,11630*1000*SER_hh_tes!U30/SER_hh_num!U30)</f>
        <v>18938.95319606991</v>
      </c>
      <c r="V30" s="132">
        <f>IF(SER_hh_tes!V30=0,0,11630*1000*SER_hh_tes!V30/SER_hh_num!V30)</f>
        <v>13423.668338605759</v>
      </c>
      <c r="W30" s="132">
        <f>IF(SER_hh_tes!W30=0,0,11630*1000*SER_hh_tes!W30/SER_hh_num!W30)</f>
        <v>14299.969049162703</v>
      </c>
      <c r="X30" s="132">
        <f>IF(SER_hh_tes!X30=0,0,11630*1000*SER_hh_tes!X30/SER_hh_num!X30)</f>
        <v>13639.888158289723</v>
      </c>
      <c r="Y30" s="132">
        <f>IF(SER_hh_tes!Y30=0,0,11630*1000*SER_hh_tes!Y30/SER_hh_num!Y30)</f>
        <v>15646.064856360452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10542.564259974837</v>
      </c>
      <c r="C31" s="132">
        <f>IF(SER_hh_tes!C31=0,0,11630*1000*SER_hh_tes!C31/SER_hh_num!C31)</f>
        <v>12458.659387854177</v>
      </c>
      <c r="D31" s="132">
        <f>IF(SER_hh_tes!D31=0,0,11630*1000*SER_hh_tes!D31/SER_hh_num!D31)</f>
        <v>14088.34630123269</v>
      </c>
      <c r="E31" s="132">
        <f>IF(SER_hh_tes!E31=0,0,11630*1000*SER_hh_tes!E31/SER_hh_num!E31)</f>
        <v>15455.395045736575</v>
      </c>
      <c r="F31" s="132">
        <f>IF(SER_hh_tes!F31=0,0,11630*1000*SER_hh_tes!F31/SER_hh_num!F31)</f>
        <v>15444.82324476951</v>
      </c>
      <c r="G31" s="132">
        <f>IF(SER_hh_tes!G31=0,0,11630*1000*SER_hh_tes!G31/SER_hh_num!G31)</f>
        <v>16198.695528087352</v>
      </c>
      <c r="H31" s="132">
        <f>IF(SER_hh_tes!H31=0,0,11630*1000*SER_hh_tes!H31/SER_hh_num!H31)</f>
        <v>16685.066863745615</v>
      </c>
      <c r="I31" s="132">
        <f>IF(SER_hh_tes!I31=0,0,11630*1000*SER_hh_tes!I31/SER_hh_num!I31)</f>
        <v>16959.302208502904</v>
      </c>
      <c r="J31" s="132">
        <f>IF(SER_hh_tes!J31=0,0,11630*1000*SER_hh_tes!J31/SER_hh_num!J31)</f>
        <v>17125.763892770308</v>
      </c>
      <c r="K31" s="132">
        <f>IF(SER_hh_tes!K31=0,0,11630*1000*SER_hh_tes!K31/SER_hh_num!K31)</f>
        <v>17024.372227473072</v>
      </c>
      <c r="L31" s="132">
        <f>IF(SER_hh_tes!L31=0,0,11630*1000*SER_hh_tes!L31/SER_hh_num!L31)</f>
        <v>16277.007786617964</v>
      </c>
      <c r="M31" s="132">
        <f>IF(SER_hh_tes!M31=0,0,11630*1000*SER_hh_tes!M31/SER_hh_num!M31)</f>
        <v>17240.886813511319</v>
      </c>
      <c r="N31" s="132">
        <f>IF(SER_hh_tes!N31=0,0,11630*1000*SER_hh_tes!N31/SER_hh_num!N31)</f>
        <v>17711.491945278198</v>
      </c>
      <c r="O31" s="132">
        <f>IF(SER_hh_tes!O31=0,0,11630*1000*SER_hh_tes!O31/SER_hh_num!O31)</f>
        <v>17296.680325581725</v>
      </c>
      <c r="P31" s="132">
        <f>IF(SER_hh_tes!P31=0,0,11630*1000*SER_hh_tes!P31/SER_hh_num!P31)</f>
        <v>17024.30766473338</v>
      </c>
      <c r="Q31" s="132">
        <f>IF(SER_hh_tes!Q31=0,0,11630*1000*SER_hh_tes!Q31/SER_hh_num!Q31)</f>
        <v>17522.685092357133</v>
      </c>
      <c r="R31" s="132">
        <f>IF(SER_hh_tes!R31=0,0,11630*1000*SER_hh_tes!R31/SER_hh_num!R31)</f>
        <v>17065.814240010423</v>
      </c>
      <c r="S31" s="132">
        <f>IF(SER_hh_tes!S31=0,0,11630*1000*SER_hh_tes!S31/SER_hh_num!S31)</f>
        <v>16435.377622218064</v>
      </c>
      <c r="T31" s="132">
        <f>IF(SER_hh_tes!T31=0,0,11630*1000*SER_hh_tes!T31/SER_hh_num!T31)</f>
        <v>16372.806445180357</v>
      </c>
      <c r="U31" s="132">
        <f>IF(SER_hh_tes!U31=0,0,11630*1000*SER_hh_tes!U31/SER_hh_num!U31)</f>
        <v>16577.442747882371</v>
      </c>
      <c r="V31" s="132">
        <f>IF(SER_hh_tes!V31=0,0,11630*1000*SER_hh_tes!V31/SER_hh_num!V31)</f>
        <v>13533.022658999762</v>
      </c>
      <c r="W31" s="132">
        <f>IF(SER_hh_tes!W31=0,0,11630*1000*SER_hh_tes!W31/SER_hh_num!W31)</f>
        <v>16884.258555865279</v>
      </c>
      <c r="X31" s="132">
        <f>IF(SER_hh_tes!X31=0,0,11630*1000*SER_hh_tes!X31/SER_hh_num!X31)</f>
        <v>16125.231774410373</v>
      </c>
      <c r="Y31" s="132">
        <f>IF(SER_hh_tes!Y31=0,0,11630*1000*SER_hh_tes!Y31/SER_hh_num!Y31)</f>
        <v>16071.886983363993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10804.369296697492</v>
      </c>
      <c r="C33" s="68">
        <f>IF(SER_hh_tes!C33=0,0,11630*1000*SER_hh_tes!C33/SER_hh_num!C33)</f>
        <v>12292.713497487115</v>
      </c>
      <c r="D33" s="68">
        <f>IF(SER_hh_tes!D33=0,0,11630*1000*SER_hh_tes!D33/SER_hh_num!D33)</f>
        <v>14202.23604720354</v>
      </c>
      <c r="E33" s="68">
        <f>IF(SER_hh_tes!E33=0,0,11630*1000*SER_hh_tes!E33/SER_hh_num!E33)</f>
        <v>15485.866304843683</v>
      </c>
      <c r="F33" s="68">
        <f>IF(SER_hh_tes!F33=0,0,11630*1000*SER_hh_tes!F33/SER_hh_num!F33)</f>
        <v>15839.964616565509</v>
      </c>
      <c r="G33" s="68">
        <f>IF(SER_hh_tes!G33=0,0,11630*1000*SER_hh_tes!G33/SER_hh_num!G33)</f>
        <v>16006.651913396352</v>
      </c>
      <c r="H33" s="68">
        <f>IF(SER_hh_tes!H33=0,0,11630*1000*SER_hh_tes!H33/SER_hh_num!H33)</f>
        <v>16176.568124189333</v>
      </c>
      <c r="I33" s="68">
        <f>IF(SER_hh_tes!I33=0,0,11630*1000*SER_hh_tes!I33/SER_hh_num!I33)</f>
        <v>16915.26814278782</v>
      </c>
      <c r="J33" s="68">
        <f>IF(SER_hh_tes!J33=0,0,11630*1000*SER_hh_tes!J33/SER_hh_num!J33)</f>
        <v>17362.296998000595</v>
      </c>
      <c r="K33" s="68">
        <f>IF(SER_hh_tes!K33=0,0,11630*1000*SER_hh_tes!K33/SER_hh_num!K33)</f>
        <v>17006.853973129189</v>
      </c>
      <c r="L33" s="68">
        <f>IF(SER_hh_tes!L33=0,0,11630*1000*SER_hh_tes!L33/SER_hh_num!L33)</f>
        <v>17536.913796332239</v>
      </c>
      <c r="M33" s="68">
        <f>IF(SER_hh_tes!M33=0,0,11630*1000*SER_hh_tes!M33/SER_hh_num!M33)</f>
        <v>17268.925421482567</v>
      </c>
      <c r="N33" s="68">
        <f>IF(SER_hh_tes!N33=0,0,11630*1000*SER_hh_tes!N33/SER_hh_num!N33)</f>
        <v>16826.222609200322</v>
      </c>
      <c r="O33" s="68">
        <f>IF(SER_hh_tes!O33=0,0,11630*1000*SER_hh_tes!O33/SER_hh_num!O33)</f>
        <v>16928.460020869708</v>
      </c>
      <c r="P33" s="68">
        <f>IF(SER_hh_tes!P33=0,0,11630*1000*SER_hh_tes!P33/SER_hh_num!P33)</f>
        <v>17183.166286871416</v>
      </c>
      <c r="Q33" s="68">
        <f>IF(SER_hh_tes!Q33=0,0,11630*1000*SER_hh_tes!Q33/SER_hh_num!Q33)</f>
        <v>16973.699918207352</v>
      </c>
      <c r="R33" s="68">
        <f>IF(SER_hh_tes!R33=0,0,11630*1000*SER_hh_tes!R33/SER_hh_num!R33)</f>
        <v>16951.742410302977</v>
      </c>
      <c r="S33" s="68">
        <f>IF(SER_hh_tes!S33=0,0,11630*1000*SER_hh_tes!S33/SER_hh_num!S33)</f>
        <v>16575.800358614881</v>
      </c>
      <c r="T33" s="68">
        <f>IF(SER_hh_tes!T33=0,0,11630*1000*SER_hh_tes!T33/SER_hh_num!T33)</f>
        <v>16708.187202249312</v>
      </c>
      <c r="U33" s="68">
        <f>IF(SER_hh_tes!U33=0,0,11630*1000*SER_hh_tes!U33/SER_hh_num!U33)</f>
        <v>16370.990752525267</v>
      </c>
      <c r="V33" s="68">
        <f>IF(SER_hh_tes!V33=0,0,11630*1000*SER_hh_tes!V33/SER_hh_num!V33)</f>
        <v>16069.416569262292</v>
      </c>
      <c r="W33" s="68">
        <f>IF(SER_hh_tes!W33=0,0,11630*1000*SER_hh_tes!W33/SER_hh_num!W33)</f>
        <v>15220.773231134568</v>
      </c>
      <c r="X33" s="68">
        <f>IF(SER_hh_tes!X33=0,0,11630*1000*SER_hh_tes!X33/SER_hh_num!X33)</f>
        <v>15978.314838317527</v>
      </c>
      <c r="Y33" s="68">
        <f>IF(SER_hh_tes!Y33=0,0,11630*1000*SER_hh_tes!Y33/SER_hh_num!Y33)</f>
        <v>15976.80754397525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17554.962751075698</v>
      </c>
      <c r="C3" s="125">
        <f>IF(SER_hh_emi!C3=0,0,1000000*SER_hh_emi!C3/SER_hh_num!C3)</f>
        <v>19138.726880369453</v>
      </c>
      <c r="D3" s="125">
        <f>IF(SER_hh_emi!D3=0,0,1000000*SER_hh_emi!D3/SER_hh_num!D3)</f>
        <v>25327.980352678107</v>
      </c>
      <c r="E3" s="125">
        <f>IF(SER_hh_emi!E3=0,0,1000000*SER_hh_emi!E3/SER_hh_num!E3)</f>
        <v>26127.728712489308</v>
      </c>
      <c r="F3" s="125">
        <f>IF(SER_hh_emi!F3=0,0,1000000*SER_hh_emi!F3/SER_hh_num!F3)</f>
        <v>24699.058945322115</v>
      </c>
      <c r="G3" s="125">
        <f>IF(SER_hh_emi!G3=0,0,1000000*SER_hh_emi!G3/SER_hh_num!G3)</f>
        <v>23024.829233157245</v>
      </c>
      <c r="H3" s="125">
        <f>IF(SER_hh_emi!H3=0,0,1000000*SER_hh_emi!H3/SER_hh_num!H3)</f>
        <v>24729.775742267393</v>
      </c>
      <c r="I3" s="125">
        <f>IF(SER_hh_emi!I3=0,0,1000000*SER_hh_emi!I3/SER_hh_num!I3)</f>
        <v>22799.883374707664</v>
      </c>
      <c r="J3" s="125">
        <f>IF(SER_hh_emi!J3=0,0,1000000*SER_hh_emi!J3/SER_hh_num!J3)</f>
        <v>23462.955047265015</v>
      </c>
      <c r="K3" s="125">
        <f>IF(SER_hh_emi!K3=0,0,1000000*SER_hh_emi!K3/SER_hh_num!K3)</f>
        <v>23771.251180343097</v>
      </c>
      <c r="L3" s="125">
        <f>IF(SER_hh_emi!L3=0,0,1000000*SER_hh_emi!L3/SER_hh_num!L3)</f>
        <v>26960.357827819382</v>
      </c>
      <c r="M3" s="125">
        <f>IF(SER_hh_emi!M3=0,0,1000000*SER_hh_emi!M3/SER_hh_num!M3)</f>
        <v>24133.497312089472</v>
      </c>
      <c r="N3" s="125">
        <f>IF(SER_hh_emi!N3=0,0,1000000*SER_hh_emi!N3/SER_hh_num!N3)</f>
        <v>22890.057610142292</v>
      </c>
      <c r="O3" s="125">
        <f>IF(SER_hh_emi!O3=0,0,1000000*SER_hh_emi!O3/SER_hh_num!O3)</f>
        <v>20980.771479555366</v>
      </c>
      <c r="P3" s="125">
        <f>IF(SER_hh_emi!P3=0,0,1000000*SER_hh_emi!P3/SER_hh_num!P3)</f>
        <v>18361.524078507282</v>
      </c>
      <c r="Q3" s="125">
        <f>IF(SER_hh_emi!Q3=0,0,1000000*SER_hh_emi!Q3/SER_hh_num!Q3)</f>
        <v>18471.037652848972</v>
      </c>
      <c r="R3" s="125">
        <f>IF(SER_hh_emi!R3=0,0,1000000*SER_hh_emi!R3/SER_hh_num!R3)</f>
        <v>19730.237290697751</v>
      </c>
      <c r="S3" s="125">
        <f>IF(SER_hh_emi!S3=0,0,1000000*SER_hh_emi!S3/SER_hh_num!S3)</f>
        <v>16767.797047826112</v>
      </c>
      <c r="T3" s="125">
        <f>IF(SER_hh_emi!T3=0,0,1000000*SER_hh_emi!T3/SER_hh_num!T3)</f>
        <v>15430.536477628248</v>
      </c>
      <c r="U3" s="125">
        <f>IF(SER_hh_emi!U3=0,0,1000000*SER_hh_emi!U3/SER_hh_num!U3)</f>
        <v>13881.016482910904</v>
      </c>
      <c r="V3" s="125">
        <f>IF(SER_hh_emi!V3=0,0,1000000*SER_hh_emi!V3/SER_hh_num!V3)</f>
        <v>12818.303412935771</v>
      </c>
      <c r="W3" s="125">
        <f>IF(SER_hh_emi!W3=0,0,1000000*SER_hh_emi!W3/SER_hh_num!W3)</f>
        <v>16247.521790511189</v>
      </c>
      <c r="X3" s="125">
        <f>IF(SER_hh_emi!X3=0,0,1000000*SER_hh_emi!X3/SER_hh_num!X3)</f>
        <v>12432.808405303378</v>
      </c>
      <c r="Y3" s="125">
        <f>IF(SER_hh_emi!Y3=0,0,1000000*SER_hh_emi!Y3/SER_hh_num!Y3)</f>
        <v>10866.428076871181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15852.374849410948</v>
      </c>
      <c r="C4" s="130">
        <f>IF(SER_hh_emi!C4=0,0,1000000*SER_hh_emi!C4/SER_hh_num!C4)</f>
        <v>16881.746183201074</v>
      </c>
      <c r="D4" s="130">
        <f>IF(SER_hh_emi!D4=0,0,1000000*SER_hh_emi!D4/SER_hh_num!D4)</f>
        <v>22690.582981106381</v>
      </c>
      <c r="E4" s="130">
        <f>IF(SER_hh_emi!E4=0,0,1000000*SER_hh_emi!E4/SER_hh_num!E4)</f>
        <v>22787.806849932302</v>
      </c>
      <c r="F4" s="130">
        <f>IF(SER_hh_emi!F4=0,0,1000000*SER_hh_emi!F4/SER_hh_num!F4)</f>
        <v>21461.82090471933</v>
      </c>
      <c r="G4" s="130">
        <f>IF(SER_hh_emi!G4=0,0,1000000*SER_hh_emi!G4/SER_hh_num!G4)</f>
        <v>19812.662112779388</v>
      </c>
      <c r="H4" s="130">
        <f>IF(SER_hh_emi!H4=0,0,1000000*SER_hh_emi!H4/SER_hh_num!H4)</f>
        <v>21417.155384060949</v>
      </c>
      <c r="I4" s="130">
        <f>IF(SER_hh_emi!I4=0,0,1000000*SER_hh_emi!I4/SER_hh_num!I4)</f>
        <v>19473.464935395481</v>
      </c>
      <c r="J4" s="130">
        <f>IF(SER_hh_emi!J4=0,0,1000000*SER_hh_emi!J4/SER_hh_num!J4)</f>
        <v>20209.496563674078</v>
      </c>
      <c r="K4" s="130">
        <f>IF(SER_hh_emi!K4=0,0,1000000*SER_hh_emi!K4/SER_hh_num!K4)</f>
        <v>20660.278304862899</v>
      </c>
      <c r="L4" s="130">
        <f>IF(SER_hh_emi!L4=0,0,1000000*SER_hh_emi!L4/SER_hh_num!L4)</f>
        <v>23770.812868785226</v>
      </c>
      <c r="M4" s="130">
        <f>IF(SER_hh_emi!M4=0,0,1000000*SER_hh_emi!M4/SER_hh_num!M4)</f>
        <v>20863.484690591817</v>
      </c>
      <c r="N4" s="130">
        <f>IF(SER_hh_emi!N4=0,0,1000000*SER_hh_emi!N4/SER_hh_num!N4)</f>
        <v>19440.190362839967</v>
      </c>
      <c r="O4" s="130">
        <f>IF(SER_hh_emi!O4=0,0,1000000*SER_hh_emi!O4/SER_hh_num!O4)</f>
        <v>17665.642288857489</v>
      </c>
      <c r="P4" s="130">
        <f>IF(SER_hh_emi!P4=0,0,1000000*SER_hh_emi!P4/SER_hh_num!P4)</f>
        <v>15092.344379575823</v>
      </c>
      <c r="Q4" s="130">
        <f>IF(SER_hh_emi!Q4=0,0,1000000*SER_hh_emi!Q4/SER_hh_num!Q4)</f>
        <v>15181.029617417196</v>
      </c>
      <c r="R4" s="130">
        <f>IF(SER_hh_emi!R4=0,0,1000000*SER_hh_emi!R4/SER_hh_num!R4)</f>
        <v>16487.436566512199</v>
      </c>
      <c r="S4" s="130">
        <f>IF(SER_hh_emi!S4=0,0,1000000*SER_hh_emi!S4/SER_hh_num!S4)</f>
        <v>13896.314323994908</v>
      </c>
      <c r="T4" s="130">
        <f>IF(SER_hh_emi!T4=0,0,1000000*SER_hh_emi!T4/SER_hh_num!T4)</f>
        <v>12859.284865600024</v>
      </c>
      <c r="U4" s="130">
        <f>IF(SER_hh_emi!U4=0,0,1000000*SER_hh_emi!U4/SER_hh_num!U4)</f>
        <v>11446.820801903497</v>
      </c>
      <c r="V4" s="130">
        <f>IF(SER_hh_emi!V4=0,0,1000000*SER_hh_emi!V4/SER_hh_num!V4)</f>
        <v>10809.208537498274</v>
      </c>
      <c r="W4" s="130">
        <f>IF(SER_hh_emi!W4=0,0,1000000*SER_hh_emi!W4/SER_hh_num!W4)</f>
        <v>13707.71407011779</v>
      </c>
      <c r="X4" s="130">
        <f>IF(SER_hh_emi!X4=0,0,1000000*SER_hh_emi!X4/SER_hh_num!X4)</f>
        <v>10178.035422878829</v>
      </c>
      <c r="Y4" s="130">
        <f>IF(SER_hh_emi!Y4=0,0,1000000*SER_hh_emi!Y4/SER_hh_num!Y4)</f>
        <v>8727.1289231226274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48280.782954697708</v>
      </c>
      <c r="C5" s="132">
        <f>IF(SER_hh_emi!C5=0,0,1000000*SER_hh_emi!C5/SER_hh_num!C5)</f>
        <v>34796.970867520169</v>
      </c>
      <c r="D5" s="132">
        <f>IF(SER_hh_emi!D5=0,0,1000000*SER_hh_emi!D5/SER_hh_num!D5)</f>
        <v>57536.906855376466</v>
      </c>
      <c r="E5" s="132">
        <f>IF(SER_hh_emi!E5=0,0,1000000*SER_hh_emi!E5/SER_hh_num!E5)</f>
        <v>55472.733078392819</v>
      </c>
      <c r="F5" s="132">
        <f>IF(SER_hh_emi!F5=0,0,1000000*SER_hh_emi!F5/SER_hh_num!F5)</f>
        <v>51707.825500881831</v>
      </c>
      <c r="G5" s="132">
        <f>IF(SER_hh_emi!G5=0,0,1000000*SER_hh_emi!G5/SER_hh_num!G5)</f>
        <v>49945.542536169167</v>
      </c>
      <c r="H5" s="132">
        <f>IF(SER_hh_emi!H5=0,0,1000000*SER_hh_emi!H5/SER_hh_num!H5)</f>
        <v>56636.499208922673</v>
      </c>
      <c r="I5" s="132">
        <f>IF(SER_hh_emi!I5=0,0,1000000*SER_hh_emi!I5/SER_hh_num!I5)</f>
        <v>46597.144000885892</v>
      </c>
      <c r="J5" s="132">
        <f>IF(SER_hh_emi!J5=0,0,1000000*SER_hh_emi!J5/SER_hh_num!J5)</f>
        <v>50214.685537968391</v>
      </c>
      <c r="K5" s="132">
        <f>IF(SER_hh_emi!K5=0,0,1000000*SER_hh_emi!K5/SER_hh_num!K5)</f>
        <v>51901.654992836666</v>
      </c>
      <c r="L5" s="132">
        <f>IF(SER_hh_emi!L5=0,0,1000000*SER_hh_emi!L5/SER_hh_num!L5)</f>
        <v>57892.064175933578</v>
      </c>
      <c r="M5" s="132">
        <f>IF(SER_hh_emi!M5=0,0,1000000*SER_hh_emi!M5/SER_hh_num!M5)</f>
        <v>49561.90897048296</v>
      </c>
      <c r="N5" s="132">
        <f>IF(SER_hh_emi!N5=0,0,1000000*SER_hh_emi!N5/SER_hh_num!N5)</f>
        <v>49052.966681867678</v>
      </c>
      <c r="O5" s="132">
        <f>IF(SER_hh_emi!O5=0,0,1000000*SER_hh_emi!O5/SER_hh_num!O5)</f>
        <v>45220.703987731518</v>
      </c>
      <c r="P5" s="132">
        <f>IF(SER_hh_emi!P5=0,0,1000000*SER_hh_emi!P5/SER_hh_num!P5)</f>
        <v>40219.437197087209</v>
      </c>
      <c r="Q5" s="132">
        <f>IF(SER_hh_emi!Q5=0,0,1000000*SER_hh_emi!Q5/SER_hh_num!Q5)</f>
        <v>39436.461611594808</v>
      </c>
      <c r="R5" s="132">
        <f>IF(SER_hh_emi!R5=0,0,1000000*SER_hh_emi!R5/SER_hh_num!R5)</f>
        <v>42189.442065711672</v>
      </c>
      <c r="S5" s="132">
        <f>IF(SER_hh_emi!S5=0,0,1000000*SER_hh_emi!S5/SER_hh_num!S5)</f>
        <v>42165.245829154097</v>
      </c>
      <c r="T5" s="132">
        <f>IF(SER_hh_emi!T5=0,0,1000000*SER_hh_emi!T5/SER_hh_num!T5)</f>
        <v>40395.719972320527</v>
      </c>
      <c r="U5" s="132">
        <f>IF(SER_hh_emi!U5=0,0,1000000*SER_hh_emi!U5/SER_hh_num!U5)</f>
        <v>34107.986860810233</v>
      </c>
      <c r="V5" s="132">
        <f>IF(SER_hh_emi!V5=0,0,1000000*SER_hh_emi!V5/SER_hh_num!V5)</f>
        <v>36903.846377233065</v>
      </c>
      <c r="W5" s="132">
        <f>IF(SER_hh_emi!W5=0,0,1000000*SER_hh_emi!W5/SER_hh_num!W5)</f>
        <v>54085.770399069072</v>
      </c>
      <c r="X5" s="132">
        <f>IF(SER_hh_emi!X5=0,0,1000000*SER_hh_emi!X5/SER_hh_num!X5)</f>
        <v>32402.180614927558</v>
      </c>
      <c r="Y5" s="132">
        <f>IF(SER_hh_emi!Y5=0,0,1000000*SER_hh_emi!Y5/SER_hh_num!Y5)</f>
        <v>37569.053347073685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35089.41341017883</v>
      </c>
      <c r="C7" s="132">
        <f>IF(SER_hh_emi!C7=0,0,1000000*SER_hh_emi!C7/SER_hh_num!C7)</f>
        <v>44238.538206968959</v>
      </c>
      <c r="D7" s="132">
        <f>IF(SER_hh_emi!D7=0,0,1000000*SER_hh_emi!D7/SER_hh_num!D7)</f>
        <v>47699.144546526761</v>
      </c>
      <c r="E7" s="132">
        <f>IF(SER_hh_emi!E7=0,0,1000000*SER_hh_emi!E7/SER_hh_num!E7)</f>
        <v>48232.766693604593</v>
      </c>
      <c r="F7" s="132">
        <f>IF(SER_hh_emi!F7=0,0,1000000*SER_hh_emi!F7/SER_hh_num!F7)</f>
        <v>45321.596324861421</v>
      </c>
      <c r="G7" s="132">
        <f>IF(SER_hh_emi!G7=0,0,1000000*SER_hh_emi!G7/SER_hh_num!G7)</f>
        <v>35322.716329595351</v>
      </c>
      <c r="H7" s="132">
        <f>IF(SER_hh_emi!H7=0,0,1000000*SER_hh_emi!H7/SER_hh_num!H7)</f>
        <v>54491.464948084758</v>
      </c>
      <c r="I7" s="132">
        <f>IF(SER_hh_emi!I7=0,0,1000000*SER_hh_emi!I7/SER_hh_num!I7)</f>
        <v>47275.903481401197</v>
      </c>
      <c r="J7" s="132">
        <f>IF(SER_hh_emi!J7=0,0,1000000*SER_hh_emi!J7/SER_hh_num!J7)</f>
        <v>45936.655738224952</v>
      </c>
      <c r="K7" s="132">
        <f>IF(SER_hh_emi!K7=0,0,1000000*SER_hh_emi!K7/SER_hh_num!K7)</f>
        <v>43048.307247131102</v>
      </c>
      <c r="L7" s="132">
        <f>IF(SER_hh_emi!L7=0,0,1000000*SER_hh_emi!L7/SER_hh_num!L7)</f>
        <v>54483.759861442835</v>
      </c>
      <c r="M7" s="132">
        <f>IF(SER_hh_emi!M7=0,0,1000000*SER_hh_emi!M7/SER_hh_num!M7)</f>
        <v>52096.041218498671</v>
      </c>
      <c r="N7" s="132">
        <f>IF(SER_hh_emi!N7=0,0,1000000*SER_hh_emi!N7/SER_hh_num!N7)</f>
        <v>41213.828024373332</v>
      </c>
      <c r="O7" s="132">
        <f>IF(SER_hh_emi!O7=0,0,1000000*SER_hh_emi!O7/SER_hh_num!O7)</f>
        <v>36890.929052030908</v>
      </c>
      <c r="P7" s="132">
        <f>IF(SER_hh_emi!P7=0,0,1000000*SER_hh_emi!P7/SER_hh_num!P7)</f>
        <v>37578.647799073427</v>
      </c>
      <c r="Q7" s="132">
        <f>IF(SER_hh_emi!Q7=0,0,1000000*SER_hh_emi!Q7/SER_hh_num!Q7)</f>
        <v>37069.799475095198</v>
      </c>
      <c r="R7" s="132">
        <f>IF(SER_hh_emi!R7=0,0,1000000*SER_hh_emi!R7/SER_hh_num!R7)</f>
        <v>36675.951549463745</v>
      </c>
      <c r="S7" s="132">
        <f>IF(SER_hh_emi!S7=0,0,1000000*SER_hh_emi!S7/SER_hh_num!S7)</f>
        <v>35852.090006435676</v>
      </c>
      <c r="T7" s="132">
        <f>IF(SER_hh_emi!T7=0,0,1000000*SER_hh_emi!T7/SER_hh_num!T7)</f>
        <v>35738.683150183191</v>
      </c>
      <c r="U7" s="132">
        <f>IF(SER_hh_emi!U7=0,0,1000000*SER_hh_emi!U7/SER_hh_num!U7)</f>
        <v>30843.477234356051</v>
      </c>
      <c r="V7" s="132">
        <f>IF(SER_hh_emi!V7=0,0,1000000*SER_hh_emi!V7/SER_hh_num!V7)</f>
        <v>31080.011693127519</v>
      </c>
      <c r="W7" s="132">
        <f>IF(SER_hh_emi!W7=0,0,1000000*SER_hh_emi!W7/SER_hh_num!W7)</f>
        <v>36140.445463203803</v>
      </c>
      <c r="X7" s="132">
        <f>IF(SER_hh_emi!X7=0,0,1000000*SER_hh_emi!X7/SER_hh_num!X7)</f>
        <v>33333.25260439526</v>
      </c>
      <c r="Y7" s="132">
        <f>IF(SER_hh_emi!Y7=0,0,1000000*SER_hh_emi!Y7/SER_hh_num!Y7)</f>
        <v>26587.445771105609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12143.308649344694</v>
      </c>
      <c r="C8" s="132">
        <f>IF(SER_hh_emi!C8=0,0,1000000*SER_hh_emi!C8/SER_hh_num!C8)</f>
        <v>14218.822524271187</v>
      </c>
      <c r="D8" s="132">
        <f>IF(SER_hh_emi!D8=0,0,1000000*SER_hh_emi!D8/SER_hh_num!D8)</f>
        <v>14973.817838295816</v>
      </c>
      <c r="E8" s="132">
        <f>IF(SER_hh_emi!E8=0,0,1000000*SER_hh_emi!E8/SER_hh_num!E8)</f>
        <v>15696.896148663107</v>
      </c>
      <c r="F8" s="132">
        <f>IF(SER_hh_emi!F8=0,0,1000000*SER_hh_emi!F8/SER_hh_num!F8)</f>
        <v>15325.122988028883</v>
      </c>
      <c r="G8" s="132">
        <f>IF(SER_hh_emi!G8=0,0,1000000*SER_hh_emi!G8/SER_hh_num!G8)</f>
        <v>14846.438876885022</v>
      </c>
      <c r="H8" s="132">
        <f>IF(SER_hh_emi!H8=0,0,1000000*SER_hh_emi!H8/SER_hh_num!H8)</f>
        <v>14378.996033744057</v>
      </c>
      <c r="I8" s="132">
        <f>IF(SER_hh_emi!I8=0,0,1000000*SER_hh_emi!I8/SER_hh_num!I8)</f>
        <v>13664.388279610872</v>
      </c>
      <c r="J8" s="132">
        <f>IF(SER_hh_emi!J8=0,0,1000000*SER_hh_emi!J8/SER_hh_num!J8)</f>
        <v>13993.917465261091</v>
      </c>
      <c r="K8" s="132">
        <f>IF(SER_hh_emi!K8=0,0,1000000*SER_hh_emi!K8/SER_hh_num!K8)</f>
        <v>14512.707907436517</v>
      </c>
      <c r="L8" s="132">
        <f>IF(SER_hh_emi!L8=0,0,1000000*SER_hh_emi!L8/SER_hh_num!L8)</f>
        <v>14437.806339096402</v>
      </c>
      <c r="M8" s="132">
        <f>IF(SER_hh_emi!M8=0,0,1000000*SER_hh_emi!M8/SER_hh_num!M8)</f>
        <v>12124.250678405046</v>
      </c>
      <c r="N8" s="132">
        <f>IF(SER_hh_emi!N8=0,0,1000000*SER_hh_emi!N8/SER_hh_num!N8)</f>
        <v>11364.095861286349</v>
      </c>
      <c r="O8" s="132">
        <f>IF(SER_hh_emi!O8=0,0,1000000*SER_hh_emi!O8/SER_hh_num!O8)</f>
        <v>9048.15212494773</v>
      </c>
      <c r="P8" s="132">
        <f>IF(SER_hh_emi!P8=0,0,1000000*SER_hh_emi!P8/SER_hh_num!P8)</f>
        <v>9561.202155487852</v>
      </c>
      <c r="Q8" s="132">
        <f>IF(SER_hh_emi!Q8=0,0,1000000*SER_hh_emi!Q8/SER_hh_num!Q8)</f>
        <v>8792.636694404111</v>
      </c>
      <c r="R8" s="132">
        <f>IF(SER_hh_emi!R8=0,0,1000000*SER_hh_emi!R8/SER_hh_num!R8)</f>
        <v>8665.7147216346111</v>
      </c>
      <c r="S8" s="132">
        <f>IF(SER_hh_emi!S8=0,0,1000000*SER_hh_emi!S8/SER_hh_num!S8)</f>
        <v>7594.3719192952967</v>
      </c>
      <c r="T8" s="132">
        <f>IF(SER_hh_emi!T8=0,0,1000000*SER_hh_emi!T8/SER_hh_num!T8)</f>
        <v>6944.2357314902865</v>
      </c>
      <c r="U8" s="132">
        <f>IF(SER_hh_emi!U8=0,0,1000000*SER_hh_emi!U8/SER_hh_num!U8)</f>
        <v>6484.4741131629298</v>
      </c>
      <c r="V8" s="132">
        <f>IF(SER_hh_emi!V8=0,0,1000000*SER_hh_emi!V8/SER_hh_num!V8)</f>
        <v>6203.9938858383211</v>
      </c>
      <c r="W8" s="132">
        <f>IF(SER_hh_emi!W8=0,0,1000000*SER_hh_emi!W8/SER_hh_num!W8)</f>
        <v>6840.2037512749384</v>
      </c>
      <c r="X8" s="132">
        <f>IF(SER_hh_emi!X8=0,0,1000000*SER_hh_emi!X8/SER_hh_num!X8)</f>
        <v>6143.7957109260669</v>
      </c>
      <c r="Y8" s="132">
        <f>IF(SER_hh_emi!Y8=0,0,1000000*SER_hh_emi!Y8/SER_hh_num!Y8)</f>
        <v>6582.9736412849325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24010.971971420116</v>
      </c>
      <c r="C9" s="132">
        <f>IF(SER_hh_emi!C9=0,0,1000000*SER_hh_emi!C9/SER_hh_num!C9)</f>
        <v>29335.903673921428</v>
      </c>
      <c r="D9" s="132">
        <f>IF(SER_hh_emi!D9=0,0,1000000*SER_hh_emi!D9/SER_hh_num!D9)</f>
        <v>32842.710486136202</v>
      </c>
      <c r="E9" s="132">
        <f>IF(SER_hh_emi!E9=0,0,1000000*SER_hh_emi!E9/SER_hh_num!E9)</f>
        <v>33069.952661781012</v>
      </c>
      <c r="F9" s="132">
        <f>IF(SER_hh_emi!F9=0,0,1000000*SER_hh_emi!F9/SER_hh_num!F9)</f>
        <v>33713.094034087029</v>
      </c>
      <c r="G9" s="132">
        <f>IF(SER_hh_emi!G9=0,0,1000000*SER_hh_emi!G9/SER_hh_num!G9)</f>
        <v>33455.727617593409</v>
      </c>
      <c r="H9" s="132">
        <f>IF(SER_hh_emi!H9=0,0,1000000*SER_hh_emi!H9/SER_hh_num!H9)</f>
        <v>30966.22420447164</v>
      </c>
      <c r="I9" s="132">
        <f>IF(SER_hh_emi!I9=0,0,1000000*SER_hh_emi!I9/SER_hh_num!I9)</f>
        <v>30892.323564915401</v>
      </c>
      <c r="J9" s="132">
        <f>IF(SER_hh_emi!J9=0,0,1000000*SER_hh_emi!J9/SER_hh_num!J9)</f>
        <v>31555.446735699366</v>
      </c>
      <c r="K9" s="132">
        <f>IF(SER_hh_emi!K9=0,0,1000000*SER_hh_emi!K9/SER_hh_num!K9)</f>
        <v>31597.23866398001</v>
      </c>
      <c r="L9" s="132">
        <f>IF(SER_hh_emi!L9=0,0,1000000*SER_hh_emi!L9/SER_hh_num!L9)</f>
        <v>36506.805087801207</v>
      </c>
      <c r="M9" s="132">
        <f>IF(SER_hh_emi!M9=0,0,1000000*SER_hh_emi!M9/SER_hh_num!M9)</f>
        <v>31192.163033445959</v>
      </c>
      <c r="N9" s="132">
        <f>IF(SER_hh_emi!N9=0,0,1000000*SER_hh_emi!N9/SER_hh_num!N9)</f>
        <v>30675.109401237347</v>
      </c>
      <c r="O9" s="132">
        <f>IF(SER_hh_emi!O9=0,0,1000000*SER_hh_emi!O9/SER_hh_num!O9)</f>
        <v>28581.139499585213</v>
      </c>
      <c r="P9" s="132">
        <f>IF(SER_hh_emi!P9=0,0,1000000*SER_hh_emi!P9/SER_hh_num!P9)</f>
        <v>23331.599963082699</v>
      </c>
      <c r="Q9" s="132">
        <f>IF(SER_hh_emi!Q9=0,0,1000000*SER_hh_emi!Q9/SER_hh_num!Q9)</f>
        <v>24733.328677485955</v>
      </c>
      <c r="R9" s="132">
        <f>IF(SER_hh_emi!R9=0,0,1000000*SER_hh_emi!R9/SER_hh_num!R9)</f>
        <v>29427.335851198961</v>
      </c>
      <c r="S9" s="132">
        <f>IF(SER_hh_emi!S9=0,0,1000000*SER_hh_emi!S9/SER_hh_num!S9)</f>
        <v>22451.439187918601</v>
      </c>
      <c r="T9" s="132">
        <f>IF(SER_hh_emi!T9=0,0,1000000*SER_hh_emi!T9/SER_hh_num!T9)</f>
        <v>21726.553563538298</v>
      </c>
      <c r="U9" s="132">
        <f>IF(SER_hh_emi!U9=0,0,1000000*SER_hh_emi!U9/SER_hh_num!U9)</f>
        <v>22220.227136692276</v>
      </c>
      <c r="V9" s="132">
        <f>IF(SER_hh_emi!V9=0,0,1000000*SER_hh_emi!V9/SER_hh_num!V9)</f>
        <v>18930.697255479565</v>
      </c>
      <c r="W9" s="132">
        <f>IF(SER_hh_emi!W9=0,0,1000000*SER_hh_emi!W9/SER_hh_num!W9)</f>
        <v>25174.753288976513</v>
      </c>
      <c r="X9" s="132">
        <f>IF(SER_hh_emi!X9=0,0,1000000*SER_hh_emi!X9/SER_hh_num!X9)</f>
        <v>22710.713152978504</v>
      </c>
      <c r="Y9" s="132">
        <f>IF(SER_hh_emi!Y9=0,0,1000000*SER_hh_emi!Y9/SER_hh_num!Y9)</f>
        <v>20139.620487703545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236.67454808488262</v>
      </c>
      <c r="C10" s="132">
        <f>IF(SER_hh_emi!C10=0,0,1000000*SER_hh_emi!C10/SER_hh_num!C10)</f>
        <v>1122.4386209562315</v>
      </c>
      <c r="D10" s="132">
        <f>IF(SER_hh_emi!D10=0,0,1000000*SER_hh_emi!D10/SER_hh_num!D10)</f>
        <v>1437.8727250053357</v>
      </c>
      <c r="E10" s="132">
        <f>IF(SER_hh_emi!E10=0,0,1000000*SER_hh_emi!E10/SER_hh_num!E10)</f>
        <v>1115.3173351623377</v>
      </c>
      <c r="F10" s="132">
        <f>IF(SER_hh_emi!F10=0,0,1000000*SER_hh_emi!F10/SER_hh_num!F10)</f>
        <v>33.200431014451659</v>
      </c>
      <c r="G10" s="132">
        <f>IF(SER_hh_emi!G10=0,0,1000000*SER_hh_emi!G10/SER_hh_num!G10)</f>
        <v>373.31591865344194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572.59022352146303</v>
      </c>
      <c r="K10" s="132">
        <f>IF(SER_hh_emi!K10=0,0,1000000*SER_hh_emi!K10/SER_hh_num!K10)</f>
        <v>1630.8151348476817</v>
      </c>
      <c r="L10" s="132">
        <f>IF(SER_hh_emi!L10=0,0,1000000*SER_hh_emi!L10/SER_hh_num!L10)</f>
        <v>326.14751644040643</v>
      </c>
      <c r="M10" s="132">
        <f>IF(SER_hh_emi!M10=0,0,1000000*SER_hh_emi!M10/SER_hh_num!M10)</f>
        <v>496.12919506614924</v>
      </c>
      <c r="N10" s="132">
        <f>IF(SER_hh_emi!N10=0,0,1000000*SER_hh_emi!N10/SER_hh_num!N10)</f>
        <v>391.1744798603703</v>
      </c>
      <c r="O10" s="132">
        <f>IF(SER_hh_emi!O10=0,0,1000000*SER_hh_emi!O10/SER_hh_num!O10)</f>
        <v>4425.8136381449958</v>
      </c>
      <c r="P10" s="132">
        <f>IF(SER_hh_emi!P10=0,0,1000000*SER_hh_emi!P10/SER_hh_num!P10)</f>
        <v>2233.4700044776564</v>
      </c>
      <c r="Q10" s="132">
        <f>IF(SER_hh_emi!Q10=0,0,1000000*SER_hh_emi!Q10/SER_hh_num!Q10)</f>
        <v>1842.7316035951885</v>
      </c>
      <c r="R10" s="132">
        <f>IF(SER_hh_emi!R10=0,0,1000000*SER_hh_emi!R10/SER_hh_num!R10)</f>
        <v>3020.3697490424265</v>
      </c>
      <c r="S10" s="132">
        <f>IF(SER_hh_emi!S10=0,0,1000000*SER_hh_emi!S10/SER_hh_num!S10)</f>
        <v>2091.0921706670856</v>
      </c>
      <c r="T10" s="132">
        <f>IF(SER_hh_emi!T10=0,0,1000000*SER_hh_emi!T10/SER_hh_num!T10)</f>
        <v>1851.0741042334171</v>
      </c>
      <c r="U10" s="132">
        <f>IF(SER_hh_emi!U10=0,0,1000000*SER_hh_emi!U10/SER_hh_num!U10)</f>
        <v>1658.5176976397254</v>
      </c>
      <c r="V10" s="132">
        <f>IF(SER_hh_emi!V10=0,0,1000000*SER_hh_emi!V10/SER_hh_num!V10)</f>
        <v>4664.0679173952149</v>
      </c>
      <c r="W10" s="132">
        <f>IF(SER_hh_emi!W10=0,0,1000000*SER_hh_emi!W10/SER_hh_num!W10)</f>
        <v>5849.8559631958178</v>
      </c>
      <c r="X10" s="132">
        <f>IF(SER_hh_emi!X10=0,0,1000000*SER_hh_emi!X10/SER_hh_num!X10)</f>
        <v>1953.5328701455167</v>
      </c>
      <c r="Y10" s="132">
        <f>IF(SER_hh_emi!Y10=0,0,1000000*SER_hh_emi!Y10/SER_hh_num!Y10)</f>
        <v>9309.1452900473741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6.0186299395478127</v>
      </c>
      <c r="C16" s="130">
        <f>IF(SER_hh_emi!C16=0,0,1000000*SER_hh_emi!C16/SER_hh_num!C16)</f>
        <v>6.3495781576191321</v>
      </c>
      <c r="D16" s="130">
        <f>IF(SER_hh_emi!D16=0,0,1000000*SER_hh_emi!D16/SER_hh_num!D16)</f>
        <v>6.9892245027420348</v>
      </c>
      <c r="E16" s="130">
        <f>IF(SER_hh_emi!E16=0,0,1000000*SER_hh_emi!E16/SER_hh_num!E16)</f>
        <v>7.2505267733232106</v>
      </c>
      <c r="F16" s="130">
        <f>IF(SER_hh_emi!F16=0,0,1000000*SER_hh_emi!F16/SER_hh_num!F16)</f>
        <v>7.9655312071030036</v>
      </c>
      <c r="G16" s="130">
        <f>IF(SER_hh_emi!G16=0,0,1000000*SER_hh_emi!G16/SER_hh_num!G16)</f>
        <v>8.5823954852374058</v>
      </c>
      <c r="H16" s="130">
        <f>IF(SER_hh_emi!H16=0,0,1000000*SER_hh_emi!H16/SER_hh_num!H16)</f>
        <v>9.1061245755981357</v>
      </c>
      <c r="I16" s="130">
        <f>IF(SER_hh_emi!I16=0,0,1000000*SER_hh_emi!I16/SER_hh_num!I16)</f>
        <v>9.3290104410968908</v>
      </c>
      <c r="J16" s="130">
        <f>IF(SER_hh_emi!J16=0,0,1000000*SER_hh_emi!J16/SER_hh_num!J16)</f>
        <v>9.1596864719861966</v>
      </c>
      <c r="K16" s="130">
        <f>IF(SER_hh_emi!K16=0,0,1000000*SER_hh_emi!K16/SER_hh_num!K16)</f>
        <v>9.3404561156919144</v>
      </c>
      <c r="L16" s="130">
        <f>IF(SER_hh_emi!L16=0,0,1000000*SER_hh_emi!L16/SER_hh_num!L16)</f>
        <v>10.399974091134963</v>
      </c>
      <c r="M16" s="130">
        <f>IF(SER_hh_emi!M16=0,0,1000000*SER_hh_emi!M16/SER_hh_num!M16)</f>
        <v>10.010172961541578</v>
      </c>
      <c r="N16" s="130">
        <f>IF(SER_hh_emi!N16=0,0,1000000*SER_hh_emi!N16/SER_hh_num!N16)</f>
        <v>11.30369700997989</v>
      </c>
      <c r="O16" s="130">
        <f>IF(SER_hh_emi!O16=0,0,1000000*SER_hh_emi!O16/SER_hh_num!O16)</f>
        <v>13.504417891639514</v>
      </c>
      <c r="P16" s="130">
        <f>IF(SER_hh_emi!P16=0,0,1000000*SER_hh_emi!P16/SER_hh_num!P16)</f>
        <v>17.050845311349217</v>
      </c>
      <c r="Q16" s="130">
        <f>IF(SER_hh_emi!Q16=0,0,1000000*SER_hh_emi!Q16/SER_hh_num!Q16)</f>
        <v>22.592006535219433</v>
      </c>
      <c r="R16" s="130">
        <f>IF(SER_hh_emi!R16=0,0,1000000*SER_hh_emi!R16/SER_hh_num!R16)</f>
        <v>28.337310870360362</v>
      </c>
      <c r="S16" s="130">
        <f>IF(SER_hh_emi!S16=0,0,1000000*SER_hh_emi!S16/SER_hh_num!S16)</f>
        <v>33.056620289318836</v>
      </c>
      <c r="T16" s="130">
        <f>IF(SER_hh_emi!T16=0,0,1000000*SER_hh_emi!T16/SER_hh_num!T16)</f>
        <v>36.559037168610175</v>
      </c>
      <c r="U16" s="130">
        <f>IF(SER_hh_emi!U16=0,0,1000000*SER_hh_emi!U16/SER_hh_num!U16)</f>
        <v>41.059536657540605</v>
      </c>
      <c r="V16" s="130">
        <f>IF(SER_hh_emi!V16=0,0,1000000*SER_hh_emi!V16/SER_hh_num!V16)</f>
        <v>34.560197181139053</v>
      </c>
      <c r="W16" s="130">
        <f>IF(SER_hh_emi!W16=0,0,1000000*SER_hh_emi!W16/SER_hh_num!W16)</f>
        <v>36.607460944880224</v>
      </c>
      <c r="X16" s="130">
        <f>IF(SER_hh_emi!X16=0,0,1000000*SER_hh_emi!X16/SER_hh_num!X16)</f>
        <v>40.921932839854321</v>
      </c>
      <c r="Y16" s="130">
        <f>IF(SER_hh_emi!Y16=0,0,1000000*SER_hh_emi!Y16/SER_hh_num!Y16)</f>
        <v>39.27667504739982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4572.5038701294343</v>
      </c>
      <c r="C17" s="132">
        <f>IF(SER_hh_emi!C17=0,0,1000000*SER_hh_emi!C17/SER_hh_num!C17)</f>
        <v>4533.3128417137923</v>
      </c>
      <c r="D17" s="132">
        <f>IF(SER_hh_emi!D17=0,0,1000000*SER_hh_emi!D17/SER_hh_num!D17)</f>
        <v>4557.4223631320974</v>
      </c>
      <c r="E17" s="132">
        <f>IF(SER_hh_emi!E17=0,0,1000000*SER_hh_emi!E17/SER_hh_num!E17)</f>
        <v>4402.6623920104648</v>
      </c>
      <c r="F17" s="132">
        <f>IF(SER_hh_emi!F17=0,0,1000000*SER_hh_emi!F17/SER_hh_num!F17)</f>
        <v>4263.4516308423381</v>
      </c>
      <c r="G17" s="132">
        <f>IF(SER_hh_emi!G17=0,0,1000000*SER_hh_emi!G17/SER_hh_num!G17)</f>
        <v>4205.269882161725</v>
      </c>
      <c r="H17" s="132">
        <f>IF(SER_hh_emi!H17=0,0,1000000*SER_hh_emi!H17/SER_hh_num!H17)</f>
        <v>4369.1460598158365</v>
      </c>
      <c r="I17" s="132">
        <f>IF(SER_hh_emi!I17=0,0,1000000*SER_hh_emi!I17/SER_hh_num!I17)</f>
        <v>4139.1156507709575</v>
      </c>
      <c r="J17" s="132">
        <f>IF(SER_hh_emi!J17=0,0,1000000*SER_hh_emi!J17/SER_hh_num!J17)</f>
        <v>3998.2784138417323</v>
      </c>
      <c r="K17" s="132">
        <f>IF(SER_hh_emi!K17=0,0,1000000*SER_hh_emi!K17/SER_hh_num!K17)</f>
        <v>3985.9657956569981</v>
      </c>
      <c r="L17" s="132">
        <f>IF(SER_hh_emi!L17=0,0,1000000*SER_hh_emi!L17/SER_hh_num!L17)</f>
        <v>4482.5168099298662</v>
      </c>
      <c r="M17" s="132">
        <f>IF(SER_hh_emi!M17=0,0,1000000*SER_hh_emi!M17/SER_hh_num!M17)</f>
        <v>3898.79561074611</v>
      </c>
      <c r="N17" s="132">
        <f>IF(SER_hh_emi!N17=0,0,1000000*SER_hh_emi!N17/SER_hh_num!N17)</f>
        <v>4018.8677751849618</v>
      </c>
      <c r="O17" s="132">
        <f>IF(SER_hh_emi!O17=0,0,1000000*SER_hh_emi!O17/SER_hh_num!O17)</f>
        <v>3938.9743275665323</v>
      </c>
      <c r="P17" s="132">
        <f>IF(SER_hh_emi!P17=0,0,1000000*SER_hh_emi!P17/SER_hh_num!P17)</f>
        <v>3778.6585281720654</v>
      </c>
      <c r="Q17" s="132">
        <f>IF(SER_hh_emi!Q17=0,0,1000000*SER_hh_emi!Q17/SER_hh_num!Q17)</f>
        <v>4256.5462189645968</v>
      </c>
      <c r="R17" s="132">
        <f>IF(SER_hh_emi!R17=0,0,1000000*SER_hh_emi!R17/SER_hh_num!R17)</f>
        <v>3608.8380936273629</v>
      </c>
      <c r="S17" s="132">
        <f>IF(SER_hh_emi!S17=0,0,1000000*SER_hh_emi!S17/SER_hh_num!S17)</f>
        <v>3561.7853569294766</v>
      </c>
      <c r="T17" s="132">
        <f>IF(SER_hh_emi!T17=0,0,1000000*SER_hh_emi!T17/SER_hh_num!T17)</f>
        <v>3610.840490287469</v>
      </c>
      <c r="U17" s="132">
        <f>IF(SER_hh_emi!U17=0,0,1000000*SER_hh_emi!U17/SER_hh_num!U17)</f>
        <v>3861.1073836622677</v>
      </c>
      <c r="V17" s="132">
        <f>IF(SER_hh_emi!V17=0,0,1000000*SER_hh_emi!V17/SER_hh_num!V17)</f>
        <v>3135.9314140481047</v>
      </c>
      <c r="W17" s="132">
        <f>IF(SER_hh_emi!W17=0,0,1000000*SER_hh_emi!W17/SER_hh_num!W17)</f>
        <v>3305.5107808389439</v>
      </c>
      <c r="X17" s="132">
        <f>IF(SER_hh_emi!X17=0,0,1000000*SER_hh_emi!X17/SER_hh_num!X17)</f>
        <v>3679.4004620527576</v>
      </c>
      <c r="Y17" s="132">
        <f>IF(SER_hh_emi!Y17=0,0,1000000*SER_hh_emi!Y17/SER_hh_num!Y17)</f>
        <v>3429.8694716948462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1039.4850665278989</v>
      </c>
      <c r="C19" s="130">
        <f>IF(SER_hh_emi!C19=0,0,1000000*SER_hh_emi!C19/SER_hh_num!C19)</f>
        <v>1367.101394146466</v>
      </c>
      <c r="D19" s="130">
        <f>IF(SER_hh_emi!D19=0,0,1000000*SER_hh_emi!D19/SER_hh_num!D19)</f>
        <v>1595.5839181430065</v>
      </c>
      <c r="E19" s="130">
        <f>IF(SER_hh_emi!E19=0,0,1000000*SER_hh_emi!E19/SER_hh_num!E19)</f>
        <v>2056.3181761178471</v>
      </c>
      <c r="F19" s="130">
        <f>IF(SER_hh_emi!F19=0,0,1000000*SER_hh_emi!F19/SER_hh_num!F19)</f>
        <v>1949.8108474055459</v>
      </c>
      <c r="G19" s="130">
        <f>IF(SER_hh_emi!G19=0,0,1000000*SER_hh_emi!G19/SER_hh_num!G19)</f>
        <v>1839.540060089025</v>
      </c>
      <c r="H19" s="130">
        <f>IF(SER_hh_emi!H19=0,0,1000000*SER_hh_emi!H19/SER_hh_num!H19)</f>
        <v>1868.1733498120163</v>
      </c>
      <c r="I19" s="130">
        <f>IF(SER_hh_emi!I19=0,0,1000000*SER_hh_emi!I19/SER_hh_num!I19)</f>
        <v>1881.2598438299401</v>
      </c>
      <c r="J19" s="130">
        <f>IF(SER_hh_emi!J19=0,0,1000000*SER_hh_emi!J19/SER_hh_num!J19)</f>
        <v>1881.374997971026</v>
      </c>
      <c r="K19" s="130">
        <f>IF(SER_hh_emi!K19=0,0,1000000*SER_hh_emi!K19/SER_hh_num!K19)</f>
        <v>1827.1443153340572</v>
      </c>
      <c r="L19" s="130">
        <f>IF(SER_hh_emi!L19=0,0,1000000*SER_hh_emi!L19/SER_hh_num!L19)</f>
        <v>1944.621647679503</v>
      </c>
      <c r="M19" s="130">
        <f>IF(SER_hh_emi!M19=0,0,1000000*SER_hh_emi!M19/SER_hh_num!M19)</f>
        <v>1898.0133083635255</v>
      </c>
      <c r="N19" s="130">
        <f>IF(SER_hh_emi!N19=0,0,1000000*SER_hh_emi!N19/SER_hh_num!N19)</f>
        <v>1974.6179911722472</v>
      </c>
      <c r="O19" s="130">
        <f>IF(SER_hh_emi!O19=0,0,1000000*SER_hh_emi!O19/SER_hh_num!O19)</f>
        <v>1810.6550088357194</v>
      </c>
      <c r="P19" s="130">
        <f>IF(SER_hh_emi!P19=0,0,1000000*SER_hh_emi!P19/SER_hh_num!P19)</f>
        <v>1816.8675860243552</v>
      </c>
      <c r="Q19" s="130">
        <f>IF(SER_hh_emi!Q19=0,0,1000000*SER_hh_emi!Q19/SER_hh_num!Q19)</f>
        <v>1785.0117320462859</v>
      </c>
      <c r="R19" s="130">
        <f>IF(SER_hh_emi!R19=0,0,1000000*SER_hh_emi!R19/SER_hh_num!R19)</f>
        <v>1800.3723266448606</v>
      </c>
      <c r="S19" s="130">
        <f>IF(SER_hh_emi!S19=0,0,1000000*SER_hh_emi!S19/SER_hh_num!S19)</f>
        <v>1528.2737057150296</v>
      </c>
      <c r="T19" s="130">
        <f>IF(SER_hh_emi!T19=0,0,1000000*SER_hh_emi!T19/SER_hh_num!T19)</f>
        <v>1301.3331990642328</v>
      </c>
      <c r="U19" s="130">
        <f>IF(SER_hh_emi!U19=0,0,1000000*SER_hh_emi!U19/SER_hh_num!U19)</f>
        <v>1132.3325412233719</v>
      </c>
      <c r="V19" s="130">
        <f>IF(SER_hh_emi!V19=0,0,1000000*SER_hh_emi!V19/SER_hh_num!V19)</f>
        <v>977.75107851454777</v>
      </c>
      <c r="W19" s="130">
        <f>IF(SER_hh_emi!W19=0,0,1000000*SER_hh_emi!W19/SER_hh_num!W19)</f>
        <v>1172.1509453777353</v>
      </c>
      <c r="X19" s="130">
        <f>IF(SER_hh_emi!X19=0,0,1000000*SER_hh_emi!X19/SER_hh_num!X19)</f>
        <v>932.65832563554648</v>
      </c>
      <c r="Y19" s="130">
        <f>IF(SER_hh_emi!Y19=0,0,1000000*SER_hh_emi!Y19/SER_hh_num!Y19)</f>
        <v>830.41855610630898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3960.7159061087623</v>
      </c>
      <c r="C20" s="132">
        <f>IF(SER_hh_emi!C20=0,0,1000000*SER_hh_emi!C20/SER_hh_num!C20)</f>
        <v>5972.7356710975919</v>
      </c>
      <c r="D20" s="132">
        <f>IF(SER_hh_emi!D20=0,0,1000000*SER_hh_emi!D20/SER_hh_num!D20)</f>
        <v>7114.4550157382882</v>
      </c>
      <c r="E20" s="132">
        <f>IF(SER_hh_emi!E20=0,0,1000000*SER_hh_emi!E20/SER_hh_num!E20)</f>
        <v>7082.7448081357088</v>
      </c>
      <c r="F20" s="132">
        <f>IF(SER_hh_emi!F20=0,0,1000000*SER_hh_emi!F20/SER_hh_num!F20)</f>
        <v>7361.1053000237825</v>
      </c>
      <c r="G20" s="132">
        <f>IF(SER_hh_emi!G20=0,0,1000000*SER_hh_emi!G20/SER_hh_num!G20)</f>
        <v>7353.7417364505081</v>
      </c>
      <c r="H20" s="132">
        <f>IF(SER_hh_emi!H20=0,0,1000000*SER_hh_emi!H20/SER_hh_num!H20)</f>
        <v>6822.509818828592</v>
      </c>
      <c r="I20" s="132">
        <f>IF(SER_hh_emi!I20=0,0,1000000*SER_hh_emi!I20/SER_hh_num!I20)</f>
        <v>8108.6319670512485</v>
      </c>
      <c r="J20" s="132">
        <f>IF(SER_hh_emi!J20=0,0,1000000*SER_hh_emi!J20/SER_hh_num!J20)</f>
        <v>8031.5686671587937</v>
      </c>
      <c r="K20" s="132">
        <f>IF(SER_hh_emi!K20=0,0,1000000*SER_hh_emi!K20/SER_hh_num!K20)</f>
        <v>7896.6869583990865</v>
      </c>
      <c r="L20" s="132">
        <f>IF(SER_hh_emi!L20=0,0,1000000*SER_hh_emi!L20/SER_hh_num!L20)</f>
        <v>8096.2528569733731</v>
      </c>
      <c r="M20" s="132">
        <f>IF(SER_hh_emi!M20=0,0,1000000*SER_hh_emi!M20/SER_hh_num!M20)</f>
        <v>7923.8188083947898</v>
      </c>
      <c r="N20" s="132">
        <f>IF(SER_hh_emi!N20=0,0,1000000*SER_hh_emi!N20/SER_hh_num!N20)</f>
        <v>7857.6272914958572</v>
      </c>
      <c r="O20" s="132">
        <f>IF(SER_hh_emi!O20=0,0,1000000*SER_hh_emi!O20/SER_hh_num!O20)</f>
        <v>7988.8267827773043</v>
      </c>
      <c r="P20" s="132">
        <f>IF(SER_hh_emi!P20=0,0,1000000*SER_hh_emi!P20/SER_hh_num!P20)</f>
        <v>7912.5446329658052</v>
      </c>
      <c r="Q20" s="132">
        <f>IF(SER_hh_emi!Q20=0,0,1000000*SER_hh_emi!Q20/SER_hh_num!Q20)</f>
        <v>7954.8416110623048</v>
      </c>
      <c r="R20" s="132">
        <f>IF(SER_hh_emi!R20=0,0,1000000*SER_hh_emi!R20/SER_hh_num!R20)</f>
        <v>8981.0568113188001</v>
      </c>
      <c r="S20" s="132">
        <f>IF(SER_hh_emi!S20=0,0,1000000*SER_hh_emi!S20/SER_hh_num!S20)</f>
        <v>8317.2432333394027</v>
      </c>
      <c r="T20" s="132">
        <f>IF(SER_hh_emi!T20=0,0,1000000*SER_hh_emi!T20/SER_hh_num!T20)</f>
        <v>6951.5520915995576</v>
      </c>
      <c r="U20" s="132">
        <f>IF(SER_hh_emi!U20=0,0,1000000*SER_hh_emi!U20/SER_hh_num!U20)</f>
        <v>5876.6816110748205</v>
      </c>
      <c r="V20" s="132">
        <f>IF(SER_hh_emi!V20=0,0,1000000*SER_hh_emi!V20/SER_hh_num!V20)</f>
        <v>7285.362205255411</v>
      </c>
      <c r="W20" s="132">
        <f>IF(SER_hh_emi!W20=0,0,1000000*SER_hh_emi!W20/SER_hh_num!W20)</f>
        <v>12008.050284686889</v>
      </c>
      <c r="X20" s="132">
        <f>IF(SER_hh_emi!X20=0,0,1000000*SER_hh_emi!X20/SER_hh_num!X20)</f>
        <v>7262.1351879881977</v>
      </c>
      <c r="Y20" s="132">
        <f>IF(SER_hh_emi!Y20=0,0,1000000*SER_hh_emi!Y20/SER_hh_num!Y20)</f>
        <v>6705.4330944066869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3208.2433523423601</v>
      </c>
      <c r="C21" s="132">
        <f>IF(SER_hh_emi!C21=0,0,1000000*SER_hh_emi!C21/SER_hh_num!C21)</f>
        <v>3954.0152680474985</v>
      </c>
      <c r="D21" s="132">
        <f>IF(SER_hh_emi!D21=0,0,1000000*SER_hh_emi!D21/SER_hh_num!D21)</f>
        <v>3798.4027666049383</v>
      </c>
      <c r="E21" s="132">
        <f>IF(SER_hh_emi!E21=0,0,1000000*SER_hh_emi!E21/SER_hh_num!E21)</f>
        <v>5752.2678849772692</v>
      </c>
      <c r="F21" s="132">
        <f>IF(SER_hh_emi!F21=0,0,1000000*SER_hh_emi!F21/SER_hh_num!F21)</f>
        <v>5068.2039989724226</v>
      </c>
      <c r="G21" s="132">
        <f>IF(SER_hh_emi!G21=0,0,1000000*SER_hh_emi!G21/SER_hh_num!G21)</f>
        <v>4695.4585746211005</v>
      </c>
      <c r="H21" s="132">
        <f>IF(SER_hh_emi!H21=0,0,1000000*SER_hh_emi!H21/SER_hh_num!H21)</f>
        <v>5700.9433359481427</v>
      </c>
      <c r="I21" s="132">
        <f>IF(SER_hh_emi!I21=0,0,1000000*SER_hh_emi!I21/SER_hh_num!I21)</f>
        <v>5617.5931587008818</v>
      </c>
      <c r="J21" s="132">
        <f>IF(SER_hh_emi!J21=0,0,1000000*SER_hh_emi!J21/SER_hh_num!J21)</f>
        <v>5770.9010507098983</v>
      </c>
      <c r="K21" s="132">
        <f>IF(SER_hh_emi!K21=0,0,1000000*SER_hh_emi!K21/SER_hh_num!K21)</f>
        <v>5681.0713458279315</v>
      </c>
      <c r="L21" s="132">
        <f>IF(SER_hh_emi!L21=0,0,1000000*SER_hh_emi!L21/SER_hh_num!L21)</f>
        <v>5594.303534155425</v>
      </c>
      <c r="M21" s="132">
        <f>IF(SER_hh_emi!M21=0,0,1000000*SER_hh_emi!M21/SER_hh_num!M21)</f>
        <v>5548.4445834467806</v>
      </c>
      <c r="N21" s="132">
        <f>IF(SER_hh_emi!N21=0,0,1000000*SER_hh_emi!N21/SER_hh_num!N21)</f>
        <v>7352.8351967453173</v>
      </c>
      <c r="O21" s="132">
        <f>IF(SER_hh_emi!O21=0,0,1000000*SER_hh_emi!O21/SER_hh_num!O21)</f>
        <v>4917.0541658983275</v>
      </c>
      <c r="P21" s="132">
        <f>IF(SER_hh_emi!P21=0,0,1000000*SER_hh_emi!P21/SER_hh_num!P21)</f>
        <v>5870.9832414391103</v>
      </c>
      <c r="Q21" s="132">
        <f>IF(SER_hh_emi!Q21=0,0,1000000*SER_hh_emi!Q21/SER_hh_num!Q21)</f>
        <v>5689.5483091235401</v>
      </c>
      <c r="R21" s="132">
        <f>IF(SER_hh_emi!R21=0,0,1000000*SER_hh_emi!R21/SER_hh_num!R21)</f>
        <v>5852.9654570722723</v>
      </c>
      <c r="S21" s="132">
        <f>IF(SER_hh_emi!S21=0,0,1000000*SER_hh_emi!S21/SER_hh_num!S21)</f>
        <v>5721.3125673988498</v>
      </c>
      <c r="T21" s="132">
        <f>IF(SER_hh_emi!T21=0,0,1000000*SER_hh_emi!T21/SER_hh_num!T21)</f>
        <v>5238.9322554538012</v>
      </c>
      <c r="U21" s="132">
        <f>IF(SER_hh_emi!U21=0,0,1000000*SER_hh_emi!U21/SER_hh_num!U21)</f>
        <v>5939.9131316550056</v>
      </c>
      <c r="V21" s="132">
        <f>IF(SER_hh_emi!V21=0,0,1000000*SER_hh_emi!V21/SER_hh_num!V21)</f>
        <v>4575.1599023980571</v>
      </c>
      <c r="W21" s="132">
        <f>IF(SER_hh_emi!W21=0,0,1000000*SER_hh_emi!W21/SER_hh_num!W21)</f>
        <v>5023.5059353909901</v>
      </c>
      <c r="X21" s="132">
        <f>IF(SER_hh_emi!X21=0,0,1000000*SER_hh_emi!X21/SER_hh_num!X21)</f>
        <v>4971.5919033264317</v>
      </c>
      <c r="Y21" s="132">
        <f>IF(SER_hh_emi!Y21=0,0,1000000*SER_hh_emi!Y21/SER_hh_num!Y21)</f>
        <v>5015.4919575163867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4274.8933153174503</v>
      </c>
      <c r="C22" s="132">
        <f>IF(SER_hh_emi!C22=0,0,1000000*SER_hh_emi!C22/SER_hh_num!C22)</f>
        <v>4469.2898672118645</v>
      </c>
      <c r="D22" s="132">
        <f>IF(SER_hh_emi!D22=0,0,1000000*SER_hh_emi!D22/SER_hh_num!D22)</f>
        <v>5458.5839415817291</v>
      </c>
      <c r="E22" s="132">
        <f>IF(SER_hh_emi!E22=0,0,1000000*SER_hh_emi!E22/SER_hh_num!E22)</f>
        <v>5889.9843058132437</v>
      </c>
      <c r="F22" s="132">
        <f>IF(SER_hh_emi!F22=0,0,1000000*SER_hh_emi!F22/SER_hh_num!F22)</f>
        <v>6281.4544040825958</v>
      </c>
      <c r="G22" s="132">
        <f>IF(SER_hh_emi!G22=0,0,1000000*SER_hh_emi!G22/SER_hh_num!G22)</f>
        <v>6163.9240928418621</v>
      </c>
      <c r="H22" s="132">
        <f>IF(SER_hh_emi!H22=0,0,1000000*SER_hh_emi!H22/SER_hh_num!H22)</f>
        <v>6594.1657507013424</v>
      </c>
      <c r="I22" s="132">
        <f>IF(SER_hh_emi!I22=0,0,1000000*SER_hh_emi!I22/SER_hh_num!I22)</f>
        <v>7020.8220961353263</v>
      </c>
      <c r="J22" s="132">
        <f>IF(SER_hh_emi!J22=0,0,1000000*SER_hh_emi!J22/SER_hh_num!J22)</f>
        <v>7199.9858554483153</v>
      </c>
      <c r="K22" s="132">
        <f>IF(SER_hh_emi!K22=0,0,1000000*SER_hh_emi!K22/SER_hh_num!K22)</f>
        <v>7109.5221314839746</v>
      </c>
      <c r="L22" s="132">
        <f>IF(SER_hh_emi!L22=0,0,1000000*SER_hh_emi!L22/SER_hh_num!L22)</f>
        <v>7333.5049477685834</v>
      </c>
      <c r="M22" s="132">
        <f>IF(SER_hh_emi!M22=0,0,1000000*SER_hh_emi!M22/SER_hh_num!M22)</f>
        <v>7186.3432789104318</v>
      </c>
      <c r="N22" s="132">
        <f>IF(SER_hh_emi!N22=0,0,1000000*SER_hh_emi!N22/SER_hh_num!N22)</f>
        <v>7165.4207620348325</v>
      </c>
      <c r="O22" s="132">
        <f>IF(SER_hh_emi!O22=0,0,1000000*SER_hh_emi!O22/SER_hh_num!O22)</f>
        <v>7241.8249434876616</v>
      </c>
      <c r="P22" s="132">
        <f>IF(SER_hh_emi!P22=0,0,1000000*SER_hh_emi!P22/SER_hh_num!P22)</f>
        <v>7209.8536368808936</v>
      </c>
      <c r="Q22" s="132">
        <f>IF(SER_hh_emi!Q22=0,0,1000000*SER_hh_emi!Q22/SER_hh_num!Q22)</f>
        <v>7306.2376734511436</v>
      </c>
      <c r="R22" s="132">
        <f>IF(SER_hh_emi!R22=0,0,1000000*SER_hh_emi!R22/SER_hh_num!R22)</f>
        <v>7075.735367497713</v>
      </c>
      <c r="S22" s="132">
        <f>IF(SER_hh_emi!S22=0,0,1000000*SER_hh_emi!S22/SER_hh_num!S22)</f>
        <v>7352.426105279761</v>
      </c>
      <c r="T22" s="132">
        <f>IF(SER_hh_emi!T22=0,0,1000000*SER_hh_emi!T22/SER_hh_num!T22)</f>
        <v>6988.607911387403</v>
      </c>
      <c r="U22" s="132">
        <f>IF(SER_hh_emi!U22=0,0,1000000*SER_hh_emi!U22/SER_hh_num!U22)</f>
        <v>5856.5139631524607</v>
      </c>
      <c r="V22" s="132">
        <f>IF(SER_hh_emi!V22=0,0,1000000*SER_hh_emi!V22/SER_hh_num!V22)</f>
        <v>5724.0007800050926</v>
      </c>
      <c r="W22" s="132">
        <f>IF(SER_hh_emi!W22=0,0,1000000*SER_hh_emi!W22/SER_hh_num!W22)</f>
        <v>6354.8393951595399</v>
      </c>
      <c r="X22" s="132">
        <f>IF(SER_hh_emi!X22=0,0,1000000*SER_hh_emi!X22/SER_hh_num!X22)</f>
        <v>6396.8578664438564</v>
      </c>
      <c r="Y22" s="132">
        <f>IF(SER_hh_emi!Y22=0,0,1000000*SER_hh_emi!Y22/SER_hh_num!Y22)</f>
        <v>5595.596357610485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2818.0065700305349</v>
      </c>
      <c r="C23" s="132">
        <f>IF(SER_hh_emi!C23=0,0,1000000*SER_hh_emi!C23/SER_hh_num!C23)</f>
        <v>3347.559874666314</v>
      </c>
      <c r="D23" s="132">
        <f>IF(SER_hh_emi!D23=0,0,1000000*SER_hh_emi!D23/SER_hh_num!D23)</f>
        <v>3707.9431634751909</v>
      </c>
      <c r="E23" s="132">
        <f>IF(SER_hh_emi!E23=0,0,1000000*SER_hh_emi!E23/SER_hh_num!E23)</f>
        <v>4395.5144939444945</v>
      </c>
      <c r="F23" s="132">
        <f>IF(SER_hh_emi!F23=0,0,1000000*SER_hh_emi!F23/SER_hh_num!F23)</f>
        <v>4333.5457081714294</v>
      </c>
      <c r="G23" s="132">
        <f>IF(SER_hh_emi!G23=0,0,1000000*SER_hh_emi!G23/SER_hh_num!G23)</f>
        <v>4378.5696169818457</v>
      </c>
      <c r="H23" s="132">
        <f>IF(SER_hh_emi!H23=0,0,1000000*SER_hh_emi!H23/SER_hh_num!H23)</f>
        <v>4488.357907839074</v>
      </c>
      <c r="I23" s="132">
        <f>IF(SER_hh_emi!I23=0,0,1000000*SER_hh_emi!I23/SER_hh_num!I23)</f>
        <v>4691.6551898296411</v>
      </c>
      <c r="J23" s="132">
        <f>IF(SER_hh_emi!J23=0,0,1000000*SER_hh_emi!J23/SER_hh_num!J23)</f>
        <v>4860.776927446982</v>
      </c>
      <c r="K23" s="132">
        <f>IF(SER_hh_emi!K23=0,0,1000000*SER_hh_emi!K23/SER_hh_num!K23)</f>
        <v>4735.7304560829934</v>
      </c>
      <c r="L23" s="132">
        <f>IF(SER_hh_emi!L23=0,0,1000000*SER_hh_emi!L23/SER_hh_num!L23)</f>
        <v>4962.1462670730643</v>
      </c>
      <c r="M23" s="132">
        <f>IF(SER_hh_emi!M23=0,0,1000000*SER_hh_emi!M23/SER_hh_num!M23)</f>
        <v>4853.5170619639975</v>
      </c>
      <c r="N23" s="132">
        <f>IF(SER_hh_emi!N23=0,0,1000000*SER_hh_emi!N23/SER_hh_num!N23)</f>
        <v>4762.8134228913923</v>
      </c>
      <c r="O23" s="132">
        <f>IF(SER_hh_emi!O23=0,0,1000000*SER_hh_emi!O23/SER_hh_num!O23)</f>
        <v>4817.6993429470886</v>
      </c>
      <c r="P23" s="132">
        <f>IF(SER_hh_emi!P23=0,0,1000000*SER_hh_emi!P23/SER_hh_num!P23)</f>
        <v>4830.2765700112068</v>
      </c>
      <c r="Q23" s="132">
        <f>IF(SER_hh_emi!Q23=0,0,1000000*SER_hh_emi!Q23/SER_hh_num!Q23)</f>
        <v>4968.1103644987916</v>
      </c>
      <c r="R23" s="132">
        <f>IF(SER_hh_emi!R23=0,0,1000000*SER_hh_emi!R23/SER_hh_num!R23)</f>
        <v>5188.7021656902434</v>
      </c>
      <c r="S23" s="132">
        <f>IF(SER_hh_emi!S23=0,0,1000000*SER_hh_emi!S23/SER_hh_num!S23)</f>
        <v>4515.0348591171714</v>
      </c>
      <c r="T23" s="132">
        <f>IF(SER_hh_emi!T23=0,0,1000000*SER_hh_emi!T23/SER_hh_num!T23)</f>
        <v>4583.1424416361524</v>
      </c>
      <c r="U23" s="132">
        <f>IF(SER_hh_emi!U23=0,0,1000000*SER_hh_emi!U23/SER_hh_num!U23)</f>
        <v>4238.803156668655</v>
      </c>
      <c r="V23" s="132">
        <f>IF(SER_hh_emi!V23=0,0,1000000*SER_hh_emi!V23/SER_hh_num!V23)</f>
        <v>3624.2304426992446</v>
      </c>
      <c r="W23" s="132">
        <f>IF(SER_hh_emi!W23=0,0,1000000*SER_hh_emi!W23/SER_hh_num!W23)</f>
        <v>4763.5243285800188</v>
      </c>
      <c r="X23" s="132">
        <f>IF(SER_hh_emi!X23=0,0,1000000*SER_hh_emi!X23/SER_hh_num!X23)</f>
        <v>4317.8176196112181</v>
      </c>
      <c r="Y23" s="132">
        <f>IF(SER_hh_emi!Y23=0,0,1000000*SER_hh_emi!Y23/SER_hh_num!Y23)</f>
        <v>3966.9826349463424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26.416929486761493</v>
      </c>
      <c r="C24" s="132">
        <f>IF(SER_hh_emi!C24=0,0,1000000*SER_hh_emi!C24/SER_hh_num!C24)</f>
        <v>153.08838487893206</v>
      </c>
      <c r="D24" s="132">
        <f>IF(SER_hh_emi!D24=0,0,1000000*SER_hh_emi!D24/SER_hh_num!D24)</f>
        <v>208.72083404893817</v>
      </c>
      <c r="E24" s="132">
        <f>IF(SER_hh_emi!E24=0,0,1000000*SER_hh_emi!E24/SER_hh_num!E24)</f>
        <v>152.5525775941357</v>
      </c>
      <c r="F24" s="132">
        <f>IF(SER_hh_emi!F24=0,0,1000000*SER_hh_emi!F24/SER_hh_num!F24)</f>
        <v>4.224785071467398</v>
      </c>
      <c r="G24" s="132">
        <f>IF(SER_hh_emi!G24=0,0,1000000*SER_hh_emi!G24/SER_hh_num!G24)</f>
        <v>43.169790840455214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95.889662734384984</v>
      </c>
      <c r="K24" s="132">
        <f>IF(SER_hh_emi!K24=0,0,1000000*SER_hh_emi!K24/SER_hh_num!K24)</f>
        <v>214.29263713923763</v>
      </c>
      <c r="L24" s="132">
        <f>IF(SER_hh_emi!L24=0,0,1000000*SER_hh_emi!L24/SER_hh_num!L24)</f>
        <v>39.519451058193624</v>
      </c>
      <c r="M24" s="132">
        <f>IF(SER_hh_emi!M24=0,0,1000000*SER_hh_emi!M24/SER_hh_num!M24)</f>
        <v>65.991522347560988</v>
      </c>
      <c r="N24" s="132">
        <f>IF(SER_hh_emi!N24=0,0,1000000*SER_hh_emi!N24/SER_hh_num!N24)</f>
        <v>61.357638485069288</v>
      </c>
      <c r="O24" s="132">
        <f>IF(SER_hh_emi!O24=0,0,1000000*SER_hh_emi!O24/SER_hh_num!O24)</f>
        <v>638.43984783297344</v>
      </c>
      <c r="P24" s="132">
        <f>IF(SER_hh_emi!P24=0,0,1000000*SER_hh_emi!P24/SER_hh_num!P24)</f>
        <v>376.90294242642165</v>
      </c>
      <c r="Q24" s="132">
        <f>IF(SER_hh_emi!Q24=0,0,1000000*SER_hh_emi!Q24/SER_hh_num!Q24)</f>
        <v>312.66277346505296</v>
      </c>
      <c r="R24" s="132">
        <f>IF(SER_hh_emi!R24=0,0,1000000*SER_hh_emi!R24/SER_hh_num!R24)</f>
        <v>495.18469462631236</v>
      </c>
      <c r="S24" s="132">
        <f>IF(SER_hh_emi!S24=0,0,1000000*SER_hh_emi!S24/SER_hh_num!S24)</f>
        <v>348.36359662208565</v>
      </c>
      <c r="T24" s="132">
        <f>IF(SER_hh_emi!T24=0,0,1000000*SER_hh_emi!T24/SER_hh_num!T24)</f>
        <v>284.08681258576024</v>
      </c>
      <c r="U24" s="132">
        <f>IF(SER_hh_emi!U24=0,0,1000000*SER_hh_emi!U24/SER_hh_num!U24)</f>
        <v>252.59390732891973</v>
      </c>
      <c r="V24" s="132">
        <f>IF(SER_hh_emi!V24=0,0,1000000*SER_hh_emi!V24/SER_hh_num!V24)</f>
        <v>728.69380419920014</v>
      </c>
      <c r="W24" s="132">
        <f>IF(SER_hh_emi!W24=0,0,1000000*SER_hh_emi!W24/SER_hh_num!W24)</f>
        <v>909.37704858330267</v>
      </c>
      <c r="X24" s="132">
        <f>IF(SER_hh_emi!X24=0,0,1000000*SER_hh_emi!X24/SER_hh_num!X24)</f>
        <v>294.85707379095345</v>
      </c>
      <c r="Y24" s="132">
        <f>IF(SER_hh_emi!Y24=0,0,1000000*SER_hh_emi!Y24/SER_hh_num!Y24)</f>
        <v>1312.6016667881513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662.77832884174836</v>
      </c>
      <c r="C29" s="130">
        <f>IF(SER_hh_emi!C29=0,0,1000000*SER_hh_emi!C29/SER_hh_num!C29)</f>
        <v>889.53095926102128</v>
      </c>
      <c r="D29" s="130">
        <f>IF(SER_hh_emi!D29=0,0,1000000*SER_hh_emi!D29/SER_hh_num!D29)</f>
        <v>1041.4072759245291</v>
      </c>
      <c r="E29" s="130">
        <f>IF(SER_hh_emi!E29=0,0,1000000*SER_hh_emi!E29/SER_hh_num!E29)</f>
        <v>1283.1575552882002</v>
      </c>
      <c r="F29" s="130">
        <f>IF(SER_hh_emi!F29=0,0,1000000*SER_hh_emi!F29/SER_hh_num!F29)</f>
        <v>1286.8936995475169</v>
      </c>
      <c r="G29" s="130">
        <f>IF(SER_hh_emi!G29=0,0,1000000*SER_hh_emi!G29/SER_hh_num!G29)</f>
        <v>1371.9944752571255</v>
      </c>
      <c r="H29" s="130">
        <f>IF(SER_hh_emi!H29=0,0,1000000*SER_hh_emi!H29/SER_hh_num!H29)</f>
        <v>1443.7010863773817</v>
      </c>
      <c r="I29" s="130">
        <f>IF(SER_hh_emi!I29=0,0,1000000*SER_hh_emi!I29/SER_hh_num!I29)</f>
        <v>1444.2909265658454</v>
      </c>
      <c r="J29" s="130">
        <f>IF(SER_hh_emi!J29=0,0,1000000*SER_hh_emi!J29/SER_hh_num!J29)</f>
        <v>1371.150688920578</v>
      </c>
      <c r="K29" s="130">
        <f>IF(SER_hh_emi!K29=0,0,1000000*SER_hh_emi!K29/SER_hh_num!K29)</f>
        <v>1282.7931278590324</v>
      </c>
      <c r="L29" s="130">
        <f>IF(SER_hh_emi!L29=0,0,1000000*SER_hh_emi!L29/SER_hh_num!L29)</f>
        <v>1243.6803515050765</v>
      </c>
      <c r="M29" s="130">
        <f>IF(SER_hh_emi!M29=0,0,1000000*SER_hh_emi!M29/SER_hh_num!M29)</f>
        <v>1370.7399050165966</v>
      </c>
      <c r="N29" s="130">
        <f>IF(SER_hh_emi!N29=0,0,1000000*SER_hh_emi!N29/SER_hh_num!N29)</f>
        <v>1473.7691427916795</v>
      </c>
      <c r="O29" s="130">
        <f>IF(SER_hh_emi!O29=0,0,1000000*SER_hh_emi!O29/SER_hh_num!O29)</f>
        <v>1502.6638173096694</v>
      </c>
      <c r="P29" s="130">
        <f>IF(SER_hh_emi!P29=0,0,1000000*SER_hh_emi!P29/SER_hh_num!P29)</f>
        <v>1449.9823671878517</v>
      </c>
      <c r="Q29" s="130">
        <f>IF(SER_hh_emi!Q29=0,0,1000000*SER_hh_emi!Q29/SER_hh_num!Q29)</f>
        <v>1501.8093036493563</v>
      </c>
      <c r="R29" s="130">
        <f>IF(SER_hh_emi!R29=0,0,1000000*SER_hh_emi!R29/SER_hh_num!R29)</f>
        <v>1438.4189585427916</v>
      </c>
      <c r="S29" s="130">
        <f>IF(SER_hh_emi!S29=0,0,1000000*SER_hh_emi!S29/SER_hh_num!S29)</f>
        <v>1338.5200613026032</v>
      </c>
      <c r="T29" s="130">
        <f>IF(SER_hh_emi!T29=0,0,1000000*SER_hh_emi!T29/SER_hh_num!T29)</f>
        <v>1264.6609091560231</v>
      </c>
      <c r="U29" s="130">
        <f>IF(SER_hh_emi!U29=0,0,1000000*SER_hh_emi!U29/SER_hh_num!U29)</f>
        <v>1295.8683985779971</v>
      </c>
      <c r="V29" s="130">
        <f>IF(SER_hh_emi!V29=0,0,1000000*SER_hh_emi!V29/SER_hh_num!V29)</f>
        <v>1026.2257417970557</v>
      </c>
      <c r="W29" s="130">
        <f>IF(SER_hh_emi!W29=0,0,1000000*SER_hh_emi!W29/SER_hh_num!W29)</f>
        <v>1362.2031937835188</v>
      </c>
      <c r="X29" s="130">
        <f>IF(SER_hh_emi!X29=0,0,1000000*SER_hh_emi!X29/SER_hh_num!X29)</f>
        <v>1316.0771613818622</v>
      </c>
      <c r="Y29" s="130">
        <f>IF(SER_hh_emi!Y29=0,0,1000000*SER_hh_emi!Y29/SER_hh_num!Y29)</f>
        <v>1303.1391773990838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1882.868940599808</v>
      </c>
      <c r="C30" s="132">
        <f>IF(SER_hh_emi!C30=0,0,1000000*SER_hh_emi!C30/SER_hh_num!C30)</f>
        <v>5818.9283737939677</v>
      </c>
      <c r="D30" s="132">
        <f>IF(SER_hh_emi!D30=0,0,1000000*SER_hh_emi!D30/SER_hh_num!D30)</f>
        <v>4752.2956655313401</v>
      </c>
      <c r="E30" s="132">
        <f>IF(SER_hh_emi!E30=0,0,1000000*SER_hh_emi!E30/SER_hh_num!E30)</f>
        <v>6941.9728694212663</v>
      </c>
      <c r="F30" s="132">
        <f>IF(SER_hh_emi!F30=0,0,1000000*SER_hh_emi!F30/SER_hh_num!F30)</f>
        <v>6257.2678407298545</v>
      </c>
      <c r="G30" s="132">
        <f>IF(SER_hh_emi!G30=0,0,1000000*SER_hh_emi!G30/SER_hh_num!G30)</f>
        <v>6037.3367082783916</v>
      </c>
      <c r="H30" s="132">
        <f>IF(SER_hh_emi!H30=0,0,1000000*SER_hh_emi!H30/SER_hh_num!H30)</f>
        <v>6752.7111378160662</v>
      </c>
      <c r="I30" s="132">
        <f>IF(SER_hh_emi!I30=0,0,1000000*SER_hh_emi!I30/SER_hh_num!I30)</f>
        <v>7181.3105473440592</v>
      </c>
      <c r="J30" s="132">
        <f>IF(SER_hh_emi!J30=0,0,1000000*SER_hh_emi!J30/SER_hh_num!J30)</f>
        <v>7057.2725303434536</v>
      </c>
      <c r="K30" s="132">
        <f>IF(SER_hh_emi!K30=0,0,1000000*SER_hh_emi!K30/SER_hh_num!K30)</f>
        <v>6144.0170909247363</v>
      </c>
      <c r="L30" s="132">
        <f>IF(SER_hh_emi!L30=0,0,1000000*SER_hh_emi!L30/SER_hh_num!L30)</f>
        <v>5862.2522782247279</v>
      </c>
      <c r="M30" s="132">
        <f>IF(SER_hh_emi!M30=0,0,1000000*SER_hh_emi!M30/SER_hh_num!M30)</f>
        <v>6324.5544242655715</v>
      </c>
      <c r="N30" s="132">
        <f>IF(SER_hh_emi!N30=0,0,1000000*SER_hh_emi!N30/SER_hh_num!N30)</f>
        <v>6603.7545760696812</v>
      </c>
      <c r="O30" s="132">
        <f>IF(SER_hh_emi!O30=0,0,1000000*SER_hh_emi!O30/SER_hh_num!O30)</f>
        <v>6793.8335256802102</v>
      </c>
      <c r="P30" s="132">
        <f>IF(SER_hh_emi!P30=0,0,1000000*SER_hh_emi!P30/SER_hh_num!P30)</f>
        <v>5896.4854039379943</v>
      </c>
      <c r="Q30" s="132">
        <f>IF(SER_hh_emi!Q30=0,0,1000000*SER_hh_emi!Q30/SER_hh_num!Q30)</f>
        <v>6537.8935737824959</v>
      </c>
      <c r="R30" s="132">
        <f>IF(SER_hh_emi!R30=0,0,1000000*SER_hh_emi!R30/SER_hh_num!R30)</f>
        <v>6735.4853682496687</v>
      </c>
      <c r="S30" s="132">
        <f>IF(SER_hh_emi!S30=0,0,1000000*SER_hh_emi!S30/SER_hh_num!S30)</f>
        <v>6518.8964478516764</v>
      </c>
      <c r="T30" s="132">
        <f>IF(SER_hh_emi!T30=0,0,1000000*SER_hh_emi!T30/SER_hh_num!T30)</f>
        <v>6203.8081901257492</v>
      </c>
      <c r="U30" s="132">
        <f>IF(SER_hh_emi!U30=0,0,1000000*SER_hh_emi!U30/SER_hh_num!U30)</f>
        <v>7227.3836521780813</v>
      </c>
      <c r="V30" s="132">
        <f>IF(SER_hh_emi!V30=0,0,1000000*SER_hh_emi!V30/SER_hh_num!V30)</f>
        <v>5121.3662702468237</v>
      </c>
      <c r="W30" s="132">
        <f>IF(SER_hh_emi!W30=0,0,1000000*SER_hh_emi!W30/SER_hh_num!W30)</f>
        <v>5453.8364019096298</v>
      </c>
      <c r="X30" s="132">
        <f>IF(SER_hh_emi!X30=0,0,1000000*SER_hh_emi!X30/SER_hh_num!X30)</f>
        <v>5199.9817359796261</v>
      </c>
      <c r="Y30" s="132">
        <f>IF(SER_hh_emi!Y30=0,0,1000000*SER_hh_emi!Y30/SER_hh_num!Y30)</f>
        <v>5961.8830441499895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3569.9508265754894</v>
      </c>
      <c r="C31" s="132">
        <f>IF(SER_hh_emi!C31=0,0,1000000*SER_hh_emi!C31/SER_hh_num!C31)</f>
        <v>4214.7054652916422</v>
      </c>
      <c r="D31" s="132">
        <f>IF(SER_hh_emi!D31=0,0,1000000*SER_hh_emi!D31/SER_hh_num!D31)</f>
        <v>4787.5344688927835</v>
      </c>
      <c r="E31" s="132">
        <f>IF(SER_hh_emi!E31=0,0,1000000*SER_hh_emi!E31/SER_hh_num!E31)</f>
        <v>5247.7954094924462</v>
      </c>
      <c r="F31" s="132">
        <f>IF(SER_hh_emi!F31=0,0,1000000*SER_hh_emi!F31/SER_hh_num!F31)</f>
        <v>5191.2195644206022</v>
      </c>
      <c r="G31" s="132">
        <f>IF(SER_hh_emi!G31=0,0,1000000*SER_hh_emi!G31/SER_hh_num!G31)</f>
        <v>5411.6845131754071</v>
      </c>
      <c r="H31" s="132">
        <f>IF(SER_hh_emi!H31=0,0,1000000*SER_hh_emi!H31/SER_hh_num!H31)</f>
        <v>5556.5499760914608</v>
      </c>
      <c r="I31" s="132">
        <f>IF(SER_hh_emi!I31=0,0,1000000*SER_hh_emi!I31/SER_hh_num!I31)</f>
        <v>5654.59562694747</v>
      </c>
      <c r="J31" s="132">
        <f>IF(SER_hh_emi!J31=0,0,1000000*SER_hh_emi!J31/SER_hh_num!J31)</f>
        <v>5682.3232763709666</v>
      </c>
      <c r="K31" s="132">
        <f>IF(SER_hh_emi!K31=0,0,1000000*SER_hh_emi!K31/SER_hh_num!K31)</f>
        <v>5654.9143641062246</v>
      </c>
      <c r="L31" s="132">
        <f>IF(SER_hh_emi!L31=0,0,1000000*SER_hh_emi!L31/SER_hh_num!L31)</f>
        <v>5399.824285781353</v>
      </c>
      <c r="M31" s="132">
        <f>IF(SER_hh_emi!M31=0,0,1000000*SER_hh_emi!M31/SER_hh_num!M31)</f>
        <v>5697.6301157924891</v>
      </c>
      <c r="N31" s="132">
        <f>IF(SER_hh_emi!N31=0,0,1000000*SER_hh_emi!N31/SER_hh_num!N31)</f>
        <v>5830.8189586231147</v>
      </c>
      <c r="O31" s="132">
        <f>IF(SER_hh_emi!O31=0,0,1000000*SER_hh_emi!O31/SER_hh_num!O31)</f>
        <v>5692.2557886485256</v>
      </c>
      <c r="P31" s="132">
        <f>IF(SER_hh_emi!P31=0,0,1000000*SER_hh_emi!P31/SER_hh_num!P31)</f>
        <v>5579.0580006124264</v>
      </c>
      <c r="Q31" s="132">
        <f>IF(SER_hh_emi!Q31=0,0,1000000*SER_hh_emi!Q31/SER_hh_num!Q31)</f>
        <v>5729.4986331180999</v>
      </c>
      <c r="R31" s="132">
        <f>IF(SER_hh_emi!R31=0,0,1000000*SER_hh_emi!R31/SER_hh_num!R31)</f>
        <v>5570.5788167705314</v>
      </c>
      <c r="S31" s="132">
        <f>IF(SER_hh_emi!S31=0,0,1000000*SER_hh_emi!S31/SER_hh_num!S31)</f>
        <v>5313.5694408283589</v>
      </c>
      <c r="T31" s="132">
        <f>IF(SER_hh_emi!T31=0,0,1000000*SER_hh_emi!T31/SER_hh_num!T31)</f>
        <v>5255.7953890521558</v>
      </c>
      <c r="U31" s="132">
        <f>IF(SER_hh_emi!U31=0,0,1000000*SER_hh_emi!U31/SER_hh_num!U31)</f>
        <v>5273.0779593201532</v>
      </c>
      <c r="V31" s="132">
        <f>IF(SER_hh_emi!V31=0,0,1000000*SER_hh_emi!V31/SER_hh_num!V31)</f>
        <v>4237.6335376869865</v>
      </c>
      <c r="W31" s="132">
        <f>IF(SER_hh_emi!W31=0,0,1000000*SER_hh_emi!W31/SER_hh_num!W31)</f>
        <v>5342.1528854483222</v>
      </c>
      <c r="X31" s="132">
        <f>IF(SER_hh_emi!X31=0,0,1000000*SER_hh_emi!X31/SER_hh_num!X31)</f>
        <v>5030.724040079278</v>
      </c>
      <c r="Y31" s="132">
        <f>IF(SER_hh_emi!Y31=0,0,1000000*SER_hh_emi!Y31/SER_hh_num!Y31)</f>
        <v>4973.450891684085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154.54976796008208</v>
      </c>
      <c r="C3" s="125">
        <f>IF(SER_hh_fech!C3=0,0,SER_hh_fech!C3/SER_summary!C$26)</f>
        <v>170.13096270144504</v>
      </c>
      <c r="D3" s="125">
        <f>IF(SER_hh_fech!D3=0,0,SER_hh_fech!D3/SER_summary!D$26)</f>
        <v>196.60492193987213</v>
      </c>
      <c r="E3" s="125">
        <f>IF(SER_hh_fech!E3=0,0,SER_hh_fech!E3/SER_summary!E$26)</f>
        <v>199.78784037022965</v>
      </c>
      <c r="F3" s="125">
        <f>IF(SER_hh_fech!F3=0,0,SER_hh_fech!F3/SER_summary!F$26)</f>
        <v>207.39413284976979</v>
      </c>
      <c r="G3" s="125">
        <f>IF(SER_hh_fech!G3=0,0,SER_hh_fech!G3/SER_summary!G$26)</f>
        <v>199.88987986329423</v>
      </c>
      <c r="H3" s="125">
        <f>IF(SER_hh_fech!H3=0,0,SER_hh_fech!H3/SER_summary!H$26)</f>
        <v>216.20923958990304</v>
      </c>
      <c r="I3" s="125">
        <f>IF(SER_hh_fech!I3=0,0,SER_hh_fech!I3/SER_summary!I$26)</f>
        <v>192.20379360166754</v>
      </c>
      <c r="J3" s="125">
        <f>IF(SER_hh_fech!J3=0,0,SER_hh_fech!J3/SER_summary!J$26)</f>
        <v>211.79082085285324</v>
      </c>
      <c r="K3" s="125">
        <f>IF(SER_hh_fech!K3=0,0,SER_hh_fech!K3/SER_summary!K$26)</f>
        <v>205.19086659788323</v>
      </c>
      <c r="L3" s="125">
        <f>IF(SER_hh_fech!L3=0,0,SER_hh_fech!L3/SER_summary!L$26)</f>
        <v>229.8385593236689</v>
      </c>
      <c r="M3" s="125">
        <f>IF(SER_hh_fech!M3=0,0,SER_hh_fech!M3/SER_summary!M$26)</f>
        <v>209.5680068181054</v>
      </c>
      <c r="N3" s="125">
        <f>IF(SER_hh_fech!N3=0,0,SER_hh_fech!N3/SER_summary!N$26)</f>
        <v>202.10470140288436</v>
      </c>
      <c r="O3" s="125">
        <f>IF(SER_hh_fech!O3=0,0,SER_hh_fech!O3/SER_summary!O$26)</f>
        <v>190.82418010523807</v>
      </c>
      <c r="P3" s="125">
        <f>IF(SER_hh_fech!P3=0,0,SER_hh_fech!P3/SER_summary!P$26)</f>
        <v>175.91942291496511</v>
      </c>
      <c r="Q3" s="125">
        <f>IF(SER_hh_fech!Q3=0,0,SER_hh_fech!Q3/SER_summary!Q$26)</f>
        <v>173.60555523397517</v>
      </c>
      <c r="R3" s="125">
        <f>IF(SER_hh_fech!R3=0,0,SER_hh_fech!R3/SER_summary!R$26)</f>
        <v>189.14301052662091</v>
      </c>
      <c r="S3" s="125">
        <f>IF(SER_hh_fech!S3=0,0,SER_hh_fech!S3/SER_summary!S$26)</f>
        <v>171.85081757322595</v>
      </c>
      <c r="T3" s="125">
        <f>IF(SER_hh_fech!T3=0,0,SER_hh_fech!T3/SER_summary!T$26)</f>
        <v>165.64884179723097</v>
      </c>
      <c r="U3" s="125">
        <f>IF(SER_hh_fech!U3=0,0,SER_hh_fech!U3/SER_summary!U$26)</f>
        <v>160.27913714276607</v>
      </c>
      <c r="V3" s="125">
        <f>IF(SER_hh_fech!V3=0,0,SER_hh_fech!V3/SER_summary!V$26)</f>
        <v>152.12366128769006</v>
      </c>
      <c r="W3" s="125">
        <f>IF(SER_hh_fech!W3=0,0,SER_hh_fech!W3/SER_summary!W$26)</f>
        <v>170.7958271962008</v>
      </c>
      <c r="X3" s="125">
        <f>IF(SER_hh_fech!X3=0,0,SER_hh_fech!X3/SER_summary!X$26)</f>
        <v>158.56605697994425</v>
      </c>
      <c r="Y3" s="125">
        <f>IF(SER_hh_fech!Y3=0,0,SER_hh_fech!Y3/SER_summary!Y$26)</f>
        <v>155.09982427044551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123.08514591366777</v>
      </c>
      <c r="C4" s="130">
        <f>IF(SER_hh_fech!C4=0,0,SER_hh_fech!C4/SER_summary!C$26)</f>
        <v>134.53742237371853</v>
      </c>
      <c r="D4" s="130">
        <f>IF(SER_hh_fech!D4=0,0,SER_hh_fech!D4/SER_summary!D$26)</f>
        <v>155.1139713307652</v>
      </c>
      <c r="E4" s="130">
        <f>IF(SER_hh_fech!E4=0,0,SER_hh_fech!E4/SER_summary!E$26)</f>
        <v>154.52646663301888</v>
      </c>
      <c r="F4" s="130">
        <f>IF(SER_hh_fech!F4=0,0,SER_hh_fech!F4/SER_summary!F$26)</f>
        <v>160.73198647189912</v>
      </c>
      <c r="G4" s="130">
        <f>IF(SER_hh_fech!G4=0,0,SER_hh_fech!G4/SER_summary!G$26)</f>
        <v>152.73285156577876</v>
      </c>
      <c r="H4" s="130">
        <f>IF(SER_hh_fech!H4=0,0,SER_hh_fech!H4/SER_summary!H$26)</f>
        <v>167.383031424069</v>
      </c>
      <c r="I4" s="130">
        <f>IF(SER_hh_fech!I4=0,0,SER_hh_fech!I4/SER_summary!I$26)</f>
        <v>141.25832327351915</v>
      </c>
      <c r="J4" s="130">
        <f>IF(SER_hh_fech!J4=0,0,SER_hh_fech!J4/SER_summary!J$26)</f>
        <v>159.94086294475144</v>
      </c>
      <c r="K4" s="130">
        <f>IF(SER_hh_fech!K4=0,0,SER_hh_fech!K4/SER_summary!K$26)</f>
        <v>154.0600543849088</v>
      </c>
      <c r="L4" s="130">
        <f>IF(SER_hh_fech!L4=0,0,SER_hh_fech!L4/SER_summary!L$26)</f>
        <v>178.15947627969794</v>
      </c>
      <c r="M4" s="130">
        <f>IF(SER_hh_fech!M4=0,0,SER_hh_fech!M4/SER_summary!M$26)</f>
        <v>157.90477543959059</v>
      </c>
      <c r="N4" s="130">
        <f>IF(SER_hh_fech!N4=0,0,SER_hh_fech!N4/SER_summary!N$26)</f>
        <v>150.31467649838697</v>
      </c>
      <c r="O4" s="130">
        <f>IF(SER_hh_fech!O4=0,0,SER_hh_fech!O4/SER_summary!O$26)</f>
        <v>138.72932263540653</v>
      </c>
      <c r="P4" s="130">
        <f>IF(SER_hh_fech!P4=0,0,SER_hh_fech!P4/SER_summary!P$26)</f>
        <v>123.99090234750528</v>
      </c>
      <c r="Q4" s="130">
        <f>IF(SER_hh_fech!Q4=0,0,SER_hh_fech!Q4/SER_summary!Q$26)</f>
        <v>121.24118565099673</v>
      </c>
      <c r="R4" s="130">
        <f>IF(SER_hh_fech!R4=0,0,SER_hh_fech!R4/SER_summary!R$26)</f>
        <v>137.23425326572962</v>
      </c>
      <c r="S4" s="130">
        <f>IF(SER_hh_fech!S4=0,0,SER_hh_fech!S4/SER_summary!S$26)</f>
        <v>121.81177362172934</v>
      </c>
      <c r="T4" s="130">
        <f>IF(SER_hh_fech!T4=0,0,SER_hh_fech!T4/SER_summary!T$26)</f>
        <v>116.64143084036372</v>
      </c>
      <c r="U4" s="130">
        <f>IF(SER_hh_fech!U4=0,0,SER_hh_fech!U4/SER_summary!U$26)</f>
        <v>112.21765376366459</v>
      </c>
      <c r="V4" s="130">
        <f>IF(SER_hh_fech!V4=0,0,SER_hh_fech!V4/SER_summary!V$26)</f>
        <v>108.25768268673589</v>
      </c>
      <c r="W4" s="130">
        <f>IF(SER_hh_fech!W4=0,0,SER_hh_fech!W4/SER_summary!W$26)</f>
        <v>124.95426163246064</v>
      </c>
      <c r="X4" s="130">
        <f>IF(SER_hh_fech!X4=0,0,SER_hh_fech!X4/SER_summary!X$26)</f>
        <v>112.86879717203119</v>
      </c>
      <c r="Y4" s="130">
        <f>IF(SER_hh_fech!Y4=0,0,SER_hh_fech!Y4/SER_summary!Y$26)</f>
        <v>110.44327219115584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149.17932188155086</v>
      </c>
      <c r="C5" s="132">
        <f>IF(SER_hh_fech!C5=0,0,SER_hh_fech!C5/SER_summary!C$26)</f>
        <v>109.76149666102528</v>
      </c>
      <c r="D5" s="132">
        <f>IF(SER_hh_fech!D5=0,0,SER_hh_fech!D5/SER_summary!D$26)</f>
        <v>180.27992028264424</v>
      </c>
      <c r="E5" s="132">
        <f>IF(SER_hh_fech!E5=0,0,SER_hh_fech!E5/SER_summary!E$26)</f>
        <v>173.7772665723908</v>
      </c>
      <c r="F5" s="132">
        <f>IF(SER_hh_fech!F5=0,0,SER_hh_fech!F5/SER_summary!F$26)</f>
        <v>163.61257860485443</v>
      </c>
      <c r="G5" s="132">
        <f>IF(SER_hh_fech!G5=0,0,SER_hh_fech!G5/SER_summary!G$26)</f>
        <v>160.62165036015105</v>
      </c>
      <c r="H5" s="132">
        <f>IF(SER_hh_fech!H5=0,0,SER_hh_fech!H5/SER_summary!H$26)</f>
        <v>182.38816763273786</v>
      </c>
      <c r="I5" s="132">
        <f>IF(SER_hh_fech!I5=0,0,SER_hh_fech!I5/SER_summary!I$26)</f>
        <v>149.85297230587494</v>
      </c>
      <c r="J5" s="132">
        <f>IF(SER_hh_fech!J5=0,0,SER_hh_fech!J5/SER_summary!J$26)</f>
        <v>162.11183966180346</v>
      </c>
      <c r="K5" s="132">
        <f>IF(SER_hh_fech!K5=0,0,SER_hh_fech!K5/SER_summary!K$26)</f>
        <v>167.7315816365242</v>
      </c>
      <c r="L5" s="132">
        <f>IF(SER_hh_fech!L5=0,0,SER_hh_fech!L5/SER_summary!L$26)</f>
        <v>186.25499920370498</v>
      </c>
      <c r="M5" s="132">
        <f>IF(SER_hh_fech!M5=0,0,SER_hh_fech!M5/SER_summary!M$26)</f>
        <v>159.73750339109995</v>
      </c>
      <c r="N5" s="132">
        <f>IF(SER_hh_fech!N5=0,0,SER_hh_fech!N5/SER_summary!N$26)</f>
        <v>159.02172371136777</v>
      </c>
      <c r="O5" s="132">
        <f>IF(SER_hh_fech!O5=0,0,SER_hh_fech!O5/SER_summary!O$26)</f>
        <v>146.28040408734216</v>
      </c>
      <c r="P5" s="132">
        <f>IF(SER_hh_fech!P5=0,0,SER_hh_fech!P5/SER_summary!P$26)</f>
        <v>130.39082792249965</v>
      </c>
      <c r="Q5" s="132">
        <f>IF(SER_hh_fech!Q5=0,0,SER_hh_fech!Q5/SER_summary!Q$26)</f>
        <v>127.76418150772226</v>
      </c>
      <c r="R5" s="132">
        <f>IF(SER_hh_fech!R5=0,0,SER_hh_fech!R5/SER_summary!R$26)</f>
        <v>136.66142917273453</v>
      </c>
      <c r="S5" s="132">
        <f>IF(SER_hh_fech!S5=0,0,SER_hh_fech!S5/SER_summary!S$26)</f>
        <v>136.66491713610813</v>
      </c>
      <c r="T5" s="132">
        <f>IF(SER_hh_fech!T5=0,0,SER_hh_fech!T5/SER_summary!T$26)</f>
        <v>130.90440161193354</v>
      </c>
      <c r="U5" s="132">
        <f>IF(SER_hh_fech!U5=0,0,SER_hh_fech!U5/SER_summary!U$26)</f>
        <v>110.55694158630075</v>
      </c>
      <c r="V5" s="132">
        <f>IF(SER_hh_fech!V5=0,0,SER_hh_fech!V5/SER_summary!V$26)</f>
        <v>119.86791500425724</v>
      </c>
      <c r="W5" s="132">
        <f>IF(SER_hh_fech!W5=0,0,SER_hh_fech!W5/SER_summary!W$26)</f>
        <v>174.88430865514701</v>
      </c>
      <c r="X5" s="132">
        <f>IF(SER_hh_fech!X5=0,0,SER_hh_fech!X5/SER_summary!X$26)</f>
        <v>105.08637494225536</v>
      </c>
      <c r="Y5" s="132">
        <f>IF(SER_hh_fech!Y5=0,0,SER_hh_fech!Y5/SER_summary!Y$26)</f>
        <v>121.84893425444049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146.25268057503573</v>
      </c>
      <c r="C7" s="132">
        <f>IF(SER_hh_fech!C7=0,0,SER_hh_fech!C7/SER_summary!C$26)</f>
        <v>184.59536560762291</v>
      </c>
      <c r="D7" s="132">
        <f>IF(SER_hh_fech!D7=0,0,SER_hh_fech!D7/SER_summary!D$26)</f>
        <v>198.71671045589238</v>
      </c>
      <c r="E7" s="132">
        <f>IF(SER_hh_fech!E7=0,0,SER_hh_fech!E7/SER_summary!E$26)</f>
        <v>201.10195809209873</v>
      </c>
      <c r="F7" s="132">
        <f>IF(SER_hh_fech!F7=0,0,SER_hh_fech!F7/SER_summary!F$26)</f>
        <v>189.02511838870515</v>
      </c>
      <c r="G7" s="132">
        <f>IF(SER_hh_fech!G7=0,0,SER_hh_fech!G7/SER_summary!G$26)</f>
        <v>147.12649043499502</v>
      </c>
      <c r="H7" s="132">
        <f>IF(SER_hh_fech!H7=0,0,SER_hh_fech!H7/SER_summary!H$26)</f>
        <v>226.96833170092444</v>
      </c>
      <c r="I7" s="132">
        <f>IF(SER_hh_fech!I7=0,0,SER_hh_fech!I7/SER_summary!I$26)</f>
        <v>196.91401126856101</v>
      </c>
      <c r="J7" s="132">
        <f>IF(SER_hh_fech!J7=0,0,SER_hh_fech!J7/SER_summary!J$26)</f>
        <v>191.33576472495017</v>
      </c>
      <c r="K7" s="132">
        <f>IF(SER_hh_fech!K7=0,0,SER_hh_fech!K7/SER_summary!K$26)</f>
        <v>179.30519004652999</v>
      </c>
      <c r="L7" s="132">
        <f>IF(SER_hh_fech!L7=0,0,SER_hh_fech!L7/SER_summary!L$26)</f>
        <v>226.91222896998323</v>
      </c>
      <c r="M7" s="132">
        <f>IF(SER_hh_fech!M7=0,0,SER_hh_fech!M7/SER_summary!M$26)</f>
        <v>216.97583676281704</v>
      </c>
      <c r="N7" s="132">
        <f>IF(SER_hh_fech!N7=0,0,SER_hh_fech!N7/SER_summary!N$26)</f>
        <v>171.6642009645513</v>
      </c>
      <c r="O7" s="132">
        <f>IF(SER_hh_fech!O7=0,0,SER_hh_fech!O7/SER_summary!O$26)</f>
        <v>153.65842393508484</v>
      </c>
      <c r="P7" s="132">
        <f>IF(SER_hh_fech!P7=0,0,SER_hh_fech!P7/SER_summary!P$26)</f>
        <v>156.52291614215619</v>
      </c>
      <c r="Q7" s="132">
        <f>IF(SER_hh_fech!Q7=0,0,SER_hh_fech!Q7/SER_summary!Q$26)</f>
        <v>154.4034566030856</v>
      </c>
      <c r="R7" s="132">
        <f>IF(SER_hh_fech!R7=0,0,SER_hh_fech!R7/SER_summary!R$26)</f>
        <v>152.92733096222233</v>
      </c>
      <c r="S7" s="132">
        <f>IF(SER_hh_fech!S7=0,0,SER_hh_fech!S7/SER_summary!S$26)</f>
        <v>149.52127942792345</v>
      </c>
      <c r="T7" s="132">
        <f>IF(SER_hh_fech!T7=0,0,SER_hh_fech!T7/SER_summary!T$26)</f>
        <v>149.0883174352378</v>
      </c>
      <c r="U7" s="132">
        <f>IF(SER_hh_fech!U7=0,0,SER_hh_fech!U7/SER_summary!U$26)</f>
        <v>128.88713396494566</v>
      </c>
      <c r="V7" s="132">
        <f>IF(SER_hh_fech!V7=0,0,SER_hh_fech!V7/SER_summary!V$26)</f>
        <v>129.84685327844113</v>
      </c>
      <c r="W7" s="132">
        <f>IF(SER_hh_fech!W7=0,0,SER_hh_fech!W7/SER_summary!W$26)</f>
        <v>150.99710670301337</v>
      </c>
      <c r="X7" s="132">
        <f>IF(SER_hh_fech!X7=0,0,SER_hh_fech!X7/SER_summary!X$26)</f>
        <v>139.32540726181239</v>
      </c>
      <c r="Y7" s="132">
        <f>IF(SER_hh_fech!Y7=0,0,SER_hh_fech!Y7/SER_summary!Y$26)</f>
        <v>110.79465736589128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67.984403829673099</v>
      </c>
      <c r="C8" s="132">
        <f>IF(SER_hh_fech!C8=0,0,SER_hh_fech!C8/SER_summary!C$26)</f>
        <v>79.574225124789265</v>
      </c>
      <c r="D8" s="132">
        <f>IF(SER_hh_fech!D8=0,0,SER_hh_fech!D8/SER_summary!D$26)</f>
        <v>83.303649951116327</v>
      </c>
      <c r="E8" s="132">
        <f>IF(SER_hh_fech!E8=0,0,SER_hh_fech!E8/SER_summary!E$26)</f>
        <v>87.261075275457685</v>
      </c>
      <c r="F8" s="132">
        <f>IF(SER_hh_fech!F8=0,0,SER_hh_fech!F8/SER_summary!F$26)</f>
        <v>85.919876831505093</v>
      </c>
      <c r="G8" s="132">
        <f>IF(SER_hh_fech!G8=0,0,SER_hh_fech!G8/SER_summary!G$26)</f>
        <v>83.593115933454939</v>
      </c>
      <c r="H8" s="132">
        <f>IF(SER_hh_fech!H8=0,0,SER_hh_fech!H8/SER_summary!H$26)</f>
        <v>81.079231423696214</v>
      </c>
      <c r="I8" s="132">
        <f>IF(SER_hh_fech!I8=0,0,SER_hh_fech!I8/SER_summary!I$26)</f>
        <v>76.830426437674987</v>
      </c>
      <c r="J8" s="132">
        <f>IF(SER_hh_fech!J8=0,0,SER_hh_fech!J8/SER_summary!J$26)</f>
        <v>78.932926381102348</v>
      </c>
      <c r="K8" s="132">
        <f>IF(SER_hh_fech!K8=0,0,SER_hh_fech!K8/SER_summary!K$26)</f>
        <v>81.613111651824696</v>
      </c>
      <c r="L8" s="132">
        <f>IF(SER_hh_fech!L8=0,0,SER_hh_fech!L8/SER_summary!L$26)</f>
        <v>81.177072997752703</v>
      </c>
      <c r="M8" s="132">
        <f>IF(SER_hh_fech!M8=0,0,SER_hh_fech!M8/SER_summary!M$26)</f>
        <v>68.379103929876067</v>
      </c>
      <c r="N8" s="132">
        <f>IF(SER_hh_fech!N8=0,0,SER_hh_fech!N8/SER_summary!N$26)</f>
        <v>64.285611989445172</v>
      </c>
      <c r="O8" s="132">
        <f>IF(SER_hh_fech!O8=0,0,SER_hh_fech!O8/SER_summary!O$26)</f>
        <v>51.162338401346915</v>
      </c>
      <c r="P8" s="132">
        <f>IF(SER_hh_fech!P8=0,0,SER_hh_fech!P8/SER_summary!P$26)</f>
        <v>54.254990302864286</v>
      </c>
      <c r="Q8" s="132">
        <f>IF(SER_hh_fech!Q8=0,0,SER_hh_fech!Q8/SER_summary!Q$26)</f>
        <v>49.964027865376103</v>
      </c>
      <c r="R8" s="132">
        <f>IF(SER_hh_fech!R8=0,0,SER_hh_fech!R8/SER_summary!R$26)</f>
        <v>49.26542733441282</v>
      </c>
      <c r="S8" s="132">
        <f>IF(SER_hh_fech!S8=0,0,SER_hh_fech!S8/SER_summary!S$26)</f>
        <v>43.500513185060235</v>
      </c>
      <c r="T8" s="132">
        <f>IF(SER_hh_fech!T8=0,0,SER_hh_fech!T8/SER_summary!T$26)</f>
        <v>39.946539163689252</v>
      </c>
      <c r="U8" s="132">
        <f>IF(SER_hh_fech!U8=0,0,SER_hh_fech!U8/SER_summary!U$26)</f>
        <v>37.44238698557681</v>
      </c>
      <c r="V8" s="132">
        <f>IF(SER_hh_fech!V8=0,0,SER_hh_fech!V8/SER_summary!V$26)</f>
        <v>36.153185144460352</v>
      </c>
      <c r="W8" s="132">
        <f>IF(SER_hh_fech!W8=0,0,SER_hh_fech!W8/SER_summary!W$26)</f>
        <v>39.09386451614467</v>
      </c>
      <c r="X8" s="132">
        <f>IF(SER_hh_fech!X8=0,0,SER_hh_fech!X8/SER_summary!X$26)</f>
        <v>35.380686903970918</v>
      </c>
      <c r="Y8" s="132">
        <f>IF(SER_hh_fech!Y8=0,0,SER_hh_fech!Y8/SER_summary!Y$26)</f>
        <v>38.024335865821733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134.42560524359868</v>
      </c>
      <c r="C9" s="132">
        <f>IF(SER_hh_fech!C9=0,0,SER_hh_fech!C9/SER_summary!C$26)</f>
        <v>164.17546524707112</v>
      </c>
      <c r="D9" s="132">
        <f>IF(SER_hh_fech!D9=0,0,SER_hh_fech!D9/SER_summary!D$26)</f>
        <v>182.71343269488614</v>
      </c>
      <c r="E9" s="132">
        <f>IF(SER_hh_fech!E9=0,0,SER_hh_fech!E9/SER_summary!E$26)</f>
        <v>183.84014274193115</v>
      </c>
      <c r="F9" s="132">
        <f>IF(SER_hh_fech!F9=0,0,SER_hh_fech!F9/SER_summary!F$26)</f>
        <v>189.01152632056431</v>
      </c>
      <c r="G9" s="132">
        <f>IF(SER_hh_fech!G9=0,0,SER_hh_fech!G9/SER_summary!G$26)</f>
        <v>188.37301931911864</v>
      </c>
      <c r="H9" s="132">
        <f>IF(SER_hh_fech!H9=0,0,SER_hh_fech!H9/SER_summary!H$26)</f>
        <v>174.61008075253429</v>
      </c>
      <c r="I9" s="132">
        <f>IF(SER_hh_fech!I9=0,0,SER_hh_fech!I9/SER_summary!I$26)</f>
        <v>173.69752268271148</v>
      </c>
      <c r="J9" s="132">
        <f>IF(SER_hh_fech!J9=0,0,SER_hh_fech!J9/SER_summary!J$26)</f>
        <v>177.98902703941903</v>
      </c>
      <c r="K9" s="132">
        <f>IF(SER_hh_fech!K9=0,0,SER_hh_fech!K9/SER_summary!K$26)</f>
        <v>177.68902836192029</v>
      </c>
      <c r="L9" s="132">
        <f>IF(SER_hh_fech!L9=0,0,SER_hh_fech!L9/SER_summary!L$26)</f>
        <v>205.26079322051925</v>
      </c>
      <c r="M9" s="132">
        <f>IF(SER_hh_fech!M9=0,0,SER_hh_fech!M9/SER_summary!M$26)</f>
        <v>175.91950335212164</v>
      </c>
      <c r="N9" s="132">
        <f>IF(SER_hh_fech!N9=0,0,SER_hh_fech!N9/SER_summary!N$26)</f>
        <v>173.52618323289218</v>
      </c>
      <c r="O9" s="132">
        <f>IF(SER_hh_fech!O9=0,0,SER_hh_fech!O9/SER_summary!O$26)</f>
        <v>161.6106704198819</v>
      </c>
      <c r="P9" s="132">
        <f>IF(SER_hh_fech!P9=0,0,SER_hh_fech!P9/SER_summary!P$26)</f>
        <v>132.39503873692243</v>
      </c>
      <c r="Q9" s="132">
        <f>IF(SER_hh_fech!Q9=0,0,SER_hh_fech!Q9/SER_summary!Q$26)</f>
        <v>140.54677410155006</v>
      </c>
      <c r="R9" s="132">
        <f>IF(SER_hh_fech!R9=0,0,SER_hh_fech!R9/SER_summary!R$26)</f>
        <v>167.29725390142292</v>
      </c>
      <c r="S9" s="132">
        <f>IF(SER_hh_fech!S9=0,0,SER_hh_fech!S9/SER_summary!S$26)</f>
        <v>128.6016983098001</v>
      </c>
      <c r="T9" s="132">
        <f>IF(SER_hh_fech!T9=0,0,SER_hh_fech!T9/SER_summary!T$26)</f>
        <v>124.98144596131336</v>
      </c>
      <c r="U9" s="132">
        <f>IF(SER_hh_fech!U9=0,0,SER_hh_fech!U9/SER_summary!U$26)</f>
        <v>128.30313281235905</v>
      </c>
      <c r="V9" s="132">
        <f>IF(SER_hh_fech!V9=0,0,SER_hh_fech!V9/SER_summary!V$26)</f>
        <v>110.31684031045742</v>
      </c>
      <c r="W9" s="132">
        <f>IF(SER_hh_fech!W9=0,0,SER_hh_fech!W9/SER_summary!W$26)</f>
        <v>143.88144419282469</v>
      </c>
      <c r="X9" s="132">
        <f>IF(SER_hh_fech!X9=0,0,SER_hh_fech!X9/SER_summary!X$26)</f>
        <v>130.7857014194748</v>
      </c>
      <c r="Y9" s="132">
        <f>IF(SER_hh_fech!Y9=0,0,SER_hh_fech!Y9/SER_summary!Y$26)</f>
        <v>116.32975238302008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182.52588665675955</v>
      </c>
      <c r="C10" s="132">
        <f>IF(SER_hh_fech!C10=0,0,SER_hh_fech!C10/SER_summary!C$26)</f>
        <v>155.12483474231769</v>
      </c>
      <c r="D10" s="132">
        <f>IF(SER_hh_fech!D10=0,0,SER_hh_fech!D10/SER_summary!D$26)</f>
        <v>180.00539663661883</v>
      </c>
      <c r="E10" s="132">
        <f>IF(SER_hh_fech!E10=0,0,SER_hh_fech!E10/SER_summary!E$26)</f>
        <v>197.92173299892576</v>
      </c>
      <c r="F10" s="132">
        <f>IF(SER_hh_fech!F10=0,0,SER_hh_fech!F10/SER_summary!F$26)</f>
        <v>216.34055888777587</v>
      </c>
      <c r="G10" s="132">
        <f>IF(SER_hh_fech!G10=0,0,SER_hh_fech!G10/SER_summary!G$26)</f>
        <v>227.91895766312965</v>
      </c>
      <c r="H10" s="132">
        <f>IF(SER_hh_fech!H10=0,0,SER_hh_fech!H10/SER_summary!H$26)</f>
        <v>169.96428351678446</v>
      </c>
      <c r="I10" s="132">
        <f>IF(SER_hh_fech!I10=0,0,SER_hh_fech!I10/SER_summary!I$26)</f>
        <v>200.99520859060991</v>
      </c>
      <c r="J10" s="132">
        <f>IF(SER_hh_fech!J10=0,0,SER_hh_fech!J10/SER_summary!J$26)</f>
        <v>174.12895640908712</v>
      </c>
      <c r="K10" s="132">
        <f>IF(SER_hh_fech!K10=0,0,SER_hh_fech!K10/SER_summary!K$26)</f>
        <v>213.03222048037304</v>
      </c>
      <c r="L10" s="132">
        <f>IF(SER_hh_fech!L10=0,0,SER_hh_fech!L10/SER_summary!L$26)</f>
        <v>222.59819687778344</v>
      </c>
      <c r="M10" s="132">
        <f>IF(SER_hh_fech!M10=0,0,SER_hh_fech!M10/SER_summary!M$26)</f>
        <v>199.13188805811268</v>
      </c>
      <c r="N10" s="132">
        <f>IF(SER_hh_fech!N10=0,0,SER_hh_fech!N10/SER_summary!N$26)</f>
        <v>167.95538873549833</v>
      </c>
      <c r="O10" s="132">
        <f>IF(SER_hh_fech!O10=0,0,SER_hh_fech!O10/SER_summary!O$26)</f>
        <v>179.30525676823839</v>
      </c>
      <c r="P10" s="132">
        <f>IF(SER_hh_fech!P10=0,0,SER_hh_fech!P10/SER_summary!P$26)</f>
        <v>149.07326117986273</v>
      </c>
      <c r="Q10" s="132">
        <f>IF(SER_hh_fech!Q10=0,0,SER_hh_fech!Q10/SER_summary!Q$26)</f>
        <v>150.73847208348306</v>
      </c>
      <c r="R10" s="132">
        <f>IF(SER_hh_fech!R10=0,0,SER_hh_fech!R10/SER_summary!R$26)</f>
        <v>166.46239873537971</v>
      </c>
      <c r="S10" s="132">
        <f>IF(SER_hh_fech!S10=0,0,SER_hh_fech!S10/SER_summary!S$26)</f>
        <v>161.48154919736456</v>
      </c>
      <c r="T10" s="132">
        <f>IF(SER_hh_fech!T10=0,0,SER_hh_fech!T10/SER_summary!T$26)</f>
        <v>150.72285746799335</v>
      </c>
      <c r="U10" s="132">
        <f>IF(SER_hh_fech!U10=0,0,SER_hh_fech!U10/SER_summary!U$26)</f>
        <v>143.19887448225398</v>
      </c>
      <c r="V10" s="132">
        <f>IF(SER_hh_fech!V10=0,0,SER_hh_fech!V10/SER_summary!V$26)</f>
        <v>151.99909578885024</v>
      </c>
      <c r="W10" s="132">
        <f>IF(SER_hh_fech!W10=0,0,SER_hh_fech!W10/SER_summary!W$26)</f>
        <v>175.08832914243789</v>
      </c>
      <c r="X10" s="132">
        <f>IF(SER_hh_fech!X10=0,0,SER_hh_fech!X10/SER_summary!X$26)</f>
        <v>139.37786696715511</v>
      </c>
      <c r="Y10" s="132">
        <f>IF(SER_hh_fech!Y10=0,0,SER_hh_fech!Y10/SER_summary!Y$26)</f>
        <v>163.52978984671401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103.46586651047144</v>
      </c>
      <c r="C11" s="132">
        <f>IF(SER_hh_fech!C11=0,0,SER_hh_fech!C11/SER_summary!C$26)</f>
        <v>74.404077973000653</v>
      </c>
      <c r="D11" s="132">
        <f>IF(SER_hh_fech!D11=0,0,SER_hh_fech!D11/SER_summary!D$26)</f>
        <v>121.99358852222377</v>
      </c>
      <c r="E11" s="132">
        <f>IF(SER_hh_fech!E11=0,0,SER_hh_fech!E11/SER_summary!E$26)</f>
        <v>129.11836137089648</v>
      </c>
      <c r="F11" s="132">
        <f>IF(SER_hh_fech!F11=0,0,SER_hh_fech!F11/SER_summary!F$26)</f>
        <v>112.00658076927985</v>
      </c>
      <c r="G11" s="132">
        <f>IF(SER_hh_fech!G11=0,0,SER_hh_fech!G11/SER_summary!G$26)</f>
        <v>126.31186988956772</v>
      </c>
      <c r="H11" s="132">
        <f>IF(SER_hh_fech!H11=0,0,SER_hh_fech!H11/SER_summary!H$26)</f>
        <v>129.53091044668264</v>
      </c>
      <c r="I11" s="132">
        <f>IF(SER_hh_fech!I11=0,0,SER_hh_fech!I11/SER_summary!I$26)</f>
        <v>95.86172623758236</v>
      </c>
      <c r="J11" s="132">
        <f>IF(SER_hh_fech!J11=0,0,SER_hh_fech!J11/SER_summary!J$26)</f>
        <v>134.55632209913884</v>
      </c>
      <c r="K11" s="132">
        <f>IF(SER_hh_fech!K11=0,0,SER_hh_fech!K11/SER_summary!K$26)</f>
        <v>139.75536295330934</v>
      </c>
      <c r="L11" s="132">
        <f>IF(SER_hh_fech!L11=0,0,SER_hh_fech!L11/SER_summary!L$26)</f>
        <v>126.50441161936915</v>
      </c>
      <c r="M11" s="132">
        <f>IF(SER_hh_fech!M11=0,0,SER_hh_fech!M11/SER_summary!M$26)</f>
        <v>95.353169064889514</v>
      </c>
      <c r="N11" s="132">
        <f>IF(SER_hh_fech!N11=0,0,SER_hh_fech!N11/SER_summary!N$26)</f>
        <v>109.75247383842733</v>
      </c>
      <c r="O11" s="132">
        <f>IF(SER_hh_fech!O11=0,0,SER_hh_fech!O11/SER_summary!O$26)</f>
        <v>119.21853458547545</v>
      </c>
      <c r="P11" s="132">
        <f>IF(SER_hh_fech!P11=0,0,SER_hh_fech!P11/SER_summary!P$26)</f>
        <v>111.73093582111417</v>
      </c>
      <c r="Q11" s="132">
        <f>IF(SER_hh_fech!Q11=0,0,SER_hh_fech!Q11/SER_summary!Q$26)</f>
        <v>104.30115643701451</v>
      </c>
      <c r="R11" s="132">
        <f>IF(SER_hh_fech!R11=0,0,SER_hh_fech!R11/SER_summary!R$26)</f>
        <v>101.10574336049297</v>
      </c>
      <c r="S11" s="132">
        <f>IF(SER_hh_fech!S11=0,0,SER_hh_fech!S11/SER_summary!S$26)</f>
        <v>100.18382387787646</v>
      </c>
      <c r="T11" s="132">
        <f>IF(SER_hh_fech!T11=0,0,SER_hh_fech!T11/SER_summary!T$26)</f>
        <v>99.190466653631489</v>
      </c>
      <c r="U11" s="132">
        <f>IF(SER_hh_fech!U11=0,0,SER_hh_fech!U11/SER_summary!U$26)</f>
        <v>98.375178602143095</v>
      </c>
      <c r="V11" s="132">
        <f>IF(SER_hh_fech!V11=0,0,SER_hh_fech!V11/SER_summary!V$26)</f>
        <v>95.500476625325106</v>
      </c>
      <c r="W11" s="132">
        <f>IF(SER_hh_fech!W11=0,0,SER_hh_fech!W11/SER_summary!W$26)</f>
        <v>99.453741250290932</v>
      </c>
      <c r="X11" s="132">
        <f>IF(SER_hh_fech!X11=0,0,SER_hh_fech!X11/SER_summary!X$26)</f>
        <v>104.44227321795319</v>
      </c>
      <c r="Y11" s="132">
        <f>IF(SER_hh_fech!Y11=0,0,SER_hh_fech!Y11/SER_summary!Y$26)</f>
        <v>102.77543611538604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89.807258298278867</v>
      </c>
      <c r="C12" s="132">
        <f>IF(SER_hh_fech!C12=0,0,SER_hh_fech!C12/SER_summary!C$26)</f>
        <v>99.878550842949721</v>
      </c>
      <c r="D12" s="132">
        <f>IF(SER_hh_fech!D12=0,0,SER_hh_fech!D12/SER_summary!D$26)</f>
        <v>117.88973163933595</v>
      </c>
      <c r="E12" s="132">
        <f>IF(SER_hh_fech!E12=0,0,SER_hh_fech!E12/SER_summary!E$26)</f>
        <v>100.87057916310015</v>
      </c>
      <c r="F12" s="132">
        <f>IF(SER_hh_fech!F12=0,0,SER_hh_fech!F12/SER_summary!F$26)</f>
        <v>133.87952055660173</v>
      </c>
      <c r="G12" s="132">
        <f>IF(SER_hh_fech!G12=0,0,SER_hh_fech!G12/SER_summary!G$26)</f>
        <v>115.37087787406638</v>
      </c>
      <c r="H12" s="132">
        <f>IF(SER_hh_fech!H12=0,0,SER_hh_fech!H12/SER_summary!H$26)</f>
        <v>141.55286362243299</v>
      </c>
      <c r="I12" s="132">
        <f>IF(SER_hh_fech!I12=0,0,SER_hh_fech!I12/SER_summary!I$26)</f>
        <v>94.056423886911205</v>
      </c>
      <c r="J12" s="132">
        <f>IF(SER_hh_fech!J12=0,0,SER_hh_fech!J12/SER_summary!J$26)</f>
        <v>134.17560568237187</v>
      </c>
      <c r="K12" s="132">
        <f>IF(SER_hh_fech!K12=0,0,SER_hh_fech!K12/SER_summary!K$26)</f>
        <v>125.65577047208431</v>
      </c>
      <c r="L12" s="132">
        <f>IF(SER_hh_fech!L12=0,0,SER_hh_fech!L12/SER_summary!L$26)</f>
        <v>139.63839496155649</v>
      </c>
      <c r="M12" s="132">
        <f>IF(SER_hh_fech!M12=0,0,SER_hh_fech!M12/SER_summary!M$26)</f>
        <v>119.15600537777466</v>
      </c>
      <c r="N12" s="132">
        <f>IF(SER_hh_fech!N12=0,0,SER_hh_fech!N12/SER_summary!N$26)</f>
        <v>117.90755063770503</v>
      </c>
      <c r="O12" s="132">
        <f>IF(SER_hh_fech!O12=0,0,SER_hh_fech!O12/SER_summary!O$26)</f>
        <v>120.88687657969619</v>
      </c>
      <c r="P12" s="132">
        <f>IF(SER_hh_fech!P12=0,0,SER_hh_fech!P12/SER_summary!P$26)</f>
        <v>103.71150917219813</v>
      </c>
      <c r="Q12" s="132">
        <f>IF(SER_hh_fech!Q12=0,0,SER_hh_fech!Q12/SER_summary!Q$26)</f>
        <v>94.20290762086313</v>
      </c>
      <c r="R12" s="132">
        <f>IF(SER_hh_fech!R12=0,0,SER_hh_fech!R12/SER_summary!R$26)</f>
        <v>110.41729308393982</v>
      </c>
      <c r="S12" s="132">
        <f>IF(SER_hh_fech!S12=0,0,SER_hh_fech!S12/SER_summary!S$26)</f>
        <v>110.75508370895697</v>
      </c>
      <c r="T12" s="132">
        <f>IF(SER_hh_fech!T12=0,0,SER_hh_fech!T12/SER_summary!T$26)</f>
        <v>93.838868673576144</v>
      </c>
      <c r="U12" s="132">
        <f>IF(SER_hh_fech!U12=0,0,SER_hh_fech!U12/SER_summary!U$26)</f>
        <v>98.508636888169661</v>
      </c>
      <c r="V12" s="132">
        <f>IF(SER_hh_fech!V12=0,0,SER_hh_fech!V12/SER_summary!V$26)</f>
        <v>101.59064574660241</v>
      </c>
      <c r="W12" s="132">
        <f>IF(SER_hh_fech!W12=0,0,SER_hh_fech!W12/SER_summary!W$26)</f>
        <v>92.345984371212452</v>
      </c>
      <c r="X12" s="132">
        <f>IF(SER_hh_fech!X12=0,0,SER_hh_fech!X12/SER_summary!X$26)</f>
        <v>107.37752332898056</v>
      </c>
      <c r="Y12" s="132">
        <f>IF(SER_hh_fech!Y12=0,0,SER_hh_fech!Y12/SER_summary!Y$26)</f>
        <v>96.0055107294463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43.2957778476055</v>
      </c>
      <c r="C13" s="132">
        <f>IF(SER_hh_fech!C13=0,0,SER_hh_fech!C13/SER_summary!C$26)</f>
        <v>55.546537037783629</v>
      </c>
      <c r="D13" s="132">
        <f>IF(SER_hh_fech!D13=0,0,SER_hh_fech!D13/SER_summary!D$26)</f>
        <v>50.312552706000155</v>
      </c>
      <c r="E13" s="132">
        <f>IF(SER_hh_fech!E13=0,0,SER_hh_fech!E13/SER_summary!E$26)</f>
        <v>55.625775431335036</v>
      </c>
      <c r="F13" s="132">
        <f>IF(SER_hh_fech!F13=0,0,SER_hh_fech!F13/SER_summary!F$26)</f>
        <v>49.806463723015831</v>
      </c>
      <c r="G13" s="132">
        <f>IF(SER_hh_fech!G13=0,0,SER_hh_fech!G13/SER_summary!G$26)</f>
        <v>53.28278332338536</v>
      </c>
      <c r="H13" s="132">
        <f>IF(SER_hh_fech!H13=0,0,SER_hh_fech!H13/SER_summary!H$26)</f>
        <v>53.869440834650121</v>
      </c>
      <c r="I13" s="132">
        <f>IF(SER_hh_fech!I13=0,0,SER_hh_fech!I13/SER_summary!I$26)</f>
        <v>51.198914807741609</v>
      </c>
      <c r="J13" s="132">
        <f>IF(SER_hh_fech!J13=0,0,SER_hh_fech!J13/SER_summary!J$26)</f>
        <v>52.567495194381927</v>
      </c>
      <c r="K13" s="132">
        <f>IF(SER_hh_fech!K13=0,0,SER_hh_fech!K13/SER_summary!K$26)</f>
        <v>53.286091918881674</v>
      </c>
      <c r="L13" s="132">
        <f>IF(SER_hh_fech!L13=0,0,SER_hh_fech!L13/SER_summary!L$26)</f>
        <v>52.288687552748229</v>
      </c>
      <c r="M13" s="132">
        <f>IF(SER_hh_fech!M13=0,0,SER_hh_fech!M13/SER_summary!M$26)</f>
        <v>48.259314132626038</v>
      </c>
      <c r="N13" s="132">
        <f>IF(SER_hh_fech!N13=0,0,SER_hh_fech!N13/SER_summary!N$26)</f>
        <v>43.697023090376035</v>
      </c>
      <c r="O13" s="132">
        <f>IF(SER_hh_fech!O13=0,0,SER_hh_fech!O13/SER_summary!O$26)</f>
        <v>35.075714762650392</v>
      </c>
      <c r="P13" s="132">
        <f>IF(SER_hh_fech!P13=0,0,SER_hh_fech!P13/SER_summary!P$26)</f>
        <v>37.494071771968194</v>
      </c>
      <c r="Q13" s="132">
        <f>IF(SER_hh_fech!Q13=0,0,SER_hh_fech!Q13/SER_summary!Q$26)</f>
        <v>34.771980603937344</v>
      </c>
      <c r="R13" s="132">
        <f>IF(SER_hh_fech!R13=0,0,SER_hh_fech!R13/SER_summary!R$26)</f>
        <v>33.463432866584633</v>
      </c>
      <c r="S13" s="132">
        <f>IF(SER_hh_fech!S13=0,0,SER_hh_fech!S13/SER_summary!S$26)</f>
        <v>31.179150024413801</v>
      </c>
      <c r="T13" s="132">
        <f>IF(SER_hh_fech!T13=0,0,SER_hh_fech!T13/SER_summary!T$26)</f>
        <v>28.75159595242966</v>
      </c>
      <c r="U13" s="132">
        <f>IF(SER_hh_fech!U13=0,0,SER_hh_fech!U13/SER_summary!U$26)</f>
        <v>27.3443901096155</v>
      </c>
      <c r="V13" s="132">
        <f>IF(SER_hh_fech!V13=0,0,SER_hh_fech!V13/SER_summary!V$26)</f>
        <v>26.087349365661762</v>
      </c>
      <c r="W13" s="132">
        <f>IF(SER_hh_fech!W13=0,0,SER_hh_fech!W13/SER_summary!W$26)</f>
        <v>27.655511364221063</v>
      </c>
      <c r="X13" s="132">
        <f>IF(SER_hh_fech!X13=0,0,SER_hh_fech!X13/SER_summary!X$26)</f>
        <v>26.293235385403772</v>
      </c>
      <c r="Y13" s="132">
        <f>IF(SER_hh_fech!Y13=0,0,SER_hh_fech!Y13/SER_summary!Y$26)</f>
        <v>26.484676529770375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105.45610598366029</v>
      </c>
      <c r="C14" s="65">
        <f>IF(SER_hh_fech!C14=0,0,SER_hh_fech!C14/SER_summary!C$26)</f>
        <v>124.56419466037248</v>
      </c>
      <c r="D14" s="65">
        <f>IF(SER_hh_fech!D14=0,0,SER_hh_fech!D14/SER_summary!D$26)</f>
        <v>112.18702049522426</v>
      </c>
      <c r="E14" s="65">
        <f>IF(SER_hh_fech!E14=0,0,SER_hh_fech!E14/SER_summary!E$26)</f>
        <v>129.60025272982242</v>
      </c>
      <c r="F14" s="65">
        <f>IF(SER_hh_fech!F14=0,0,SER_hh_fech!F14/SER_summary!F$26)</f>
        <v>126.47911506136568</v>
      </c>
      <c r="G14" s="65">
        <f>IF(SER_hh_fech!G14=0,0,SER_hh_fech!G14/SER_summary!G$26)</f>
        <v>135.99324179285722</v>
      </c>
      <c r="H14" s="65">
        <f>IF(SER_hh_fech!H14=0,0,SER_hh_fech!H14/SER_summary!H$26)</f>
        <v>153.47112516297727</v>
      </c>
      <c r="I14" s="65">
        <f>IF(SER_hh_fech!I14=0,0,SER_hh_fech!I14/SER_summary!I$26)</f>
        <v>121.67368096970618</v>
      </c>
      <c r="J14" s="65">
        <f>IF(SER_hh_fech!J14=0,0,SER_hh_fech!J14/SER_summary!J$26)</f>
        <v>149.72592337931076</v>
      </c>
      <c r="K14" s="65">
        <f>IF(SER_hh_fech!K14=0,0,SER_hh_fech!K14/SER_summary!K$26)</f>
        <v>124.07487510357622</v>
      </c>
      <c r="L14" s="65">
        <f>IF(SER_hh_fech!L14=0,0,SER_hh_fech!L14/SER_summary!L$26)</f>
        <v>153.2686833722492</v>
      </c>
      <c r="M14" s="65">
        <f>IF(SER_hh_fech!M14=0,0,SER_hh_fech!M14/SER_summary!M$26)</f>
        <v>145.16942244124405</v>
      </c>
      <c r="N14" s="65">
        <f>IF(SER_hh_fech!N14=0,0,SER_hh_fech!N14/SER_summary!N$26)</f>
        <v>137.78391277796484</v>
      </c>
      <c r="O14" s="65">
        <f>IF(SER_hh_fech!O14=0,0,SER_hh_fech!O14/SER_summary!O$26)</f>
        <v>111.42406624289842</v>
      </c>
      <c r="P14" s="65">
        <f>IF(SER_hh_fech!P14=0,0,SER_hh_fech!P14/SER_summary!P$26)</f>
        <v>118.48965855062085</v>
      </c>
      <c r="Q14" s="65">
        <f>IF(SER_hh_fech!Q14=0,0,SER_hh_fech!Q14/SER_summary!Q$26)</f>
        <v>108.1744028962006</v>
      </c>
      <c r="R14" s="65">
        <f>IF(SER_hh_fech!R14=0,0,SER_hh_fech!R14/SER_summary!R$26)</f>
        <v>121.67620498207006</v>
      </c>
      <c r="S14" s="65">
        <f>IF(SER_hh_fech!S14=0,0,SER_hh_fech!S14/SER_summary!S$26)</f>
        <v>105.73593507282992</v>
      </c>
      <c r="T14" s="65">
        <f>IF(SER_hh_fech!T14=0,0,SER_hh_fech!T14/SER_summary!T$26)</f>
        <v>113.56739784626292</v>
      </c>
      <c r="U14" s="65">
        <f>IF(SER_hh_fech!U14=0,0,SER_hh_fech!U14/SER_summary!U$26)</f>
        <v>105.34915381214273</v>
      </c>
      <c r="V14" s="65">
        <f>IF(SER_hh_fech!V14=0,0,SER_hh_fech!V14/SER_summary!V$26)</f>
        <v>99.224661407401484</v>
      </c>
      <c r="W14" s="65">
        <f>IF(SER_hh_fech!W14=0,0,SER_hh_fech!W14/SER_summary!W$26)</f>
        <v>112.44293080098245</v>
      </c>
      <c r="X14" s="65">
        <f>IF(SER_hh_fech!X14=0,0,SER_hh_fech!X14/SER_summary!X$26)</f>
        <v>98.419732560689567</v>
      </c>
      <c r="Y14" s="65">
        <f>IF(SER_hh_fech!Y14=0,0,SER_hh_fech!Y14/SER_summary!Y$26)</f>
        <v>111.29576874611877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0.9098189941074013</v>
      </c>
      <c r="C15" s="134">
        <f>IF(SER_hh_fech!C15=0,0,SER_hh_fech!C15/SER_summary!C$26)</f>
        <v>1.0107416377868588</v>
      </c>
      <c r="D15" s="134">
        <f>IF(SER_hh_fech!D15=0,0,SER_hh_fech!D15/SER_summary!D$26)</f>
        <v>1.1807099333661513</v>
      </c>
      <c r="E15" s="134">
        <f>IF(SER_hh_fech!E15=0,0,SER_hh_fech!E15/SER_summary!E$26)</f>
        <v>1.1529890950004873</v>
      </c>
      <c r="F15" s="134">
        <f>IF(SER_hh_fech!F15=0,0,SER_hh_fech!F15/SER_summary!F$26)</f>
        <v>1.1510891438373583</v>
      </c>
      <c r="G15" s="134">
        <f>IF(SER_hh_fech!G15=0,0,SER_hh_fech!G15/SER_summary!G$26)</f>
        <v>1.0675950762228545</v>
      </c>
      <c r="H15" s="134">
        <f>IF(SER_hh_fech!H15=0,0,SER_hh_fech!H15/SER_summary!H$26)</f>
        <v>1.1255198810217202</v>
      </c>
      <c r="I15" s="134">
        <f>IF(SER_hh_fech!I15=0,0,SER_hh_fech!I15/SER_summary!I$26)</f>
        <v>1.0140322100879386</v>
      </c>
      <c r="J15" s="134">
        <f>IF(SER_hh_fech!J15=0,0,SER_hh_fech!J15/SER_summary!J$26)</f>
        <v>1.0892152723171304</v>
      </c>
      <c r="K15" s="134">
        <f>IF(SER_hh_fech!K15=0,0,SER_hh_fech!K15/SER_summary!K$26)</f>
        <v>1.0923345358335177</v>
      </c>
      <c r="L15" s="134">
        <f>IF(SER_hh_fech!L15=0,0,SER_hh_fech!L15/SER_summary!L$26)</f>
        <v>1.2577309464686832</v>
      </c>
      <c r="M15" s="134">
        <f>IF(SER_hh_fech!M15=0,0,SER_hh_fech!M15/SER_summary!M$26)</f>
        <v>1.1179955300999813</v>
      </c>
      <c r="N15" s="134">
        <f>IF(SER_hh_fech!N15=0,0,SER_hh_fech!N15/SER_summary!N$26)</f>
        <v>1.0657151158505613</v>
      </c>
      <c r="O15" s="134">
        <f>IF(SER_hh_fech!O15=0,0,SER_hh_fech!O15/SER_summary!O$26)</f>
        <v>0.99397752379791759</v>
      </c>
      <c r="P15" s="134">
        <f>IF(SER_hh_fech!P15=0,0,SER_hh_fech!P15/SER_summary!P$26)</f>
        <v>0.85775960713327892</v>
      </c>
      <c r="Q15" s="134">
        <f>IF(SER_hh_fech!Q15=0,0,SER_hh_fech!Q15/SER_summary!Q$26)</f>
        <v>0.87870075483138133</v>
      </c>
      <c r="R15" s="134">
        <f>IF(SER_hh_fech!R15=0,0,SER_hh_fech!R15/SER_summary!R$26)</f>
        <v>1.0040481359088147</v>
      </c>
      <c r="S15" s="134">
        <f>IF(SER_hh_fech!S15=0,0,SER_hh_fech!S15/SER_summary!S$26)</f>
        <v>0.85034501920474237</v>
      </c>
      <c r="T15" s="134">
        <f>IF(SER_hh_fech!T15=0,0,SER_hh_fech!T15/SER_summary!T$26)</f>
        <v>0.81041831898586691</v>
      </c>
      <c r="U15" s="134">
        <f>IF(SER_hh_fech!U15=0,0,SER_hh_fech!U15/SER_summary!U$26)</f>
        <v>0.79919722249124592</v>
      </c>
      <c r="V15" s="134">
        <f>IF(SER_hh_fech!V15=0,0,SER_hh_fech!V15/SER_summary!V$26)</f>
        <v>0.76830085243727364</v>
      </c>
      <c r="W15" s="134">
        <f>IF(SER_hh_fech!W15=0,0,SER_hh_fech!W15/SER_summary!W$26)</f>
        <v>0.9746887666443409</v>
      </c>
      <c r="X15" s="134">
        <f>IF(SER_hh_fech!X15=0,0,SER_hh_fech!X15/SER_summary!X$26)</f>
        <v>0.91744993541947883</v>
      </c>
      <c r="Y15" s="134">
        <f>IF(SER_hh_fech!Y15=0,0,SER_hh_fech!Y15/SER_summary!Y$26)</f>
        <v>0.85514893173850159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15.322250954784328</v>
      </c>
      <c r="C16" s="130">
        <f>IF(SER_hh_fech!C16=0,0,SER_hh_fech!C16/SER_summary!C$26)</f>
        <v>14.944992243097404</v>
      </c>
      <c r="D16" s="130">
        <f>IF(SER_hh_fech!D16=0,0,SER_hh_fech!D16/SER_summary!D$26)</f>
        <v>14.590384925402226</v>
      </c>
      <c r="E16" s="130">
        <f>IF(SER_hh_fech!E16=0,0,SER_hh_fech!E16/SER_summary!E$26)</f>
        <v>13.681964710647442</v>
      </c>
      <c r="F16" s="130">
        <f>IF(SER_hh_fech!F16=0,0,SER_hh_fech!F16/SER_summary!F$26)</f>
        <v>12.926375974269707</v>
      </c>
      <c r="G16" s="130">
        <f>IF(SER_hh_fech!G16=0,0,SER_hh_fech!G16/SER_summary!G$26)</f>
        <v>12.337396274639595</v>
      </c>
      <c r="H16" s="130">
        <f>IF(SER_hh_fech!H16=0,0,SER_hh_fech!H16/SER_summary!H$26)</f>
        <v>12.298041001907961</v>
      </c>
      <c r="I16" s="130">
        <f>IF(SER_hh_fech!I16=0,0,SER_hh_fech!I16/SER_summary!I$26)</f>
        <v>11.147008440916613</v>
      </c>
      <c r="J16" s="130">
        <f>IF(SER_hh_fech!J16=0,0,SER_hh_fech!J16/SER_summary!J$26)</f>
        <v>10.375790120080291</v>
      </c>
      <c r="K16" s="130">
        <f>IF(SER_hh_fech!K16=0,0,SER_hh_fech!K16/SER_summary!K$26)</f>
        <v>10.181600668111859</v>
      </c>
      <c r="L16" s="130">
        <f>IF(SER_hh_fech!L16=0,0,SER_hh_fech!L16/SER_summary!L$26)</f>
        <v>11.274039289034212</v>
      </c>
      <c r="M16" s="130">
        <f>IF(SER_hh_fech!M16=0,0,SER_hh_fech!M16/SER_summary!M$26)</f>
        <v>9.6908190270658014</v>
      </c>
      <c r="N16" s="130">
        <f>IF(SER_hh_fech!N16=0,0,SER_hh_fech!N16/SER_summary!N$26)</f>
        <v>9.8563456261078262</v>
      </c>
      <c r="O16" s="130">
        <f>IF(SER_hh_fech!O16=0,0,SER_hh_fech!O16/SER_summary!O$26)</f>
        <v>9.5476092029122341</v>
      </c>
      <c r="P16" s="130">
        <f>IF(SER_hh_fech!P16=0,0,SER_hh_fech!P16/SER_summary!P$26)</f>
        <v>9.0720843086343468</v>
      </c>
      <c r="Q16" s="130">
        <f>IF(SER_hh_fech!Q16=0,0,SER_hh_fech!Q16/SER_summary!Q$26)</f>
        <v>10.004529173193347</v>
      </c>
      <c r="R16" s="130">
        <f>IF(SER_hh_fech!R16=0,0,SER_hh_fech!R16/SER_summary!R$26)</f>
        <v>8.3845689533898771</v>
      </c>
      <c r="S16" s="130">
        <f>IF(SER_hh_fech!S16=0,0,SER_hh_fech!S16/SER_summary!S$26)</f>
        <v>8.1616283486284988</v>
      </c>
      <c r="T16" s="130">
        <f>IF(SER_hh_fech!T16=0,0,SER_hh_fech!T16/SER_summary!T$26)</f>
        <v>8.141326497063254</v>
      </c>
      <c r="U16" s="130">
        <f>IF(SER_hh_fech!U16=0,0,SER_hh_fech!U16/SER_summary!U$26)</f>
        <v>8.6003019566506076</v>
      </c>
      <c r="V16" s="130">
        <f>IF(SER_hh_fech!V16=0,0,SER_hh_fech!V16/SER_summary!V$26)</f>
        <v>7.227926797909463</v>
      </c>
      <c r="W16" s="130">
        <f>IF(SER_hh_fech!W16=0,0,SER_hh_fech!W16/SER_summary!W$26)</f>
        <v>7.4963676858294628</v>
      </c>
      <c r="X16" s="130">
        <f>IF(SER_hh_fech!X16=0,0,SER_hh_fech!X16/SER_summary!X$26)</f>
        <v>7.8432550905637131</v>
      </c>
      <c r="Y16" s="130">
        <f>IF(SER_hh_fech!Y16=0,0,SER_hh_fech!Y16/SER_summary!Y$26)</f>
        <v>7.4446627933348726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25.599196940151721</v>
      </c>
      <c r="C17" s="132">
        <f>IF(SER_hh_fech!C17=0,0,SER_hh_fech!C17/SER_summary!C$26)</f>
        <v>25.37023413942088</v>
      </c>
      <c r="D17" s="132">
        <f>IF(SER_hh_fech!D17=0,0,SER_hh_fech!D17/SER_summary!D$26)</f>
        <v>25.354249752309929</v>
      </c>
      <c r="E17" s="132">
        <f>IF(SER_hh_fech!E17=0,0,SER_hh_fech!E17/SER_summary!E$26)</f>
        <v>24.474969494805006</v>
      </c>
      <c r="F17" s="132">
        <f>IF(SER_hh_fech!F17=0,0,SER_hh_fech!F17/SER_summary!F$26)</f>
        <v>23.90292327736605</v>
      </c>
      <c r="G17" s="132">
        <f>IF(SER_hh_fech!G17=0,0,SER_hh_fech!G17/SER_summary!G$26)</f>
        <v>23.677840572147183</v>
      </c>
      <c r="H17" s="132">
        <f>IF(SER_hh_fech!H17=0,0,SER_hh_fech!H17/SER_summary!H$26)</f>
        <v>24.636421324298713</v>
      </c>
      <c r="I17" s="132">
        <f>IF(SER_hh_fech!I17=0,0,SER_hh_fech!I17/SER_summary!I$26)</f>
        <v>23.272905747131141</v>
      </c>
      <c r="J17" s="132">
        <f>IF(SER_hh_fech!J17=0,0,SER_hh_fech!J17/SER_summary!J$26)</f>
        <v>22.552356513061078</v>
      </c>
      <c r="K17" s="132">
        <f>IF(SER_hh_fech!K17=0,0,SER_hh_fech!K17/SER_summary!K$26)</f>
        <v>22.415325492399447</v>
      </c>
      <c r="L17" s="132">
        <f>IF(SER_hh_fech!L17=0,0,SER_hh_fech!L17/SER_summary!L$26)</f>
        <v>25.203108127858698</v>
      </c>
      <c r="M17" s="132">
        <f>IF(SER_hh_fech!M17=0,0,SER_hh_fech!M17/SER_summary!M$26)</f>
        <v>21.988670256001654</v>
      </c>
      <c r="N17" s="132">
        <f>IF(SER_hh_fech!N17=0,0,SER_hh_fech!N17/SER_summary!N$26)</f>
        <v>22.734353668429989</v>
      </c>
      <c r="O17" s="132">
        <f>IF(SER_hh_fech!O17=0,0,SER_hh_fech!O17/SER_summary!O$26)</f>
        <v>22.272739750420701</v>
      </c>
      <c r="P17" s="132">
        <f>IF(SER_hh_fech!P17=0,0,SER_hh_fech!P17/SER_summary!P$26)</f>
        <v>21.441977532724842</v>
      </c>
      <c r="Q17" s="132">
        <f>IF(SER_hh_fech!Q17=0,0,SER_hh_fech!Q17/SER_summary!Q$26)</f>
        <v>24.187760882917004</v>
      </c>
      <c r="R17" s="132">
        <f>IF(SER_hh_fech!R17=0,0,SER_hh_fech!R17/SER_summary!R$26)</f>
        <v>20.516594023040156</v>
      </c>
      <c r="S17" s="132">
        <f>IF(SER_hh_fech!S17=0,0,SER_hh_fech!S17/SER_summary!S$26)</f>
        <v>20.401883464227605</v>
      </c>
      <c r="T17" s="132">
        <f>IF(SER_hh_fech!T17=0,0,SER_hh_fech!T17/SER_summary!T$26)</f>
        <v>20.771267946018895</v>
      </c>
      <c r="U17" s="132">
        <f>IF(SER_hh_fech!U17=0,0,SER_hh_fech!U17/SER_summary!U$26)</f>
        <v>22.294649393153993</v>
      </c>
      <c r="V17" s="132">
        <f>IF(SER_hh_fech!V17=0,0,SER_hh_fech!V17/SER_summary!V$26)</f>
        <v>18.274342479802545</v>
      </c>
      <c r="W17" s="132">
        <f>IF(SER_hh_fech!W17=0,0,SER_hh_fech!W17/SER_summary!W$26)</f>
        <v>18.892008969570107</v>
      </c>
      <c r="X17" s="132">
        <f>IF(SER_hh_fech!X17=0,0,SER_hh_fech!X17/SER_summary!X$26)</f>
        <v>21.188809307364206</v>
      </c>
      <c r="Y17" s="132">
        <f>IF(SER_hh_fech!Y17=0,0,SER_hh_fech!Y17/SER_summary!Y$26)</f>
        <v>19.811488830782704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15.308705934590185</v>
      </c>
      <c r="C18" s="132">
        <f>IF(SER_hh_fech!C18=0,0,SER_hh_fech!C18/SER_summary!C$26)</f>
        <v>14.930369661826271</v>
      </c>
      <c r="D18" s="132">
        <f>IF(SER_hh_fech!D18=0,0,SER_hh_fech!D18/SER_summary!D$26)</f>
        <v>14.573852198626444</v>
      </c>
      <c r="E18" s="132">
        <f>IF(SER_hh_fech!E18=0,0,SER_hh_fech!E18/SER_summary!E$26)</f>
        <v>13.664160925120301</v>
      </c>
      <c r="F18" s="132">
        <f>IF(SER_hh_fech!F18=0,0,SER_hh_fech!F18/SER_summary!F$26)</f>
        <v>12.905829783296003</v>
      </c>
      <c r="G18" s="132">
        <f>IF(SER_hh_fech!G18=0,0,SER_hh_fech!G18/SER_summary!G$26)</f>
        <v>12.314204607819393</v>
      </c>
      <c r="H18" s="132">
        <f>IF(SER_hh_fech!H18=0,0,SER_hh_fech!H18/SER_summary!H$26)</f>
        <v>12.272271781913279</v>
      </c>
      <c r="I18" s="132">
        <f>IF(SER_hh_fech!I18=0,0,SER_hh_fech!I18/SER_summary!I$26)</f>
        <v>11.119616560311297</v>
      </c>
      <c r="J18" s="132">
        <f>IF(SER_hh_fech!J18=0,0,SER_hh_fech!J18/SER_summary!J$26)</f>
        <v>10.347830678888482</v>
      </c>
      <c r="K18" s="132">
        <f>IF(SER_hh_fech!K18=0,0,SER_hh_fech!K18/SER_summary!K$26)</f>
        <v>10.152865607577873</v>
      </c>
      <c r="L18" s="132">
        <f>IF(SER_hh_fech!L18=0,0,SER_hh_fech!L18/SER_summary!L$26)</f>
        <v>11.241647032669952</v>
      </c>
      <c r="M18" s="132">
        <f>IF(SER_hh_fech!M18=0,0,SER_hh_fech!M18/SER_summary!M$26)</f>
        <v>9.6591629689400857</v>
      </c>
      <c r="N18" s="132">
        <f>IF(SER_hh_fech!N18=0,0,SER_hh_fech!N18/SER_summary!N$26)</f>
        <v>9.8200220394694338</v>
      </c>
      <c r="O18" s="132">
        <f>IF(SER_hh_fech!O18=0,0,SER_hh_fech!O18/SER_summary!O$26)</f>
        <v>9.5038321559361041</v>
      </c>
      <c r="P18" s="132">
        <f>IF(SER_hh_fech!P18=0,0,SER_hh_fech!P18/SER_summary!P$26)</f>
        <v>9.0160133002612799</v>
      </c>
      <c r="Q18" s="132">
        <f>IF(SER_hh_fech!Q18=0,0,SER_hh_fech!Q18/SER_summary!Q$26)</f>
        <v>9.9288486987715991</v>
      </c>
      <c r="R18" s="132">
        <f>IF(SER_hh_fech!R18=0,0,SER_hh_fech!R18/SER_summary!R$26)</f>
        <v>8.2885519471818885</v>
      </c>
      <c r="S18" s="132">
        <f>IF(SER_hh_fech!S18=0,0,SER_hh_fech!S18/SER_summary!S$26)</f>
        <v>8.0469634095530154</v>
      </c>
      <c r="T18" s="132">
        <f>IF(SER_hh_fech!T18=0,0,SER_hh_fech!T18/SER_summary!T$26)</f>
        <v>8.0121429101168928</v>
      </c>
      <c r="U18" s="132">
        <f>IF(SER_hh_fech!U18=0,0,SER_hh_fech!U18/SER_summary!U$26)</f>
        <v>8.4531091509345497</v>
      </c>
      <c r="V18" s="132">
        <f>IF(SER_hh_fech!V18=0,0,SER_hh_fech!V18/SER_summary!V$26)</f>
        <v>7.1048308260261903</v>
      </c>
      <c r="W18" s="132">
        <f>IF(SER_hh_fech!W18=0,0,SER_hh_fech!W18/SER_summary!W$26)</f>
        <v>7.3687513410151055</v>
      </c>
      <c r="X18" s="132">
        <f>IF(SER_hh_fech!X18=0,0,SER_hh_fech!X18/SER_summary!X$26)</f>
        <v>7.6931577713172841</v>
      </c>
      <c r="Y18" s="132">
        <f>IF(SER_hh_fech!Y18=0,0,SER_hh_fech!Y18/SER_summary!Y$26)</f>
        <v>7.301405305110146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14.264774435859797</v>
      </c>
      <c r="C19" s="130">
        <f>IF(SER_hh_fech!C19=0,0,SER_hh_fech!C19/SER_summary!C$26)</f>
        <v>15.696416452800472</v>
      </c>
      <c r="D19" s="130">
        <f>IF(SER_hh_fech!D19=0,0,SER_hh_fech!D19/SER_summary!D$26)</f>
        <v>18.882917276328531</v>
      </c>
      <c r="E19" s="130">
        <f>IF(SER_hh_fech!E19=0,0,SER_hh_fech!E19/SER_summary!E$26)</f>
        <v>20.299422513321112</v>
      </c>
      <c r="F19" s="130">
        <f>IF(SER_hh_fech!F19=0,0,SER_hh_fech!F19/SER_summary!F$26)</f>
        <v>21.42605452570962</v>
      </c>
      <c r="G19" s="130">
        <f>IF(SER_hh_fech!G19=0,0,SER_hh_fech!G19/SER_summary!G$26)</f>
        <v>21.460014851214126</v>
      </c>
      <c r="H19" s="130">
        <f>IF(SER_hh_fech!H19=0,0,SER_hh_fech!H19/SER_summary!H$26)</f>
        <v>22.543320408513299</v>
      </c>
      <c r="I19" s="130">
        <f>IF(SER_hh_fech!I19=0,0,SER_hh_fech!I19/SER_summary!I$26)</f>
        <v>23.757472036832102</v>
      </c>
      <c r="J19" s="130">
        <f>IF(SER_hh_fech!J19=0,0,SER_hh_fech!J19/SER_summary!J$26)</f>
        <v>24.297709364562692</v>
      </c>
      <c r="K19" s="130">
        <f>IF(SER_hh_fech!K19=0,0,SER_hh_fech!K19/SER_summary!K$26)</f>
        <v>24.225424516722587</v>
      </c>
      <c r="L19" s="130">
        <f>IF(SER_hh_fech!L19=0,0,SER_hh_fech!L19/SER_summary!L$26)</f>
        <v>24.300741242278491</v>
      </c>
      <c r="M19" s="130">
        <f>IF(SER_hh_fech!M19=0,0,SER_hh_fech!M19/SER_summary!M$26)</f>
        <v>24.223930162660583</v>
      </c>
      <c r="N19" s="130">
        <f>IF(SER_hh_fech!N19=0,0,SER_hh_fech!N19/SER_summary!N$26)</f>
        <v>24.456040254476363</v>
      </c>
      <c r="O19" s="130">
        <f>IF(SER_hh_fech!O19=0,0,SER_hh_fech!O19/SER_summary!O$26)</f>
        <v>24.779314923055377</v>
      </c>
      <c r="P19" s="130">
        <f>IF(SER_hh_fech!P19=0,0,SER_hh_fech!P19/SER_summary!P$26)</f>
        <v>24.678580930793068</v>
      </c>
      <c r="Q19" s="130">
        <f>IF(SER_hh_fech!Q19=0,0,SER_hh_fech!Q19/SER_summary!Q$26)</f>
        <v>24.954211529518243</v>
      </c>
      <c r="R19" s="130">
        <f>IF(SER_hh_fech!R19=0,0,SER_hh_fech!R19/SER_summary!R$26)</f>
        <v>25.083826763745972</v>
      </c>
      <c r="S19" s="130">
        <f>IF(SER_hh_fech!S19=0,0,SER_hh_fech!S19/SER_summary!S$26)</f>
        <v>24.129986641292216</v>
      </c>
      <c r="T19" s="130">
        <f>IF(SER_hh_fech!T19=0,0,SER_hh_fech!T19/SER_summary!T$26)</f>
        <v>23.283137790977424</v>
      </c>
      <c r="U19" s="130">
        <f>IF(SER_hh_fech!U19=0,0,SER_hh_fech!U19/SER_summary!U$26)</f>
        <v>22.599961406376583</v>
      </c>
      <c r="V19" s="130">
        <f>IF(SER_hh_fech!V19=0,0,SER_hh_fech!V19/SER_summary!V$26)</f>
        <v>20.553403996325613</v>
      </c>
      <c r="W19" s="130">
        <f>IF(SER_hh_fech!W19=0,0,SER_hh_fech!W19/SER_summary!W$26)</f>
        <v>22.015587495696302</v>
      </c>
      <c r="X19" s="130">
        <f>IF(SER_hh_fech!X19=0,0,SER_hh_fech!X19/SER_summary!X$26)</f>
        <v>21.543019324932636</v>
      </c>
      <c r="Y19" s="130">
        <f>IF(SER_hh_fech!Y19=0,0,SER_hh_fech!Y19/SER_summary!Y$26)</f>
        <v>20.721448996880795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12.237931468368767</v>
      </c>
      <c r="C20" s="132">
        <f>IF(SER_hh_fech!C20=0,0,SER_hh_fech!C20/SER_summary!C$26)</f>
        <v>18.840042396687068</v>
      </c>
      <c r="D20" s="132">
        <f>IF(SER_hh_fech!D20=0,0,SER_hh_fech!D20/SER_summary!D$26)</f>
        <v>22.291663789220653</v>
      </c>
      <c r="E20" s="132">
        <f>IF(SER_hh_fech!E20=0,0,SER_hh_fech!E20/SER_summary!E$26)</f>
        <v>22.187838317759631</v>
      </c>
      <c r="F20" s="132">
        <f>IF(SER_hh_fech!F20=0,0,SER_hh_fech!F20/SER_summary!F$26)</f>
        <v>23.291821070646495</v>
      </c>
      <c r="G20" s="132">
        <f>IF(SER_hh_fech!G20=0,0,SER_hh_fech!G20/SER_summary!G$26)</f>
        <v>23.64916014628599</v>
      </c>
      <c r="H20" s="132">
        <f>IF(SER_hh_fech!H20=0,0,SER_hh_fech!H20/SER_summary!H$26)</f>
        <v>21.970727038094751</v>
      </c>
      <c r="I20" s="132">
        <f>IF(SER_hh_fech!I20=0,0,SER_hh_fech!I20/SER_summary!I$26)</f>
        <v>26.076761304812194</v>
      </c>
      <c r="J20" s="132">
        <f>IF(SER_hh_fech!J20=0,0,SER_hh_fech!J20/SER_summary!J$26)</f>
        <v>25.928916173710412</v>
      </c>
      <c r="K20" s="132">
        <f>IF(SER_hh_fech!K20=0,0,SER_hh_fech!K20/SER_summary!K$26)</f>
        <v>25.519875876859796</v>
      </c>
      <c r="L20" s="132">
        <f>IF(SER_hh_fech!L20=0,0,SER_hh_fech!L20/SER_summary!L$26)</f>
        <v>26.047915044899195</v>
      </c>
      <c r="M20" s="132">
        <f>IF(SER_hh_fech!M20=0,0,SER_hh_fech!M20/SER_summary!M$26)</f>
        <v>25.538383409126592</v>
      </c>
      <c r="N20" s="132">
        <f>IF(SER_hh_fech!N20=0,0,SER_hh_fech!N20/SER_summary!N$26)</f>
        <v>25.473147104006756</v>
      </c>
      <c r="O20" s="132">
        <f>IF(SER_hh_fech!O20=0,0,SER_hh_fech!O20/SER_summary!O$26)</f>
        <v>25.842340054800822</v>
      </c>
      <c r="P20" s="132">
        <f>IF(SER_hh_fech!P20=0,0,SER_hh_fech!P20/SER_summary!P$26)</f>
        <v>25.652354124459567</v>
      </c>
      <c r="Q20" s="132">
        <f>IF(SER_hh_fech!Q20=0,0,SER_hh_fech!Q20/SER_summary!Q$26)</f>
        <v>25.771678947031297</v>
      </c>
      <c r="R20" s="132">
        <f>IF(SER_hh_fech!R20=0,0,SER_hh_fech!R20/SER_summary!R$26)</f>
        <v>29.091734785321002</v>
      </c>
      <c r="S20" s="132">
        <f>IF(SER_hh_fech!S20=0,0,SER_hh_fech!S20/SER_summary!S$26)</f>
        <v>26.957636198559999</v>
      </c>
      <c r="T20" s="132">
        <f>IF(SER_hh_fech!T20=0,0,SER_hh_fech!T20/SER_summary!T$26)</f>
        <v>22.526860950827384</v>
      </c>
      <c r="U20" s="132">
        <f>IF(SER_hh_fech!U20=0,0,SER_hh_fech!U20/SER_summary!U$26)</f>
        <v>19.048557402354213</v>
      </c>
      <c r="V20" s="132">
        <f>IF(SER_hh_fech!V20=0,0,SER_hh_fech!V20/SER_summary!V$26)</f>
        <v>23.663689921859564</v>
      </c>
      <c r="W20" s="132">
        <f>IF(SER_hh_fech!W20=0,0,SER_hh_fech!W20/SER_summary!W$26)</f>
        <v>38.827579913142053</v>
      </c>
      <c r="X20" s="132">
        <f>IF(SER_hh_fech!X20=0,0,SER_hh_fech!X20/SER_summary!X$26)</f>
        <v>23.552472295481646</v>
      </c>
      <c r="Y20" s="132">
        <f>IF(SER_hh_fech!Y20=0,0,SER_hh_fech!Y20/SER_summary!Y$26)</f>
        <v>21.747949534947523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15.692528772389307</v>
      </c>
      <c r="C21" s="132">
        <f>IF(SER_hh_fech!C21=0,0,SER_hh_fech!C21/SER_summary!C$26)</f>
        <v>19.340334116176056</v>
      </c>
      <c r="D21" s="132">
        <f>IF(SER_hh_fech!D21=0,0,SER_hh_fech!D21/SER_summary!D$26)</f>
        <v>18.579184356620576</v>
      </c>
      <c r="E21" s="132">
        <f>IF(SER_hh_fech!E21=0,0,SER_hh_fech!E21/SER_summary!E$26)</f>
        <v>28.136154081202029</v>
      </c>
      <c r="F21" s="132">
        <f>IF(SER_hh_fech!F21=0,0,SER_hh_fech!F21/SER_summary!F$26)</f>
        <v>24.790182147543685</v>
      </c>
      <c r="G21" s="132">
        <f>IF(SER_hh_fech!G21=0,0,SER_hh_fech!G21/SER_summary!G$26)</f>
        <v>22.966966869270315</v>
      </c>
      <c r="H21" s="132">
        <f>IF(SER_hh_fech!H21=0,0,SER_hh_fech!H21/SER_summary!H$26)</f>
        <v>27.885109545636656</v>
      </c>
      <c r="I21" s="132">
        <f>IF(SER_hh_fech!I21=0,0,SER_hh_fech!I21/SER_summary!I$26)</f>
        <v>27.477417574988166</v>
      </c>
      <c r="J21" s="132">
        <f>IF(SER_hh_fech!J21=0,0,SER_hh_fech!J21/SER_summary!J$26)</f>
        <v>28.227294763895713</v>
      </c>
      <c r="K21" s="132">
        <f>IF(SER_hh_fech!K21=0,0,SER_hh_fech!K21/SER_summary!K$26)</f>
        <v>27.787909382657013</v>
      </c>
      <c r="L21" s="132">
        <f>IF(SER_hh_fech!L21=0,0,SER_hh_fech!L21/SER_summary!L$26)</f>
        <v>27.363500685544334</v>
      </c>
      <c r="M21" s="132">
        <f>IF(SER_hh_fech!M21=0,0,SER_hh_fech!M21/SER_summary!M$26)</f>
        <v>27.139190112924716</v>
      </c>
      <c r="N21" s="132">
        <f>IF(SER_hh_fech!N21=0,0,SER_hh_fech!N21/SER_summary!N$26)</f>
        <v>35.965032951543286</v>
      </c>
      <c r="O21" s="132">
        <f>IF(SER_hh_fech!O21=0,0,SER_hh_fech!O21/SER_summary!O$26)</f>
        <v>24.050860704634648</v>
      </c>
      <c r="P21" s="132">
        <f>IF(SER_hh_fech!P21=0,0,SER_hh_fech!P21/SER_summary!P$26)</f>
        <v>28.716828282752779</v>
      </c>
      <c r="Q21" s="132">
        <f>IF(SER_hh_fech!Q21=0,0,SER_hh_fech!Q21/SER_summary!Q$26)</f>
        <v>27.829372880219221</v>
      </c>
      <c r="R21" s="132">
        <f>IF(SER_hh_fech!R21=0,0,SER_hh_fech!R21/SER_summary!R$26)</f>
        <v>28.628697624152689</v>
      </c>
      <c r="S21" s="132">
        <f>IF(SER_hh_fech!S21=0,0,SER_hh_fech!S21/SER_summary!S$26)</f>
        <v>27.984741872585388</v>
      </c>
      <c r="T21" s="132">
        <f>IF(SER_hh_fech!T21=0,0,SER_hh_fech!T21/SER_summary!T$26)</f>
        <v>25.62526782617147</v>
      </c>
      <c r="U21" s="132">
        <f>IF(SER_hh_fech!U21=0,0,SER_hh_fech!U21/SER_summary!U$26)</f>
        <v>29.05398608741271</v>
      </c>
      <c r="V21" s="132">
        <f>IF(SER_hh_fech!V21=0,0,SER_hh_fech!V21/SER_summary!V$26)</f>
        <v>22.378548171616956</v>
      </c>
      <c r="W21" s="132">
        <f>IF(SER_hh_fech!W21=0,0,SER_hh_fech!W21/SER_summary!W$26)</f>
        <v>24.571549839520795</v>
      </c>
      <c r="X21" s="132">
        <f>IF(SER_hh_fech!X21=0,0,SER_hh_fech!X21/SER_summary!X$26)</f>
        <v>24.317621956753104</v>
      </c>
      <c r="Y21" s="132">
        <f>IF(SER_hh_fech!Y21=0,0,SER_hh_fech!Y21/SER_summary!Y$26)</f>
        <v>24.532350949484385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17.817756006035555</v>
      </c>
      <c r="C22" s="132">
        <f>IF(SER_hh_fech!C22=0,0,SER_hh_fech!C22/SER_summary!C$26)</f>
        <v>18.649128802236369</v>
      </c>
      <c r="D22" s="132">
        <f>IF(SER_hh_fech!D22=0,0,SER_hh_fech!D22/SER_summary!D$26)</f>
        <v>22.740698076051018</v>
      </c>
      <c r="E22" s="132">
        <f>IF(SER_hh_fech!E22=0,0,SER_hh_fech!E22/SER_summary!E$26)</f>
        <v>24.557732392901087</v>
      </c>
      <c r="F22" s="132">
        <f>IF(SER_hh_fech!F22=0,0,SER_hh_fech!F22/SER_summary!F$26)</f>
        <v>26.198385729269582</v>
      </c>
      <c r="G22" s="132">
        <f>IF(SER_hh_fech!G22=0,0,SER_hh_fech!G22/SER_summary!G$26)</f>
        <v>25.674031142607841</v>
      </c>
      <c r="H22" s="132">
        <f>IF(SER_hh_fech!H22=0,0,SER_hh_fech!H22/SER_summary!H$26)</f>
        <v>27.466077500796974</v>
      </c>
      <c r="I22" s="132">
        <f>IF(SER_hh_fech!I22=0,0,SER_hh_fech!I22/SER_summary!I$26)</f>
        <v>29.243190283964477</v>
      </c>
      <c r="J22" s="132">
        <f>IF(SER_hh_fech!J22=0,0,SER_hh_fech!J22/SER_summary!J$26)</f>
        <v>29.98944475870243</v>
      </c>
      <c r="K22" s="132">
        <f>IF(SER_hh_fech!K22=0,0,SER_hh_fech!K22/SER_summary!K$26)</f>
        <v>29.612644455623755</v>
      </c>
      <c r="L22" s="132">
        <f>IF(SER_hh_fech!L22=0,0,SER_hh_fech!L22/SER_summary!L$26)</f>
        <v>30.542347996768775</v>
      </c>
      <c r="M22" s="132">
        <f>IF(SER_hh_fech!M22=0,0,SER_hh_fech!M22/SER_summary!M$26)</f>
        <v>29.930543852010814</v>
      </c>
      <c r="N22" s="132">
        <f>IF(SER_hh_fech!N22=0,0,SER_hh_fech!N22/SER_summary!N$26)</f>
        <v>29.845473925937718</v>
      </c>
      <c r="O22" s="132">
        <f>IF(SER_hh_fech!O22=0,0,SER_hh_fech!O22/SER_summary!O$26)</f>
        <v>30.16371329821088</v>
      </c>
      <c r="P22" s="132">
        <f>IF(SER_hh_fech!P22=0,0,SER_hh_fech!P22/SER_summary!P$26)</f>
        <v>30.030546129191841</v>
      </c>
      <c r="Q22" s="132">
        <f>IF(SER_hh_fech!Q22=0,0,SER_hh_fech!Q22/SER_summary!Q$26)</f>
        <v>30.432005770693351</v>
      </c>
      <c r="R22" s="132">
        <f>IF(SER_hh_fech!R22=0,0,SER_hh_fech!R22/SER_summary!R$26)</f>
        <v>29.503619637163744</v>
      </c>
      <c r="S22" s="132">
        <f>IF(SER_hh_fech!S22=0,0,SER_hh_fech!S22/SER_summary!S$26)</f>
        <v>30.66332138414678</v>
      </c>
      <c r="T22" s="132">
        <f>IF(SER_hh_fech!T22=0,0,SER_hh_fech!T22/SER_summary!T$26)</f>
        <v>29.153838442925355</v>
      </c>
      <c r="U22" s="132">
        <f>IF(SER_hh_fech!U22=0,0,SER_hh_fech!U22/SER_summary!U$26)</f>
        <v>24.472898888832599</v>
      </c>
      <c r="V22" s="132">
        <f>IF(SER_hh_fech!V22=0,0,SER_hh_fech!V22/SER_summary!V$26)</f>
        <v>23.913874189801263</v>
      </c>
      <c r="W22" s="132">
        <f>IF(SER_hh_fech!W22=0,0,SER_hh_fech!W22/SER_summary!W$26)</f>
        <v>26.550927912839125</v>
      </c>
      <c r="X22" s="132">
        <f>IF(SER_hh_fech!X22=0,0,SER_hh_fech!X22/SER_summary!X$26)</f>
        <v>26.73740957762702</v>
      </c>
      <c r="Y22" s="132">
        <f>IF(SER_hh_fech!Y22=0,0,SER_hh_fech!Y22/SER_summary!Y$26)</f>
        <v>23.317854093116313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15.776630750628772</v>
      </c>
      <c r="C23" s="132">
        <f>IF(SER_hh_fech!C23=0,0,SER_hh_fech!C23/SER_summary!C$26)</f>
        <v>18.734285671735844</v>
      </c>
      <c r="D23" s="132">
        <f>IF(SER_hh_fech!D23=0,0,SER_hh_fech!D23/SER_summary!D$26)</f>
        <v>20.628352946754347</v>
      </c>
      <c r="E23" s="132">
        <f>IF(SER_hh_fech!E23=0,0,SER_hh_fech!E23/SER_summary!E$26)</f>
        <v>24.435233405243817</v>
      </c>
      <c r="F23" s="132">
        <f>IF(SER_hh_fech!F23=0,0,SER_hh_fech!F23/SER_summary!F$26)</f>
        <v>24.295903777126995</v>
      </c>
      <c r="G23" s="132">
        <f>IF(SER_hh_fech!G23=0,0,SER_hh_fech!G23/SER_summary!G$26)</f>
        <v>24.653607551972236</v>
      </c>
      <c r="H23" s="132">
        <f>IF(SER_hh_fech!H23=0,0,SER_hh_fech!H23/SER_summary!H$26)</f>
        <v>25.308624376002729</v>
      </c>
      <c r="I23" s="132">
        <f>IF(SER_hh_fech!I23=0,0,SER_hh_fech!I23/SER_summary!I$26)</f>
        <v>26.379656487879554</v>
      </c>
      <c r="J23" s="132">
        <f>IF(SER_hh_fech!J23=0,0,SER_hh_fech!J23/SER_summary!J$26)</f>
        <v>27.417293857962246</v>
      </c>
      <c r="K23" s="132">
        <f>IF(SER_hh_fech!K23=0,0,SER_hh_fech!K23/SER_summary!K$26)</f>
        <v>26.631673491285603</v>
      </c>
      <c r="L23" s="132">
        <f>IF(SER_hh_fech!L23=0,0,SER_hh_fech!L23/SER_summary!L$26)</f>
        <v>27.899841588602893</v>
      </c>
      <c r="M23" s="132">
        <f>IF(SER_hh_fech!M23=0,0,SER_hh_fech!M23/SER_summary!M$26)</f>
        <v>27.373167745251692</v>
      </c>
      <c r="N23" s="132">
        <f>IF(SER_hh_fech!N23=0,0,SER_hh_fech!N23/SER_summary!N$26)</f>
        <v>26.942783607200187</v>
      </c>
      <c r="O23" s="132">
        <f>IF(SER_hh_fech!O23=0,0,SER_hh_fech!O23/SER_summary!O$26)</f>
        <v>27.241447833330895</v>
      </c>
      <c r="P23" s="132">
        <f>IF(SER_hh_fech!P23=0,0,SER_hh_fech!P23/SER_summary!P$26)</f>
        <v>27.409378465624428</v>
      </c>
      <c r="Q23" s="132">
        <f>IF(SER_hh_fech!Q23=0,0,SER_hh_fech!Q23/SER_summary!Q$26)</f>
        <v>28.231213607183403</v>
      </c>
      <c r="R23" s="132">
        <f>IF(SER_hh_fech!R23=0,0,SER_hh_fech!R23/SER_summary!R$26)</f>
        <v>29.498274258387422</v>
      </c>
      <c r="S23" s="132">
        <f>IF(SER_hh_fech!S23=0,0,SER_hh_fech!S23/SER_summary!S$26)</f>
        <v>25.862090441082611</v>
      </c>
      <c r="T23" s="132">
        <f>IF(SER_hh_fech!T23=0,0,SER_hh_fech!T23/SER_summary!T$26)</f>
        <v>26.364410154937879</v>
      </c>
      <c r="U23" s="132">
        <f>IF(SER_hh_fech!U23=0,0,SER_hh_fech!U23/SER_summary!U$26)</f>
        <v>24.475524981355505</v>
      </c>
      <c r="V23" s="132">
        <f>IF(SER_hh_fech!V23=0,0,SER_hh_fech!V23/SER_summary!V$26)</f>
        <v>21.119858692992583</v>
      </c>
      <c r="W23" s="132">
        <f>IF(SER_hh_fech!W23=0,0,SER_hh_fech!W23/SER_summary!W$26)</f>
        <v>27.225004033857331</v>
      </c>
      <c r="X23" s="132">
        <f>IF(SER_hh_fech!X23=0,0,SER_hh_fech!X23/SER_summary!X$26)</f>
        <v>24.865304853192548</v>
      </c>
      <c r="Y23" s="132">
        <f>IF(SER_hh_fech!Y23=0,0,SER_hh_fech!Y23/SER_summary!Y$26)</f>
        <v>22.913942589574059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20.373012291929772</v>
      </c>
      <c r="C24" s="132">
        <f>IF(SER_hh_fech!C24=0,0,SER_hh_fech!C24/SER_summary!C$26)</f>
        <v>21.157335431919964</v>
      </c>
      <c r="D24" s="132">
        <f>IF(SER_hh_fech!D24=0,0,SER_hh_fech!D24/SER_summary!D$26)</f>
        <v>26.129486891244564</v>
      </c>
      <c r="E24" s="132">
        <f>IF(SER_hh_fech!E24=0,0,SER_hh_fech!E24/SER_summary!E$26)</f>
        <v>27.071641028954033</v>
      </c>
      <c r="F24" s="132">
        <f>IF(SER_hh_fech!F24=0,0,SER_hh_fech!F24/SER_summary!F$26)</f>
        <v>27.529533069740619</v>
      </c>
      <c r="G24" s="132">
        <f>IF(SER_hh_fech!G24=0,0,SER_hh_fech!G24/SER_summary!G$26)</f>
        <v>26.356266205797269</v>
      </c>
      <c r="H24" s="132">
        <f>IF(SER_hh_fech!H24=0,0,SER_hh_fech!H24/SER_summary!H$26)</f>
        <v>27.396717171629376</v>
      </c>
      <c r="I24" s="132">
        <f>IF(SER_hh_fech!I24=0,0,SER_hh_fech!I24/SER_summary!I$26)</f>
        <v>29.320526552868291</v>
      </c>
      <c r="J24" s="132">
        <f>IF(SER_hh_fech!J24=0,0,SER_hh_fech!J24/SER_summary!J$26)</f>
        <v>29.160761424931859</v>
      </c>
      <c r="K24" s="132">
        <f>IF(SER_hh_fech!K24=0,0,SER_hh_fech!K24/SER_summary!K$26)</f>
        <v>27.99289468614753</v>
      </c>
      <c r="L24" s="132">
        <f>IF(SER_hh_fech!L24=0,0,SER_hh_fech!L24/SER_summary!L$26)</f>
        <v>26.972330322070956</v>
      </c>
      <c r="M24" s="132">
        <f>IF(SER_hh_fech!M24=0,0,SER_hh_fech!M24/SER_summary!M$26)</f>
        <v>26.487085564772812</v>
      </c>
      <c r="N24" s="132">
        <f>IF(SER_hh_fech!N24=0,0,SER_hh_fech!N24/SER_summary!N$26)</f>
        <v>26.344627664183204</v>
      </c>
      <c r="O24" s="132">
        <f>IF(SER_hh_fech!O24=0,0,SER_hh_fech!O24/SER_summary!O$26)</f>
        <v>25.865440844623286</v>
      </c>
      <c r="P24" s="132">
        <f>IF(SER_hh_fech!P24=0,0,SER_hh_fech!P24/SER_summary!P$26)</f>
        <v>25.156438485025912</v>
      </c>
      <c r="Q24" s="132">
        <f>IF(SER_hh_fech!Q24=0,0,SER_hh_fech!Q24/SER_summary!Q$26)</f>
        <v>25.576328455839452</v>
      </c>
      <c r="R24" s="132">
        <f>IF(SER_hh_fech!R24=0,0,SER_hh_fech!R24/SER_summary!R$26)</f>
        <v>27.291238799711788</v>
      </c>
      <c r="S24" s="132">
        <f>IF(SER_hh_fech!S24=0,0,SER_hh_fech!S24/SER_summary!S$26)</f>
        <v>26.901871689641645</v>
      </c>
      <c r="T24" s="132">
        <f>IF(SER_hh_fech!T24=0,0,SER_hh_fech!T24/SER_summary!T$26)</f>
        <v>23.13163803867938</v>
      </c>
      <c r="U24" s="132">
        <f>IF(SER_hh_fech!U24=0,0,SER_hh_fech!U24/SER_summary!U$26)</f>
        <v>21.809332081323024</v>
      </c>
      <c r="V24" s="132">
        <f>IF(SER_hh_fech!V24=0,0,SER_hh_fech!V24/SER_summary!V$26)</f>
        <v>23.747681488968009</v>
      </c>
      <c r="W24" s="132">
        <f>IF(SER_hh_fech!W24=0,0,SER_hh_fech!W24/SER_summary!W$26)</f>
        <v>27.217987758787192</v>
      </c>
      <c r="X24" s="132">
        <f>IF(SER_hh_fech!X24=0,0,SER_hh_fech!X24/SER_summary!X$26)</f>
        <v>21.037040447698686</v>
      </c>
      <c r="Y24" s="132">
        <f>IF(SER_hh_fech!Y24=0,0,SER_hh_fech!Y24/SER_summary!Y$26)</f>
        <v>23.057914344918402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11.196895422247586</v>
      </c>
      <c r="C25" s="132">
        <f>IF(SER_hh_fech!C25=0,0,SER_hh_fech!C25/SER_summary!C$26)</f>
        <v>12.51122292842005</v>
      </c>
      <c r="D25" s="132">
        <f>IF(SER_hh_fech!D25=0,0,SER_hh_fech!D25/SER_summary!D$26)</f>
        <v>14.575412169139589</v>
      </c>
      <c r="E25" s="132">
        <f>IF(SER_hh_fech!E25=0,0,SER_hh_fech!E25/SER_summary!E$26)</f>
        <v>15.194101673732241</v>
      </c>
      <c r="F25" s="132">
        <f>IF(SER_hh_fech!F25=0,0,SER_hh_fech!F25/SER_summary!F$26)</f>
        <v>17.680615751799373</v>
      </c>
      <c r="G25" s="132">
        <f>IF(SER_hh_fech!G25=0,0,SER_hh_fech!G25/SER_summary!G$26)</f>
        <v>17.665335074953642</v>
      </c>
      <c r="H25" s="132">
        <f>IF(SER_hh_fech!H25=0,0,SER_hh_fech!H25/SER_summary!H$26)</f>
        <v>18.262926004532929</v>
      </c>
      <c r="I25" s="132">
        <f>IF(SER_hh_fech!I25=0,0,SER_hh_fech!I25/SER_summary!I$26)</f>
        <v>19.097903570831175</v>
      </c>
      <c r="J25" s="132">
        <f>IF(SER_hh_fech!J25=0,0,SER_hh_fech!J25/SER_summary!J$26)</f>
        <v>19.851591960451419</v>
      </c>
      <c r="K25" s="132">
        <f>IF(SER_hh_fech!K25=0,0,SER_hh_fech!K25/SER_summary!K$26)</f>
        <v>20.050848026966634</v>
      </c>
      <c r="L25" s="132">
        <f>IF(SER_hh_fech!L25=0,0,SER_hh_fech!L25/SER_summary!L$26)</f>
        <v>19.942779224534775</v>
      </c>
      <c r="M25" s="132">
        <f>IF(SER_hh_fech!M25=0,0,SER_hh_fech!M25/SER_summary!M$26)</f>
        <v>19.912591836011899</v>
      </c>
      <c r="N25" s="132">
        <f>IF(SER_hh_fech!N25=0,0,SER_hh_fech!N25/SER_summary!N$26)</f>
        <v>20.247221917326364</v>
      </c>
      <c r="O25" s="132">
        <f>IF(SER_hh_fech!O25=0,0,SER_hh_fech!O25/SER_summary!O$26)</f>
        <v>20.961423754970653</v>
      </c>
      <c r="P25" s="132">
        <f>IF(SER_hh_fech!P25=0,0,SER_hh_fech!P25/SER_summary!P$26)</f>
        <v>20.583592197807242</v>
      </c>
      <c r="Q25" s="132">
        <f>IF(SER_hh_fech!Q25=0,0,SER_hh_fech!Q25/SER_summary!Q$26)</f>
        <v>20.231597926225202</v>
      </c>
      <c r="R25" s="132">
        <f>IF(SER_hh_fech!R25=0,0,SER_hh_fech!R25/SER_summary!R$26)</f>
        <v>20.669191689721519</v>
      </c>
      <c r="S25" s="132">
        <f>IF(SER_hh_fech!S25=0,0,SER_hh_fech!S25/SER_summary!S$26)</f>
        <v>23.734728272285281</v>
      </c>
      <c r="T25" s="132">
        <f>IF(SER_hh_fech!T25=0,0,SER_hh_fech!T25/SER_summary!T$26)</f>
        <v>19.349419876420679</v>
      </c>
      <c r="U25" s="132">
        <f>IF(SER_hh_fech!U25=0,0,SER_hh_fech!U25/SER_summary!U$26)</f>
        <v>19.580354840369552</v>
      </c>
      <c r="V25" s="132">
        <f>IF(SER_hh_fech!V25=0,0,SER_hh_fech!V25/SER_summary!V$26)</f>
        <v>20.083915281477282</v>
      </c>
      <c r="W25" s="132">
        <f>IF(SER_hh_fech!W25=0,0,SER_hh_fech!W25/SER_summary!W$26)</f>
        <v>17.19355020762282</v>
      </c>
      <c r="X25" s="132">
        <f>IF(SER_hh_fech!X25=0,0,SER_hh_fech!X25/SER_summary!X$26)</f>
        <v>20.838754116002701</v>
      </c>
      <c r="Y25" s="132">
        <f>IF(SER_hh_fech!Y25=0,0,SER_hh_fech!Y25/SER_summary!Y$26)</f>
        <v>18.719159094580366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14.239139702292192</v>
      </c>
      <c r="C26" s="65">
        <f>IF(SER_hh_fech!C26=0,0,SER_hh_fech!C26/SER_summary!C$26)</f>
        <v>14.431615517553617</v>
      </c>
      <c r="D26" s="65">
        <f>IF(SER_hh_fech!D26=0,0,SER_hh_fech!D26/SER_summary!D$26)</f>
        <v>19.256917858786124</v>
      </c>
      <c r="E26" s="65">
        <f>IF(SER_hh_fech!E26=0,0,SER_hh_fech!E26/SER_summary!E$26)</f>
        <v>17.779006199519337</v>
      </c>
      <c r="F26" s="65">
        <f>IF(SER_hh_fech!F26=0,0,SER_hh_fech!F26/SER_summary!F$26)</f>
        <v>20.295986933464398</v>
      </c>
      <c r="G26" s="65">
        <f>IF(SER_hh_fech!G26=0,0,SER_hh_fech!G26/SER_summary!G$26)</f>
        <v>21.016382035223906</v>
      </c>
      <c r="H26" s="65">
        <f>IF(SER_hh_fech!H26=0,0,SER_hh_fech!H26/SER_summary!H$26)</f>
        <v>21.799585910008137</v>
      </c>
      <c r="I26" s="65">
        <f>IF(SER_hh_fech!I26=0,0,SER_hh_fech!I26/SER_summary!I$26)</f>
        <v>23.373350155998573</v>
      </c>
      <c r="J26" s="65">
        <f>IF(SER_hh_fech!J26=0,0,SER_hh_fech!J26/SER_summary!J$26)</f>
        <v>23.634201446148854</v>
      </c>
      <c r="K26" s="65">
        <f>IF(SER_hh_fech!K26=0,0,SER_hh_fech!K26/SER_summary!K$26)</f>
        <v>23.799603782905443</v>
      </c>
      <c r="L26" s="65">
        <f>IF(SER_hh_fech!L26=0,0,SER_hh_fech!L26/SER_summary!L$26)</f>
        <v>23.375071940294838</v>
      </c>
      <c r="M26" s="65">
        <f>IF(SER_hh_fech!M26=0,0,SER_hh_fech!M26/SER_summary!M$26)</f>
        <v>23.500303413307257</v>
      </c>
      <c r="N26" s="65">
        <f>IF(SER_hh_fech!N26=0,0,SER_hh_fech!N26/SER_summary!N$26)</f>
        <v>22.750652098987374</v>
      </c>
      <c r="O26" s="65">
        <f>IF(SER_hh_fech!O26=0,0,SER_hh_fech!O26/SER_summary!O$26)</f>
        <v>24.604683576457866</v>
      </c>
      <c r="P26" s="65">
        <f>IF(SER_hh_fech!P26=0,0,SER_hh_fech!P26/SER_summary!P$26)</f>
        <v>23.964416146575996</v>
      </c>
      <c r="Q26" s="65">
        <f>IF(SER_hh_fech!Q26=0,0,SER_hh_fech!Q26/SER_summary!Q$26)</f>
        <v>24.445371471172162</v>
      </c>
      <c r="R26" s="65">
        <f>IF(SER_hh_fech!R26=0,0,SER_hh_fech!R26/SER_summary!R$26)</f>
        <v>23.882429743978101</v>
      </c>
      <c r="S26" s="65">
        <f>IF(SER_hh_fech!S26=0,0,SER_hh_fech!S26/SER_summary!S$26)</f>
        <v>22.330286151144971</v>
      </c>
      <c r="T26" s="65">
        <f>IF(SER_hh_fech!T26=0,0,SER_hh_fech!T26/SER_summary!T$26)</f>
        <v>23.045339151057338</v>
      </c>
      <c r="U26" s="65">
        <f>IF(SER_hh_fech!U26=0,0,SER_hh_fech!U26/SER_summary!U$26)</f>
        <v>22.47682822834539</v>
      </c>
      <c r="V26" s="65">
        <f>IF(SER_hh_fech!V26=0,0,SER_hh_fech!V26/SER_summary!V$26)</f>
        <v>19.747206056364597</v>
      </c>
      <c r="W26" s="65">
        <f>IF(SER_hh_fech!W26=0,0,SER_hh_fech!W26/SER_summary!W$26)</f>
        <v>21.019195461374988</v>
      </c>
      <c r="X26" s="65">
        <f>IF(SER_hh_fech!X26=0,0,SER_hh_fech!X26/SER_summary!X$26)</f>
        <v>20.521504014179349</v>
      </c>
      <c r="Y26" s="65">
        <f>IF(SER_hh_fech!Y26=0,0,SER_hh_fech!Y26/SER_summary!Y$26)</f>
        <v>20.277727899415225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9.7383583267630545E-4</v>
      </c>
      <c r="E27" s="145">
        <f>IF(SER_hh_fech!E27=0,0,SER_hh_fech!E27/SER_summary!E$26)</f>
        <v>9.5705950759254852E-4</v>
      </c>
      <c r="F27" s="145">
        <f>IF(SER_hh_fech!F27=0,0,SER_hh_fech!F27/SER_summary!F$26)</f>
        <v>3.7197202551142909E-3</v>
      </c>
      <c r="G27" s="145">
        <f>IF(SER_hh_fech!G27=0,0,SER_hh_fech!G27/SER_summary!G$26)</f>
        <v>5.4599095324256832E-3</v>
      </c>
      <c r="H27" s="145">
        <f>IF(SER_hh_fech!H27=0,0,SER_hh_fech!H27/SER_summary!H$26)</f>
        <v>9.6391593107406498E-3</v>
      </c>
      <c r="I27" s="145">
        <f>IF(SER_hh_fech!I27=0,0,SER_hh_fech!I27/SER_summary!I$26)</f>
        <v>1.2623148909410506E-2</v>
      </c>
      <c r="J27" s="145">
        <f>IF(SER_hh_fech!J27=0,0,SER_hh_fech!J27/SER_summary!J$26)</f>
        <v>4.3768459899540584E-2</v>
      </c>
      <c r="K27" s="145">
        <f>IF(SER_hh_fech!K27=0,0,SER_hh_fech!K27/SER_summary!K$26)</f>
        <v>6.5305919595189527E-2</v>
      </c>
      <c r="L27" s="145">
        <f>IF(SER_hh_fech!L27=0,0,SER_hh_fech!L27/SER_summary!L$26)</f>
        <v>7.8564439797144642E-2</v>
      </c>
      <c r="M27" s="145">
        <f>IF(SER_hh_fech!M27=0,0,SER_hh_fech!M27/SER_summary!M$26)</f>
        <v>0.10263047688919635</v>
      </c>
      <c r="N27" s="145">
        <f>IF(SER_hh_fech!N27=0,0,SER_hh_fech!N27/SER_summary!N$26)</f>
        <v>0.12312683197195262</v>
      </c>
      <c r="O27" s="145">
        <f>IF(SER_hh_fech!O27=0,0,SER_hh_fech!O27/SER_summary!O$26)</f>
        <v>0.13355709035714936</v>
      </c>
      <c r="P27" s="145">
        <f>IF(SER_hh_fech!P27=0,0,SER_hh_fech!P27/SER_summary!P$26)</f>
        <v>0.14601386909792993</v>
      </c>
      <c r="Q27" s="145">
        <f>IF(SER_hh_fech!Q27=0,0,SER_hh_fech!Q27/SER_summary!Q$26)</f>
        <v>0.16586448207353083</v>
      </c>
      <c r="R27" s="145">
        <f>IF(SER_hh_fech!R27=0,0,SER_hh_fech!R27/SER_summary!R$26)</f>
        <v>0.17472038725441039</v>
      </c>
      <c r="S27" s="145">
        <f>IF(SER_hh_fech!S27=0,0,SER_hh_fech!S27/SER_summary!S$26)</f>
        <v>0.17230823100269707</v>
      </c>
      <c r="T27" s="145">
        <f>IF(SER_hh_fech!T27=0,0,SER_hh_fech!T27/SER_summary!T$26)</f>
        <v>0.17372458416490213</v>
      </c>
      <c r="U27" s="145">
        <f>IF(SER_hh_fech!U27=0,0,SER_hh_fech!U27/SER_summary!U$26)</f>
        <v>0.16450040134921054</v>
      </c>
      <c r="V27" s="145">
        <f>IF(SER_hh_fech!V27=0,0,SER_hh_fech!V27/SER_summary!V$26)</f>
        <v>0.15525796933129912</v>
      </c>
      <c r="W27" s="145">
        <f>IF(SER_hh_fech!W27=0,0,SER_hh_fech!W27/SER_summary!W$26)</f>
        <v>0.14875484659648744</v>
      </c>
      <c r="X27" s="145">
        <f>IF(SER_hh_fech!X27=0,0,SER_hh_fech!X27/SER_summary!X$26)</f>
        <v>0.14843931445570716</v>
      </c>
      <c r="Y27" s="145">
        <f>IF(SER_hh_fech!Y27=0,0,SER_hh_fech!Y27/SER_summary!Y$26)</f>
        <v>0.14007888318080375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6.1159333401857259</v>
      </c>
      <c r="E28" s="146">
        <f>IF(SER_hh_fech!E28=0,0,SER_hh_fech!E28/SER_summary!E$26)</f>
        <v>6.5241650917262595</v>
      </c>
      <c r="F28" s="146">
        <f>IF(SER_hh_fech!F28=0,0,SER_hh_fech!F28/SER_summary!F$26)</f>
        <v>7.0198202674696422</v>
      </c>
      <c r="G28" s="146">
        <f>IF(SER_hh_fech!G28=0,0,SER_hh_fech!G28/SER_summary!G$26)</f>
        <v>7.1083410221585712</v>
      </c>
      <c r="H28" s="146">
        <f>IF(SER_hh_fech!H28=0,0,SER_hh_fech!H28/SER_summary!H$26)</f>
        <v>7.5160382333453111</v>
      </c>
      <c r="I28" s="146">
        <f>IF(SER_hh_fech!I28=0,0,SER_hh_fech!I28/SER_summary!I$26)</f>
        <v>7.9969667410771317</v>
      </c>
      <c r="J28" s="146">
        <f>IF(SER_hh_fech!J28=0,0,SER_hh_fech!J28/SER_summary!J$26)</f>
        <v>8.2510669180206015</v>
      </c>
      <c r="K28" s="146">
        <f>IF(SER_hh_fech!K28=0,0,SER_hh_fech!K28/SER_summary!K$26)</f>
        <v>8.388742266553658</v>
      </c>
      <c r="L28" s="146">
        <f>IF(SER_hh_fech!L28=0,0,SER_hh_fech!L28/SER_summary!L$26)</f>
        <v>8.080803511807499</v>
      </c>
      <c r="M28" s="146">
        <f>IF(SER_hh_fech!M28=0,0,SER_hh_fech!M28/SER_summary!M$26)</f>
        <v>8.4624106457320831</v>
      </c>
      <c r="N28" s="146">
        <f>IF(SER_hh_fech!N28=0,0,SER_hh_fech!N28/SER_summary!N$26)</f>
        <v>8.9209577984586268</v>
      </c>
      <c r="O28" s="146">
        <f>IF(SER_hh_fech!O28=0,0,SER_hh_fech!O28/SER_summary!O$26)</f>
        <v>8.9458050412392485</v>
      </c>
      <c r="P28" s="146">
        <f>IF(SER_hh_fech!P28=0,0,SER_hh_fech!P28/SER_summary!P$26)</f>
        <v>9.1224477030769027</v>
      </c>
      <c r="Q28" s="146">
        <f>IF(SER_hh_fech!Q28=0,0,SER_hh_fech!Q28/SER_summary!Q$26)</f>
        <v>9.1749758448715166</v>
      </c>
      <c r="R28" s="146">
        <f>IF(SER_hh_fech!R28=0,0,SER_hh_fech!R28/SER_summary!R$26)</f>
        <v>9.4164052008277039</v>
      </c>
      <c r="S28" s="146">
        <f>IF(SER_hh_fech!S28=0,0,SER_hh_fech!S28/SER_summary!S$26)</f>
        <v>9.4286177567232823</v>
      </c>
      <c r="T28" s="146">
        <f>IF(SER_hh_fech!T28=0,0,SER_hh_fech!T28/SER_summary!T$26)</f>
        <v>7.9348195222982332</v>
      </c>
      <c r="U28" s="146">
        <f>IF(SER_hh_fech!U28=0,0,SER_hh_fech!U28/SER_summary!U$26)</f>
        <v>8.6489708567466668</v>
      </c>
      <c r="V28" s="146">
        <f>IF(SER_hh_fech!V28=0,0,SER_hh_fech!V28/SER_summary!V$26)</f>
        <v>8.1940739071089439</v>
      </c>
      <c r="W28" s="146">
        <f>IF(SER_hh_fech!W28=0,0,SER_hh_fech!W28/SER_summary!W$26)</f>
        <v>8.6480397377140594</v>
      </c>
      <c r="X28" s="146">
        <f>IF(SER_hh_fech!X28=0,0,SER_hh_fech!X28/SER_summary!X$26)</f>
        <v>10.911528543218203</v>
      </c>
      <c r="Y28" s="146">
        <f>IF(SER_hh_fech!Y28=0,0,SER_hh_fech!Y28/SER_summary!Y$26)</f>
        <v>12.493761172031423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16.373718252228233</v>
      </c>
      <c r="C29" s="130">
        <f>IF(SER_hh_fech!C29=0,0,SER_hh_fech!C29/SER_summary!C$26)</f>
        <v>19.077227706199967</v>
      </c>
      <c r="D29" s="130">
        <f>IF(SER_hh_fech!D29=0,0,SER_hh_fech!D29/SER_summary!D$26)</f>
        <v>21.760115780293333</v>
      </c>
      <c r="E29" s="130">
        <f>IF(SER_hh_fech!E29=0,0,SER_hh_fech!E29/SER_summary!E$26)</f>
        <v>24.120088162823478</v>
      </c>
      <c r="F29" s="130">
        <f>IF(SER_hh_fech!F29=0,0,SER_hh_fech!F29/SER_summary!F$26)</f>
        <v>24.370344255817901</v>
      </c>
      <c r="G29" s="130">
        <f>IF(SER_hh_fech!G29=0,0,SER_hh_fech!G29/SER_summary!G$26)</f>
        <v>24.787657517991541</v>
      </c>
      <c r="H29" s="130">
        <f>IF(SER_hh_fech!H29=0,0,SER_hh_fech!H29/SER_summary!H$26)</f>
        <v>25.275502071598506</v>
      </c>
      <c r="I29" s="130">
        <f>IF(SER_hh_fech!I29=0,0,SER_hh_fech!I29/SER_summary!I$26)</f>
        <v>26.151241735398809</v>
      </c>
      <c r="J29" s="130">
        <f>IF(SER_hh_fech!J29=0,0,SER_hh_fech!J29/SER_summary!J$26)</f>
        <v>26.495607270218542</v>
      </c>
      <c r="K29" s="130">
        <f>IF(SER_hh_fech!K29=0,0,SER_hh_fech!K29/SER_summary!K$26)</f>
        <v>25.776710687804957</v>
      </c>
      <c r="L29" s="130">
        <f>IF(SER_hh_fech!L29=0,0,SER_hh_fech!L29/SER_summary!L$26)</f>
        <v>26.030917466208269</v>
      </c>
      <c r="M29" s="130">
        <f>IF(SER_hh_fech!M29=0,0,SER_hh_fech!M29/SER_summary!M$26)</f>
        <v>26.220071918302377</v>
      </c>
      <c r="N29" s="130">
        <f>IF(SER_hh_fech!N29=0,0,SER_hh_fech!N29/SER_summary!N$26)</f>
        <v>26.043388430372232</v>
      </c>
      <c r="O29" s="130">
        <f>IF(SER_hh_fech!O29=0,0,SER_hh_fech!O29/SER_summary!O$26)</f>
        <v>26.035616718008811</v>
      </c>
      <c r="P29" s="130">
        <f>IF(SER_hh_fech!P29=0,0,SER_hh_fech!P29/SER_summary!P$26)</f>
        <v>26.010373550832828</v>
      </c>
      <c r="Q29" s="130">
        <f>IF(SER_hh_fech!Q29=0,0,SER_hh_fech!Q29/SER_summary!Q$26)</f>
        <v>25.998843313203427</v>
      </c>
      <c r="R29" s="130">
        <f>IF(SER_hh_fech!R29=0,0,SER_hh_fech!R29/SER_summary!R$26)</f>
        <v>25.638599941784168</v>
      </c>
      <c r="S29" s="130">
        <f>IF(SER_hh_fech!S29=0,0,SER_hh_fech!S29/SER_summary!S$26)</f>
        <v>24.751361135574356</v>
      </c>
      <c r="T29" s="130">
        <f>IF(SER_hh_fech!T29=0,0,SER_hh_fech!T29/SER_summary!T$26)</f>
        <v>24.553480432404783</v>
      </c>
      <c r="U29" s="130">
        <f>IF(SER_hh_fech!U29=0,0,SER_hh_fech!U29/SER_summary!U$26)</f>
        <v>24.205867654121338</v>
      </c>
      <c r="V29" s="130">
        <f>IF(SER_hh_fech!V29=0,0,SER_hh_fech!V29/SER_summary!V$26)</f>
        <v>22.242183495349401</v>
      </c>
      <c r="W29" s="130">
        <f>IF(SER_hh_fech!W29=0,0,SER_hh_fech!W29/SER_summary!W$26)</f>
        <v>22.709209817378859</v>
      </c>
      <c r="X29" s="130">
        <f>IF(SER_hh_fech!X29=0,0,SER_hh_fech!X29/SER_summary!X$26)</f>
        <v>22.997070884672009</v>
      </c>
      <c r="Y29" s="130">
        <f>IF(SER_hh_fech!Y29=0,0,SER_hh_fech!Y29/SER_summary!Y$26)</f>
        <v>22.846850637068886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9.2097050566404874</v>
      </c>
      <c r="C30" s="132">
        <f>IF(SER_hh_fech!C30=0,0,SER_hh_fech!C30/SER_summary!C$26)</f>
        <v>28.462211528799902</v>
      </c>
      <c r="D30" s="132">
        <f>IF(SER_hh_fech!D30=0,0,SER_hh_fech!D30/SER_summary!D$26)</f>
        <v>23.244974983522816</v>
      </c>
      <c r="E30" s="132">
        <f>IF(SER_hh_fech!E30=0,0,SER_hh_fech!E30/SER_summary!E$26)</f>
        <v>33.95537589472552</v>
      </c>
      <c r="F30" s="132">
        <f>IF(SER_hh_fech!F30=0,0,SER_hh_fech!F30/SER_summary!F$26)</f>
        <v>30.606267930239341</v>
      </c>
      <c r="G30" s="132">
        <f>IF(SER_hh_fech!G30=0,0,SER_hh_fech!G30/SER_summary!G$26)</f>
        <v>29.530515487264925</v>
      </c>
      <c r="H30" s="132">
        <f>IF(SER_hh_fech!H30=0,0,SER_hh_fech!H30/SER_summary!H$26)</f>
        <v>33.029637151572381</v>
      </c>
      <c r="I30" s="132">
        <f>IF(SER_hh_fech!I30=0,0,SER_hh_fech!I30/SER_summary!I$26)</f>
        <v>35.126051864295654</v>
      </c>
      <c r="J30" s="132">
        <f>IF(SER_hh_fech!J30=0,0,SER_hh_fech!J30/SER_summary!J$26)</f>
        <v>34.519342853512214</v>
      </c>
      <c r="K30" s="132">
        <f>IF(SER_hh_fech!K30=0,0,SER_hh_fech!K30/SER_summary!K$26)</f>
        <v>30.052322841094554</v>
      </c>
      <c r="L30" s="132">
        <f>IF(SER_hh_fech!L30=0,0,SER_hh_fech!L30/SER_summary!L$26)</f>
        <v>28.674122391582674</v>
      </c>
      <c r="M30" s="132">
        <f>IF(SER_hh_fech!M30=0,0,SER_hh_fech!M30/SER_summary!M$26)</f>
        <v>30.935387804315955</v>
      </c>
      <c r="N30" s="132">
        <f>IF(SER_hh_fech!N30=0,0,SER_hh_fech!N30/SER_summary!N$26)</f>
        <v>32.301043689566242</v>
      </c>
      <c r="O30" s="132">
        <f>IF(SER_hh_fech!O30=0,0,SER_hh_fech!O30/SER_summary!O$26)</f>
        <v>33.230779703391676</v>
      </c>
      <c r="P30" s="132">
        <f>IF(SER_hh_fech!P30=0,0,SER_hh_fech!P30/SER_summary!P$26)</f>
        <v>28.84156739223452</v>
      </c>
      <c r="Q30" s="132">
        <f>IF(SER_hh_fech!Q30=0,0,SER_hh_fech!Q30/SER_summary!Q$26)</f>
        <v>31.978896782407382</v>
      </c>
      <c r="R30" s="132">
        <f>IF(SER_hh_fech!R30=0,0,SER_hh_fech!R30/SER_summary!R$26)</f>
        <v>32.945380486830956</v>
      </c>
      <c r="S30" s="132">
        <f>IF(SER_hh_fech!S30=0,0,SER_hh_fech!S30/SER_summary!S$26)</f>
        <v>31.885975855743744</v>
      </c>
      <c r="T30" s="132">
        <f>IF(SER_hh_fech!T30=0,0,SER_hh_fech!T30/SER_summary!T$26)</f>
        <v>30.344779940354073</v>
      </c>
      <c r="U30" s="132">
        <f>IF(SER_hh_fech!U30=0,0,SER_hh_fech!U30/SER_summary!U$26)</f>
        <v>35.351409932196987</v>
      </c>
      <c r="V30" s="132">
        <f>IF(SER_hh_fech!V30=0,0,SER_hh_fech!V30/SER_summary!V$26)</f>
        <v>25.050215561458508</v>
      </c>
      <c r="W30" s="132">
        <f>IF(SER_hh_fech!W30=0,0,SER_hh_fech!W30/SER_summary!W$26)</f>
        <v>26.676431697235575</v>
      </c>
      <c r="X30" s="132">
        <f>IF(SER_hh_fech!X30=0,0,SER_hh_fech!X30/SER_summary!X$26)</f>
        <v>25.434748566745057</v>
      </c>
      <c r="Y30" s="132">
        <f>IF(SER_hh_fech!Y30=0,0,SER_hh_fech!Y30/SER_summary!Y$26)</f>
        <v>29.161447849533317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19.986396265986418</v>
      </c>
      <c r="C31" s="132">
        <f>IF(SER_hh_fech!C31=0,0,SER_hh_fech!C31/SER_summary!C$26)</f>
        <v>23.587179666762701</v>
      </c>
      <c r="D31" s="132">
        <f>IF(SER_hh_fech!D31=0,0,SER_hh_fech!D31/SER_summary!D$26)</f>
        <v>26.634429497703714</v>
      </c>
      <c r="E31" s="132">
        <f>IF(SER_hh_fech!E31=0,0,SER_hh_fech!E31/SER_summary!E$26)</f>
        <v>29.17317321341411</v>
      </c>
      <c r="F31" s="132">
        <f>IF(SER_hh_fech!F31=0,0,SER_hh_fech!F31/SER_summary!F$26)</f>
        <v>29.104428455727898</v>
      </c>
      <c r="G31" s="132">
        <f>IF(SER_hh_fech!G31=0,0,SER_hh_fech!G31/SER_summary!G$26)</f>
        <v>30.470577803642946</v>
      </c>
      <c r="H31" s="132">
        <f>IF(SER_hh_fech!H31=0,0,SER_hh_fech!H31/SER_summary!H$26)</f>
        <v>31.331867702834671</v>
      </c>
      <c r="I31" s="132">
        <f>IF(SER_hh_fech!I31=0,0,SER_hh_fech!I31/SER_summary!I$26)</f>
        <v>31.793958460565509</v>
      </c>
      <c r="J31" s="132">
        <f>IF(SER_hh_fech!J31=0,0,SER_hh_fech!J31/SER_summary!J$26)</f>
        <v>32.051239830507711</v>
      </c>
      <c r="K31" s="132">
        <f>IF(SER_hh_fech!K31=0,0,SER_hh_fech!K31/SER_summary!K$26)</f>
        <v>31.800761120729348</v>
      </c>
      <c r="L31" s="132">
        <f>IF(SER_hh_fech!L31=0,0,SER_hh_fech!L31/SER_summary!L$26)</f>
        <v>30.360701613992187</v>
      </c>
      <c r="M31" s="132">
        <f>IF(SER_hh_fech!M31=0,0,SER_hh_fech!M31/SER_summary!M$26)</f>
        <v>32.133849107532505</v>
      </c>
      <c r="N31" s="132">
        <f>IF(SER_hh_fech!N31=0,0,SER_hh_fech!N31/SER_summary!N$26)</f>
        <v>32.984389583661695</v>
      </c>
      <c r="O31" s="132">
        <f>IF(SER_hh_fech!O31=0,0,SER_hh_fech!O31/SER_summary!O$26)</f>
        <v>32.186584940684135</v>
      </c>
      <c r="P31" s="132">
        <f>IF(SER_hh_fech!P31=0,0,SER_hh_fech!P31/SER_summary!P$26)</f>
        <v>31.658334673805467</v>
      </c>
      <c r="Q31" s="132">
        <f>IF(SER_hh_fech!Q31=0,0,SER_hh_fech!Q31/SER_summary!Q$26)</f>
        <v>32.557791173373147</v>
      </c>
      <c r="R31" s="132">
        <f>IF(SER_hh_fech!R31=0,0,SER_hh_fech!R31/SER_summary!R$26)</f>
        <v>31.66927999869133</v>
      </c>
      <c r="S31" s="132">
        <f>IF(SER_hh_fech!S31=0,0,SER_hh_fech!S31/SER_summary!S$26)</f>
        <v>30.436091355127573</v>
      </c>
      <c r="T31" s="132">
        <f>IF(SER_hh_fech!T31=0,0,SER_hh_fech!T31/SER_summary!T$26)</f>
        <v>30.233829101313102</v>
      </c>
      <c r="U31" s="132">
        <f>IF(SER_hh_fech!U31=0,0,SER_hh_fech!U31/SER_summary!U$26)</f>
        <v>30.447592528313336</v>
      </c>
      <c r="V31" s="132">
        <f>IF(SER_hh_fech!V31=0,0,SER_hh_fech!V31/SER_summary!V$26)</f>
        <v>24.694406970981451</v>
      </c>
      <c r="W31" s="132">
        <f>IF(SER_hh_fech!W31=0,0,SER_hh_fech!W31/SER_summary!W$26)</f>
        <v>30.532043886751406</v>
      </c>
      <c r="X31" s="132">
        <f>IF(SER_hh_fech!X31=0,0,SER_hh_fech!X31/SER_summary!X$26)</f>
        <v>28.970766694893193</v>
      </c>
      <c r="Y31" s="132">
        <f>IF(SER_hh_fech!Y31=0,0,SER_hh_fech!Y31/SER_summary!Y$26)</f>
        <v>28.727468378660163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15.671179524275773</v>
      </c>
      <c r="C33" s="68">
        <f>IF(SER_hh_fech!C33=0,0,SER_hh_fech!C33/SER_summary!C$26)</f>
        <v>17.803870203642639</v>
      </c>
      <c r="D33" s="68">
        <f>IF(SER_hh_fech!D33=0,0,SER_hh_fech!D33/SER_summary!D$26)</f>
        <v>20.534784734228754</v>
      </c>
      <c r="E33" s="68">
        <f>IF(SER_hh_fech!E33=0,0,SER_hh_fech!E33/SER_summary!E$26)</f>
        <v>22.343709925209581</v>
      </c>
      <c r="F33" s="68">
        <f>IF(SER_hh_fech!F33=0,0,SER_hh_fech!F33/SER_summary!F$26)</f>
        <v>22.797201131736507</v>
      </c>
      <c r="G33" s="68">
        <f>IF(SER_hh_fech!G33=0,0,SER_hh_fech!G33/SER_summary!G$26)</f>
        <v>22.979044691885647</v>
      </c>
      <c r="H33" s="68">
        <f>IF(SER_hh_fech!H33=0,0,SER_hh_fech!H33/SER_summary!H$26)</f>
        <v>23.153906341734775</v>
      </c>
      <c r="I33" s="68">
        <f>IF(SER_hh_fech!I33=0,0,SER_hh_fech!I33/SER_summary!I$26)</f>
        <v>24.13454099999014</v>
      </c>
      <c r="J33" s="68">
        <f>IF(SER_hh_fech!J33=0,0,SER_hh_fech!J33/SER_summary!J$26)</f>
        <v>24.692011814057949</v>
      </c>
      <c r="K33" s="68">
        <f>IF(SER_hh_fech!K33=0,0,SER_hh_fech!K33/SER_summary!K$26)</f>
        <v>24.108044447776514</v>
      </c>
      <c r="L33" s="68">
        <f>IF(SER_hh_fech!L33=0,0,SER_hh_fech!L33/SER_summary!L$26)</f>
        <v>24.807458491117831</v>
      </c>
      <c r="M33" s="68">
        <f>IF(SER_hh_fech!M33=0,0,SER_hh_fech!M33/SER_summary!M$26)</f>
        <v>24.407471623234006</v>
      </c>
      <c r="N33" s="68">
        <f>IF(SER_hh_fech!N33=0,0,SER_hh_fech!N33/SER_summary!N$26)</f>
        <v>23.750670305589285</v>
      </c>
      <c r="O33" s="68">
        <f>IF(SER_hh_fech!O33=0,0,SER_hh_fech!O33/SER_summary!O$26)</f>
        <v>23.846466918330076</v>
      </c>
      <c r="P33" s="68">
        <f>IF(SER_hh_fech!P33=0,0,SER_hh_fech!P33/SER_summary!P$26)</f>
        <v>24.123724906280252</v>
      </c>
      <c r="Q33" s="68">
        <f>IF(SER_hh_fech!Q33=0,0,SER_hh_fech!Q33/SER_summary!Q$26)</f>
        <v>23.728623961688129</v>
      </c>
      <c r="R33" s="68">
        <f>IF(SER_hh_fech!R33=0,0,SER_hh_fech!R33/SER_summary!R$26)</f>
        <v>23.554156717464128</v>
      </c>
      <c r="S33" s="68">
        <f>IF(SER_hh_fech!S33=0,0,SER_hh_fech!S33/SER_summary!S$26)</f>
        <v>22.847314611270118</v>
      </c>
      <c r="T33" s="68">
        <f>IF(SER_hh_fech!T33=0,0,SER_hh_fech!T33/SER_summary!T$26)</f>
        <v>22.79897751943086</v>
      </c>
      <c r="U33" s="68">
        <f>IF(SER_hh_fech!U33=0,0,SER_hh_fech!U33/SER_summary!U$26)</f>
        <v>22.105588697742679</v>
      </c>
      <c r="V33" s="68">
        <f>IF(SER_hh_fech!V33=0,0,SER_hh_fech!V33/SER_summary!V$26)</f>
        <v>21.46951716063667</v>
      </c>
      <c r="W33" s="68">
        <f>IF(SER_hh_fech!W33=0,0,SER_hh_fech!W33/SER_summary!W$26)</f>
        <v>20.158660948061883</v>
      </c>
      <c r="X33" s="68">
        <f>IF(SER_hh_fech!X33=0,0,SER_hh_fech!X33/SER_summary!X$26)</f>
        <v>20.982098098725906</v>
      </c>
      <c r="Y33" s="68">
        <f>IF(SER_hh_fech!Y33=0,0,SER_hh_fech!Y33/SER_summary!Y$26)</f>
        <v>20.783637876421974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94.295916432685999</v>
      </c>
      <c r="C3" s="125">
        <f>IF(SER_hh_tesh!C3=0,0,SER_hh_tesh!C3/SER_summary!C$26)</f>
        <v>104.37777840238705</v>
      </c>
      <c r="D3" s="125">
        <f>IF(SER_hh_tesh!D3=0,0,SER_hh_tesh!D3/SER_summary!D$26)</f>
        <v>120.28621234264165</v>
      </c>
      <c r="E3" s="125">
        <f>IF(SER_hh_tesh!E3=0,0,SER_hh_tesh!E3/SER_summary!E$26)</f>
        <v>122.52271755818595</v>
      </c>
      <c r="F3" s="125">
        <f>IF(SER_hh_tesh!F3=0,0,SER_hh_tesh!F3/SER_summary!F$26)</f>
        <v>130.60418603068183</v>
      </c>
      <c r="G3" s="125">
        <f>IF(SER_hh_tesh!G3=0,0,SER_hh_tesh!G3/SER_summary!G$26)</f>
        <v>127.27436812879819</v>
      </c>
      <c r="H3" s="125">
        <f>IF(SER_hh_tesh!H3=0,0,SER_hh_tesh!H3/SER_summary!H$26)</f>
        <v>140.2723793858687</v>
      </c>
      <c r="I3" s="125">
        <f>IF(SER_hh_tesh!I3=0,0,SER_hh_tesh!I3/SER_summary!I$26)</f>
        <v>124.34350113387983</v>
      </c>
      <c r="J3" s="125">
        <f>IF(SER_hh_tesh!J3=0,0,SER_hh_tesh!J3/SER_summary!J$26)</f>
        <v>140.42933164739969</v>
      </c>
      <c r="K3" s="125">
        <f>IF(SER_hh_tesh!K3=0,0,SER_hh_tesh!K3/SER_summary!K$26)</f>
        <v>136.42048779911443</v>
      </c>
      <c r="L3" s="125">
        <f>IF(SER_hh_tesh!L3=0,0,SER_hh_tesh!L3/SER_summary!L$26)</f>
        <v>153.97030584533579</v>
      </c>
      <c r="M3" s="125">
        <f>IF(SER_hh_tesh!M3=0,0,SER_hh_tesh!M3/SER_summary!M$26)</f>
        <v>141.88504348664043</v>
      </c>
      <c r="N3" s="125">
        <f>IF(SER_hh_tesh!N3=0,0,SER_hh_tesh!N3/SER_summary!N$26)</f>
        <v>139.36465720967234</v>
      </c>
      <c r="O3" s="125">
        <f>IF(SER_hh_tesh!O3=0,0,SER_hh_tesh!O3/SER_summary!O$26)</f>
        <v>133.82910351232761</v>
      </c>
      <c r="P3" s="125">
        <f>IF(SER_hh_tesh!P3=0,0,SER_hh_tesh!P3/SER_summary!P$26)</f>
        <v>125.03492913950402</v>
      </c>
      <c r="Q3" s="125">
        <f>IF(SER_hh_tesh!Q3=0,0,SER_hh_tesh!Q3/SER_summary!Q$26)</f>
        <v>124.22532974405534</v>
      </c>
      <c r="R3" s="125">
        <f>IF(SER_hh_tesh!R3=0,0,SER_hh_tesh!R3/SER_summary!R$26)</f>
        <v>135.99963270245564</v>
      </c>
      <c r="S3" s="125">
        <f>IF(SER_hh_tesh!S3=0,0,SER_hh_tesh!S3/SER_summary!S$26)</f>
        <v>126.58594804526891</v>
      </c>
      <c r="T3" s="125">
        <f>IF(SER_hh_tesh!T3=0,0,SER_hh_tesh!T3/SER_summary!T$26)</f>
        <v>123.87933856737129</v>
      </c>
      <c r="U3" s="125">
        <f>IF(SER_hh_tesh!U3=0,0,SER_hh_tesh!U3/SER_summary!U$26)</f>
        <v>122.43862930405896</v>
      </c>
      <c r="V3" s="125">
        <f>IF(SER_hh_tesh!V3=0,0,SER_hh_tesh!V3/SER_summary!V$26)</f>
        <v>118.05252061658565</v>
      </c>
      <c r="W3" s="125">
        <f>IF(SER_hh_tesh!W3=0,0,SER_hh_tesh!W3/SER_summary!W$26)</f>
        <v>132.72265763470008</v>
      </c>
      <c r="X3" s="125">
        <f>IF(SER_hh_tesh!X3=0,0,SER_hh_tesh!X3/SER_summary!X$26)</f>
        <v>127.32539323516579</v>
      </c>
      <c r="Y3" s="125">
        <f>IF(SER_hh_tesh!Y3=0,0,SER_hh_tesh!Y3/SER_summary!Y$26)</f>
        <v>127.20178429121701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72.004506525258464</v>
      </c>
      <c r="C4" s="130">
        <f>IF(SER_hh_tesh!C4=0,0,SER_hh_tesh!C4/SER_summary!C$26)</f>
        <v>79.323803798266169</v>
      </c>
      <c r="D4" s="130">
        <f>IF(SER_hh_tesh!D4=0,0,SER_hh_tesh!D4/SER_summary!D$26)</f>
        <v>91.090332307773792</v>
      </c>
      <c r="E4" s="130">
        <f>IF(SER_hh_tesh!E4=0,0,SER_hh_tesh!E4/SER_summary!E$26)</f>
        <v>90.85038168654863</v>
      </c>
      <c r="F4" s="130">
        <f>IF(SER_hh_tesh!F4=0,0,SER_hh_tesh!F4/SER_summary!F$26)</f>
        <v>97.603152447930938</v>
      </c>
      <c r="G4" s="130">
        <f>IF(SER_hh_tesh!G4=0,0,SER_hh_tesh!G4/SER_summary!G$26)</f>
        <v>93.622759264065124</v>
      </c>
      <c r="H4" s="130">
        <f>IF(SER_hh_tesh!H4=0,0,SER_hh_tesh!H4/SER_summary!H$26)</f>
        <v>105.11409654657182</v>
      </c>
      <c r="I4" s="130">
        <f>IF(SER_hh_tesh!I4=0,0,SER_hh_tesh!I4/SER_summary!I$26)</f>
        <v>87.294710630871407</v>
      </c>
      <c r="J4" s="130">
        <f>IF(SER_hh_tesh!J4=0,0,SER_hh_tesh!J4/SER_summary!J$26)</f>
        <v>102.2961724618132</v>
      </c>
      <c r="K4" s="130">
        <f>IF(SER_hh_tesh!K4=0,0,SER_hh_tesh!K4/SER_summary!K$26)</f>
        <v>98.338406187150554</v>
      </c>
      <c r="L4" s="130">
        <f>IF(SER_hh_tesh!L4=0,0,SER_hh_tesh!L4/SER_summary!L$26)</f>
        <v>114.79490352798393</v>
      </c>
      <c r="M4" s="130">
        <f>IF(SER_hh_tesh!M4=0,0,SER_hh_tesh!M4/SER_summary!M$26)</f>
        <v>102.83609622035232</v>
      </c>
      <c r="N4" s="130">
        <f>IF(SER_hh_tesh!N4=0,0,SER_hh_tesh!N4/SER_summary!N$26)</f>
        <v>99.920400989831208</v>
      </c>
      <c r="O4" s="130">
        <f>IF(SER_hh_tesh!O4=0,0,SER_hh_tesh!O4/SER_summary!O$26)</f>
        <v>93.783867012397124</v>
      </c>
      <c r="P4" s="130">
        <f>IF(SER_hh_tesh!P4=0,0,SER_hh_tesh!P4/SER_summary!P$26)</f>
        <v>84.879690894602064</v>
      </c>
      <c r="Q4" s="130">
        <f>IF(SER_hh_tesh!Q4=0,0,SER_hh_tesh!Q4/SER_summary!Q$26)</f>
        <v>82.991920493074659</v>
      </c>
      <c r="R4" s="130">
        <f>IF(SER_hh_tesh!R4=0,0,SER_hh_tesh!R4/SER_summary!R$26)</f>
        <v>95.199992037952214</v>
      </c>
      <c r="S4" s="130">
        <f>IF(SER_hh_tesh!S4=0,0,SER_hh_tesh!S4/SER_summary!S$26)</f>
        <v>86.490920964335771</v>
      </c>
      <c r="T4" s="130">
        <f>IF(SER_hh_tesh!T4=0,0,SER_hh_tesh!T4/SER_summary!T$26)</f>
        <v>83.878090849240365</v>
      </c>
      <c r="U4" s="130">
        <f>IF(SER_hh_tesh!U4=0,0,SER_hh_tesh!U4/SER_summary!U$26)</f>
        <v>82.299044459841454</v>
      </c>
      <c r="V4" s="130">
        <f>IF(SER_hh_tesh!V4=0,0,SER_hh_tesh!V4/SER_summary!V$26)</f>
        <v>80.841724189274331</v>
      </c>
      <c r="W4" s="130">
        <f>IF(SER_hh_tesh!W4=0,0,SER_hh_tesh!W4/SER_summary!W$26)</f>
        <v>93.759005660217611</v>
      </c>
      <c r="X4" s="130">
        <f>IF(SER_hh_tesh!X4=0,0,SER_hh_tesh!X4/SER_summary!X$26)</f>
        <v>87.591122971357393</v>
      </c>
      <c r="Y4" s="130">
        <f>IF(SER_hh_tesh!Y4=0,0,SER_hh_tesh!Y4/SER_summary!Y$26)</f>
        <v>87.96781798572853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79.205917593546403</v>
      </c>
      <c r="C5" s="132">
        <f>IF(SER_hh_tesh!C5=0,0,SER_hh_tesh!C5/SER_summary!C$26)</f>
        <v>59.069264302221747</v>
      </c>
      <c r="D5" s="132">
        <f>IF(SER_hh_tesh!D5=0,0,SER_hh_tesh!D5/SER_summary!D$26)</f>
        <v>98.655047973733346</v>
      </c>
      <c r="E5" s="132">
        <f>IF(SER_hh_tesh!E5=0,0,SER_hh_tesh!E5/SER_summary!E$26)</f>
        <v>96.401933826136172</v>
      </c>
      <c r="F5" s="132">
        <f>IF(SER_hh_tesh!F5=0,0,SER_hh_tesh!F5/SER_summary!F$26)</f>
        <v>91.806418424156263</v>
      </c>
      <c r="G5" s="132">
        <f>IF(SER_hh_tesh!G5=0,0,SER_hh_tesh!G5/SER_summary!G$26)</f>
        <v>91.24735644602238</v>
      </c>
      <c r="H5" s="132">
        <f>IF(SER_hh_tesh!H5=0,0,SER_hh_tesh!H5/SER_summary!H$26)</f>
        <v>105.06668792309365</v>
      </c>
      <c r="I5" s="132">
        <f>IF(SER_hh_tesh!I5=0,0,SER_hh_tesh!I5/SER_summary!I$26)</f>
        <v>87.712527703878152</v>
      </c>
      <c r="J5" s="132">
        <f>IF(SER_hh_tesh!J5=0,0,SER_hh_tesh!J5/SER_summary!J$26)</f>
        <v>96.34932599133279</v>
      </c>
      <c r="K5" s="132">
        <f>IF(SER_hh_tesh!K5=0,0,SER_hh_tesh!K5/SER_summary!K$26)</f>
        <v>101.47504123259657</v>
      </c>
      <c r="L5" s="132">
        <f>IF(SER_hh_tesh!L5=0,0,SER_hh_tesh!L5/SER_summary!L$26)</f>
        <v>114.54588550529581</v>
      </c>
      <c r="M5" s="132">
        <f>IF(SER_hh_tesh!M5=0,0,SER_hh_tesh!M5/SER_summary!M$26)</f>
        <v>99.87747024868527</v>
      </c>
      <c r="N5" s="132">
        <f>IF(SER_hh_tesh!N5=0,0,SER_hh_tesh!N5/SER_summary!N$26)</f>
        <v>101.16400604931042</v>
      </c>
      <c r="O5" s="132">
        <f>IF(SER_hh_tesh!O5=0,0,SER_hh_tesh!O5/SER_summary!O$26)</f>
        <v>94.444813277385649</v>
      </c>
      <c r="P5" s="132">
        <f>IF(SER_hh_tesh!P5=0,0,SER_hh_tesh!P5/SER_summary!P$26)</f>
        <v>84.440973204370962</v>
      </c>
      <c r="Q5" s="132">
        <f>IF(SER_hh_tesh!Q5=0,0,SER_hh_tesh!Q5/SER_summary!Q$26)</f>
        <v>83.093926436659316</v>
      </c>
      <c r="R5" s="132">
        <f>IF(SER_hh_tesh!R5=0,0,SER_hh_tesh!R5/SER_summary!R$26)</f>
        <v>89.394017056512908</v>
      </c>
      <c r="S5" s="132">
        <f>IF(SER_hh_tesh!S5=0,0,SER_hh_tesh!S5/SER_summary!S$26)</f>
        <v>90.249647795491796</v>
      </c>
      <c r="T5" s="132">
        <f>IF(SER_hh_tesh!T5=0,0,SER_hh_tesh!T5/SER_summary!T$26)</f>
        <v>87.139317259908907</v>
      </c>
      <c r="U5" s="132">
        <f>IF(SER_hh_tesh!U5=0,0,SER_hh_tesh!U5/SER_summary!U$26)</f>
        <v>74.115761257096196</v>
      </c>
      <c r="V5" s="132">
        <f>IF(SER_hh_tesh!V5=0,0,SER_hh_tesh!V5/SER_summary!V$26)</f>
        <v>80.927190788317077</v>
      </c>
      <c r="W5" s="132">
        <f>IF(SER_hh_tesh!W5=0,0,SER_hh_tesh!W5/SER_summary!W$26)</f>
        <v>118.58060680794362</v>
      </c>
      <c r="X5" s="132">
        <f>IF(SER_hh_tesh!X5=0,0,SER_hh_tesh!X5/SER_summary!X$26)</f>
        <v>71.534512625056848</v>
      </c>
      <c r="Y5" s="132">
        <f>IF(SER_hh_tesh!Y5=0,0,SER_hh_tesh!Y5/SER_summary!Y$26)</f>
        <v>83.210823177801515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66.655691783317167</v>
      </c>
      <c r="C7" s="132">
        <f>IF(SER_hh_tesh!C7=0,0,SER_hh_tesh!C7/SER_summary!C$26)</f>
        <v>84.952675068808986</v>
      </c>
      <c r="D7" s="132">
        <f>IF(SER_hh_tesh!D7=0,0,SER_hh_tesh!D7/SER_summary!D$26)</f>
        <v>92.214344229439988</v>
      </c>
      <c r="E7" s="132">
        <f>IF(SER_hh_tesh!E7=0,0,SER_hh_tesh!E7/SER_summary!E$26)</f>
        <v>93.564364295070931</v>
      </c>
      <c r="F7" s="132">
        <f>IF(SER_hh_tesh!F7=0,0,SER_hh_tesh!F7/SER_summary!F$26)</f>
        <v>88.176291237203642</v>
      </c>
      <c r="G7" s="132">
        <f>IF(SER_hh_tesh!G7=0,0,SER_hh_tesh!G7/SER_summary!G$26)</f>
        <v>69.664303579840166</v>
      </c>
      <c r="H7" s="132">
        <f>IF(SER_hh_tesh!H7=0,0,SER_hh_tesh!H7/SER_summary!H$26)</f>
        <v>110.61101051459013</v>
      </c>
      <c r="I7" s="132">
        <f>IF(SER_hh_tesh!I7=0,0,SER_hh_tesh!I7/SER_summary!I$26)</f>
        <v>98.067634702426616</v>
      </c>
      <c r="J7" s="132">
        <f>IF(SER_hh_tesh!J7=0,0,SER_hh_tesh!J7/SER_summary!J$26)</f>
        <v>96.619601514113583</v>
      </c>
      <c r="K7" s="132">
        <f>IF(SER_hh_tesh!K7=0,0,SER_hh_tesh!K7/SER_summary!K$26)</f>
        <v>91.827078737659775</v>
      </c>
      <c r="L7" s="132">
        <f>IF(SER_hh_tesh!L7=0,0,SER_hh_tesh!L7/SER_summary!L$26)</f>
        <v>117.9474793594546</v>
      </c>
      <c r="M7" s="132">
        <f>IF(SER_hh_tesh!M7=0,0,SER_hh_tesh!M7/SER_summary!M$26)</f>
        <v>114.37970627326168</v>
      </c>
      <c r="N7" s="132">
        <f>IF(SER_hh_tesh!N7=0,0,SER_hh_tesh!N7/SER_summary!N$26)</f>
        <v>91.558145933230307</v>
      </c>
      <c r="O7" s="132">
        <f>IF(SER_hh_tesh!O7=0,0,SER_hh_tesh!O7/SER_summary!O$26)</f>
        <v>82.884502001088748</v>
      </c>
      <c r="P7" s="132">
        <f>IF(SER_hh_tesh!P7=0,0,SER_hh_tesh!P7/SER_summary!P$26)</f>
        <v>84.516201918295508</v>
      </c>
      <c r="Q7" s="132">
        <f>IF(SER_hh_tesh!Q7=0,0,SER_hh_tesh!Q7/SER_summary!Q$26)</f>
        <v>84.070190826518854</v>
      </c>
      <c r="R7" s="132">
        <f>IF(SER_hh_tesh!R7=0,0,SER_hh_tesh!R7/SER_summary!R$26)</f>
        <v>84.915493112878366</v>
      </c>
      <c r="S7" s="132">
        <f>IF(SER_hh_tesh!S7=0,0,SER_hh_tesh!S7/SER_summary!S$26)</f>
        <v>85.869037602993629</v>
      </c>
      <c r="T7" s="132">
        <f>IF(SER_hh_tesh!T7=0,0,SER_hh_tesh!T7/SER_summary!T$26)</f>
        <v>88.307626446872575</v>
      </c>
      <c r="U7" s="132">
        <f>IF(SER_hh_tesh!U7=0,0,SER_hh_tesh!U7/SER_summary!U$26)</f>
        <v>78.207345776205614</v>
      </c>
      <c r="V7" s="132">
        <f>IF(SER_hh_tesh!V7=0,0,SER_hh_tesh!V7/SER_summary!V$26)</f>
        <v>81.060256040288195</v>
      </c>
      <c r="W7" s="132">
        <f>IF(SER_hh_tesh!W7=0,0,SER_hh_tesh!W7/SER_summary!W$26)</f>
        <v>97.02884211614807</v>
      </c>
      <c r="X7" s="132">
        <f>IF(SER_hh_tesh!X7=0,0,SER_hh_tesh!X7/SER_summary!X$26)</f>
        <v>92.283055607100067</v>
      </c>
      <c r="Y7" s="132">
        <f>IF(SER_hh_tesh!Y7=0,0,SER_hh_tesh!Y7/SER_summary!Y$26)</f>
        <v>75.056648890437486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68.729264232491118</v>
      </c>
      <c r="C8" s="132">
        <f>IF(SER_hh_tesh!C8=0,0,SER_hh_tesh!C8/SER_summary!C$26)</f>
        <v>81.628144025375065</v>
      </c>
      <c r="D8" s="132">
        <f>IF(SER_hh_tesh!D8=0,0,SER_hh_tesh!D8/SER_summary!D$26)</f>
        <v>87.202369757351136</v>
      </c>
      <c r="E8" s="132">
        <f>IF(SER_hh_tesh!E8=0,0,SER_hh_tesh!E8/SER_summary!E$26)</f>
        <v>93.882364221523076</v>
      </c>
      <c r="F8" s="132">
        <f>IF(SER_hh_tesh!F8=0,0,SER_hh_tesh!F8/SER_summary!F$26)</f>
        <v>94.60169551887428</v>
      </c>
      <c r="G8" s="132">
        <f>IF(SER_hh_tesh!G8=0,0,SER_hh_tesh!G8/SER_summary!G$26)</f>
        <v>95.244184596866404</v>
      </c>
      <c r="H8" s="132">
        <f>IF(SER_hh_tesh!H8=0,0,SER_hh_tesh!H8/SER_summary!H$26)</f>
        <v>95.231264322878985</v>
      </c>
      <c r="I8" s="132">
        <f>IF(SER_hh_tesh!I8=0,0,SER_hh_tesh!I8/SER_summary!I$26)</f>
        <v>94.450441012680074</v>
      </c>
      <c r="J8" s="132">
        <f>IF(SER_hh_tesh!J8=0,0,SER_hh_tesh!J8/SER_summary!J$26)</f>
        <v>99.902267110872785</v>
      </c>
      <c r="K8" s="132">
        <f>IF(SER_hh_tesh!K8=0,0,SER_hh_tesh!K8/SER_summary!K$26)</f>
        <v>106.7056166499909</v>
      </c>
      <c r="L8" s="132">
        <f>IF(SER_hh_tesh!L8=0,0,SER_hh_tesh!L8/SER_summary!L$26)</f>
        <v>108.29734837984249</v>
      </c>
      <c r="M8" s="132">
        <f>IF(SER_hh_tesh!M8=0,0,SER_hh_tesh!M8/SER_summary!M$26)</f>
        <v>94.754796492481788</v>
      </c>
      <c r="N8" s="132">
        <f>IF(SER_hh_tesh!N8=0,0,SER_hh_tesh!N8/SER_summary!N$26)</f>
        <v>95.4670309864308</v>
      </c>
      <c r="O8" s="132">
        <f>IF(SER_hh_tesh!O8=0,0,SER_hh_tesh!O8/SER_summary!O$26)</f>
        <v>82.473599970715952</v>
      </c>
      <c r="P8" s="132">
        <f>IF(SER_hh_tesh!P8=0,0,SER_hh_tesh!P8/SER_summary!P$26)</f>
        <v>93.080526475294533</v>
      </c>
      <c r="Q8" s="132">
        <f>IF(SER_hh_tesh!Q8=0,0,SER_hh_tesh!Q8/SER_summary!Q$26)</f>
        <v>89.598545537029011</v>
      </c>
      <c r="R8" s="132">
        <f>IF(SER_hh_tesh!R8=0,0,SER_hh_tesh!R8/SER_summary!R$26)</f>
        <v>91.312661360731582</v>
      </c>
      <c r="S8" s="132">
        <f>IF(SER_hh_tesh!S8=0,0,SER_hh_tesh!S8/SER_summary!S$26)</f>
        <v>83.932681993714823</v>
      </c>
      <c r="T8" s="132">
        <f>IF(SER_hh_tesh!T8=0,0,SER_hh_tesh!T8/SER_summary!T$26)</f>
        <v>80.687308483467035</v>
      </c>
      <c r="U8" s="132">
        <f>IF(SER_hh_tesh!U8=0,0,SER_hh_tesh!U8/SER_summary!U$26)</f>
        <v>79.49872594602266</v>
      </c>
      <c r="V8" s="132">
        <f>IF(SER_hh_tesh!V8=0,0,SER_hh_tesh!V8/SER_summary!V$26)</f>
        <v>80.415588610389406</v>
      </c>
      <c r="W8" s="132">
        <f>IF(SER_hh_tesh!W8=0,0,SER_hh_tesh!W8/SER_summary!W$26)</f>
        <v>90.697682627468666</v>
      </c>
      <c r="X8" s="132">
        <f>IF(SER_hh_tesh!X8=0,0,SER_hh_tesh!X8/SER_summary!X$26)</f>
        <v>84.936832208597849</v>
      </c>
      <c r="Y8" s="132">
        <f>IF(SER_hh_tesh!Y8=0,0,SER_hh_tesh!Y8/SER_summary!Y$26)</f>
        <v>93.770517134896735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66.221448237623548</v>
      </c>
      <c r="C9" s="132">
        <f>IF(SER_hh_tesh!C9=0,0,SER_hh_tesh!C9/SER_summary!C$26)</f>
        <v>81.908225123760587</v>
      </c>
      <c r="D9" s="132">
        <f>IF(SER_hh_tesh!D9=0,0,SER_hh_tesh!D9/SER_summary!D$26)</f>
        <v>92.473560464541265</v>
      </c>
      <c r="E9" s="132">
        <f>IF(SER_hh_tesh!E9=0,0,SER_hh_tesh!E9/SER_summary!E$26)</f>
        <v>94.242598867166421</v>
      </c>
      <c r="F9" s="132">
        <f>IF(SER_hh_tesh!F9=0,0,SER_hh_tesh!F9/SER_summary!F$26)</f>
        <v>97.732879828763004</v>
      </c>
      <c r="G9" s="132">
        <f>IF(SER_hh_tesh!G9=0,0,SER_hh_tesh!G9/SER_summary!G$26)</f>
        <v>97.993278466340911</v>
      </c>
      <c r="H9" s="132">
        <f>IF(SER_hh_tesh!H9=0,0,SER_hh_tesh!H9/SER_summary!H$26)</f>
        <v>91.472751566741678</v>
      </c>
      <c r="I9" s="132">
        <f>IF(SER_hh_tesh!I9=0,0,SER_hh_tesh!I9/SER_summary!I$26)</f>
        <v>92.067903306729377</v>
      </c>
      <c r="J9" s="132">
        <f>IF(SER_hh_tesh!J9=0,0,SER_hh_tesh!J9/SER_summary!J$26)</f>
        <v>95.810379999676456</v>
      </c>
      <c r="K9" s="132">
        <f>IF(SER_hh_tesh!K9=0,0,SER_hh_tesh!K9/SER_summary!K$26)</f>
        <v>97.137909606459687</v>
      </c>
      <c r="L9" s="132">
        <f>IF(SER_hh_tesh!L9=0,0,SER_hh_tesh!L9/SER_summary!L$26)</f>
        <v>113.24492493251776</v>
      </c>
      <c r="M9" s="132">
        <f>IF(SER_hh_tesh!M9=0,0,SER_hh_tesh!M9/SER_summary!M$26)</f>
        <v>98.933000968283991</v>
      </c>
      <c r="N9" s="132">
        <f>IF(SER_hh_tesh!N9=0,0,SER_hh_tesh!N9/SER_summary!N$26)</f>
        <v>99.692836773218133</v>
      </c>
      <c r="O9" s="132">
        <f>IF(SER_hh_tesh!O9=0,0,SER_hh_tesh!O9/SER_summary!O$26)</f>
        <v>94.591667648260156</v>
      </c>
      <c r="P9" s="132">
        <f>IF(SER_hh_tesh!P9=0,0,SER_hh_tesh!P9/SER_summary!P$26)</f>
        <v>78.694920826338219</v>
      </c>
      <c r="Q9" s="132">
        <f>IF(SER_hh_tesh!Q9=0,0,SER_hh_tesh!Q9/SER_summary!Q$26)</f>
        <v>84.975674041957973</v>
      </c>
      <c r="R9" s="132">
        <f>IF(SER_hh_tesh!R9=0,0,SER_hh_tesh!R9/SER_summary!R$26)</f>
        <v>102.80182846331869</v>
      </c>
      <c r="S9" s="132">
        <f>IF(SER_hh_tesh!S9=0,0,SER_hh_tesh!S9/SER_summary!S$26)</f>
        <v>80.16942000562851</v>
      </c>
      <c r="T9" s="132">
        <f>IF(SER_hh_tesh!T9=0,0,SER_hh_tesh!T9/SER_summary!T$26)</f>
        <v>79.214530368971225</v>
      </c>
      <c r="U9" s="132">
        <f>IF(SER_hh_tesh!U9=0,0,SER_hh_tesh!U9/SER_summary!U$26)</f>
        <v>83.153264987642771</v>
      </c>
      <c r="V9" s="132">
        <f>IF(SER_hh_tesh!V9=0,0,SER_hh_tesh!V9/SER_summary!V$26)</f>
        <v>73.207966764445345</v>
      </c>
      <c r="W9" s="132">
        <f>IF(SER_hh_tesh!W9=0,0,SER_hh_tesh!W9/SER_summary!W$26)</f>
        <v>98.235505559381338</v>
      </c>
      <c r="X9" s="132">
        <f>IF(SER_hh_tesh!X9=0,0,SER_hh_tesh!X9/SER_summary!X$26)</f>
        <v>91.995911582620693</v>
      </c>
      <c r="Y9" s="132">
        <f>IF(SER_hh_tesh!Y9=0,0,SER_hh_tesh!Y9/SER_summary!Y$26)</f>
        <v>83.904350419499863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81.98067311535425</v>
      </c>
      <c r="C10" s="132">
        <f>IF(SER_hh_tesh!C10=0,0,SER_hh_tesh!C10/SER_summary!C$26)</f>
        <v>69.67361508013434</v>
      </c>
      <c r="D10" s="132">
        <f>IF(SER_hh_tesh!D10=0,0,SER_hh_tesh!D10/SER_summary!D$26)</f>
        <v>80.848606468718856</v>
      </c>
      <c r="E10" s="132">
        <f>IF(SER_hh_tesh!E10=0,0,SER_hh_tesh!E10/SER_summary!E$26)</f>
        <v>88.895647585166557</v>
      </c>
      <c r="F10" s="132">
        <f>IF(SER_hh_tesh!F10=0,0,SER_hh_tesh!F10/SER_summary!F$26)</f>
        <v>97.168379590583314</v>
      </c>
      <c r="G10" s="132">
        <f>IF(SER_hh_tesh!G10=0,0,SER_hh_tesh!G10/SER_summary!G$26)</f>
        <v>102.36876482134504</v>
      </c>
      <c r="H10" s="132">
        <f>IF(SER_hh_tesh!H10=0,0,SER_hh_tesh!H10/SER_summary!H$26)</f>
        <v>76.790311225760036</v>
      </c>
      <c r="I10" s="132">
        <f>IF(SER_hh_tesh!I10=0,0,SER_hh_tesh!I10/SER_summary!I$26)</f>
        <v>93.358356296786013</v>
      </c>
      <c r="J10" s="132">
        <f>IF(SER_hh_tesh!J10=0,0,SER_hh_tesh!J10/SER_summary!J$26)</f>
        <v>83.53414016899994</v>
      </c>
      <c r="K10" s="132">
        <f>IF(SER_hh_tesh!K10=0,0,SER_hh_tesh!K10/SER_summary!K$26)</f>
        <v>106.8832290365943</v>
      </c>
      <c r="L10" s="132">
        <f>IF(SER_hh_tesh!L10=0,0,SER_hh_tesh!L10/SER_summary!L$26)</f>
        <v>114.99280617872881</v>
      </c>
      <c r="M10" s="132">
        <f>IF(SER_hh_tesh!M10=0,0,SER_hh_tesh!M10/SER_summary!M$26)</f>
        <v>105.65159090462168</v>
      </c>
      <c r="N10" s="132">
        <f>IF(SER_hh_tesh!N10=0,0,SER_hh_tesh!N10/SER_summary!N$26)</f>
        <v>91.153284519445222</v>
      </c>
      <c r="O10" s="132">
        <f>IF(SER_hh_tesh!O10=0,0,SER_hh_tesh!O10/SER_summary!O$26)</f>
        <v>99.084339469188947</v>
      </c>
      <c r="P10" s="132">
        <f>IF(SER_hh_tesh!P10=0,0,SER_hh_tesh!P10/SER_summary!P$26)</f>
        <v>82.383217368579352</v>
      </c>
      <c r="Q10" s="132">
        <f>IF(SER_hh_tesh!Q10=0,0,SER_hh_tesh!Q10/SER_summary!Q$26)</f>
        <v>83.314126864739308</v>
      </c>
      <c r="R10" s="132">
        <f>IF(SER_hh_tesh!R10=0,0,SER_hh_tesh!R10/SER_summary!R$26)</f>
        <v>92.015523923603695</v>
      </c>
      <c r="S10" s="132">
        <f>IF(SER_hh_tesh!S10=0,0,SER_hh_tesh!S10/SER_summary!S$26)</f>
        <v>89.279871385037538</v>
      </c>
      <c r="T10" s="132">
        <f>IF(SER_hh_tesh!T10=0,0,SER_hh_tesh!T10/SER_summary!T$26)</f>
        <v>83.346657981085457</v>
      </c>
      <c r="U10" s="132">
        <f>IF(SER_hh_tesh!U10=0,0,SER_hh_tesh!U10/SER_summary!U$26)</f>
        <v>79.204498054396723</v>
      </c>
      <c r="V10" s="132">
        <f>IF(SER_hh_tesh!V10=0,0,SER_hh_tesh!V10/SER_summary!V$26)</f>
        <v>84.095748698435656</v>
      </c>
      <c r="W10" s="132">
        <f>IF(SER_hh_tesh!W10=0,0,SER_hh_tesh!W10/SER_summary!W$26)</f>
        <v>96.898779771750583</v>
      </c>
      <c r="X10" s="132">
        <f>IF(SER_hh_tesh!X10=0,0,SER_hh_tesh!X10/SER_summary!X$26)</f>
        <v>77.206727293414559</v>
      </c>
      <c r="Y10" s="132">
        <f>IF(SER_hh_tesh!Y10=0,0,SER_hh_tesh!Y10/SER_summary!Y$26)</f>
        <v>90.75325845524641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77.696531687659274</v>
      </c>
      <c r="C11" s="132">
        <f>IF(SER_hh_tesh!C11=0,0,SER_hh_tesh!C11/SER_summary!C$26)</f>
        <v>56.611869256034886</v>
      </c>
      <c r="D11" s="132">
        <f>IF(SER_hh_tesh!D11=0,0,SER_hh_tesh!D11/SER_summary!D$26)</f>
        <v>95.010033842791998</v>
      </c>
      <c r="E11" s="132">
        <f>IF(SER_hh_tesh!E11=0,0,SER_hh_tesh!E11/SER_summary!E$26)</f>
        <v>101.71083428700605</v>
      </c>
      <c r="F11" s="132">
        <f>IF(SER_hh_tesh!F11=0,0,SER_hh_tesh!F11/SER_summary!F$26)</f>
        <v>88.817995103042009</v>
      </c>
      <c r="G11" s="132">
        <f>IF(SER_hh_tesh!G11=0,0,SER_hh_tesh!G11/SER_summary!G$26)</f>
        <v>100.76329451794879</v>
      </c>
      <c r="H11" s="132">
        <f>IF(SER_hh_tesh!H11=0,0,SER_hh_tesh!H11/SER_summary!H$26)</f>
        <v>103.79496624873251</v>
      </c>
      <c r="I11" s="132">
        <f>IF(SER_hh_tesh!I11=0,0,SER_hh_tesh!I11/SER_summary!I$26)</f>
        <v>77.205305344170327</v>
      </c>
      <c r="J11" s="132">
        <f>IF(SER_hh_tesh!J11=0,0,SER_hh_tesh!J11/SER_summary!J$26)</f>
        <v>108.94679628783557</v>
      </c>
      <c r="K11" s="132">
        <f>IF(SER_hh_tesh!K11=0,0,SER_hh_tesh!K11/SER_summary!K$26)</f>
        <v>113.56356174531125</v>
      </c>
      <c r="L11" s="132">
        <f>IF(SER_hh_tesh!L11=0,0,SER_hh_tesh!L11/SER_summary!L$26)</f>
        <v>102.99130468411573</v>
      </c>
      <c r="M11" s="132">
        <f>IF(SER_hh_tesh!M11=0,0,SER_hh_tesh!M11/SER_summary!M$26)</f>
        <v>78.067708003095589</v>
      </c>
      <c r="N11" s="132">
        <f>IF(SER_hh_tesh!N11=0,0,SER_hh_tesh!N11/SER_summary!N$26)</f>
        <v>90.767690945157298</v>
      </c>
      <c r="O11" s="132">
        <f>IF(SER_hh_tesh!O11=0,0,SER_hh_tesh!O11/SER_summary!O$26)</f>
        <v>99.481127613557661</v>
      </c>
      <c r="P11" s="132">
        <f>IF(SER_hh_tesh!P11=0,0,SER_hh_tesh!P11/SER_summary!P$26)</f>
        <v>93.659200224522877</v>
      </c>
      <c r="Q11" s="132">
        <f>IF(SER_hh_tesh!Q11=0,0,SER_hh_tesh!Q11/SER_summary!Q$26)</f>
        <v>87.681538552669522</v>
      </c>
      <c r="R11" s="132">
        <f>IF(SER_hh_tesh!R11=0,0,SER_hh_tesh!R11/SER_summary!R$26)</f>
        <v>85.164579101973516</v>
      </c>
      <c r="S11" s="132">
        <f>IF(SER_hh_tesh!S11=0,0,SER_hh_tesh!S11/SER_summary!S$26)</f>
        <v>84.717707091999941</v>
      </c>
      <c r="T11" s="132">
        <f>IF(SER_hh_tesh!T11=0,0,SER_hh_tesh!T11/SER_summary!T$26)</f>
        <v>84.253843894418054</v>
      </c>
      <c r="U11" s="132">
        <f>IF(SER_hh_tesh!U11=0,0,SER_hh_tesh!U11/SER_summary!U$26)</f>
        <v>83.885097727072718</v>
      </c>
      <c r="V11" s="132">
        <f>IF(SER_hh_tesh!V11=0,0,SER_hh_tesh!V11/SER_summary!V$26)</f>
        <v>81.696158194094266</v>
      </c>
      <c r="W11" s="132">
        <f>IF(SER_hh_tesh!W11=0,0,SER_hh_tesh!W11/SER_summary!W$26)</f>
        <v>85.360201647507182</v>
      </c>
      <c r="X11" s="132">
        <f>IF(SER_hh_tesh!X11=0,0,SER_hh_tesh!X11/SER_summary!X$26)</f>
        <v>89.918389538875701</v>
      </c>
      <c r="Y11" s="132">
        <f>IF(SER_hh_tesh!Y11=0,0,SER_hh_tesh!Y11/SER_summary!Y$26)</f>
        <v>88.770057998080645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70.077862063322982</v>
      </c>
      <c r="C12" s="132">
        <f>IF(SER_hh_tesh!C12=0,0,SER_hh_tesh!C12/SER_summary!C$26)</f>
        <v>78.251347243014209</v>
      </c>
      <c r="D12" s="132">
        <f>IF(SER_hh_tesh!D12=0,0,SER_hh_tesh!D12/SER_summary!D$26)</f>
        <v>92.760943699966887</v>
      </c>
      <c r="E12" s="132">
        <f>IF(SER_hh_tesh!E12=0,0,SER_hh_tesh!E12/SER_summary!E$26)</f>
        <v>79.687992106325225</v>
      </c>
      <c r="F12" s="132">
        <f>IF(SER_hh_tesh!F12=0,0,SER_hh_tesh!F12/SER_summary!F$26)</f>
        <v>106.37034379545827</v>
      </c>
      <c r="G12" s="132">
        <f>IF(SER_hh_tesh!G12=0,0,SER_hh_tesh!G12/SER_summary!G$26)</f>
        <v>91.969994897761566</v>
      </c>
      <c r="H12" s="132">
        <f>IF(SER_hh_tesh!H12=0,0,SER_hh_tesh!H12/SER_summary!H$26)</f>
        <v>113.24346393940114</v>
      </c>
      <c r="I12" s="132">
        <f>IF(SER_hh_tesh!I12=0,0,SER_hh_tesh!I12/SER_summary!I$26)</f>
        <v>75.488128275963632</v>
      </c>
      <c r="J12" s="132">
        <f>IF(SER_hh_tesh!J12=0,0,SER_hh_tesh!J12/SER_summary!J$26)</f>
        <v>108.02987638263315</v>
      </c>
      <c r="K12" s="132">
        <f>IF(SER_hh_tesh!K12=0,0,SER_hh_tesh!K12/SER_summary!K$26)</f>
        <v>101.46059460221225</v>
      </c>
      <c r="L12" s="132">
        <f>IF(SER_hh_tesh!L12=0,0,SER_hh_tesh!L12/SER_summary!L$26)</f>
        <v>113.09570064558545</v>
      </c>
      <c r="M12" s="132">
        <f>IF(SER_hh_tesh!M12=0,0,SER_hh_tesh!M12/SER_summary!M$26)</f>
        <v>96.856189174132467</v>
      </c>
      <c r="N12" s="132">
        <f>IF(SER_hh_tesh!N12=0,0,SER_hh_tesh!N12/SER_summary!N$26)</f>
        <v>96.359154145045821</v>
      </c>
      <c r="O12" s="132">
        <f>IF(SER_hh_tesh!O12=0,0,SER_hh_tesh!O12/SER_summary!O$26)</f>
        <v>99.403075365687798</v>
      </c>
      <c r="P12" s="132">
        <f>IF(SER_hh_tesh!P12=0,0,SER_hh_tesh!P12/SER_summary!P$26)</f>
        <v>85.493860602791472</v>
      </c>
      <c r="Q12" s="132">
        <f>IF(SER_hh_tesh!Q12=0,0,SER_hh_tesh!Q12/SER_summary!Q$26)</f>
        <v>77.949011127480148</v>
      </c>
      <c r="R12" s="132">
        <f>IF(SER_hh_tesh!R12=0,0,SER_hh_tesh!R12/SER_summary!R$26)</f>
        <v>91.880228620270429</v>
      </c>
      <c r="S12" s="132">
        <f>IF(SER_hh_tesh!S12=0,0,SER_hh_tesh!S12/SER_summary!S$26)</f>
        <v>92.891481812194641</v>
      </c>
      <c r="T12" s="132">
        <f>IF(SER_hh_tesh!T12=0,0,SER_hh_tesh!T12/SER_summary!T$26)</f>
        <v>79.227507018253831</v>
      </c>
      <c r="U12" s="132">
        <f>IF(SER_hh_tesh!U12=0,0,SER_hh_tesh!U12/SER_summary!U$26)</f>
        <v>83.713151749796964</v>
      </c>
      <c r="V12" s="132">
        <f>IF(SER_hh_tesh!V12=0,0,SER_hh_tesh!V12/SER_summary!V$26)</f>
        <v>86.839299697975974</v>
      </c>
      <c r="W12" s="132">
        <f>IF(SER_hh_tesh!W12=0,0,SER_hh_tesh!W12/SER_summary!W$26)</f>
        <v>79.303544956128178</v>
      </c>
      <c r="X12" s="132">
        <f>IF(SER_hh_tesh!X12=0,0,SER_hh_tesh!X12/SER_summary!X$26)</f>
        <v>92.62020211692419</v>
      </c>
      <c r="Y12" s="132">
        <f>IF(SER_hh_tesh!Y12=0,0,SER_hh_tesh!Y12/SER_summary!Y$26)</f>
        <v>83.103014377261317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66.048443370849711</v>
      </c>
      <c r="C13" s="132">
        <f>IF(SER_hh_tesh!C13=0,0,SER_hh_tesh!C13/SER_summary!C$26)</f>
        <v>85.009546208005418</v>
      </c>
      <c r="D13" s="132">
        <f>IF(SER_hh_tesh!D13=0,0,SER_hh_tesh!D13/SER_summary!D$26)</f>
        <v>78.228041252153915</v>
      </c>
      <c r="E13" s="132">
        <f>IF(SER_hh_tesh!E13=0,0,SER_hh_tesh!E13/SER_summary!E$26)</f>
        <v>89.317307044574108</v>
      </c>
      <c r="F13" s="132">
        <f>IF(SER_hh_tesh!F13=0,0,SER_hh_tesh!F13/SER_summary!F$26)</f>
        <v>82.920947537386155</v>
      </c>
      <c r="G13" s="132">
        <f>IF(SER_hh_tesh!G13=0,0,SER_hh_tesh!G13/SER_summary!G$26)</f>
        <v>93.147503238226221</v>
      </c>
      <c r="H13" s="132">
        <f>IF(SER_hh_tesh!H13=0,0,SER_hh_tesh!H13/SER_summary!H$26)</f>
        <v>97.907752055008899</v>
      </c>
      <c r="I13" s="132">
        <f>IF(SER_hh_tesh!I13=0,0,SER_hh_tesh!I13/SER_summary!I$26)</f>
        <v>96.767794089472872</v>
      </c>
      <c r="J13" s="132">
        <f>IF(SER_hh_tesh!J13=0,0,SER_hh_tesh!J13/SER_summary!J$26)</f>
        <v>101.59552762922749</v>
      </c>
      <c r="K13" s="132">
        <f>IF(SER_hh_tesh!K13=0,0,SER_hh_tesh!K13/SER_summary!K$26)</f>
        <v>105.33962335611362</v>
      </c>
      <c r="L13" s="132">
        <f>IF(SER_hh_tesh!L13=0,0,SER_hh_tesh!L13/SER_summary!L$26)</f>
        <v>104.86489046547577</v>
      </c>
      <c r="M13" s="132">
        <f>IF(SER_hh_tesh!M13=0,0,SER_hh_tesh!M13/SER_summary!M$26)</f>
        <v>99.715410701618197</v>
      </c>
      <c r="N13" s="132">
        <f>IF(SER_hh_tesh!N13=0,0,SER_hh_tesh!N13/SER_summary!N$26)</f>
        <v>94.759856165301997</v>
      </c>
      <c r="O13" s="132">
        <f>IF(SER_hh_tesh!O13=0,0,SER_hh_tesh!O13/SER_summary!O$26)</f>
        <v>81.01377338807967</v>
      </c>
      <c r="P13" s="132">
        <f>IF(SER_hh_tesh!P13=0,0,SER_hh_tesh!P13/SER_summary!P$26)</f>
        <v>92.166952677274836</v>
      </c>
      <c r="Q13" s="132">
        <f>IF(SER_hh_tesh!Q13=0,0,SER_hh_tesh!Q13/SER_summary!Q$26)</f>
        <v>89.498946400808634</v>
      </c>
      <c r="R13" s="132">
        <f>IF(SER_hh_tesh!R13=0,0,SER_hh_tesh!R13/SER_summary!R$26)</f>
        <v>89.032276950454715</v>
      </c>
      <c r="S13" s="132">
        <f>IF(SER_hh_tesh!S13=0,0,SER_hh_tesh!S13/SER_summary!S$26)</f>
        <v>86.294956980376625</v>
      </c>
      <c r="T13" s="132">
        <f>IF(SER_hh_tesh!T13=0,0,SER_hh_tesh!T13/SER_summary!T$26)</f>
        <v>82.833314659100452</v>
      </c>
      <c r="U13" s="132">
        <f>IF(SER_hh_tesh!U13=0,0,SER_hh_tesh!U13/SER_summary!U$26)</f>
        <v>82.104349877087856</v>
      </c>
      <c r="V13" s="132">
        <f>IF(SER_hh_tesh!V13=0,0,SER_hh_tesh!V13/SER_summary!V$26)</f>
        <v>81.442803265834257</v>
      </c>
      <c r="W13" s="132">
        <f>IF(SER_hh_tesh!W13=0,0,SER_hh_tesh!W13/SER_summary!W$26)</f>
        <v>89.529955133923167</v>
      </c>
      <c r="X13" s="132">
        <f>IF(SER_hh_tesh!X13=0,0,SER_hh_tesh!X13/SER_summary!X$26)</f>
        <v>88.011273672689981</v>
      </c>
      <c r="Y13" s="132">
        <f>IF(SER_hh_tesh!Y13=0,0,SER_hh_tesh!Y13/SER_summary!Y$26)</f>
        <v>91.049749801140862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72.749464957780063</v>
      </c>
      <c r="C14" s="65">
        <f>IF(SER_hh_tesh!C14=0,0,SER_hh_tesh!C14/SER_summary!C$26)</f>
        <v>85.931283256779366</v>
      </c>
      <c r="D14" s="65">
        <f>IF(SER_hh_tesh!D14=0,0,SER_hh_tesh!D14/SER_summary!D$26)</f>
        <v>77.392822730431988</v>
      </c>
      <c r="E14" s="65">
        <f>IF(SER_hh_tesh!E14=0,0,SER_hh_tesh!E14/SER_summary!E$26)</f>
        <v>89.405435148046422</v>
      </c>
      <c r="F14" s="65">
        <f>IF(SER_hh_tesh!F14=0,0,SER_hh_tesh!F14/SER_summary!F$26)</f>
        <v>87.252301450174258</v>
      </c>
      <c r="G14" s="65">
        <f>IF(SER_hh_tesh!G14=0,0,SER_hh_tesh!G14/SER_summary!G$26)</f>
        <v>95.059699026532101</v>
      </c>
      <c r="H14" s="65">
        <f>IF(SER_hh_tesh!H14=0,0,SER_hh_tesh!H14/SER_summary!H$26)</f>
        <v>108.68040249173613</v>
      </c>
      <c r="I14" s="65">
        <f>IF(SER_hh_tesh!I14=0,0,SER_hh_tesh!I14/SER_summary!I$26)</f>
        <v>87.083094350445393</v>
      </c>
      <c r="J14" s="65">
        <f>IF(SER_hh_tesh!J14=0,0,SER_hh_tesh!J14/SER_summary!J$26)</f>
        <v>108.23171798506337</v>
      </c>
      <c r="K14" s="65">
        <f>IF(SER_hh_tesh!K14=0,0,SER_hh_tesh!K14/SER_summary!K$26)</f>
        <v>90.480577838563704</v>
      </c>
      <c r="L14" s="65">
        <f>IF(SER_hh_tesh!L14=0,0,SER_hh_tesh!L14/SER_summary!L$26)</f>
        <v>113.03910564797118</v>
      </c>
      <c r="M14" s="65">
        <f>IF(SER_hh_tesh!M14=0,0,SER_hh_tesh!M14/SER_summary!M$26)</f>
        <v>108.18263055069545</v>
      </c>
      <c r="N14" s="65">
        <f>IF(SER_hh_tesh!N14=0,0,SER_hh_tesh!N14/SER_summary!N$26)</f>
        <v>103.70116894798926</v>
      </c>
      <c r="O14" s="65">
        <f>IF(SER_hh_tesh!O14=0,0,SER_hh_tesh!O14/SER_summary!O$26)</f>
        <v>84.492074648344172</v>
      </c>
      <c r="P14" s="65">
        <f>IF(SER_hh_tesh!P14=0,0,SER_hh_tesh!P14/SER_summary!P$26)</f>
        <v>89.969480562366073</v>
      </c>
      <c r="Q14" s="65">
        <f>IF(SER_hh_tesh!Q14=0,0,SER_hh_tesh!Q14/SER_summary!Q$26)</f>
        <v>82.244785592695095</v>
      </c>
      <c r="R14" s="65">
        <f>IF(SER_hh_tesh!R14=0,0,SER_hh_tesh!R14/SER_summary!R$26)</f>
        <v>92.863479005855027</v>
      </c>
      <c r="S14" s="65">
        <f>IF(SER_hh_tesh!S14=0,0,SER_hh_tesh!S14/SER_summary!S$26)</f>
        <v>81.224713651337211</v>
      </c>
      <c r="T14" s="65">
        <f>IF(SER_hh_tesh!T14=0,0,SER_hh_tesh!T14/SER_summary!T$26)</f>
        <v>88.311807002962354</v>
      </c>
      <c r="U14" s="65">
        <f>IF(SER_hh_tesh!U14=0,0,SER_hh_tesh!U14/SER_summary!U$26)</f>
        <v>82.955909398144556</v>
      </c>
      <c r="V14" s="65">
        <f>IF(SER_hh_tesh!V14=0,0,SER_hh_tesh!V14/SER_summary!V$26)</f>
        <v>79.304875704626411</v>
      </c>
      <c r="W14" s="65">
        <f>IF(SER_hh_tesh!W14=0,0,SER_hh_tesh!W14/SER_summary!W$26)</f>
        <v>91.645319155654221</v>
      </c>
      <c r="X14" s="65">
        <f>IF(SER_hh_tesh!X14=0,0,SER_hh_tesh!X14/SER_summary!X$26)</f>
        <v>81.820809876632993</v>
      </c>
      <c r="Y14" s="65">
        <f>IF(SER_hh_tesh!Y14=0,0,SER_hh_tesh!Y14/SER_summary!Y$26)</f>
        <v>94.637158443441422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0.9098189941074013</v>
      </c>
      <c r="C15" s="134">
        <f>IF(SER_hh_tesh!C15=0,0,SER_hh_tesh!C15/SER_summary!C$26)</f>
        <v>1.0107416377868588</v>
      </c>
      <c r="D15" s="134">
        <f>IF(SER_hh_tesh!D15=0,0,SER_hh_tesh!D15/SER_summary!D$26)</f>
        <v>1.1807099333661513</v>
      </c>
      <c r="E15" s="134">
        <f>IF(SER_hh_tesh!E15=0,0,SER_hh_tesh!E15/SER_summary!E$26)</f>
        <v>1.1529890950004873</v>
      </c>
      <c r="F15" s="134">
        <f>IF(SER_hh_tesh!F15=0,0,SER_hh_tesh!F15/SER_summary!F$26)</f>
        <v>1.1510891438373583</v>
      </c>
      <c r="G15" s="134">
        <f>IF(SER_hh_tesh!G15=0,0,SER_hh_tesh!G15/SER_summary!G$26)</f>
        <v>1.0675950762228545</v>
      </c>
      <c r="H15" s="134">
        <f>IF(SER_hh_tesh!H15=0,0,SER_hh_tesh!H15/SER_summary!H$26)</f>
        <v>1.1255198810217202</v>
      </c>
      <c r="I15" s="134">
        <f>IF(SER_hh_tesh!I15=0,0,SER_hh_tesh!I15/SER_summary!I$26)</f>
        <v>1.0140322100879386</v>
      </c>
      <c r="J15" s="134">
        <f>IF(SER_hh_tesh!J15=0,0,SER_hh_tesh!J15/SER_summary!J$26)</f>
        <v>1.0892152723171304</v>
      </c>
      <c r="K15" s="134">
        <f>IF(SER_hh_tesh!K15=0,0,SER_hh_tesh!K15/SER_summary!K$26)</f>
        <v>1.0923345358335177</v>
      </c>
      <c r="L15" s="134">
        <f>IF(SER_hh_tesh!L15=0,0,SER_hh_tesh!L15/SER_summary!L$26)</f>
        <v>1.2577309464686832</v>
      </c>
      <c r="M15" s="134">
        <f>IF(SER_hh_tesh!M15=0,0,SER_hh_tesh!M15/SER_summary!M$26)</f>
        <v>1.1179955300999813</v>
      </c>
      <c r="N15" s="134">
        <f>IF(SER_hh_tesh!N15=0,0,SER_hh_tesh!N15/SER_summary!N$26)</f>
        <v>1.0657151158505613</v>
      </c>
      <c r="O15" s="134">
        <f>IF(SER_hh_tesh!O15=0,0,SER_hh_tesh!O15/SER_summary!O$26)</f>
        <v>0.99397752379791759</v>
      </c>
      <c r="P15" s="134">
        <f>IF(SER_hh_tesh!P15=0,0,SER_hh_tesh!P15/SER_summary!P$26)</f>
        <v>0.85775960713327892</v>
      </c>
      <c r="Q15" s="134">
        <f>IF(SER_hh_tesh!Q15=0,0,SER_hh_tesh!Q15/SER_summary!Q$26)</f>
        <v>0.87870075483138133</v>
      </c>
      <c r="R15" s="134">
        <f>IF(SER_hh_tesh!R15=0,0,SER_hh_tesh!R15/SER_summary!R$26)</f>
        <v>1.0040481359088147</v>
      </c>
      <c r="S15" s="134">
        <f>IF(SER_hh_tesh!S15=0,0,SER_hh_tesh!S15/SER_summary!S$26)</f>
        <v>0.85034501920474237</v>
      </c>
      <c r="T15" s="134">
        <f>IF(SER_hh_tesh!T15=0,0,SER_hh_tesh!T15/SER_summary!T$26)</f>
        <v>0.81041831898586691</v>
      </c>
      <c r="U15" s="134">
        <f>IF(SER_hh_tesh!U15=0,0,SER_hh_tesh!U15/SER_summary!U$26)</f>
        <v>0.79919722249124592</v>
      </c>
      <c r="V15" s="134">
        <f>IF(SER_hh_tesh!V15=0,0,SER_hh_tesh!V15/SER_summary!V$26)</f>
        <v>0.76830085243727364</v>
      </c>
      <c r="W15" s="134">
        <f>IF(SER_hh_tesh!W15=0,0,SER_hh_tesh!W15/SER_summary!W$26)</f>
        <v>0.9746887666443409</v>
      </c>
      <c r="X15" s="134">
        <f>IF(SER_hh_tesh!X15=0,0,SER_hh_tesh!X15/SER_summary!X$26)</f>
        <v>0.91744993541947883</v>
      </c>
      <c r="Y15" s="134">
        <f>IF(SER_hh_tesh!Y15=0,0,SER_hh_tesh!Y15/SER_summary!Y$26)</f>
        <v>0.85514893173850159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28.118051707795885</v>
      </c>
      <c r="C16" s="130">
        <f>IF(SER_hh_tesh!C16=0,0,SER_hh_tesh!C16/SER_summary!C$26)</f>
        <v>28.219007368144389</v>
      </c>
      <c r="D16" s="130">
        <f>IF(SER_hh_tesh!D16=0,0,SER_hh_tesh!D16/SER_summary!D$26)</f>
        <v>28.705605341795078</v>
      </c>
      <c r="E16" s="130">
        <f>IF(SER_hh_tesh!E16=0,0,SER_hh_tesh!E16/SER_summary!E$26)</f>
        <v>28.190808791402443</v>
      </c>
      <c r="F16" s="130">
        <f>IF(SER_hh_tesh!F16=0,0,SER_hh_tesh!F16/SER_summary!F$26)</f>
        <v>28.118317016481011</v>
      </c>
      <c r="G16" s="130">
        <f>IF(SER_hh_tesh!G16=0,0,SER_hh_tesh!G16/SER_summary!G$26)</f>
        <v>28.355165164341379</v>
      </c>
      <c r="H16" s="130">
        <f>IF(SER_hh_tesh!H16=0,0,SER_hh_tesh!H16/SER_summary!H$26)</f>
        <v>29.958682048900556</v>
      </c>
      <c r="I16" s="130">
        <f>IF(SER_hh_tesh!I16=0,0,SER_hh_tesh!I16/SER_summary!I$26)</f>
        <v>28.813328722526894</v>
      </c>
      <c r="J16" s="130">
        <f>IF(SER_hh_tesh!J16=0,0,SER_hh_tesh!J16/SER_summary!J$26)</f>
        <v>28.306780091207553</v>
      </c>
      <c r="K16" s="130">
        <f>IF(SER_hh_tesh!K16=0,0,SER_hh_tesh!K16/SER_summary!K$26)</f>
        <v>28.378812046863292</v>
      </c>
      <c r="L16" s="130">
        <f>IF(SER_hh_tesh!L16=0,0,SER_hh_tesh!L16/SER_summary!L$26)</f>
        <v>32.159112389358697</v>
      </c>
      <c r="M16" s="130">
        <f>IF(SER_hh_tesh!M16=0,0,SER_hh_tesh!M16/SER_summary!M$26)</f>
        <v>28.484620506343138</v>
      </c>
      <c r="N16" s="130">
        <f>IF(SER_hh_tesh!N16=0,0,SER_hh_tesh!N16/SER_summary!N$26)</f>
        <v>29.88830861929101</v>
      </c>
      <c r="O16" s="130">
        <f>IF(SER_hh_tesh!O16=0,0,SER_hh_tesh!O16/SER_summary!O$26)</f>
        <v>29.839442051522845</v>
      </c>
      <c r="P16" s="130">
        <f>IF(SER_hh_tesh!P16=0,0,SER_hh_tesh!P16/SER_summary!P$26)</f>
        <v>29.359645197371584</v>
      </c>
      <c r="Q16" s="130">
        <f>IF(SER_hh_tesh!Q16=0,0,SER_hh_tesh!Q16/SER_summary!Q$26)</f>
        <v>33.620975105793008</v>
      </c>
      <c r="R16" s="130">
        <f>IF(SER_hh_tesh!R16=0,0,SER_hh_tesh!R16/SER_summary!R$26)</f>
        <v>29.128924458379878</v>
      </c>
      <c r="S16" s="130">
        <f>IF(SER_hh_tesh!S16=0,0,SER_hh_tesh!S16/SER_summary!S$26)</f>
        <v>29.345134649983677</v>
      </c>
      <c r="T16" s="130">
        <f>IF(SER_hh_tesh!T16=0,0,SER_hh_tesh!T16/SER_summary!T$26)</f>
        <v>30.197903151868566</v>
      </c>
      <c r="U16" s="130">
        <f>IF(SER_hh_tesh!U16=0,0,SER_hh_tesh!U16/SER_summary!U$26)</f>
        <v>32.734337061434132</v>
      </c>
      <c r="V16" s="130">
        <f>IF(SER_hh_tesh!V16=0,0,SER_hh_tesh!V16/SER_summary!V$26)</f>
        <v>28.152935580435013</v>
      </c>
      <c r="W16" s="130">
        <f>IF(SER_hh_tesh!W16=0,0,SER_hh_tesh!W16/SER_summary!W$26)</f>
        <v>29.785985801285328</v>
      </c>
      <c r="X16" s="130">
        <f>IF(SER_hh_tesh!X16=0,0,SER_hh_tesh!X16/SER_summary!X$26)</f>
        <v>31.604395689981928</v>
      </c>
      <c r="Y16" s="130">
        <f>IF(SER_hh_tesh!Y16=0,0,SER_hh_tesh!Y16/SER_summary!Y$26)</f>
        <v>30.351455394492401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28.118051707795882</v>
      </c>
      <c r="C17" s="132">
        <f>IF(SER_hh_tesh!C17=0,0,SER_hh_tesh!C17/SER_summary!C$26)</f>
        <v>28.219007368144446</v>
      </c>
      <c r="D17" s="132">
        <f>IF(SER_hh_tesh!D17=0,0,SER_hh_tesh!D17/SER_summary!D$26)</f>
        <v>28.70560534179371</v>
      </c>
      <c r="E17" s="132">
        <f>IF(SER_hh_tesh!E17=0,0,SER_hh_tesh!E17/SER_summary!E$26)</f>
        <v>28.190808791402592</v>
      </c>
      <c r="F17" s="132">
        <f>IF(SER_hh_tesh!F17=0,0,SER_hh_tesh!F17/SER_summary!F$26)</f>
        <v>28.118317016482479</v>
      </c>
      <c r="G17" s="132">
        <f>IF(SER_hh_tesh!G17=0,0,SER_hh_tesh!G17/SER_summary!G$26)</f>
        <v>28.355165164342225</v>
      </c>
      <c r="H17" s="132">
        <f>IF(SER_hh_tesh!H17=0,0,SER_hh_tesh!H17/SER_summary!H$26)</f>
        <v>29.958682048900481</v>
      </c>
      <c r="I17" s="132">
        <f>IF(SER_hh_tesh!I17=0,0,SER_hh_tesh!I17/SER_summary!I$26)</f>
        <v>28.813328722526617</v>
      </c>
      <c r="J17" s="132">
        <f>IF(SER_hh_tesh!J17=0,0,SER_hh_tesh!J17/SER_summary!J$26)</f>
        <v>28.306780091207333</v>
      </c>
      <c r="K17" s="132">
        <f>IF(SER_hh_tesh!K17=0,0,SER_hh_tesh!K17/SER_summary!K$26)</f>
        <v>28.378812046862997</v>
      </c>
      <c r="L17" s="132">
        <f>IF(SER_hh_tesh!L17=0,0,SER_hh_tesh!L17/SER_summary!L$26)</f>
        <v>32.159112389358526</v>
      </c>
      <c r="M17" s="132">
        <f>IF(SER_hh_tesh!M17=0,0,SER_hh_tesh!M17/SER_summary!M$26)</f>
        <v>28.484620506342882</v>
      </c>
      <c r="N17" s="132">
        <f>IF(SER_hh_tesh!N17=0,0,SER_hh_tesh!N17/SER_summary!N$26)</f>
        <v>29.888308619290964</v>
      </c>
      <c r="O17" s="132">
        <f>IF(SER_hh_tesh!O17=0,0,SER_hh_tesh!O17/SER_summary!O$26)</f>
        <v>29.839442051524291</v>
      </c>
      <c r="P17" s="132">
        <f>IF(SER_hh_tesh!P17=0,0,SER_hh_tesh!P17/SER_summary!P$26)</f>
        <v>29.359645197373776</v>
      </c>
      <c r="Q17" s="132">
        <f>IF(SER_hh_tesh!Q17=0,0,SER_hh_tesh!Q17/SER_summary!Q$26)</f>
        <v>33.620975105793832</v>
      </c>
      <c r="R17" s="132">
        <f>IF(SER_hh_tesh!R17=0,0,SER_hh_tesh!R17/SER_summary!R$26)</f>
        <v>29.128924458378552</v>
      </c>
      <c r="S17" s="132">
        <f>IF(SER_hh_tesh!S17=0,0,SER_hh_tesh!S17/SER_summary!S$26)</f>
        <v>29.345134649981741</v>
      </c>
      <c r="T17" s="132">
        <f>IF(SER_hh_tesh!T17=0,0,SER_hh_tesh!T17/SER_summary!T$26)</f>
        <v>30.19790315186674</v>
      </c>
      <c r="U17" s="132">
        <f>IF(SER_hh_tesh!U17=0,0,SER_hh_tesh!U17/SER_summary!U$26)</f>
        <v>32.734337061432555</v>
      </c>
      <c r="V17" s="132">
        <f>IF(SER_hh_tesh!V17=0,0,SER_hh_tesh!V17/SER_summary!V$26)</f>
        <v>27.109214780620405</v>
      </c>
      <c r="W17" s="132">
        <f>IF(SER_hh_tesh!W17=0,0,SER_hh_tesh!W17/SER_summary!W$26)</f>
        <v>28.300691014576508</v>
      </c>
      <c r="X17" s="132">
        <f>IF(SER_hh_tesh!X17=0,0,SER_hh_tesh!X17/SER_summary!X$26)</f>
        <v>32.057171755759619</v>
      </c>
      <c r="Y17" s="132">
        <f>IF(SER_hh_tesh!Y17=0,0,SER_hh_tesh!Y17/SER_summary!Y$26)</f>
        <v>30.351455432881743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28.118051707795885</v>
      </c>
      <c r="C18" s="132">
        <f>IF(SER_hh_tesh!C18=0,0,SER_hh_tesh!C18/SER_summary!C$26)</f>
        <v>28.219007368144393</v>
      </c>
      <c r="D18" s="132">
        <f>IF(SER_hh_tesh!D18=0,0,SER_hh_tesh!D18/SER_summary!D$26)</f>
        <v>28.705605341795081</v>
      </c>
      <c r="E18" s="132">
        <f>IF(SER_hh_tesh!E18=0,0,SER_hh_tesh!E18/SER_summary!E$26)</f>
        <v>28.190808791402443</v>
      </c>
      <c r="F18" s="132">
        <f>IF(SER_hh_tesh!F18=0,0,SER_hh_tesh!F18/SER_summary!F$26)</f>
        <v>28.118317016481008</v>
      </c>
      <c r="G18" s="132">
        <f>IF(SER_hh_tesh!G18=0,0,SER_hh_tesh!G18/SER_summary!G$26)</f>
        <v>28.355165164341379</v>
      </c>
      <c r="H18" s="132">
        <f>IF(SER_hh_tesh!H18=0,0,SER_hh_tesh!H18/SER_summary!H$26)</f>
        <v>29.958682048900553</v>
      </c>
      <c r="I18" s="132">
        <f>IF(SER_hh_tesh!I18=0,0,SER_hh_tesh!I18/SER_summary!I$26)</f>
        <v>28.813328722526894</v>
      </c>
      <c r="J18" s="132">
        <f>IF(SER_hh_tesh!J18=0,0,SER_hh_tesh!J18/SER_summary!J$26)</f>
        <v>28.306780091207546</v>
      </c>
      <c r="K18" s="132">
        <f>IF(SER_hh_tesh!K18=0,0,SER_hh_tesh!K18/SER_summary!K$26)</f>
        <v>28.378812046863295</v>
      </c>
      <c r="L18" s="132">
        <f>IF(SER_hh_tesh!L18=0,0,SER_hh_tesh!L18/SER_summary!L$26)</f>
        <v>32.159112389358697</v>
      </c>
      <c r="M18" s="132">
        <f>IF(SER_hh_tesh!M18=0,0,SER_hh_tesh!M18/SER_summary!M$26)</f>
        <v>28.484620506343134</v>
      </c>
      <c r="N18" s="132">
        <f>IF(SER_hh_tesh!N18=0,0,SER_hh_tesh!N18/SER_summary!N$26)</f>
        <v>29.88830861929101</v>
      </c>
      <c r="O18" s="132">
        <f>IF(SER_hh_tesh!O18=0,0,SER_hh_tesh!O18/SER_summary!O$26)</f>
        <v>29.839442051522834</v>
      </c>
      <c r="P18" s="132">
        <f>IF(SER_hh_tesh!P18=0,0,SER_hh_tesh!P18/SER_summary!P$26)</f>
        <v>29.359645197371574</v>
      </c>
      <c r="Q18" s="132">
        <f>IF(SER_hh_tesh!Q18=0,0,SER_hh_tesh!Q18/SER_summary!Q$26)</f>
        <v>33.620975105792994</v>
      </c>
      <c r="R18" s="132">
        <f>IF(SER_hh_tesh!R18=0,0,SER_hh_tesh!R18/SER_summary!R$26)</f>
        <v>29.128924458379892</v>
      </c>
      <c r="S18" s="132">
        <f>IF(SER_hh_tesh!S18=0,0,SER_hh_tesh!S18/SER_summary!S$26)</f>
        <v>29.345134649983699</v>
      </c>
      <c r="T18" s="132">
        <f>IF(SER_hh_tesh!T18=0,0,SER_hh_tesh!T18/SER_summary!T$26)</f>
        <v>30.197903151868587</v>
      </c>
      <c r="U18" s="132">
        <f>IF(SER_hh_tesh!U18=0,0,SER_hh_tesh!U18/SER_summary!U$26)</f>
        <v>32.734337061434154</v>
      </c>
      <c r="V18" s="132">
        <f>IF(SER_hh_tesh!V18=0,0,SER_hh_tesh!V18/SER_summary!V$26)</f>
        <v>28.164566305724357</v>
      </c>
      <c r="W18" s="132">
        <f>IF(SER_hh_tesh!W18=0,0,SER_hh_tesh!W18/SER_summary!W$26)</f>
        <v>29.80261916898549</v>
      </c>
      <c r="X18" s="132">
        <f>IF(SER_hh_tesh!X18=0,0,SER_hh_tesh!X18/SER_summary!X$26)</f>
        <v>31.599303321947737</v>
      </c>
      <c r="Y18" s="132">
        <f>IF(SER_hh_tesh!Y18=0,0,SER_hh_tesh!Y18/SER_summary!Y$26)</f>
        <v>30.351455394047697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8.8980945390769541</v>
      </c>
      <c r="C19" s="130">
        <f>IF(SER_hh_tesh!C19=0,0,SER_hh_tesh!C19/SER_summary!C$26)</f>
        <v>9.7560324327488335</v>
      </c>
      <c r="D19" s="130">
        <f>IF(SER_hh_tesh!D19=0,0,SER_hh_tesh!D19/SER_summary!D$26)</f>
        <v>11.838324051667779</v>
      </c>
      <c r="E19" s="130">
        <f>IF(SER_hh_tesh!E19=0,0,SER_hh_tesh!E19/SER_summary!E$26)</f>
        <v>12.62851897652034</v>
      </c>
      <c r="F19" s="130">
        <f>IF(SER_hh_tesh!F19=0,0,SER_hh_tesh!F19/SER_summary!F$26)</f>
        <v>13.587935324706448</v>
      </c>
      <c r="G19" s="130">
        <f>IF(SER_hh_tesh!G19=0,0,SER_hh_tesh!G19/SER_summary!G$26)</f>
        <v>13.759280795896256</v>
      </c>
      <c r="H19" s="130">
        <f>IF(SER_hh_tesh!H19=0,0,SER_hh_tesh!H19/SER_summary!H$26)</f>
        <v>14.548441133824959</v>
      </c>
      <c r="I19" s="130">
        <f>IF(SER_hh_tesh!I19=0,0,SER_hh_tesh!I19/SER_summary!I$26)</f>
        <v>15.479351866591472</v>
      </c>
      <c r="J19" s="130">
        <f>IF(SER_hh_tesh!J19=0,0,SER_hh_tesh!J19/SER_summary!J$26)</f>
        <v>15.971201674311855</v>
      </c>
      <c r="K19" s="130">
        <f>IF(SER_hh_tesh!K19=0,0,SER_hh_tesh!K19/SER_summary!K$26)</f>
        <v>16.076340245193137</v>
      </c>
      <c r="L19" s="130">
        <f>IF(SER_hh_tesh!L19=0,0,SER_hh_tesh!L19/SER_summary!L$26)</f>
        <v>16.198430307573631</v>
      </c>
      <c r="M19" s="130">
        <f>IF(SER_hh_tesh!M19=0,0,SER_hh_tesh!M19/SER_summary!M$26)</f>
        <v>16.307851335293719</v>
      </c>
      <c r="N19" s="130">
        <f>IF(SER_hh_tesh!N19=0,0,SER_hh_tesh!N19/SER_summary!N$26)</f>
        <v>16.604737263102713</v>
      </c>
      <c r="O19" s="130">
        <f>IF(SER_hh_tesh!O19=0,0,SER_hh_tesh!O19/SER_summary!O$26)</f>
        <v>17.12246028976719</v>
      </c>
      <c r="P19" s="130">
        <f>IF(SER_hh_tesh!P19=0,0,SER_hh_tesh!P19/SER_summary!P$26)</f>
        <v>17.139520150558926</v>
      </c>
      <c r="Q19" s="130">
        <f>IF(SER_hh_tesh!Q19=0,0,SER_hh_tesh!Q19/SER_summary!Q$26)</f>
        <v>17.487528964617169</v>
      </c>
      <c r="R19" s="130">
        <f>IF(SER_hh_tesh!R19=0,0,SER_hh_tesh!R19/SER_summary!R$26)</f>
        <v>17.797034279893822</v>
      </c>
      <c r="S19" s="130">
        <f>IF(SER_hh_tesh!S19=0,0,SER_hh_tesh!S19/SER_summary!S$26)</f>
        <v>17.53479740399257</v>
      </c>
      <c r="T19" s="130">
        <f>IF(SER_hh_tesh!T19=0,0,SER_hh_tesh!T19/SER_summary!T$26)</f>
        <v>17.185912871659095</v>
      </c>
      <c r="U19" s="130">
        <f>IF(SER_hh_tesh!U19=0,0,SER_hh_tesh!U19/SER_summary!U$26)</f>
        <v>17.043613021875199</v>
      </c>
      <c r="V19" s="130">
        <f>IF(SER_hh_tesh!V19=0,0,SER_hh_tesh!V19/SER_summary!V$26)</f>
        <v>15.856954760816867</v>
      </c>
      <c r="W19" s="130">
        <f>IF(SER_hh_tesh!W19=0,0,SER_hh_tesh!W19/SER_summary!W$26)</f>
        <v>17.210602319474326</v>
      </c>
      <c r="X19" s="130">
        <f>IF(SER_hh_tesh!X19=0,0,SER_hh_tesh!X19/SER_summary!X$26)</f>
        <v>17.329556107922453</v>
      </c>
      <c r="Y19" s="130">
        <f>IF(SER_hh_tesh!Y19=0,0,SER_hh_tesh!Y19/SER_summary!Y$26)</f>
        <v>17.02540108767046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6.6807846960596251</v>
      </c>
      <c r="C20" s="132">
        <f>IF(SER_hh_tesh!C20=0,0,SER_hh_tesh!C20/SER_summary!C$26)</f>
        <v>10.713342848182105</v>
      </c>
      <c r="D20" s="132">
        <f>IF(SER_hh_tesh!D20=0,0,SER_hh_tesh!D20/SER_summary!D$26)</f>
        <v>12.925326480261962</v>
      </c>
      <c r="E20" s="132">
        <f>IF(SER_hh_tesh!E20=0,0,SER_hh_tesh!E20/SER_summary!E$26)</f>
        <v>13.024882029022702</v>
      </c>
      <c r="F20" s="132">
        <f>IF(SER_hh_tesh!F20=0,0,SER_hh_tesh!F20/SER_summary!F$26)</f>
        <v>13.747797197683376</v>
      </c>
      <c r="G20" s="132">
        <f>IF(SER_hh_tesh!G20=0,0,SER_hh_tesh!G20/SER_summary!G$26)</f>
        <v>14.027732135688646</v>
      </c>
      <c r="H20" s="132">
        <f>IF(SER_hh_tesh!H20=0,0,SER_hh_tesh!H20/SER_summary!H$26)</f>
        <v>13.098169894756357</v>
      </c>
      <c r="I20" s="132">
        <f>IF(SER_hh_tesh!I20=0,0,SER_hh_tesh!I20/SER_summary!I$26)</f>
        <v>15.749677328777048</v>
      </c>
      <c r="J20" s="132">
        <f>IF(SER_hh_tesh!J20=0,0,SER_hh_tesh!J20/SER_summary!J$26)</f>
        <v>15.883561192422704</v>
      </c>
      <c r="K20" s="132">
        <f>IF(SER_hh_tesh!K20=0,0,SER_hh_tesh!K20/SER_summary!K$26)</f>
        <v>15.887537531173976</v>
      </c>
      <c r="L20" s="132">
        <f>IF(SER_hh_tesh!L20=0,0,SER_hh_tesh!L20/SER_summary!L$26)</f>
        <v>16.48039926477388</v>
      </c>
      <c r="M20" s="132">
        <f>IF(SER_hh_tesh!M20=0,0,SER_hh_tesh!M20/SER_summary!M$26)</f>
        <v>16.412854705222788</v>
      </c>
      <c r="N20" s="132">
        <f>IF(SER_hh_tesh!N20=0,0,SER_hh_tesh!N20/SER_summary!N$26)</f>
        <v>16.633366078395536</v>
      </c>
      <c r="O20" s="132">
        <f>IF(SER_hh_tesh!O20=0,0,SER_hh_tesh!O20/SER_summary!O$26)</f>
        <v>17.118297516048401</v>
      </c>
      <c r="P20" s="132">
        <f>IF(SER_hh_tesh!P20=0,0,SER_hh_tesh!P20/SER_summary!P$26)</f>
        <v>17.112696954259036</v>
      </c>
      <c r="Q20" s="132">
        <f>IF(SER_hh_tesh!Q20=0,0,SER_hh_tesh!Q20/SER_summary!Q$26)</f>
        <v>17.328381465110052</v>
      </c>
      <c r="R20" s="132">
        <f>IF(SER_hh_tesh!R20=0,0,SER_hh_tesh!R20/SER_summary!R$26)</f>
        <v>19.734836191280163</v>
      </c>
      <c r="S20" s="132">
        <f>IF(SER_hh_tesh!S20=0,0,SER_hh_tesh!S20/SER_summary!S$26)</f>
        <v>18.423692696716383</v>
      </c>
      <c r="T20" s="132">
        <f>IF(SER_hh_tesh!T20=0,0,SER_hh_tesh!T20/SER_summary!T$26)</f>
        <v>15.468006197565824</v>
      </c>
      <c r="U20" s="132">
        <f>IF(SER_hh_tesh!U20=0,0,SER_hh_tesh!U20/SER_summary!U$26)</f>
        <v>13.109645014786516</v>
      </c>
      <c r="V20" s="132">
        <f>IF(SER_hh_tesh!V20=0,0,SER_hh_tesh!V20/SER_summary!V$26)</f>
        <v>16.312931283647362</v>
      </c>
      <c r="W20" s="132">
        <f>IF(SER_hh_tesh!W20=0,0,SER_hh_tesh!W20/SER_summary!W$26)</f>
        <v>26.810162299395799</v>
      </c>
      <c r="X20" s="132">
        <f>IF(SER_hh_tesh!X20=0,0,SER_hh_tesh!X20/SER_summary!X$26)</f>
        <v>16.285683665610641</v>
      </c>
      <c r="Y20" s="132">
        <f>IF(SER_hh_tesh!Y20=0,0,SER_hh_tesh!Y20/SER_summary!Y$26)</f>
        <v>15.074206675807051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8.5361186080456743</v>
      </c>
      <c r="C21" s="132">
        <f>IF(SER_hh_tesh!C21=0,0,SER_hh_tesh!C21/SER_summary!C$26)</f>
        <v>10.551792328517166</v>
      </c>
      <c r="D21" s="132">
        <f>IF(SER_hh_tesh!D21=0,0,SER_hh_tesh!D21/SER_summary!D$26)</f>
        <v>10.177608452245932</v>
      </c>
      <c r="E21" s="132">
        <f>IF(SER_hh_tesh!E21=0,0,SER_hh_tesh!E21/SER_summary!E$26)</f>
        <v>15.479236841050737</v>
      </c>
      <c r="F21" s="132">
        <f>IF(SER_hh_tesh!F21=0,0,SER_hh_tesh!F21/SER_summary!F$26)</f>
        <v>13.680774662023962</v>
      </c>
      <c r="G21" s="132">
        <f>IF(SER_hh_tesh!G21=0,0,SER_hh_tesh!G21/SER_summary!G$26)</f>
        <v>12.68987190836663</v>
      </c>
      <c r="H21" s="132">
        <f>IF(SER_hh_tesh!H21=0,0,SER_hh_tesh!H21/SER_summary!H$26)</f>
        <v>15.433855007644405</v>
      </c>
      <c r="I21" s="132">
        <f>IF(SER_hh_tesh!I21=0,0,SER_hh_tesh!I21/SER_summary!I$26)</f>
        <v>15.232712917270559</v>
      </c>
      <c r="J21" s="132">
        <f>IF(SER_hh_tesh!J21=0,0,SER_hh_tesh!J21/SER_summary!J$26)</f>
        <v>15.688222410057504</v>
      </c>
      <c r="K21" s="132">
        <f>IF(SER_hh_tesh!K21=0,0,SER_hh_tesh!K21/SER_summary!K$26)</f>
        <v>15.514901405961933</v>
      </c>
      <c r="L21" s="132">
        <f>IF(SER_hh_tesh!L21=0,0,SER_hh_tesh!L21/SER_summary!L$26)</f>
        <v>15.451123189996981</v>
      </c>
      <c r="M21" s="132">
        <f>IF(SER_hh_tesh!M21=0,0,SER_hh_tesh!M21/SER_summary!M$26)</f>
        <v>15.556554150928134</v>
      </c>
      <c r="N21" s="132">
        <f>IF(SER_hh_tesh!N21=0,0,SER_hh_tesh!N21/SER_summary!N$26)</f>
        <v>21.048086690396413</v>
      </c>
      <c r="O21" s="132">
        <f>IF(SER_hh_tesh!O21=0,0,SER_hh_tesh!O21/SER_summary!O$26)</f>
        <v>14.303899998421256</v>
      </c>
      <c r="P21" s="132">
        <f>IF(SER_hh_tesh!P21=0,0,SER_hh_tesh!P21/SER_summary!P$26)</f>
        <v>17.140719221742383</v>
      </c>
      <c r="Q21" s="132">
        <f>IF(SER_hh_tesh!Q21=0,0,SER_hh_tesh!Q21/SER_summary!Q$26)</f>
        <v>16.707673460519462</v>
      </c>
      <c r="R21" s="132">
        <f>IF(SER_hh_tesh!R21=0,0,SER_hh_tesh!R21/SER_summary!R$26)</f>
        <v>17.66601632522482</v>
      </c>
      <c r="S21" s="132">
        <f>IF(SER_hh_tesh!S21=0,0,SER_hh_tesh!S21/SER_summary!S$26)</f>
        <v>17.897660946270562</v>
      </c>
      <c r="T21" s="132">
        <f>IF(SER_hh_tesh!T21=0,0,SER_hh_tesh!T21/SER_summary!T$26)</f>
        <v>16.862063145527994</v>
      </c>
      <c r="U21" s="132">
        <f>IF(SER_hh_tesh!U21=0,0,SER_hh_tesh!U21/SER_summary!U$26)</f>
        <v>19.512152797121185</v>
      </c>
      <c r="V21" s="132">
        <f>IF(SER_hh_tesh!V21=0,0,SER_hh_tesh!V21/SER_summary!V$26)</f>
        <v>15.143561971633586</v>
      </c>
      <c r="W21" s="132">
        <f>IF(SER_hh_tesh!W21=0,0,SER_hh_tesh!W21/SER_summary!W$26)</f>
        <v>16.644491528754205</v>
      </c>
      <c r="X21" s="132">
        <f>IF(SER_hh_tesh!X21=0,0,SER_hh_tesh!X21/SER_summary!X$26)</f>
        <v>16.490116496697638</v>
      </c>
      <c r="Y21" s="132">
        <f>IF(SER_hh_tesh!Y21=0,0,SER_hh_tesh!Y21/SER_summary!Y$26)</f>
        <v>16.655202467122038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9.1337818237598363</v>
      </c>
      <c r="C22" s="132">
        <f>IF(SER_hh_tesh!C22=0,0,SER_hh_tesh!C22/SER_summary!C$26)</f>
        <v>9.5763794456308862</v>
      </c>
      <c r="D22" s="132">
        <f>IF(SER_hh_tesh!D22=0,0,SER_hh_tesh!D22/SER_summary!D$26)</f>
        <v>11.710760172770643</v>
      </c>
      <c r="E22" s="132">
        <f>IF(SER_hh_tesh!E22=0,0,SER_hh_tesh!E22/SER_summary!E$26)</f>
        <v>12.68985803934908</v>
      </c>
      <c r="F22" s="132">
        <f>IF(SER_hh_tesh!F22=0,0,SER_hh_tesh!F22/SER_summary!F$26)</f>
        <v>13.595596490446344</v>
      </c>
      <c r="G22" s="132">
        <f>IF(SER_hh_tesh!G22=0,0,SER_hh_tesh!G22/SER_summary!G$26)</f>
        <v>13.391211927173453</v>
      </c>
      <c r="H22" s="132">
        <f>IF(SER_hh_tesh!H22=0,0,SER_hh_tesh!H22/SER_summary!H$26)</f>
        <v>14.421298299385004</v>
      </c>
      <c r="I22" s="132">
        <f>IF(SER_hh_tesh!I22=0,0,SER_hh_tesh!I22/SER_summary!I$26)</f>
        <v>15.471077070325995</v>
      </c>
      <c r="J22" s="132">
        <f>IF(SER_hh_tesh!J22=0,0,SER_hh_tesh!J22/SER_summary!J$26)</f>
        <v>15.999629451742324</v>
      </c>
      <c r="K22" s="132">
        <f>IF(SER_hh_tesh!K22=0,0,SER_hh_tesh!K22/SER_summary!K$26)</f>
        <v>15.937153492935877</v>
      </c>
      <c r="L22" s="132">
        <f>IF(SER_hh_tesh!L22=0,0,SER_hh_tesh!L22/SER_summary!L$26)</f>
        <v>16.594195906568327</v>
      </c>
      <c r="M22" s="132">
        <f>IF(SER_hh_tesh!M22=0,0,SER_hh_tesh!M22/SER_summary!M$26)</f>
        <v>16.429522853600233</v>
      </c>
      <c r="N22" s="132">
        <f>IF(SER_hh_tesh!N22=0,0,SER_hh_tesh!N22/SER_summary!N$26)</f>
        <v>16.595809738603894</v>
      </c>
      <c r="O22" s="132">
        <f>IF(SER_hh_tesh!O22=0,0,SER_hh_tesh!O22/SER_summary!O$26)</f>
        <v>17.019720836794999</v>
      </c>
      <c r="P22" s="132">
        <f>IF(SER_hh_tesh!P22=0,0,SER_hh_tesh!P22/SER_summary!P$26)</f>
        <v>17.049421685091041</v>
      </c>
      <c r="Q22" s="132">
        <f>IF(SER_hh_tesh!Q22=0,0,SER_hh_tesh!Q22/SER_summary!Q$26)</f>
        <v>17.484586150146299</v>
      </c>
      <c r="R22" s="132">
        <f>IF(SER_hh_tesh!R22=0,0,SER_hh_tesh!R22/SER_summary!R$26)</f>
        <v>17.226696722108692</v>
      </c>
      <c r="S22" s="132">
        <f>IF(SER_hh_tesh!S22=0,0,SER_hh_tesh!S22/SER_summary!S$26)</f>
        <v>18.303337314221714</v>
      </c>
      <c r="T22" s="132">
        <f>IF(SER_hh_tesh!T22=0,0,SER_hh_tesh!T22/SER_summary!T$26)</f>
        <v>17.752041659736928</v>
      </c>
      <c r="U22" s="132">
        <f>IF(SER_hh_tesh!U22=0,0,SER_hh_tesh!U22/SER_summary!U$26)</f>
        <v>15.285614683990115</v>
      </c>
      <c r="V22" s="132">
        <f>IF(SER_hh_tesh!V22=0,0,SER_hh_tesh!V22/SER_summary!V$26)</f>
        <v>15.386796897816636</v>
      </c>
      <c r="W22" s="132">
        <f>IF(SER_hh_tesh!W22=0,0,SER_hh_tesh!W22/SER_summary!W$26)</f>
        <v>17.632586814554486</v>
      </c>
      <c r="X22" s="132">
        <f>IF(SER_hh_tesh!X22=0,0,SER_hh_tesh!X22/SER_summary!X$26)</f>
        <v>18.32467392886376</v>
      </c>
      <c r="Y22" s="132">
        <f>IF(SER_hh_tesh!Y22=0,0,SER_hh_tesh!Y22/SER_summary!Y$26)</f>
        <v>16.472054217559897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8.2691589810741775</v>
      </c>
      <c r="C23" s="132">
        <f>IF(SER_hh_tesh!C23=0,0,SER_hh_tesh!C23/SER_summary!C$26)</f>
        <v>9.980552718380661</v>
      </c>
      <c r="D23" s="132">
        <f>IF(SER_hh_tesh!D23=0,0,SER_hh_tesh!D23/SER_summary!D$26)</f>
        <v>11.210238456186854</v>
      </c>
      <c r="E23" s="132">
        <f>IF(SER_hh_tesh!E23=0,0,SER_hh_tesh!E23/SER_summary!E$26)</f>
        <v>13.512304145064897</v>
      </c>
      <c r="F23" s="132">
        <f>IF(SER_hh_tesh!F23=0,0,SER_hh_tesh!F23/SER_summary!F$26)</f>
        <v>13.59557419983709</v>
      </c>
      <c r="G23" s="132">
        <f>IF(SER_hh_tesh!G23=0,0,SER_hh_tesh!G23/SER_summary!G$26)</f>
        <v>13.946882176222958</v>
      </c>
      <c r="H23" s="132">
        <f>IF(SER_hh_tesh!H23=0,0,SER_hh_tesh!H23/SER_summary!H$26)</f>
        <v>14.454754711754727</v>
      </c>
      <c r="I23" s="132">
        <f>IF(SER_hh_tesh!I23=0,0,SER_hh_tesh!I23/SER_summary!I$26)</f>
        <v>15.222475914079418</v>
      </c>
      <c r="J23" s="132">
        <f>IF(SER_hh_tesh!J23=0,0,SER_hh_tesh!J23/SER_summary!J$26)</f>
        <v>16.007409212788822</v>
      </c>
      <c r="K23" s="132">
        <f>IF(SER_hh_tesh!K23=0,0,SER_hh_tesh!K23/SER_summary!K$26)</f>
        <v>15.737024264843336</v>
      </c>
      <c r="L23" s="132">
        <f>IF(SER_hh_tesh!L23=0,0,SER_hh_tesh!L23/SER_summary!L$26)</f>
        <v>16.702129745620738</v>
      </c>
      <c r="M23" s="132">
        <f>IF(SER_hh_tesh!M23=0,0,SER_hh_tesh!M23/SER_summary!M$26)</f>
        <v>16.586858060883465</v>
      </c>
      <c r="N23" s="132">
        <f>IF(SER_hh_tesh!N23=0,0,SER_hh_tesh!N23/SER_summary!N$26)</f>
        <v>16.543236199600937</v>
      </c>
      <c r="O23" s="132">
        <f>IF(SER_hh_tesh!O23=0,0,SER_hh_tesh!O23/SER_summary!O$26)</f>
        <v>16.965295485148076</v>
      </c>
      <c r="P23" s="132">
        <f>IF(SER_hh_tesh!P23=0,0,SER_hh_tesh!P23/SER_summary!P$26)</f>
        <v>17.251137628300928</v>
      </c>
      <c r="Q23" s="132">
        <f>IF(SER_hh_tesh!Q23=0,0,SER_hh_tesh!Q23/SER_summary!Q$26)</f>
        <v>17.960206494521181</v>
      </c>
      <c r="R23" s="132">
        <f>IF(SER_hh_tesh!R23=0,0,SER_hh_tesh!R23/SER_summary!R$26)</f>
        <v>18.950640354793372</v>
      </c>
      <c r="S23" s="132">
        <f>IF(SER_hh_tesh!S23=0,0,SER_hh_tesh!S23/SER_summary!S$26)</f>
        <v>16.742225489266705</v>
      </c>
      <c r="T23" s="132">
        <f>IF(SER_hh_tesh!T23=0,0,SER_hh_tesh!T23/SER_summary!T$26)</f>
        <v>17.209069546600823</v>
      </c>
      <c r="U23" s="132">
        <f>IF(SER_hh_tesh!U23=0,0,SER_hh_tesh!U23/SER_summary!U$26)</f>
        <v>16.120145149010174</v>
      </c>
      <c r="V23" s="132">
        <f>IF(SER_hh_tesh!V23=0,0,SER_hh_tesh!V23/SER_summary!V$26)</f>
        <v>14.231973797910356</v>
      </c>
      <c r="W23" s="132">
        <f>IF(SER_hh_tesh!W23=0,0,SER_hh_tesh!W23/SER_summary!W$26)</f>
        <v>18.942335367879199</v>
      </c>
      <c r="X23" s="132">
        <f>IF(SER_hh_tesh!X23=0,0,SER_hh_tesh!X23/SER_summary!X$26)</f>
        <v>17.800771201663594</v>
      </c>
      <c r="Y23" s="132">
        <f>IF(SER_hh_tesh!Y23=0,0,SER_hh_tesh!Y23/SER_summary!Y$26)</f>
        <v>16.911055857642832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9.1156650551835376</v>
      </c>
      <c r="C24" s="132">
        <f>IF(SER_hh_tesh!C24=0,0,SER_hh_tesh!C24/SER_summary!C$26)</f>
        <v>9.5667447025859662</v>
      </c>
      <c r="D24" s="132">
        <f>IF(SER_hh_tesh!D24=0,0,SER_hh_tesh!D24/SER_summary!D$26)</f>
        <v>11.96731263639197</v>
      </c>
      <c r="E24" s="132">
        <f>IF(SER_hh_tesh!E24=0,0,SER_hh_tesh!E24/SER_summary!E$26)</f>
        <v>12.57332271188098</v>
      </c>
      <c r="F24" s="132">
        <f>IF(SER_hh_tesh!F24=0,0,SER_hh_tesh!F24/SER_summary!F$26)</f>
        <v>13.065699976249105</v>
      </c>
      <c r="G24" s="132">
        <f>IF(SER_hh_tesh!G24=0,0,SER_hh_tesh!G24/SER_summary!G$26)</f>
        <v>12.949373907489855</v>
      </c>
      <c r="H24" s="132">
        <f>IF(SER_hh_tesh!H24=0,0,SER_hh_tesh!H24/SER_summary!H$26)</f>
        <v>14.095189604973411</v>
      </c>
      <c r="I24" s="132">
        <f>IF(SER_hh_tesh!I24=0,0,SER_hh_tesh!I24/SER_summary!I$26)</f>
        <v>15.811864428878295</v>
      </c>
      <c r="J24" s="132">
        <f>IF(SER_hh_tesh!J24=0,0,SER_hh_tesh!J24/SER_summary!J$26)</f>
        <v>16.36518785618194</v>
      </c>
      <c r="K24" s="132">
        <f>IF(SER_hh_tesh!K24=0,0,SER_hh_tesh!K24/SER_summary!K$26)</f>
        <v>16.25119119978422</v>
      </c>
      <c r="L24" s="132">
        <f>IF(SER_hh_tesh!L24=0,0,SER_hh_tesh!L24/SER_summary!L$26)</f>
        <v>16.15136521702734</v>
      </c>
      <c r="M24" s="132">
        <f>IF(SER_hh_tesh!M24=0,0,SER_hh_tesh!M24/SER_summary!M$26)</f>
        <v>16.350246329786486</v>
      </c>
      <c r="N24" s="132">
        <f>IF(SER_hh_tesh!N24=0,0,SER_hh_tesh!N24/SER_summary!N$26)</f>
        <v>16.768800119228935</v>
      </c>
      <c r="O24" s="132">
        <f>IF(SER_hh_tesh!O24=0,0,SER_hh_tesh!O24/SER_summary!O$26)</f>
        <v>16.903992966610637</v>
      </c>
      <c r="P24" s="132">
        <f>IF(SER_hh_tesh!P24=0,0,SER_hh_tesh!P24/SER_summary!P$26)</f>
        <v>16.568683240911675</v>
      </c>
      <c r="Q24" s="132">
        <f>IF(SER_hh_tesh!Q24=0,0,SER_hh_tesh!Q24/SER_summary!Q$26)</f>
        <v>17.035679505225087</v>
      </c>
      <c r="R24" s="132">
        <f>IF(SER_hh_tesh!R24=0,0,SER_hh_tesh!R24/SER_summary!R$26)</f>
        <v>18.421635619147228</v>
      </c>
      <c r="S24" s="132">
        <f>IF(SER_hh_tesh!S24=0,0,SER_hh_tesh!S24/SER_summary!S$26)</f>
        <v>18.396738671488279</v>
      </c>
      <c r="T24" s="132">
        <f>IF(SER_hh_tesh!T24=0,0,SER_hh_tesh!T24/SER_summary!T$26)</f>
        <v>16.029230592730897</v>
      </c>
      <c r="U24" s="132">
        <f>IF(SER_hh_tesh!U24=0,0,SER_hh_tesh!U24/SER_summary!U$26)</f>
        <v>15.406555506835597</v>
      </c>
      <c r="V24" s="132">
        <f>IF(SER_hh_tesh!V24=0,0,SER_hh_tesh!V24/SER_summary!V$26)</f>
        <v>17.136033036574851</v>
      </c>
      <c r="W24" s="132">
        <f>IF(SER_hh_tesh!W24=0,0,SER_hh_tesh!W24/SER_summary!W$26)</f>
        <v>19.956448540012104</v>
      </c>
      <c r="X24" s="132">
        <f>IF(SER_hh_tesh!X24=0,0,SER_hh_tesh!X24/SER_summary!X$26)</f>
        <v>15.548467706517368</v>
      </c>
      <c r="Y24" s="132">
        <f>IF(SER_hh_tesh!Y24=0,0,SER_hh_tesh!Y24/SER_summary!Y$26)</f>
        <v>17.167596097691685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8.7576126398368928</v>
      </c>
      <c r="C25" s="132">
        <f>IF(SER_hh_tesh!C25=0,0,SER_hh_tesh!C25/SER_summary!C$26)</f>
        <v>9.8176797888823888</v>
      </c>
      <c r="D25" s="132">
        <f>IF(SER_hh_tesh!D25=0,0,SER_hh_tesh!D25/SER_summary!D$26)</f>
        <v>11.486934199049859</v>
      </c>
      <c r="E25" s="132">
        <f>IF(SER_hh_tesh!E25=0,0,SER_hh_tesh!E25/SER_summary!E$26)</f>
        <v>12.033334652525303</v>
      </c>
      <c r="F25" s="132">
        <f>IF(SER_hh_tesh!F25=0,0,SER_hh_tesh!F25/SER_summary!F$26)</f>
        <v>14.076736045972552</v>
      </c>
      <c r="G25" s="132">
        <f>IF(SER_hh_tesh!G25=0,0,SER_hh_tesh!G25/SER_summary!G$26)</f>
        <v>14.124627128410657</v>
      </c>
      <c r="H25" s="132">
        <f>IF(SER_hh_tesh!H25=0,0,SER_hh_tesh!H25/SER_summary!H$26)</f>
        <v>14.654978608347752</v>
      </c>
      <c r="I25" s="132">
        <f>IF(SER_hh_tesh!I25=0,0,SER_hh_tesh!I25/SER_summary!I$26)</f>
        <v>15.374453380110126</v>
      </c>
      <c r="J25" s="132">
        <f>IF(SER_hh_tesh!J25=0,0,SER_hh_tesh!J25/SER_summary!J$26)</f>
        <v>16.034445312444468</v>
      </c>
      <c r="K25" s="132">
        <f>IF(SER_hh_tesh!K25=0,0,SER_hh_tesh!K25/SER_summary!K$26)</f>
        <v>16.250604654331919</v>
      </c>
      <c r="L25" s="132">
        <f>IF(SER_hh_tesh!L25=0,0,SER_hh_tesh!L25/SER_summary!L$26)</f>
        <v>16.219560930519282</v>
      </c>
      <c r="M25" s="132">
        <f>IF(SER_hh_tesh!M25=0,0,SER_hh_tesh!M25/SER_summary!M$26)</f>
        <v>16.257318281364444</v>
      </c>
      <c r="N25" s="132">
        <f>IF(SER_hh_tesh!N25=0,0,SER_hh_tesh!N25/SER_summary!N$26)</f>
        <v>16.604741153652107</v>
      </c>
      <c r="O25" s="132">
        <f>IF(SER_hh_tesh!O25=0,0,SER_hh_tesh!O25/SER_summary!O$26)</f>
        <v>17.270204248126422</v>
      </c>
      <c r="P25" s="132">
        <f>IF(SER_hh_tesh!P25=0,0,SER_hh_tesh!P25/SER_summary!P$26)</f>
        <v>16.992922242667039</v>
      </c>
      <c r="Q25" s="132">
        <f>IF(SER_hh_tesh!Q25=0,0,SER_hh_tesh!Q25/SER_summary!Q$26)</f>
        <v>16.771643040182799</v>
      </c>
      <c r="R25" s="132">
        <f>IF(SER_hh_tesh!R25=0,0,SER_hh_tesh!R25/SER_summary!R$26)</f>
        <v>17.236817035292152</v>
      </c>
      <c r="S25" s="132">
        <f>IF(SER_hh_tesh!S25=0,0,SER_hh_tesh!S25/SER_summary!S$26)</f>
        <v>19.932987373186641</v>
      </c>
      <c r="T25" s="132">
        <f>IF(SER_hh_tesh!T25=0,0,SER_hh_tesh!T25/SER_summary!T$26)</f>
        <v>16.361995174263885</v>
      </c>
      <c r="U25" s="132">
        <f>IF(SER_hh_tesh!U25=0,0,SER_hh_tesh!U25/SER_summary!U$26)</f>
        <v>16.661726684221925</v>
      </c>
      <c r="V25" s="132">
        <f>IF(SER_hh_tesh!V25=0,0,SER_hh_tesh!V25/SER_summary!V$26)</f>
        <v>17.204590931160755</v>
      </c>
      <c r="W25" s="132">
        <f>IF(SER_hh_tesh!W25=0,0,SER_hh_tesh!W25/SER_summary!W$26)</f>
        <v>14.814207325362137</v>
      </c>
      <c r="X25" s="132">
        <f>IF(SER_hh_tesh!X25=0,0,SER_hh_tesh!X25/SER_summary!X$26)</f>
        <v>18.049747320929772</v>
      </c>
      <c r="Y25" s="132">
        <f>IF(SER_hh_tesh!Y25=0,0,SER_hh_tesh!Y25/SER_summary!Y$26)</f>
        <v>16.290887801263079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9.2619005891640498</v>
      </c>
      <c r="C26" s="65">
        <f>IF(SER_hh_tesh!C26=0,0,SER_hh_tesh!C26/SER_summary!C$26)</f>
        <v>9.3955494586958324</v>
      </c>
      <c r="D26" s="65">
        <f>IF(SER_hh_tesh!D26=0,0,SER_hh_tesh!D26/SER_summary!D$26)</f>
        <v>12.544305049643443</v>
      </c>
      <c r="E26" s="65">
        <f>IF(SER_hh_tesh!E26=0,0,SER_hh_tesh!E26/SER_summary!E$26)</f>
        <v>11.601119104489877</v>
      </c>
      <c r="F26" s="65">
        <f>IF(SER_hh_tesh!F26=0,0,SER_hh_tesh!F26/SER_summary!F$26)</f>
        <v>13.295500386627378</v>
      </c>
      <c r="G26" s="65">
        <f>IF(SER_hh_tesh!G26=0,0,SER_hh_tesh!G26/SER_summary!G$26)</f>
        <v>13.836429998125263</v>
      </c>
      <c r="H26" s="65">
        <f>IF(SER_hh_tesh!H26=0,0,SER_hh_tesh!H26/SER_summary!H$26)</f>
        <v>14.451982176079127</v>
      </c>
      <c r="I26" s="65">
        <f>IF(SER_hh_tesh!I26=0,0,SER_hh_tesh!I26/SER_summary!I$26)</f>
        <v>15.604424559431365</v>
      </c>
      <c r="J26" s="65">
        <f>IF(SER_hh_tesh!J26=0,0,SER_hh_tesh!J26/SER_summary!J$26)</f>
        <v>15.878934712947606</v>
      </c>
      <c r="K26" s="65">
        <f>IF(SER_hh_tesh!K26=0,0,SER_hh_tesh!K26/SER_summary!K$26)</f>
        <v>16.088330526445283</v>
      </c>
      <c r="L26" s="65">
        <f>IF(SER_hh_tesh!L26=0,0,SER_hh_tesh!L26/SER_summary!L$26)</f>
        <v>15.873459832058776</v>
      </c>
      <c r="M26" s="65">
        <f>IF(SER_hh_tesh!M26=0,0,SER_hh_tesh!M26/SER_summary!M$26)</f>
        <v>16.087702263724207</v>
      </c>
      <c r="N26" s="65">
        <f>IF(SER_hh_tesh!N26=0,0,SER_hh_tesh!N26/SER_summary!N$26)</f>
        <v>15.732086840936244</v>
      </c>
      <c r="O26" s="65">
        <f>IF(SER_hh_tesh!O26=0,0,SER_hh_tesh!O26/SER_summary!O$26)</f>
        <v>17.200242878380603</v>
      </c>
      <c r="P26" s="65">
        <f>IF(SER_hh_tesh!P26=0,0,SER_hh_tesh!P26/SER_summary!P$26)</f>
        <v>16.885344551676209</v>
      </c>
      <c r="Q26" s="65">
        <f>IF(SER_hh_tesh!Q26=0,0,SER_hh_tesh!Q26/SER_summary!Q$26)</f>
        <v>17.372485799204853</v>
      </c>
      <c r="R26" s="65">
        <f>IF(SER_hh_tesh!R26=0,0,SER_hh_tesh!R26/SER_summary!R$26)</f>
        <v>17.173979822081478</v>
      </c>
      <c r="S26" s="65">
        <f>IF(SER_hh_tesh!S26=0,0,SER_hh_tesh!S26/SER_summary!S$26)</f>
        <v>16.37349362212624</v>
      </c>
      <c r="T26" s="65">
        <f>IF(SER_hh_tesh!T26=0,0,SER_hh_tesh!T26/SER_summary!T$26)</f>
        <v>17.264693620362916</v>
      </c>
      <c r="U26" s="65">
        <f>IF(SER_hh_tesh!U26=0,0,SER_hh_tesh!U26/SER_summary!U$26)</f>
        <v>17.228038387199621</v>
      </c>
      <c r="V26" s="65">
        <f>IF(SER_hh_tesh!V26=0,0,SER_hh_tesh!V26/SER_summary!V$26)</f>
        <v>15.49248032354107</v>
      </c>
      <c r="W26" s="65">
        <f>IF(SER_hh_tesh!W26=0,0,SER_hh_tesh!W26/SER_summary!W$26)</f>
        <v>16.889007584360652</v>
      </c>
      <c r="X26" s="65">
        <f>IF(SER_hh_tesh!X26=0,0,SER_hh_tesh!X26/SER_summary!X$26)</f>
        <v>16.907700050450522</v>
      </c>
      <c r="Y26" s="65">
        <f>IF(SER_hh_tesh!Y26=0,0,SER_hh_tesh!Y26/SER_summary!Y$26)</f>
        <v>17.080007225829423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9.7383583267630545E-4</v>
      </c>
      <c r="E27" s="145">
        <f>IF(SER_hh_tesh!E27=0,0,SER_hh_tesh!E27/SER_summary!E$26)</f>
        <v>9.5705950759254852E-4</v>
      </c>
      <c r="F27" s="145">
        <f>IF(SER_hh_tesh!F27=0,0,SER_hh_tesh!F27/SER_summary!F$26)</f>
        <v>3.7197202551142909E-3</v>
      </c>
      <c r="G27" s="145">
        <f>IF(SER_hh_tesh!G27=0,0,SER_hh_tesh!G27/SER_summary!G$26)</f>
        <v>5.4599095324256832E-3</v>
      </c>
      <c r="H27" s="145">
        <f>IF(SER_hh_tesh!H27=0,0,SER_hh_tesh!H27/SER_summary!H$26)</f>
        <v>9.6391593107406498E-3</v>
      </c>
      <c r="I27" s="145">
        <f>IF(SER_hh_tesh!I27=0,0,SER_hh_tesh!I27/SER_summary!I$26)</f>
        <v>1.2623148909410506E-2</v>
      </c>
      <c r="J27" s="145">
        <f>IF(SER_hh_tesh!J27=0,0,SER_hh_tesh!J27/SER_summary!J$26)</f>
        <v>4.3768459899540584E-2</v>
      </c>
      <c r="K27" s="145">
        <f>IF(SER_hh_tesh!K27=0,0,SER_hh_tesh!K27/SER_summary!K$26)</f>
        <v>6.5305919595189527E-2</v>
      </c>
      <c r="L27" s="145">
        <f>IF(SER_hh_tesh!L27=0,0,SER_hh_tesh!L27/SER_summary!L$26)</f>
        <v>7.8564439797144642E-2</v>
      </c>
      <c r="M27" s="145">
        <f>IF(SER_hh_tesh!M27=0,0,SER_hh_tesh!M27/SER_summary!M$26)</f>
        <v>0.10263047688919635</v>
      </c>
      <c r="N27" s="145">
        <f>IF(SER_hh_tesh!N27=0,0,SER_hh_tesh!N27/SER_summary!N$26)</f>
        <v>0.12312683197195262</v>
      </c>
      <c r="O27" s="145">
        <f>IF(SER_hh_tesh!O27=0,0,SER_hh_tesh!O27/SER_summary!O$26)</f>
        <v>0.13355709035714936</v>
      </c>
      <c r="P27" s="145">
        <f>IF(SER_hh_tesh!P27=0,0,SER_hh_tesh!P27/SER_summary!P$26)</f>
        <v>0.14601386909792993</v>
      </c>
      <c r="Q27" s="145">
        <f>IF(SER_hh_tesh!Q27=0,0,SER_hh_tesh!Q27/SER_summary!Q$26)</f>
        <v>0.16586448207353083</v>
      </c>
      <c r="R27" s="145">
        <f>IF(SER_hh_tesh!R27=0,0,SER_hh_tesh!R27/SER_summary!R$26)</f>
        <v>0.17472038725441039</v>
      </c>
      <c r="S27" s="145">
        <f>IF(SER_hh_tesh!S27=0,0,SER_hh_tesh!S27/SER_summary!S$26)</f>
        <v>0.17230823100269707</v>
      </c>
      <c r="T27" s="145">
        <f>IF(SER_hh_tesh!T27=0,0,SER_hh_tesh!T27/SER_summary!T$26)</f>
        <v>0.17372458416490213</v>
      </c>
      <c r="U27" s="145">
        <f>IF(SER_hh_tesh!U27=0,0,SER_hh_tesh!U27/SER_summary!U$26)</f>
        <v>0.16450040134921054</v>
      </c>
      <c r="V27" s="145">
        <f>IF(SER_hh_tesh!V27=0,0,SER_hh_tesh!V27/SER_summary!V$26)</f>
        <v>0.15525796933129912</v>
      </c>
      <c r="W27" s="145">
        <f>IF(SER_hh_tesh!W27=0,0,SER_hh_tesh!W27/SER_summary!W$26)</f>
        <v>0.14875484659648744</v>
      </c>
      <c r="X27" s="145">
        <f>IF(SER_hh_tesh!X27=0,0,SER_hh_tesh!X27/SER_summary!X$26)</f>
        <v>0.14843931445570716</v>
      </c>
      <c r="Y27" s="145">
        <f>IF(SER_hh_tesh!Y27=0,0,SER_hh_tesh!Y27/SER_summary!Y$26)</f>
        <v>0.14007888318080375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6.1159333401857259</v>
      </c>
      <c r="E28" s="146">
        <f>IF(SER_hh_tesh!E28=0,0,SER_hh_tesh!E28/SER_summary!E$26)</f>
        <v>6.5241650917262595</v>
      </c>
      <c r="F28" s="146">
        <f>IF(SER_hh_tesh!F28=0,0,SER_hh_tesh!F28/SER_summary!F$26)</f>
        <v>7.0198202674696422</v>
      </c>
      <c r="G28" s="146">
        <f>IF(SER_hh_tesh!G28=0,0,SER_hh_tesh!G28/SER_summary!G$26)</f>
        <v>7.1083410221585712</v>
      </c>
      <c r="H28" s="146">
        <f>IF(SER_hh_tesh!H28=0,0,SER_hh_tesh!H28/SER_summary!H$26)</f>
        <v>7.5160382333453111</v>
      </c>
      <c r="I28" s="146">
        <f>IF(SER_hh_tesh!I28=0,0,SER_hh_tesh!I28/SER_summary!I$26)</f>
        <v>7.9969667410771317</v>
      </c>
      <c r="J28" s="146">
        <f>IF(SER_hh_tesh!J28=0,0,SER_hh_tesh!J28/SER_summary!J$26)</f>
        <v>8.2510669180206015</v>
      </c>
      <c r="K28" s="146">
        <f>IF(SER_hh_tesh!K28=0,0,SER_hh_tesh!K28/SER_summary!K$26)</f>
        <v>8.388742266553658</v>
      </c>
      <c r="L28" s="146">
        <f>IF(SER_hh_tesh!L28=0,0,SER_hh_tesh!L28/SER_summary!L$26)</f>
        <v>8.080803511807499</v>
      </c>
      <c r="M28" s="146">
        <f>IF(SER_hh_tesh!M28=0,0,SER_hh_tesh!M28/SER_summary!M$26)</f>
        <v>8.4624106457320831</v>
      </c>
      <c r="N28" s="146">
        <f>IF(SER_hh_tesh!N28=0,0,SER_hh_tesh!N28/SER_summary!N$26)</f>
        <v>8.9209577984586268</v>
      </c>
      <c r="O28" s="146">
        <f>IF(SER_hh_tesh!O28=0,0,SER_hh_tesh!O28/SER_summary!O$26)</f>
        <v>8.9458050412392485</v>
      </c>
      <c r="P28" s="146">
        <f>IF(SER_hh_tesh!P28=0,0,SER_hh_tesh!P28/SER_summary!P$26)</f>
        <v>9.1224477030769027</v>
      </c>
      <c r="Q28" s="146">
        <f>IF(SER_hh_tesh!Q28=0,0,SER_hh_tesh!Q28/SER_summary!Q$26)</f>
        <v>9.1749758448715166</v>
      </c>
      <c r="R28" s="146">
        <f>IF(SER_hh_tesh!R28=0,0,SER_hh_tesh!R28/SER_summary!R$26)</f>
        <v>9.4164052008277039</v>
      </c>
      <c r="S28" s="146">
        <f>IF(SER_hh_tesh!S28=0,0,SER_hh_tesh!S28/SER_summary!S$26)</f>
        <v>9.4286177567232823</v>
      </c>
      <c r="T28" s="146">
        <f>IF(SER_hh_tesh!T28=0,0,SER_hh_tesh!T28/SER_summary!T$26)</f>
        <v>7.9348195222982332</v>
      </c>
      <c r="U28" s="146">
        <f>IF(SER_hh_tesh!U28=0,0,SER_hh_tesh!U28/SER_summary!U$26)</f>
        <v>8.6489708567466668</v>
      </c>
      <c r="V28" s="146">
        <f>IF(SER_hh_tesh!V28=0,0,SER_hh_tesh!V28/SER_summary!V$26)</f>
        <v>8.1940739071089439</v>
      </c>
      <c r="W28" s="146">
        <f>IF(SER_hh_tesh!W28=0,0,SER_hh_tesh!W28/SER_summary!W$26)</f>
        <v>8.6480397377140594</v>
      </c>
      <c r="X28" s="146">
        <f>IF(SER_hh_tesh!X28=0,0,SER_hh_tesh!X28/SER_summary!X$26)</f>
        <v>10.911528543218203</v>
      </c>
      <c r="Y28" s="146">
        <f>IF(SER_hh_tesh!Y28=0,0,SER_hh_tesh!Y28/SER_summary!Y$26)</f>
        <v>12.493761172031423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11.877275193620617</v>
      </c>
      <c r="C29" s="130">
        <f>IF(SER_hh_tesh!C29=0,0,SER_hh_tesh!C29/SER_summary!C$26)</f>
        <v>13.749821192113593</v>
      </c>
      <c r="D29" s="130">
        <f>IF(SER_hh_tesh!D29=0,0,SER_hh_tesh!D29/SER_summary!D$26)</f>
        <v>15.689334976800188</v>
      </c>
      <c r="E29" s="130">
        <f>IF(SER_hh_tesh!E29=0,0,SER_hh_tesh!E29/SER_summary!E$26)</f>
        <v>17.309212173867156</v>
      </c>
      <c r="F29" s="130">
        <f>IF(SER_hh_tesh!F29=0,0,SER_hh_tesh!F29/SER_summary!F$26)</f>
        <v>17.529866220024811</v>
      </c>
      <c r="G29" s="130">
        <f>IF(SER_hh_tesh!G29=0,0,SER_hh_tesh!G29/SER_summary!G$26)</f>
        <v>17.802345955398405</v>
      </c>
      <c r="H29" s="130">
        <f>IF(SER_hh_tesh!H29=0,0,SER_hh_tesh!H29/SER_summary!H$26)</f>
        <v>18.155796589304099</v>
      </c>
      <c r="I29" s="130">
        <f>IF(SER_hh_tesh!I29=0,0,SER_hh_tesh!I29/SER_summary!I$26)</f>
        <v>18.889579945251491</v>
      </c>
      <c r="J29" s="130">
        <f>IF(SER_hh_tesh!J29=0,0,SER_hh_tesh!J29/SER_summary!J$26)</f>
        <v>19.279274668520038</v>
      </c>
      <c r="K29" s="130">
        <f>IF(SER_hh_tesh!K29=0,0,SER_hh_tesh!K29/SER_summary!K$26)</f>
        <v>18.859820236250751</v>
      </c>
      <c r="L29" s="130">
        <f>IF(SER_hh_tesh!L29=0,0,SER_hh_tesh!L29/SER_summary!L$26)</f>
        <v>19.133454213708159</v>
      </c>
      <c r="M29" s="130">
        <f>IF(SER_hh_tesh!M29=0,0,SER_hh_tesh!M29/SER_summary!M$26)</f>
        <v>19.15736541719756</v>
      </c>
      <c r="N29" s="130">
        <f>IF(SER_hh_tesh!N29=0,0,SER_hh_tesh!N29/SER_summary!N$26)</f>
        <v>18.925924651200042</v>
      </c>
      <c r="O29" s="130">
        <f>IF(SER_hh_tesh!O29=0,0,SER_hh_tesh!O29/SER_summary!O$26)</f>
        <v>18.922583933116414</v>
      </c>
      <c r="P29" s="130">
        <f>IF(SER_hh_tesh!P29=0,0,SER_hh_tesh!P29/SER_summary!P$26)</f>
        <v>19.004156997612199</v>
      </c>
      <c r="Q29" s="130">
        <f>IF(SER_hh_tesh!Q29=0,0,SER_hh_tesh!Q29/SER_summary!Q$26)</f>
        <v>19.003050621200249</v>
      </c>
      <c r="R29" s="130">
        <f>IF(SER_hh_tesh!R29=0,0,SER_hh_tesh!R29/SER_summary!R$26)</f>
        <v>18.881162178964317</v>
      </c>
      <c r="S29" s="130">
        <f>IF(SER_hh_tesh!S29=0,0,SER_hh_tesh!S29/SER_summary!S$26)</f>
        <v>18.397733092052693</v>
      </c>
      <c r="T29" s="130">
        <f>IF(SER_hh_tesh!T29=0,0,SER_hh_tesh!T29/SER_summary!T$26)</f>
        <v>18.472616790704596</v>
      </c>
      <c r="U29" s="130">
        <f>IF(SER_hh_tesh!U29=0,0,SER_hh_tesh!U29/SER_summary!U$26)</f>
        <v>18.316719662942244</v>
      </c>
      <c r="V29" s="130">
        <f>IF(SER_hh_tesh!V29=0,0,SER_hh_tesh!V29/SER_summary!V$26)</f>
        <v>17.184644497242299</v>
      </c>
      <c r="W29" s="130">
        <f>IF(SER_hh_tesh!W29=0,0,SER_hh_tesh!W29/SER_summary!W$26)</f>
        <v>17.315694838419493</v>
      </c>
      <c r="X29" s="130">
        <f>IF(SER_hh_tesh!X29=0,0,SER_hh_tesh!X29/SER_summary!X$26)</f>
        <v>17.741899362401004</v>
      </c>
      <c r="Y29" s="130">
        <f>IF(SER_hh_tesh!Y29=0,0,SER_hh_tesh!Y29/SER_summary!Y$26)</f>
        <v>17.771823558779396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5.3318387491800125</v>
      </c>
      <c r="C30" s="132">
        <f>IF(SER_hh_tesh!C30=0,0,SER_hh_tesh!C30/SER_summary!C$26)</f>
        <v>16.565073877661341</v>
      </c>
      <c r="D30" s="132">
        <f>IF(SER_hh_tesh!D30=0,0,SER_hh_tesh!D30/SER_summary!D$26)</f>
        <v>13.565359681939718</v>
      </c>
      <c r="E30" s="132">
        <f>IF(SER_hh_tesh!E30=0,0,SER_hh_tesh!E30/SER_summary!E$26)</f>
        <v>19.847848101689092</v>
      </c>
      <c r="F30" s="132">
        <f>IF(SER_hh_tesh!F30=0,0,SER_hh_tesh!F30/SER_summary!F$26)</f>
        <v>17.905204868069244</v>
      </c>
      <c r="G30" s="132">
        <f>IF(SER_hh_tesh!G30=0,0,SER_hh_tesh!G30/SER_summary!G$26)</f>
        <v>17.287791478043697</v>
      </c>
      <c r="H30" s="132">
        <f>IF(SER_hh_tesh!H30=0,0,SER_hh_tesh!H30/SER_summary!H$26)</f>
        <v>19.347164558199957</v>
      </c>
      <c r="I30" s="132">
        <f>IF(SER_hh_tesh!I30=0,0,SER_hh_tesh!I30/SER_summary!I$26)</f>
        <v>20.581858286102918</v>
      </c>
      <c r="J30" s="132">
        <f>IF(SER_hh_tesh!J30=0,0,SER_hh_tesh!J30/SER_summary!J$26)</f>
        <v>20.232018922548598</v>
      </c>
      <c r="K30" s="132">
        <f>IF(SER_hh_tesh!K30=0,0,SER_hh_tesh!K30/SER_summary!K$26)</f>
        <v>17.619034768415705</v>
      </c>
      <c r="L30" s="132">
        <f>IF(SER_hh_tesh!L30=0,0,SER_hh_tesh!L30/SER_summary!L$26)</f>
        <v>16.814354108600153</v>
      </c>
      <c r="M30" s="132">
        <f>IF(SER_hh_tesh!M30=0,0,SER_hh_tesh!M30/SER_summary!M$26)</f>
        <v>18.140956066396097</v>
      </c>
      <c r="N30" s="132">
        <f>IF(SER_hh_tesh!N30=0,0,SER_hh_tesh!N30/SER_summary!N$26)</f>
        <v>18.952516399462805</v>
      </c>
      <c r="O30" s="132">
        <f>IF(SER_hh_tesh!O30=0,0,SER_hh_tesh!O30/SER_summary!O$26)</f>
        <v>19.533668730904679</v>
      </c>
      <c r="P30" s="132">
        <f>IF(SER_hh_tesh!P30=0,0,SER_hh_tesh!P30/SER_summary!P$26)</f>
        <v>16.984436133648202</v>
      </c>
      <c r="Q30" s="132">
        <f>IF(SER_hh_tesh!Q30=0,0,SER_hh_tesh!Q30/SER_summary!Q$26)</f>
        <v>18.872415628991778</v>
      </c>
      <c r="R30" s="132">
        <f>IF(SER_hh_tesh!R30=0,0,SER_hh_tesh!R30/SER_summary!R$26)</f>
        <v>19.491321092020499</v>
      </c>
      <c r="S30" s="132">
        <f>IF(SER_hh_tesh!S30=0,0,SER_hh_tesh!S30/SER_summary!S$26)</f>
        <v>18.921101125417209</v>
      </c>
      <c r="T30" s="132">
        <f>IF(SER_hh_tesh!T30=0,0,SER_hh_tesh!T30/SER_summary!T$26)</f>
        <v>18.04029484853649</v>
      </c>
      <c r="U30" s="132">
        <f>IF(SER_hh_tesh!U30=0,0,SER_hh_tesh!U30/SER_summary!U$26)</f>
        <v>21.043281328966565</v>
      </c>
      <c r="V30" s="132">
        <f>IF(SER_hh_tesh!V30=0,0,SER_hh_tesh!V30/SER_summary!V$26)</f>
        <v>14.915187042895289</v>
      </c>
      <c r="W30" s="132">
        <f>IF(SER_hh_tesh!W30=0,0,SER_hh_tesh!W30/SER_summary!W$26)</f>
        <v>15.888854499069669</v>
      </c>
      <c r="X30" s="132">
        <f>IF(SER_hh_tesh!X30=0,0,SER_hh_tesh!X30/SER_summary!X$26)</f>
        <v>15.155431286988582</v>
      </c>
      <c r="Y30" s="132">
        <f>IF(SER_hh_tesh!Y30=0,0,SER_hh_tesh!Y30/SER_summary!Y$26)</f>
        <v>17.384516507067168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11.713960288860932</v>
      </c>
      <c r="C31" s="132">
        <f>IF(SER_hh_tesh!C31=0,0,SER_hh_tesh!C31/SER_summary!C$26)</f>
        <v>13.842954875393531</v>
      </c>
      <c r="D31" s="132">
        <f>IF(SER_hh_tesh!D31=0,0,SER_hh_tesh!D31/SER_summary!D$26)</f>
        <v>15.653718112480766</v>
      </c>
      <c r="E31" s="132">
        <f>IF(SER_hh_tesh!E31=0,0,SER_hh_tesh!E31/SER_summary!E$26)</f>
        <v>17.172661161929526</v>
      </c>
      <c r="F31" s="132">
        <f>IF(SER_hh_tesh!F31=0,0,SER_hh_tesh!F31/SER_summary!F$26)</f>
        <v>17.160914716410563</v>
      </c>
      <c r="G31" s="132">
        <f>IF(SER_hh_tesh!G31=0,0,SER_hh_tesh!G31/SER_summary!G$26)</f>
        <v>17.998550586763724</v>
      </c>
      <c r="H31" s="132">
        <f>IF(SER_hh_tesh!H31=0,0,SER_hh_tesh!H31/SER_summary!H$26)</f>
        <v>18.538963181939568</v>
      </c>
      <c r="I31" s="132">
        <f>IF(SER_hh_tesh!I31=0,0,SER_hh_tesh!I31/SER_summary!I$26)</f>
        <v>18.843669120558783</v>
      </c>
      <c r="J31" s="132">
        <f>IF(SER_hh_tesh!J31=0,0,SER_hh_tesh!J31/SER_summary!J$26)</f>
        <v>19.028626547522563</v>
      </c>
      <c r="K31" s="132">
        <f>IF(SER_hh_tesh!K31=0,0,SER_hh_tesh!K31/SER_summary!K$26)</f>
        <v>18.915969141636747</v>
      </c>
      <c r="L31" s="132">
        <f>IF(SER_hh_tesh!L31=0,0,SER_hh_tesh!L31/SER_summary!L$26)</f>
        <v>18.085564207353293</v>
      </c>
      <c r="M31" s="132">
        <f>IF(SER_hh_tesh!M31=0,0,SER_hh_tesh!M31/SER_summary!M$26)</f>
        <v>19.156540903901469</v>
      </c>
      <c r="N31" s="132">
        <f>IF(SER_hh_tesh!N31=0,0,SER_hh_tesh!N31/SER_summary!N$26)</f>
        <v>19.679435494753552</v>
      </c>
      <c r="O31" s="132">
        <f>IF(SER_hh_tesh!O31=0,0,SER_hh_tesh!O31/SER_summary!O$26)</f>
        <v>19.218533695090805</v>
      </c>
      <c r="P31" s="132">
        <f>IF(SER_hh_tesh!P31=0,0,SER_hh_tesh!P31/SER_summary!P$26)</f>
        <v>18.915897405259312</v>
      </c>
      <c r="Q31" s="132">
        <f>IF(SER_hh_tesh!Q31=0,0,SER_hh_tesh!Q31/SER_summary!Q$26)</f>
        <v>19.469650102619035</v>
      </c>
      <c r="R31" s="132">
        <f>IF(SER_hh_tesh!R31=0,0,SER_hh_tesh!R31/SER_summary!R$26)</f>
        <v>18.962015822233806</v>
      </c>
      <c r="S31" s="132">
        <f>IF(SER_hh_tesh!S31=0,0,SER_hh_tesh!S31/SER_summary!S$26)</f>
        <v>18.261530691353403</v>
      </c>
      <c r="T31" s="132">
        <f>IF(SER_hh_tesh!T31=0,0,SER_hh_tesh!T31/SER_summary!T$26)</f>
        <v>18.192007161311505</v>
      </c>
      <c r="U31" s="132">
        <f>IF(SER_hh_tesh!U31=0,0,SER_hh_tesh!U31/SER_summary!U$26)</f>
        <v>18.419380830980412</v>
      </c>
      <c r="V31" s="132">
        <f>IF(SER_hh_tesh!V31=0,0,SER_hh_tesh!V31/SER_summary!V$26)</f>
        <v>15.036691843333069</v>
      </c>
      <c r="W31" s="132">
        <f>IF(SER_hh_tesh!W31=0,0,SER_hh_tesh!W31/SER_summary!W$26)</f>
        <v>18.760287284294755</v>
      </c>
      <c r="X31" s="132">
        <f>IF(SER_hh_tesh!X31=0,0,SER_hh_tesh!X31/SER_summary!X$26)</f>
        <v>17.916924193789306</v>
      </c>
      <c r="Y31" s="132">
        <f>IF(SER_hh_tesh!Y31=0,0,SER_hh_tesh!Y31/SER_summary!Y$26)</f>
        <v>17.857652203737771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12.004854774108326</v>
      </c>
      <c r="C33" s="68">
        <f>IF(SER_hh_tesh!C33=0,0,SER_hh_tesh!C33/SER_summary!C$26)</f>
        <v>13.658570552763461</v>
      </c>
      <c r="D33" s="68">
        <f>IF(SER_hh_tesh!D33=0,0,SER_hh_tesh!D33/SER_summary!D$26)</f>
        <v>15.780262274670598</v>
      </c>
      <c r="E33" s="68">
        <f>IF(SER_hh_tesh!E33=0,0,SER_hh_tesh!E33/SER_summary!E$26)</f>
        <v>17.20651811649298</v>
      </c>
      <c r="F33" s="68">
        <f>IF(SER_hh_tesh!F33=0,0,SER_hh_tesh!F33/SER_summary!F$26)</f>
        <v>17.599960685072784</v>
      </c>
      <c r="G33" s="68">
        <f>IF(SER_hh_tesh!G33=0,0,SER_hh_tesh!G33/SER_summary!G$26)</f>
        <v>17.785168792662613</v>
      </c>
      <c r="H33" s="68">
        <f>IF(SER_hh_tesh!H33=0,0,SER_hh_tesh!H33/SER_summary!H$26)</f>
        <v>17.97396458243259</v>
      </c>
      <c r="I33" s="68">
        <f>IF(SER_hh_tesh!I33=0,0,SER_hh_tesh!I33/SER_summary!I$26)</f>
        <v>18.794742380875356</v>
      </c>
      <c r="J33" s="68">
        <f>IF(SER_hh_tesh!J33=0,0,SER_hh_tesh!J33/SER_summary!J$26)</f>
        <v>19.291441108889547</v>
      </c>
      <c r="K33" s="68">
        <f>IF(SER_hh_tesh!K33=0,0,SER_hh_tesh!K33/SER_summary!K$26)</f>
        <v>18.896504414587991</v>
      </c>
      <c r="L33" s="68">
        <f>IF(SER_hh_tesh!L33=0,0,SER_hh_tesh!L33/SER_summary!L$26)</f>
        <v>19.485459773702491</v>
      </c>
      <c r="M33" s="68">
        <f>IF(SER_hh_tesh!M33=0,0,SER_hh_tesh!M33/SER_summary!M$26)</f>
        <v>19.18769491275841</v>
      </c>
      <c r="N33" s="68">
        <f>IF(SER_hh_tesh!N33=0,0,SER_hh_tesh!N33/SER_summary!N$26)</f>
        <v>18.69580289911147</v>
      </c>
      <c r="O33" s="68">
        <f>IF(SER_hh_tesh!O33=0,0,SER_hh_tesh!O33/SER_summary!O$26)</f>
        <v>18.809400023188566</v>
      </c>
      <c r="P33" s="68">
        <f>IF(SER_hh_tesh!P33=0,0,SER_hh_tesh!P33/SER_summary!P$26)</f>
        <v>19.092406985412683</v>
      </c>
      <c r="Q33" s="68">
        <f>IF(SER_hh_tesh!Q33=0,0,SER_hh_tesh!Q33/SER_summary!Q$26)</f>
        <v>18.859666575785948</v>
      </c>
      <c r="R33" s="68">
        <f>IF(SER_hh_tesh!R33=0,0,SER_hh_tesh!R33/SER_summary!R$26)</f>
        <v>18.835269344781089</v>
      </c>
      <c r="S33" s="68">
        <f>IF(SER_hh_tesh!S33=0,0,SER_hh_tesh!S33/SER_summary!S$26)</f>
        <v>18.417555954016532</v>
      </c>
      <c r="T33" s="68">
        <f>IF(SER_hh_tesh!T33=0,0,SER_hh_tesh!T33/SER_summary!T$26)</f>
        <v>18.564652446943676</v>
      </c>
      <c r="U33" s="68">
        <f>IF(SER_hh_tesh!U33=0,0,SER_hh_tesh!U33/SER_summary!U$26)</f>
        <v>18.189989725028074</v>
      </c>
      <c r="V33" s="68">
        <f>IF(SER_hh_tesh!V33=0,0,SER_hh_tesh!V33/SER_summary!V$26)</f>
        <v>17.854907299180326</v>
      </c>
      <c r="W33" s="68">
        <f>IF(SER_hh_tesh!W33=0,0,SER_hh_tesh!W33/SER_summary!W$26)</f>
        <v>16.911970256816186</v>
      </c>
      <c r="X33" s="68">
        <f>IF(SER_hh_tesh!X33=0,0,SER_hh_tesh!X33/SER_summary!X$26)</f>
        <v>17.753683153686143</v>
      </c>
      <c r="Y33" s="68">
        <f>IF(SER_hh_tesh!Y33=0,0,SER_hh_tesh!Y33/SER_summary!Y$26)</f>
        <v>17.752008382194724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19.50551416786189</v>
      </c>
      <c r="C3" s="125">
        <f>IF(SER_hh_emih!C3=0,0,SER_hh_emih!C3/SER_summary!C$26)</f>
        <v>21.265252089299391</v>
      </c>
      <c r="D3" s="125">
        <f>IF(SER_hh_emih!D3=0,0,SER_hh_emih!D3/SER_summary!D$26)</f>
        <v>28.142200391864559</v>
      </c>
      <c r="E3" s="125">
        <f>IF(SER_hh_emih!E3=0,0,SER_hh_emih!E3/SER_summary!E$26)</f>
        <v>29.030809680543673</v>
      </c>
      <c r="F3" s="125">
        <f>IF(SER_hh_emih!F3=0,0,SER_hh_emih!F3/SER_summary!F$26)</f>
        <v>27.443398828135681</v>
      </c>
      <c r="G3" s="125">
        <f>IF(SER_hh_emih!G3=0,0,SER_hh_emih!G3/SER_summary!G$26)</f>
        <v>25.58314359239694</v>
      </c>
      <c r="H3" s="125">
        <f>IF(SER_hh_emih!H3=0,0,SER_hh_emih!H3/SER_summary!H$26)</f>
        <v>27.477528602519321</v>
      </c>
      <c r="I3" s="125">
        <f>IF(SER_hh_emih!I3=0,0,SER_hh_emih!I3/SER_summary!I$26)</f>
        <v>25.333203749675182</v>
      </c>
      <c r="J3" s="125">
        <f>IF(SER_hh_emih!J3=0,0,SER_hh_emih!J3/SER_summary!J$26)</f>
        <v>26.069950052516681</v>
      </c>
      <c r="K3" s="125">
        <f>IF(SER_hh_emih!K3=0,0,SER_hh_emih!K3/SER_summary!K$26)</f>
        <v>26.412501311492335</v>
      </c>
      <c r="L3" s="125">
        <f>IF(SER_hh_emih!L3=0,0,SER_hh_emih!L3/SER_summary!L$26)</f>
        <v>29.955953142021539</v>
      </c>
      <c r="M3" s="125">
        <f>IF(SER_hh_emih!M3=0,0,SER_hh_emih!M3/SER_summary!M$26)</f>
        <v>26.814997013432752</v>
      </c>
      <c r="N3" s="125">
        <f>IF(SER_hh_emih!N3=0,0,SER_hh_emih!N3/SER_summary!N$26)</f>
        <v>25.433397344602547</v>
      </c>
      <c r="O3" s="125">
        <f>IF(SER_hh_emih!O3=0,0,SER_hh_emih!O3/SER_summary!O$26)</f>
        <v>23.311968310617072</v>
      </c>
      <c r="P3" s="125">
        <f>IF(SER_hh_emih!P3=0,0,SER_hh_emih!P3/SER_summary!P$26)</f>
        <v>20.401693420563646</v>
      </c>
      <c r="Q3" s="125">
        <f>IF(SER_hh_emih!Q3=0,0,SER_hh_emih!Q3/SER_summary!Q$26)</f>
        <v>20.523375169832192</v>
      </c>
      <c r="R3" s="125">
        <f>IF(SER_hh_emih!R3=0,0,SER_hh_emih!R3/SER_summary!R$26)</f>
        <v>21.922485878553058</v>
      </c>
      <c r="S3" s="125">
        <f>IF(SER_hh_emih!S3=0,0,SER_hh_emih!S3/SER_summary!S$26)</f>
        <v>18.630885608695678</v>
      </c>
      <c r="T3" s="125">
        <f>IF(SER_hh_emih!T3=0,0,SER_hh_emih!T3/SER_summary!T$26)</f>
        <v>17.145040530698051</v>
      </c>
      <c r="U3" s="125">
        <f>IF(SER_hh_emih!U3=0,0,SER_hh_emih!U3/SER_summary!U$26)</f>
        <v>15.423351647678782</v>
      </c>
      <c r="V3" s="125">
        <f>IF(SER_hh_emih!V3=0,0,SER_hh_emih!V3/SER_summary!V$26)</f>
        <v>14.242559347706413</v>
      </c>
      <c r="W3" s="125">
        <f>IF(SER_hh_emih!W3=0,0,SER_hh_emih!W3/SER_summary!W$26)</f>
        <v>18.052801989456878</v>
      </c>
      <c r="X3" s="125">
        <f>IF(SER_hh_emih!X3=0,0,SER_hh_emih!X3/SER_summary!X$26)</f>
        <v>13.814231561448199</v>
      </c>
      <c r="Y3" s="125">
        <f>IF(SER_hh_emih!Y3=0,0,SER_hh_emih!Y3/SER_summary!Y$26)</f>
        <v>12.073808974301313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17.613749832678835</v>
      </c>
      <c r="C4" s="130">
        <f>IF(SER_hh_emih!C4=0,0,SER_hh_emih!C4/SER_summary!C$26)</f>
        <v>18.757495759112306</v>
      </c>
      <c r="D4" s="130">
        <f>IF(SER_hh_emih!D4=0,0,SER_hh_emih!D4/SER_summary!D$26)</f>
        <v>25.211758867895977</v>
      </c>
      <c r="E4" s="130">
        <f>IF(SER_hh_emih!E4=0,0,SER_hh_emih!E4/SER_summary!E$26)</f>
        <v>25.319785388813667</v>
      </c>
      <c r="F4" s="130">
        <f>IF(SER_hh_emih!F4=0,0,SER_hh_emih!F4/SER_summary!F$26)</f>
        <v>23.846467671910364</v>
      </c>
      <c r="G4" s="130">
        <f>IF(SER_hh_emih!G4=0,0,SER_hh_emih!G4/SER_summary!G$26)</f>
        <v>22.014069014199318</v>
      </c>
      <c r="H4" s="130">
        <f>IF(SER_hh_emih!H4=0,0,SER_hh_emih!H4/SER_summary!H$26)</f>
        <v>23.796839315623274</v>
      </c>
      <c r="I4" s="130">
        <f>IF(SER_hh_emih!I4=0,0,SER_hh_emih!I4/SER_summary!I$26)</f>
        <v>21.637183261550536</v>
      </c>
      <c r="J4" s="130">
        <f>IF(SER_hh_emih!J4=0,0,SER_hh_emih!J4/SER_summary!J$26)</f>
        <v>22.454996181860086</v>
      </c>
      <c r="K4" s="130">
        <f>IF(SER_hh_emih!K4=0,0,SER_hh_emih!K4/SER_summary!K$26)</f>
        <v>22.955864783181003</v>
      </c>
      <c r="L4" s="130">
        <f>IF(SER_hh_emih!L4=0,0,SER_hh_emih!L4/SER_summary!L$26)</f>
        <v>26.412014298650256</v>
      </c>
      <c r="M4" s="130">
        <f>IF(SER_hh_emih!M4=0,0,SER_hh_emih!M4/SER_summary!M$26)</f>
        <v>23.181649656213132</v>
      </c>
      <c r="N4" s="130">
        <f>IF(SER_hh_emih!N4=0,0,SER_hh_emih!N4/SER_summary!N$26)</f>
        <v>21.600211514266629</v>
      </c>
      <c r="O4" s="130">
        <f>IF(SER_hh_emih!O4=0,0,SER_hh_emih!O4/SER_summary!O$26)</f>
        <v>19.628491432063875</v>
      </c>
      <c r="P4" s="130">
        <f>IF(SER_hh_emih!P4=0,0,SER_hh_emih!P4/SER_summary!P$26)</f>
        <v>16.769271532862025</v>
      </c>
      <c r="Q4" s="130">
        <f>IF(SER_hh_emih!Q4=0,0,SER_hh_emih!Q4/SER_summary!Q$26)</f>
        <v>16.867810686019109</v>
      </c>
      <c r="R4" s="130">
        <f>IF(SER_hh_emih!R4=0,0,SER_hh_emih!R4/SER_summary!R$26)</f>
        <v>18.319373962791335</v>
      </c>
      <c r="S4" s="130">
        <f>IF(SER_hh_emih!S4=0,0,SER_hh_emih!S4/SER_summary!S$26)</f>
        <v>15.440349248883228</v>
      </c>
      <c r="T4" s="130">
        <f>IF(SER_hh_emih!T4=0,0,SER_hh_emih!T4/SER_summary!T$26)</f>
        <v>14.288094295111136</v>
      </c>
      <c r="U4" s="130">
        <f>IF(SER_hh_emih!U4=0,0,SER_hh_emih!U4/SER_summary!U$26)</f>
        <v>12.718689779892776</v>
      </c>
      <c r="V4" s="130">
        <f>IF(SER_hh_emih!V4=0,0,SER_hh_emih!V4/SER_summary!V$26)</f>
        <v>12.010231708331416</v>
      </c>
      <c r="W4" s="130">
        <f>IF(SER_hh_emih!W4=0,0,SER_hh_emih!W4/SER_summary!W$26)</f>
        <v>15.23079341124199</v>
      </c>
      <c r="X4" s="130">
        <f>IF(SER_hh_emih!X4=0,0,SER_hh_emih!X4/SER_summary!X$26)</f>
        <v>11.308928247643145</v>
      </c>
      <c r="Y4" s="130">
        <f>IF(SER_hh_emih!Y4=0,0,SER_hh_emih!Y4/SER_summary!Y$26)</f>
        <v>9.6968099145806974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53.645314394108574</v>
      </c>
      <c r="C5" s="132">
        <f>IF(SER_hh_emih!C5=0,0,SER_hh_emih!C5/SER_summary!C$26)</f>
        <v>38.663300963911297</v>
      </c>
      <c r="D5" s="132">
        <f>IF(SER_hh_emih!D5=0,0,SER_hh_emih!D5/SER_summary!D$26)</f>
        <v>63.929896505973844</v>
      </c>
      <c r="E5" s="132">
        <f>IF(SER_hh_emih!E5=0,0,SER_hh_emih!E5/SER_summary!E$26)</f>
        <v>61.636370087103124</v>
      </c>
      <c r="F5" s="132">
        <f>IF(SER_hh_emih!F5=0,0,SER_hh_emih!F5/SER_summary!F$26)</f>
        <v>57.453139445424249</v>
      </c>
      <c r="G5" s="132">
        <f>IF(SER_hh_emih!G5=0,0,SER_hh_emih!G5/SER_summary!G$26)</f>
        <v>55.495047262410182</v>
      </c>
      <c r="H5" s="132">
        <f>IF(SER_hh_emih!H5=0,0,SER_hh_emih!H5/SER_summary!H$26)</f>
        <v>62.929443565469626</v>
      </c>
      <c r="I5" s="132">
        <f>IF(SER_hh_emih!I5=0,0,SER_hh_emih!I5/SER_summary!I$26)</f>
        <v>51.774604445428771</v>
      </c>
      <c r="J5" s="132">
        <f>IF(SER_hh_emih!J5=0,0,SER_hh_emih!J5/SER_summary!J$26)</f>
        <v>55.794095042187095</v>
      </c>
      <c r="K5" s="132">
        <f>IF(SER_hh_emih!K5=0,0,SER_hh_emih!K5/SER_summary!K$26)</f>
        <v>57.668505547596304</v>
      </c>
      <c r="L5" s="132">
        <f>IF(SER_hh_emih!L5=0,0,SER_hh_emih!L5/SER_summary!L$26)</f>
        <v>64.32451575103731</v>
      </c>
      <c r="M5" s="132">
        <f>IF(SER_hh_emih!M5=0,0,SER_hh_emih!M5/SER_summary!M$26)</f>
        <v>55.068787744981073</v>
      </c>
      <c r="N5" s="132">
        <f>IF(SER_hh_emih!N5=0,0,SER_hh_emih!N5/SER_summary!N$26)</f>
        <v>54.503296313186311</v>
      </c>
      <c r="O5" s="132">
        <f>IF(SER_hh_emih!O5=0,0,SER_hh_emih!O5/SER_summary!O$26)</f>
        <v>50.245226653035019</v>
      </c>
      <c r="P5" s="132">
        <f>IF(SER_hh_emih!P5=0,0,SER_hh_emih!P5/SER_summary!P$26)</f>
        <v>44.688263552319121</v>
      </c>
      <c r="Q5" s="132">
        <f>IF(SER_hh_emih!Q5=0,0,SER_hh_emih!Q5/SER_summary!Q$26)</f>
        <v>43.81829067954979</v>
      </c>
      <c r="R5" s="132">
        <f>IF(SER_hh_emih!R5=0,0,SER_hh_emih!R5/SER_summary!R$26)</f>
        <v>46.877157850790752</v>
      </c>
      <c r="S5" s="132">
        <f>IF(SER_hh_emih!S5=0,0,SER_hh_emih!S5/SER_summary!S$26)</f>
        <v>46.850273143504545</v>
      </c>
      <c r="T5" s="132">
        <f>IF(SER_hh_emih!T5=0,0,SER_hh_emih!T5/SER_summary!T$26)</f>
        <v>44.884133302578356</v>
      </c>
      <c r="U5" s="132">
        <f>IF(SER_hh_emih!U5=0,0,SER_hh_emih!U5/SER_summary!U$26)</f>
        <v>37.897763178678034</v>
      </c>
      <c r="V5" s="132">
        <f>IF(SER_hh_emih!V5=0,0,SER_hh_emih!V5/SER_summary!V$26)</f>
        <v>41.004273752481183</v>
      </c>
      <c r="W5" s="132">
        <f>IF(SER_hh_emih!W5=0,0,SER_hh_emih!W5/SER_summary!W$26)</f>
        <v>60.095300443410082</v>
      </c>
      <c r="X5" s="132">
        <f>IF(SER_hh_emih!X5=0,0,SER_hh_emih!X5/SER_summary!X$26)</f>
        <v>36.002422905475072</v>
      </c>
      <c r="Y5" s="132">
        <f>IF(SER_hh_emih!Y5=0,0,SER_hh_emih!Y5/SER_summary!Y$26)</f>
        <v>41.743392607859647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38.988237122420927</v>
      </c>
      <c r="C7" s="132">
        <f>IF(SER_hh_emih!C7=0,0,SER_hh_emih!C7/SER_summary!C$26)</f>
        <v>49.153931341076621</v>
      </c>
      <c r="D7" s="132">
        <f>IF(SER_hh_emih!D7=0,0,SER_hh_emih!D7/SER_summary!D$26)</f>
        <v>52.999049496140842</v>
      </c>
      <c r="E7" s="132">
        <f>IF(SER_hh_emih!E7=0,0,SER_hh_emih!E7/SER_summary!E$26)</f>
        <v>53.591962992893983</v>
      </c>
      <c r="F7" s="132">
        <f>IF(SER_hh_emih!F7=0,0,SER_hh_emih!F7/SER_summary!F$26)</f>
        <v>50.357329249846018</v>
      </c>
      <c r="G7" s="132">
        <f>IF(SER_hh_emih!G7=0,0,SER_hh_emih!G7/SER_summary!G$26)</f>
        <v>39.247462588439276</v>
      </c>
      <c r="H7" s="132">
        <f>IF(SER_hh_emih!H7=0,0,SER_hh_emih!H7/SER_summary!H$26)</f>
        <v>60.546072164538614</v>
      </c>
      <c r="I7" s="132">
        <f>IF(SER_hh_emih!I7=0,0,SER_hh_emih!I7/SER_summary!I$26)</f>
        <v>52.528781646001327</v>
      </c>
      <c r="J7" s="132">
        <f>IF(SER_hh_emih!J7=0,0,SER_hh_emih!J7/SER_summary!J$26)</f>
        <v>51.040728598027719</v>
      </c>
      <c r="K7" s="132">
        <f>IF(SER_hh_emih!K7=0,0,SER_hh_emih!K7/SER_summary!K$26)</f>
        <v>47.831452496812339</v>
      </c>
      <c r="L7" s="132">
        <f>IF(SER_hh_emih!L7=0,0,SER_hh_emih!L7/SER_summary!L$26)</f>
        <v>60.537510957158716</v>
      </c>
      <c r="M7" s="132">
        <f>IF(SER_hh_emih!M7=0,0,SER_hh_emih!M7/SER_summary!M$26)</f>
        <v>57.884490242776309</v>
      </c>
      <c r="N7" s="132">
        <f>IF(SER_hh_emih!N7=0,0,SER_hh_emih!N7/SER_summary!N$26)</f>
        <v>45.793142249303699</v>
      </c>
      <c r="O7" s="132">
        <f>IF(SER_hh_emih!O7=0,0,SER_hh_emih!O7/SER_summary!O$26)</f>
        <v>40.989921168923232</v>
      </c>
      <c r="P7" s="132">
        <f>IF(SER_hh_emih!P7=0,0,SER_hh_emih!P7/SER_summary!P$26)</f>
        <v>41.754053110081585</v>
      </c>
      <c r="Q7" s="132">
        <f>IF(SER_hh_emih!Q7=0,0,SER_hh_emih!Q7/SER_summary!Q$26)</f>
        <v>41.188666083439109</v>
      </c>
      <c r="R7" s="132">
        <f>IF(SER_hh_emih!R7=0,0,SER_hh_emih!R7/SER_summary!R$26)</f>
        <v>40.751057277181943</v>
      </c>
      <c r="S7" s="132">
        <f>IF(SER_hh_emih!S7=0,0,SER_hh_emih!S7/SER_summary!S$26)</f>
        <v>39.8356555627063</v>
      </c>
      <c r="T7" s="132">
        <f>IF(SER_hh_emih!T7=0,0,SER_hh_emih!T7/SER_summary!T$26)</f>
        <v>39.709647944647983</v>
      </c>
      <c r="U7" s="132">
        <f>IF(SER_hh_emih!U7=0,0,SER_hh_emih!U7/SER_summary!U$26)</f>
        <v>34.27053026039561</v>
      </c>
      <c r="V7" s="132">
        <f>IF(SER_hh_emih!V7=0,0,SER_hh_emih!V7/SER_summary!V$26)</f>
        <v>34.533346325697245</v>
      </c>
      <c r="W7" s="132">
        <f>IF(SER_hh_emih!W7=0,0,SER_hh_emih!W7/SER_summary!W$26)</f>
        <v>40.156050514670895</v>
      </c>
      <c r="X7" s="132">
        <f>IF(SER_hh_emih!X7=0,0,SER_hh_emih!X7/SER_summary!X$26)</f>
        <v>37.036947338216962</v>
      </c>
      <c r="Y7" s="132">
        <f>IF(SER_hh_emih!Y7=0,0,SER_hh_emih!Y7/SER_summary!Y$26)</f>
        <v>29.541606412339565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13.492565165938551</v>
      </c>
      <c r="C8" s="132">
        <f>IF(SER_hh_emih!C8=0,0,SER_hh_emih!C8/SER_summary!C$26)</f>
        <v>15.798691693634652</v>
      </c>
      <c r="D8" s="132">
        <f>IF(SER_hh_emih!D8=0,0,SER_hh_emih!D8/SER_summary!D$26)</f>
        <v>16.637575375884239</v>
      </c>
      <c r="E8" s="132">
        <f>IF(SER_hh_emih!E8=0,0,SER_hh_emih!E8/SER_summary!E$26)</f>
        <v>17.440995720736783</v>
      </c>
      <c r="F8" s="132">
        <f>IF(SER_hh_emih!F8=0,0,SER_hh_emih!F8/SER_summary!F$26)</f>
        <v>17.027914431143202</v>
      </c>
      <c r="G8" s="132">
        <f>IF(SER_hh_emih!G8=0,0,SER_hh_emih!G8/SER_summary!G$26)</f>
        <v>16.496043196538913</v>
      </c>
      <c r="H8" s="132">
        <f>IF(SER_hh_emih!H8=0,0,SER_hh_emih!H8/SER_summary!H$26)</f>
        <v>15.976662259715617</v>
      </c>
      <c r="I8" s="132">
        <f>IF(SER_hh_emih!I8=0,0,SER_hh_emih!I8/SER_summary!I$26)</f>
        <v>15.182653644012079</v>
      </c>
      <c r="J8" s="132">
        <f>IF(SER_hh_emih!J8=0,0,SER_hh_emih!J8/SER_summary!J$26)</f>
        <v>15.548797183623432</v>
      </c>
      <c r="K8" s="132">
        <f>IF(SER_hh_emih!K8=0,0,SER_hh_emih!K8/SER_summary!K$26)</f>
        <v>16.125231008262798</v>
      </c>
      <c r="L8" s="132">
        <f>IF(SER_hh_emih!L8=0,0,SER_hh_emih!L8/SER_summary!L$26)</f>
        <v>16.042007043440449</v>
      </c>
      <c r="M8" s="132">
        <f>IF(SER_hh_emih!M8=0,0,SER_hh_emih!M8/SER_summary!M$26)</f>
        <v>13.471389642672275</v>
      </c>
      <c r="N8" s="132">
        <f>IF(SER_hh_emih!N8=0,0,SER_hh_emih!N8/SER_summary!N$26)</f>
        <v>12.626773179207055</v>
      </c>
      <c r="O8" s="132">
        <f>IF(SER_hh_emih!O8=0,0,SER_hh_emih!O8/SER_summary!O$26)</f>
        <v>10.053502361053033</v>
      </c>
      <c r="P8" s="132">
        <f>IF(SER_hh_emih!P8=0,0,SER_hh_emih!P8/SER_summary!P$26)</f>
        <v>10.623557950542057</v>
      </c>
      <c r="Q8" s="132">
        <f>IF(SER_hh_emih!Q8=0,0,SER_hh_emih!Q8/SER_summary!Q$26)</f>
        <v>9.7695963271156785</v>
      </c>
      <c r="R8" s="132">
        <f>IF(SER_hh_emih!R8=0,0,SER_hh_emih!R8/SER_summary!R$26)</f>
        <v>9.628571912927347</v>
      </c>
      <c r="S8" s="132">
        <f>IF(SER_hh_emih!S8=0,0,SER_hh_emih!S8/SER_summary!S$26)</f>
        <v>8.4381910214392182</v>
      </c>
      <c r="T8" s="132">
        <f>IF(SER_hh_emih!T8=0,0,SER_hh_emih!T8/SER_summary!T$26)</f>
        <v>7.7158174794336505</v>
      </c>
      <c r="U8" s="132">
        <f>IF(SER_hh_emih!U8=0,0,SER_hh_emih!U8/SER_summary!U$26)</f>
        <v>7.2049712368477001</v>
      </c>
      <c r="V8" s="132">
        <f>IF(SER_hh_emih!V8=0,0,SER_hh_emih!V8/SER_summary!V$26)</f>
        <v>6.8933265398203565</v>
      </c>
      <c r="W8" s="132">
        <f>IF(SER_hh_emih!W8=0,0,SER_hh_emih!W8/SER_summary!W$26)</f>
        <v>7.6002263903054867</v>
      </c>
      <c r="X8" s="132">
        <f>IF(SER_hh_emih!X8=0,0,SER_hh_emih!X8/SER_summary!X$26)</f>
        <v>6.8264396788067421</v>
      </c>
      <c r="Y8" s="132">
        <f>IF(SER_hh_emih!Y8=0,0,SER_hh_emih!Y8/SER_summary!Y$26)</f>
        <v>7.3144151569832587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26.678857746022356</v>
      </c>
      <c r="C9" s="132">
        <f>IF(SER_hh_emih!C9=0,0,SER_hh_emih!C9/SER_summary!C$26)</f>
        <v>32.595448526579368</v>
      </c>
      <c r="D9" s="132">
        <f>IF(SER_hh_emih!D9=0,0,SER_hh_emih!D9/SER_summary!D$26)</f>
        <v>36.491900540151335</v>
      </c>
      <c r="E9" s="132">
        <f>IF(SER_hh_emih!E9=0,0,SER_hh_emih!E9/SER_summary!E$26)</f>
        <v>36.744391846423341</v>
      </c>
      <c r="F9" s="132">
        <f>IF(SER_hh_emih!F9=0,0,SER_hh_emih!F9/SER_summary!F$26)</f>
        <v>37.458993371207804</v>
      </c>
      <c r="G9" s="132">
        <f>IF(SER_hh_emih!G9=0,0,SER_hh_emih!G9/SER_summary!G$26)</f>
        <v>37.173030686214901</v>
      </c>
      <c r="H9" s="132">
        <f>IF(SER_hh_emih!H9=0,0,SER_hh_emih!H9/SER_summary!H$26)</f>
        <v>34.40691578274626</v>
      </c>
      <c r="I9" s="132">
        <f>IF(SER_hh_emih!I9=0,0,SER_hh_emih!I9/SER_summary!I$26)</f>
        <v>34.324803961017111</v>
      </c>
      <c r="J9" s="132">
        <f>IF(SER_hh_emih!J9=0,0,SER_hh_emih!J9/SER_summary!J$26)</f>
        <v>35.061607484110404</v>
      </c>
      <c r="K9" s="132">
        <f>IF(SER_hh_emih!K9=0,0,SER_hh_emih!K9/SER_summary!K$26)</f>
        <v>35.108042959977794</v>
      </c>
      <c r="L9" s="132">
        <f>IF(SER_hh_emih!L9=0,0,SER_hh_emih!L9/SER_summary!L$26)</f>
        <v>40.563116764223565</v>
      </c>
      <c r="M9" s="132">
        <f>IF(SER_hh_emih!M9=0,0,SER_hh_emih!M9/SER_summary!M$26)</f>
        <v>34.657958926051073</v>
      </c>
      <c r="N9" s="132">
        <f>IF(SER_hh_emih!N9=0,0,SER_hh_emih!N9/SER_summary!N$26)</f>
        <v>34.083454890263717</v>
      </c>
      <c r="O9" s="132">
        <f>IF(SER_hh_emih!O9=0,0,SER_hh_emih!O9/SER_summary!O$26)</f>
        <v>31.756821666205791</v>
      </c>
      <c r="P9" s="132">
        <f>IF(SER_hh_emih!P9=0,0,SER_hh_emih!P9/SER_summary!P$26)</f>
        <v>25.923999958980776</v>
      </c>
      <c r="Q9" s="132">
        <f>IF(SER_hh_emih!Q9=0,0,SER_hh_emih!Q9/SER_summary!Q$26)</f>
        <v>27.481476308317728</v>
      </c>
      <c r="R9" s="132">
        <f>IF(SER_hh_emih!R9=0,0,SER_hh_emih!R9/SER_summary!R$26)</f>
        <v>32.697039834665517</v>
      </c>
      <c r="S9" s="132">
        <f>IF(SER_hh_emih!S9=0,0,SER_hh_emih!S9/SER_summary!S$26)</f>
        <v>24.946043542131775</v>
      </c>
      <c r="T9" s="132">
        <f>IF(SER_hh_emih!T9=0,0,SER_hh_emih!T9/SER_summary!T$26)</f>
        <v>24.140615070598106</v>
      </c>
      <c r="U9" s="132">
        <f>IF(SER_hh_emih!U9=0,0,SER_hh_emih!U9/SER_summary!U$26)</f>
        <v>24.689141262991416</v>
      </c>
      <c r="V9" s="132">
        <f>IF(SER_hh_emih!V9=0,0,SER_hh_emih!V9/SER_summary!V$26)</f>
        <v>21.034108061643963</v>
      </c>
      <c r="W9" s="132">
        <f>IF(SER_hh_emih!W9=0,0,SER_hh_emih!W9/SER_summary!W$26)</f>
        <v>27.971948098862793</v>
      </c>
      <c r="X9" s="132">
        <f>IF(SER_hh_emih!X9=0,0,SER_hh_emih!X9/SER_summary!X$26)</f>
        <v>25.234125725531673</v>
      </c>
      <c r="Y9" s="132">
        <f>IF(SER_hh_emih!Y9=0,0,SER_hh_emih!Y9/SER_summary!Y$26)</f>
        <v>22.377356097448384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0.26297172009431408</v>
      </c>
      <c r="C10" s="132">
        <f>IF(SER_hh_emih!C10=0,0,SER_hh_emih!C10/SER_summary!C$26)</f>
        <v>1.2471540232847016</v>
      </c>
      <c r="D10" s="132">
        <f>IF(SER_hh_emih!D10=0,0,SER_hh_emih!D10/SER_summary!D$26)</f>
        <v>1.5976363611170394</v>
      </c>
      <c r="E10" s="132">
        <f>IF(SER_hh_emih!E10=0,0,SER_hh_emih!E10/SER_summary!E$26)</f>
        <v>1.2392414835137084</v>
      </c>
      <c r="F10" s="132">
        <f>IF(SER_hh_emih!F10=0,0,SER_hh_emih!F10/SER_summary!F$26)</f>
        <v>3.6889367793835171E-2</v>
      </c>
      <c r="G10" s="132">
        <f>IF(SER_hh_emih!G10=0,0,SER_hh_emih!G10/SER_summary!G$26)</f>
        <v>0.41479546517049104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0.63621135946829221</v>
      </c>
      <c r="K10" s="132">
        <f>IF(SER_hh_emih!K10=0,0,SER_hh_emih!K10/SER_summary!K$26)</f>
        <v>1.8120168164974244</v>
      </c>
      <c r="L10" s="132">
        <f>IF(SER_hh_emih!L10=0,0,SER_hh_emih!L10/SER_summary!L$26)</f>
        <v>0.36238612937822939</v>
      </c>
      <c r="M10" s="132">
        <f>IF(SER_hh_emih!M10=0,0,SER_hh_emih!M10/SER_summary!M$26)</f>
        <v>0.55125466118461031</v>
      </c>
      <c r="N10" s="132">
        <f>IF(SER_hh_emih!N10=0,0,SER_hh_emih!N10/SER_summary!N$26)</f>
        <v>0.434638310955967</v>
      </c>
      <c r="O10" s="132">
        <f>IF(SER_hh_emih!O10=0,0,SER_hh_emih!O10/SER_summary!O$26)</f>
        <v>4.9175707090499952</v>
      </c>
      <c r="P10" s="132">
        <f>IF(SER_hh_emih!P10=0,0,SER_hh_emih!P10/SER_summary!P$26)</f>
        <v>2.481633338308507</v>
      </c>
      <c r="Q10" s="132">
        <f>IF(SER_hh_emih!Q10=0,0,SER_hh_emih!Q10/SER_summary!Q$26)</f>
        <v>2.0474795595502093</v>
      </c>
      <c r="R10" s="132">
        <f>IF(SER_hh_emih!R10=0,0,SER_hh_emih!R10/SER_summary!R$26)</f>
        <v>3.3559663878249189</v>
      </c>
      <c r="S10" s="132">
        <f>IF(SER_hh_emih!S10=0,0,SER_hh_emih!S10/SER_summary!S$26)</f>
        <v>2.3234357451856504</v>
      </c>
      <c r="T10" s="132">
        <f>IF(SER_hh_emih!T10=0,0,SER_hh_emih!T10/SER_summary!T$26)</f>
        <v>2.0567490047037964</v>
      </c>
      <c r="U10" s="132">
        <f>IF(SER_hh_emih!U10=0,0,SER_hh_emih!U10/SER_summary!U$26)</f>
        <v>1.8427974418219171</v>
      </c>
      <c r="V10" s="132">
        <f>IF(SER_hh_emih!V10=0,0,SER_hh_emih!V10/SER_summary!V$26)</f>
        <v>5.1822976859946834</v>
      </c>
      <c r="W10" s="132">
        <f>IF(SER_hh_emih!W10=0,0,SER_hh_emih!W10/SER_summary!W$26)</f>
        <v>6.4998399591064642</v>
      </c>
      <c r="X10" s="132">
        <f>IF(SER_hh_emih!X10=0,0,SER_hh_emih!X10/SER_summary!X$26)</f>
        <v>2.1705920779394634</v>
      </c>
      <c r="Y10" s="132">
        <f>IF(SER_hh_emih!Y10=0,0,SER_hh_emih!Y10/SER_summary!Y$26)</f>
        <v>10.343494766719305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6.6873665994975707E-3</v>
      </c>
      <c r="C16" s="130">
        <f>IF(SER_hh_emih!C16=0,0,SER_hh_emih!C16/SER_summary!C$26)</f>
        <v>7.0550868417990353E-3</v>
      </c>
      <c r="D16" s="130">
        <f>IF(SER_hh_emih!D16=0,0,SER_hh_emih!D16/SER_summary!D$26)</f>
        <v>7.7658050030467041E-3</v>
      </c>
      <c r="E16" s="130">
        <f>IF(SER_hh_emih!E16=0,0,SER_hh_emih!E16/SER_summary!E$26)</f>
        <v>8.0561408592480111E-3</v>
      </c>
      <c r="F16" s="130">
        <f>IF(SER_hh_emih!F16=0,0,SER_hh_emih!F16/SER_summary!F$26)</f>
        <v>8.8505902301144468E-3</v>
      </c>
      <c r="G16" s="130">
        <f>IF(SER_hh_emih!G16=0,0,SER_hh_emih!G16/SER_summary!G$26)</f>
        <v>9.5359949835971177E-3</v>
      </c>
      <c r="H16" s="130">
        <f>IF(SER_hh_emih!H16=0,0,SER_hh_emih!H16/SER_summary!H$26)</f>
        <v>1.0117916195109038E-2</v>
      </c>
      <c r="I16" s="130">
        <f>IF(SER_hh_emih!I16=0,0,SER_hh_emih!I16/SER_summary!I$26)</f>
        <v>1.0365567156774324E-2</v>
      </c>
      <c r="J16" s="130">
        <f>IF(SER_hh_emih!J16=0,0,SER_hh_emih!J16/SER_summary!J$26)</f>
        <v>1.0177429413317994E-2</v>
      </c>
      <c r="K16" s="130">
        <f>IF(SER_hh_emih!K16=0,0,SER_hh_emih!K16/SER_summary!K$26)</f>
        <v>1.0378284572991017E-2</v>
      </c>
      <c r="L16" s="130">
        <f>IF(SER_hh_emih!L16=0,0,SER_hh_emih!L16/SER_summary!L$26)</f>
        <v>1.1555526767927739E-2</v>
      </c>
      <c r="M16" s="130">
        <f>IF(SER_hh_emih!M16=0,0,SER_hh_emih!M16/SER_summary!M$26)</f>
        <v>1.1122414401712865E-2</v>
      </c>
      <c r="N16" s="130">
        <f>IF(SER_hh_emih!N16=0,0,SER_hh_emih!N16/SER_summary!N$26)</f>
        <v>1.2559663344422101E-2</v>
      </c>
      <c r="O16" s="130">
        <f>IF(SER_hh_emih!O16=0,0,SER_hh_emih!O16/SER_summary!O$26)</f>
        <v>1.5004908768488348E-2</v>
      </c>
      <c r="P16" s="130">
        <f>IF(SER_hh_emih!P16=0,0,SER_hh_emih!P16/SER_summary!P$26)</f>
        <v>1.8945383679276909E-2</v>
      </c>
      <c r="Q16" s="130">
        <f>IF(SER_hh_emih!Q16=0,0,SER_hh_emih!Q16/SER_summary!Q$26)</f>
        <v>2.5102229483577147E-2</v>
      </c>
      <c r="R16" s="130">
        <f>IF(SER_hh_emih!R16=0,0,SER_hh_emih!R16/SER_summary!R$26)</f>
        <v>3.1485900967067069E-2</v>
      </c>
      <c r="S16" s="130">
        <f>IF(SER_hh_emih!S16=0,0,SER_hh_emih!S16/SER_summary!S$26)</f>
        <v>3.6729578099243147E-2</v>
      </c>
      <c r="T16" s="130">
        <f>IF(SER_hh_emih!T16=0,0,SER_hh_emih!T16/SER_summary!T$26)</f>
        <v>4.0621152409566853E-2</v>
      </c>
      <c r="U16" s="130">
        <f>IF(SER_hh_emih!U16=0,0,SER_hh_emih!U16/SER_summary!U$26)</f>
        <v>4.5621707397267341E-2</v>
      </c>
      <c r="V16" s="130">
        <f>IF(SER_hh_emih!V16=0,0,SER_hh_emih!V16/SER_summary!V$26)</f>
        <v>3.8400219090154501E-2</v>
      </c>
      <c r="W16" s="130">
        <f>IF(SER_hh_emih!W16=0,0,SER_hh_emih!W16/SER_summary!W$26)</f>
        <v>4.0674956605422467E-2</v>
      </c>
      <c r="X16" s="130">
        <f>IF(SER_hh_emih!X16=0,0,SER_hh_emih!X16/SER_summary!X$26)</f>
        <v>4.5468814266504808E-2</v>
      </c>
      <c r="Y16" s="130">
        <f>IF(SER_hh_emih!Y16=0,0,SER_hh_emih!Y16/SER_summary!Y$26)</f>
        <v>4.3640750052666467E-2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5.0805598556993719</v>
      </c>
      <c r="C17" s="132">
        <f>IF(SER_hh_emih!C17=0,0,SER_hh_emih!C17/SER_summary!C$26)</f>
        <v>5.0370142685708803</v>
      </c>
      <c r="D17" s="132">
        <f>IF(SER_hh_emih!D17=0,0,SER_hh_emih!D17/SER_summary!D$26)</f>
        <v>5.0638026257023299</v>
      </c>
      <c r="E17" s="132">
        <f>IF(SER_hh_emih!E17=0,0,SER_hh_emih!E17/SER_summary!E$26)</f>
        <v>4.8918471022338492</v>
      </c>
      <c r="F17" s="132">
        <f>IF(SER_hh_emih!F17=0,0,SER_hh_emih!F17/SER_summary!F$26)</f>
        <v>4.7371684787137083</v>
      </c>
      <c r="G17" s="132">
        <f>IF(SER_hh_emih!G17=0,0,SER_hh_emih!G17/SER_summary!G$26)</f>
        <v>4.6725220912908059</v>
      </c>
      <c r="H17" s="132">
        <f>IF(SER_hh_emih!H17=0,0,SER_hh_emih!H17/SER_summary!H$26)</f>
        <v>4.8546067331287066</v>
      </c>
      <c r="I17" s="132">
        <f>IF(SER_hh_emih!I17=0,0,SER_hh_emih!I17/SER_summary!I$26)</f>
        <v>4.5990173897455087</v>
      </c>
      <c r="J17" s="132">
        <f>IF(SER_hh_emih!J17=0,0,SER_hh_emih!J17/SER_summary!J$26)</f>
        <v>4.442531570935258</v>
      </c>
      <c r="K17" s="132">
        <f>IF(SER_hh_emih!K17=0,0,SER_hh_emih!K17/SER_summary!K$26)</f>
        <v>4.4288508840633316</v>
      </c>
      <c r="L17" s="132">
        <f>IF(SER_hh_emih!L17=0,0,SER_hh_emih!L17/SER_summary!L$26)</f>
        <v>4.9805742332554077</v>
      </c>
      <c r="M17" s="132">
        <f>IF(SER_hh_emih!M17=0,0,SER_hh_emih!M17/SER_summary!M$26)</f>
        <v>4.3319951230512341</v>
      </c>
      <c r="N17" s="132">
        <f>IF(SER_hh_emih!N17=0,0,SER_hh_emih!N17/SER_summary!N$26)</f>
        <v>4.4654086390944023</v>
      </c>
      <c r="O17" s="132">
        <f>IF(SER_hh_emih!O17=0,0,SER_hh_emih!O17/SER_summary!O$26)</f>
        <v>4.3766381417405915</v>
      </c>
      <c r="P17" s="132">
        <f>IF(SER_hh_emih!P17=0,0,SER_hh_emih!P17/SER_summary!P$26)</f>
        <v>4.1985094757467394</v>
      </c>
      <c r="Q17" s="132">
        <f>IF(SER_hh_emih!Q17=0,0,SER_hh_emih!Q17/SER_summary!Q$26)</f>
        <v>4.7294957988495518</v>
      </c>
      <c r="R17" s="132">
        <f>IF(SER_hh_emih!R17=0,0,SER_hh_emih!R17/SER_summary!R$26)</f>
        <v>4.0098201040304033</v>
      </c>
      <c r="S17" s="132">
        <f>IF(SER_hh_emih!S17=0,0,SER_hh_emih!S17/SER_summary!S$26)</f>
        <v>3.9575392854771958</v>
      </c>
      <c r="T17" s="132">
        <f>IF(SER_hh_emih!T17=0,0,SER_hh_emih!T17/SER_summary!T$26)</f>
        <v>4.0120449892082988</v>
      </c>
      <c r="U17" s="132">
        <f>IF(SER_hh_emih!U17=0,0,SER_hh_emih!U17/SER_summary!U$26)</f>
        <v>4.2901193151802977</v>
      </c>
      <c r="V17" s="132">
        <f>IF(SER_hh_emih!V17=0,0,SER_hh_emih!V17/SER_summary!V$26)</f>
        <v>3.4843682378312275</v>
      </c>
      <c r="W17" s="132">
        <f>IF(SER_hh_emih!W17=0,0,SER_hh_emih!W17/SER_summary!W$26)</f>
        <v>3.6727897564877154</v>
      </c>
      <c r="X17" s="132">
        <f>IF(SER_hh_emih!X17=0,0,SER_hh_emih!X17/SER_summary!X$26)</f>
        <v>4.0882227356141758</v>
      </c>
      <c r="Y17" s="132">
        <f>IF(SER_hh_emih!Y17=0,0,SER_hh_emih!Y17/SER_summary!Y$26)</f>
        <v>3.8109660796609401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1.154983407253221</v>
      </c>
      <c r="C19" s="130">
        <f>IF(SER_hh_emih!C19=0,0,SER_hh_emih!C19/SER_summary!C$26)</f>
        <v>1.5190015490516289</v>
      </c>
      <c r="D19" s="130">
        <f>IF(SER_hh_emih!D19=0,0,SER_hh_emih!D19/SER_summary!D$26)</f>
        <v>1.772871020158896</v>
      </c>
      <c r="E19" s="130">
        <f>IF(SER_hh_emih!E19=0,0,SER_hh_emih!E19/SER_summary!E$26)</f>
        <v>2.2847979734642743</v>
      </c>
      <c r="F19" s="130">
        <f>IF(SER_hh_emih!F19=0,0,SER_hh_emih!F19/SER_summary!F$26)</f>
        <v>2.1664564971172728</v>
      </c>
      <c r="G19" s="130">
        <f>IF(SER_hh_emih!G19=0,0,SER_hh_emih!G19/SER_summary!G$26)</f>
        <v>2.0439334000989167</v>
      </c>
      <c r="H19" s="130">
        <f>IF(SER_hh_emih!H19=0,0,SER_hh_emih!H19/SER_summary!H$26)</f>
        <v>2.0757481664577955</v>
      </c>
      <c r="I19" s="130">
        <f>IF(SER_hh_emih!I19=0,0,SER_hh_emih!I19/SER_summary!I$26)</f>
        <v>2.0902887153666003</v>
      </c>
      <c r="J19" s="130">
        <f>IF(SER_hh_emih!J19=0,0,SER_hh_emih!J19/SER_summary!J$26)</f>
        <v>2.0904166644122508</v>
      </c>
      <c r="K19" s="130">
        <f>IF(SER_hh_emih!K19=0,0,SER_hh_emih!K19/SER_summary!K$26)</f>
        <v>2.0301603503711747</v>
      </c>
      <c r="L19" s="130">
        <f>IF(SER_hh_emih!L19=0,0,SER_hh_emih!L19/SER_summary!L$26)</f>
        <v>2.1606907196438927</v>
      </c>
      <c r="M19" s="130">
        <f>IF(SER_hh_emih!M19=0,0,SER_hh_emih!M19/SER_summary!M$26)</f>
        <v>2.108903675959473</v>
      </c>
      <c r="N19" s="130">
        <f>IF(SER_hh_emih!N19=0,0,SER_hh_emih!N19/SER_summary!N$26)</f>
        <v>2.1940199901913857</v>
      </c>
      <c r="O19" s="130">
        <f>IF(SER_hh_emih!O19=0,0,SER_hh_emih!O19/SER_summary!O$26)</f>
        <v>2.0118388987063547</v>
      </c>
      <c r="P19" s="130">
        <f>IF(SER_hh_emih!P19=0,0,SER_hh_emih!P19/SER_summary!P$26)</f>
        <v>2.0187417622492836</v>
      </c>
      <c r="Q19" s="130">
        <f>IF(SER_hh_emih!Q19=0,0,SER_hh_emih!Q19/SER_summary!Q$26)</f>
        <v>1.9833463689403177</v>
      </c>
      <c r="R19" s="130">
        <f>IF(SER_hh_emih!R19=0,0,SER_hh_emih!R19/SER_summary!R$26)</f>
        <v>2.0004136962720676</v>
      </c>
      <c r="S19" s="130">
        <f>IF(SER_hh_emih!S19=0,0,SER_hh_emih!S19/SER_summary!S$26)</f>
        <v>1.6980818952389216</v>
      </c>
      <c r="T19" s="130">
        <f>IF(SER_hh_emih!T19=0,0,SER_hh_emih!T19/SER_summary!T$26)</f>
        <v>1.4459257767380362</v>
      </c>
      <c r="U19" s="130">
        <f>IF(SER_hh_emih!U19=0,0,SER_hh_emih!U19/SER_summary!U$26)</f>
        <v>1.2581472680259687</v>
      </c>
      <c r="V19" s="130">
        <f>IF(SER_hh_emih!V19=0,0,SER_hh_emih!V19/SER_summary!V$26)</f>
        <v>1.0863900872383865</v>
      </c>
      <c r="W19" s="130">
        <f>IF(SER_hh_emih!W19=0,0,SER_hh_emih!W19/SER_summary!W$26)</f>
        <v>1.3023899393085947</v>
      </c>
      <c r="X19" s="130">
        <f>IF(SER_hh_emih!X19=0,0,SER_hh_emih!X19/SER_summary!X$26)</f>
        <v>1.0362870284839407</v>
      </c>
      <c r="Y19" s="130">
        <f>IF(SER_hh_emih!Y19=0,0,SER_hh_emih!Y19/SER_summary!Y$26)</f>
        <v>0.92268728456256555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4.4007954512319589</v>
      </c>
      <c r="C20" s="132">
        <f>IF(SER_hh_emih!C20=0,0,SER_hh_emih!C20/SER_summary!C$26)</f>
        <v>6.6363729678862136</v>
      </c>
      <c r="D20" s="132">
        <f>IF(SER_hh_emih!D20=0,0,SER_hh_emih!D20/SER_summary!D$26)</f>
        <v>7.9049500174869856</v>
      </c>
      <c r="E20" s="132">
        <f>IF(SER_hh_emih!E20=0,0,SER_hh_emih!E20/SER_summary!E$26)</f>
        <v>7.86971645348412</v>
      </c>
      <c r="F20" s="132">
        <f>IF(SER_hh_emih!F20=0,0,SER_hh_emih!F20/SER_summary!F$26)</f>
        <v>8.179005888915313</v>
      </c>
      <c r="G20" s="132">
        <f>IF(SER_hh_emih!G20=0,0,SER_hh_emih!G20/SER_summary!G$26)</f>
        <v>8.1708241516116757</v>
      </c>
      <c r="H20" s="132">
        <f>IF(SER_hh_emih!H20=0,0,SER_hh_emih!H20/SER_summary!H$26)</f>
        <v>7.5805664653651013</v>
      </c>
      <c r="I20" s="132">
        <f>IF(SER_hh_emih!I20=0,0,SER_hh_emih!I20/SER_summary!I$26)</f>
        <v>9.0095910745013867</v>
      </c>
      <c r="J20" s="132">
        <f>IF(SER_hh_emih!J20=0,0,SER_hh_emih!J20/SER_summary!J$26)</f>
        <v>8.9239651857319924</v>
      </c>
      <c r="K20" s="132">
        <f>IF(SER_hh_emih!K20=0,0,SER_hh_emih!K20/SER_summary!K$26)</f>
        <v>8.7740966204434301</v>
      </c>
      <c r="L20" s="132">
        <f>IF(SER_hh_emih!L20=0,0,SER_hh_emih!L20/SER_summary!L$26)</f>
        <v>8.9958365077481943</v>
      </c>
      <c r="M20" s="132">
        <f>IF(SER_hh_emih!M20=0,0,SER_hh_emih!M20/SER_summary!M$26)</f>
        <v>8.804243120438656</v>
      </c>
      <c r="N20" s="132">
        <f>IF(SER_hh_emih!N20=0,0,SER_hh_emih!N20/SER_summary!N$26)</f>
        <v>8.7306969905509533</v>
      </c>
      <c r="O20" s="132">
        <f>IF(SER_hh_emih!O20=0,0,SER_hh_emih!O20/SER_summary!O$26)</f>
        <v>8.876474203085893</v>
      </c>
      <c r="P20" s="132">
        <f>IF(SER_hh_emih!P20=0,0,SER_hh_emih!P20/SER_summary!P$26)</f>
        <v>8.7917162588508955</v>
      </c>
      <c r="Q20" s="132">
        <f>IF(SER_hh_emih!Q20=0,0,SER_hh_emih!Q20/SER_summary!Q$26)</f>
        <v>8.8387129011803385</v>
      </c>
      <c r="R20" s="132">
        <f>IF(SER_hh_emih!R20=0,0,SER_hh_emih!R20/SER_summary!R$26)</f>
        <v>9.9789520125764462</v>
      </c>
      <c r="S20" s="132">
        <f>IF(SER_hh_emih!S20=0,0,SER_hh_emih!S20/SER_summary!S$26)</f>
        <v>9.2413813703771126</v>
      </c>
      <c r="T20" s="132">
        <f>IF(SER_hh_emih!T20=0,0,SER_hh_emih!T20/SER_summary!T$26)</f>
        <v>7.7239467684439518</v>
      </c>
      <c r="U20" s="132">
        <f>IF(SER_hh_emih!U20=0,0,SER_hh_emih!U20/SER_summary!U$26)</f>
        <v>6.5296462345275783</v>
      </c>
      <c r="V20" s="132">
        <f>IF(SER_hh_emih!V20=0,0,SER_hh_emih!V20/SER_summary!V$26)</f>
        <v>8.094846894728235</v>
      </c>
      <c r="W20" s="132">
        <f>IF(SER_hh_emih!W20=0,0,SER_hh_emih!W20/SER_summary!W$26)</f>
        <v>13.342278094096544</v>
      </c>
      <c r="X20" s="132">
        <f>IF(SER_hh_emih!X20=0,0,SER_hh_emih!X20/SER_summary!X$26)</f>
        <v>8.0690390977646658</v>
      </c>
      <c r="Y20" s="132">
        <f>IF(SER_hh_emih!Y20=0,0,SER_hh_emih!Y20/SER_summary!Y$26)</f>
        <v>7.4504812160074296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3.5647148359359559</v>
      </c>
      <c r="C21" s="132">
        <f>IF(SER_hh_emih!C21=0,0,SER_hh_emih!C21/SER_summary!C$26)</f>
        <v>4.3933502978305539</v>
      </c>
      <c r="D21" s="132">
        <f>IF(SER_hh_emih!D21=0,0,SER_hh_emih!D21/SER_summary!D$26)</f>
        <v>4.220447518449931</v>
      </c>
      <c r="E21" s="132">
        <f>IF(SER_hh_emih!E21=0,0,SER_hh_emih!E21/SER_summary!E$26)</f>
        <v>6.3914087610858541</v>
      </c>
      <c r="F21" s="132">
        <f>IF(SER_hh_emih!F21=0,0,SER_hh_emih!F21/SER_summary!F$26)</f>
        <v>5.6313377766360242</v>
      </c>
      <c r="G21" s="132">
        <f>IF(SER_hh_emih!G21=0,0,SER_hh_emih!G21/SER_summary!G$26)</f>
        <v>5.2171761940234447</v>
      </c>
      <c r="H21" s="132">
        <f>IF(SER_hh_emih!H21=0,0,SER_hh_emih!H21/SER_summary!H$26)</f>
        <v>6.3343814843868245</v>
      </c>
      <c r="I21" s="132">
        <f>IF(SER_hh_emih!I21=0,0,SER_hh_emih!I21/SER_summary!I$26)</f>
        <v>6.2417701763343132</v>
      </c>
      <c r="J21" s="132">
        <f>IF(SER_hh_emih!J21=0,0,SER_hh_emih!J21/SER_summary!J$26)</f>
        <v>6.4121122785665525</v>
      </c>
      <c r="K21" s="132">
        <f>IF(SER_hh_emih!K21=0,0,SER_hh_emih!K21/SER_summary!K$26)</f>
        <v>6.3123014953643688</v>
      </c>
      <c r="L21" s="132">
        <f>IF(SER_hh_emih!L21=0,0,SER_hh_emih!L21/SER_summary!L$26)</f>
        <v>6.2158928157282505</v>
      </c>
      <c r="M21" s="132">
        <f>IF(SER_hh_emih!M21=0,0,SER_hh_emih!M21/SER_summary!M$26)</f>
        <v>6.1649384260519788</v>
      </c>
      <c r="N21" s="132">
        <f>IF(SER_hh_emih!N21=0,0,SER_hh_emih!N21/SER_summary!N$26)</f>
        <v>8.1698168852725743</v>
      </c>
      <c r="O21" s="132">
        <f>IF(SER_hh_emih!O21=0,0,SER_hh_emih!O21/SER_summary!O$26)</f>
        <v>5.4633935176648087</v>
      </c>
      <c r="P21" s="132">
        <f>IF(SER_hh_emih!P21=0,0,SER_hh_emih!P21/SER_summary!P$26)</f>
        <v>6.523314712710123</v>
      </c>
      <c r="Q21" s="132">
        <f>IF(SER_hh_emih!Q21=0,0,SER_hh_emih!Q21/SER_summary!Q$26)</f>
        <v>6.3217203434706004</v>
      </c>
      <c r="R21" s="132">
        <f>IF(SER_hh_emih!R21=0,0,SER_hh_emih!R21/SER_summary!R$26)</f>
        <v>6.5032949523025252</v>
      </c>
      <c r="S21" s="132">
        <f>IF(SER_hh_emih!S21=0,0,SER_hh_emih!S21/SER_summary!S$26)</f>
        <v>6.3570139637764989</v>
      </c>
      <c r="T21" s="132">
        <f>IF(SER_hh_emih!T21=0,0,SER_hh_emih!T21/SER_summary!T$26)</f>
        <v>5.8210358393931116</v>
      </c>
      <c r="U21" s="132">
        <f>IF(SER_hh_emih!U21=0,0,SER_hh_emih!U21/SER_summary!U$26)</f>
        <v>6.5999034796166729</v>
      </c>
      <c r="V21" s="132">
        <f>IF(SER_hh_emih!V21=0,0,SER_hh_emih!V21/SER_summary!V$26)</f>
        <v>5.0835110026645083</v>
      </c>
      <c r="W21" s="132">
        <f>IF(SER_hh_emih!W21=0,0,SER_hh_emih!W21/SER_summary!W$26)</f>
        <v>5.5816732615455447</v>
      </c>
      <c r="X21" s="132">
        <f>IF(SER_hh_emih!X21=0,0,SER_hh_emih!X21/SER_summary!X$26)</f>
        <v>5.523991003696036</v>
      </c>
      <c r="Y21" s="132">
        <f>IF(SER_hh_emih!Y21=0,0,SER_hh_emih!Y21/SER_summary!Y$26)</f>
        <v>5.5727688416848737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4.7498814614638345</v>
      </c>
      <c r="C22" s="132">
        <f>IF(SER_hh_emih!C22=0,0,SER_hh_emih!C22/SER_summary!C$26)</f>
        <v>4.9658776302354051</v>
      </c>
      <c r="D22" s="132">
        <f>IF(SER_hh_emih!D22=0,0,SER_hh_emih!D22/SER_summary!D$26)</f>
        <v>6.0650932684241425</v>
      </c>
      <c r="E22" s="132">
        <f>IF(SER_hh_emih!E22=0,0,SER_hh_emih!E22/SER_summary!E$26)</f>
        <v>6.5444270064591592</v>
      </c>
      <c r="F22" s="132">
        <f>IF(SER_hh_emih!F22=0,0,SER_hh_emih!F22/SER_summary!F$26)</f>
        <v>6.9793937823139949</v>
      </c>
      <c r="G22" s="132">
        <f>IF(SER_hh_emih!G22=0,0,SER_hh_emih!G22/SER_summary!G$26)</f>
        <v>6.8488045476020689</v>
      </c>
      <c r="H22" s="132">
        <f>IF(SER_hh_emih!H22=0,0,SER_hh_emih!H22/SER_summary!H$26)</f>
        <v>7.3268508341126015</v>
      </c>
      <c r="I22" s="132">
        <f>IF(SER_hh_emih!I22=0,0,SER_hh_emih!I22/SER_summary!I$26)</f>
        <v>7.8009134401503628</v>
      </c>
      <c r="J22" s="132">
        <f>IF(SER_hh_emih!J22=0,0,SER_hh_emih!J22/SER_summary!J$26)</f>
        <v>7.9999842838314601</v>
      </c>
      <c r="K22" s="132">
        <f>IF(SER_hh_emih!K22=0,0,SER_hh_emih!K22/SER_summary!K$26)</f>
        <v>7.8994690349821948</v>
      </c>
      <c r="L22" s="132">
        <f>IF(SER_hh_emih!L22=0,0,SER_hh_emih!L22/SER_summary!L$26)</f>
        <v>8.1483388308539819</v>
      </c>
      <c r="M22" s="132">
        <f>IF(SER_hh_emih!M22=0,0,SER_hh_emih!M22/SER_summary!M$26)</f>
        <v>7.9848258654560365</v>
      </c>
      <c r="N22" s="132">
        <f>IF(SER_hh_emih!N22=0,0,SER_hh_emih!N22/SER_summary!N$26)</f>
        <v>7.9615786244831472</v>
      </c>
      <c r="O22" s="132">
        <f>IF(SER_hh_emih!O22=0,0,SER_hh_emih!O22/SER_summary!O$26)</f>
        <v>8.0464721594307349</v>
      </c>
      <c r="P22" s="132">
        <f>IF(SER_hh_emih!P22=0,0,SER_hh_emih!P22/SER_summary!P$26)</f>
        <v>8.0109484854232154</v>
      </c>
      <c r="Q22" s="132">
        <f>IF(SER_hh_emih!Q22=0,0,SER_hh_emih!Q22/SER_summary!Q$26)</f>
        <v>8.1180418593901589</v>
      </c>
      <c r="R22" s="132">
        <f>IF(SER_hh_emih!R22=0,0,SER_hh_emih!R22/SER_summary!R$26)</f>
        <v>7.861928186108571</v>
      </c>
      <c r="S22" s="132">
        <f>IF(SER_hh_emih!S22=0,0,SER_hh_emih!S22/SER_summary!S$26)</f>
        <v>8.1693623391997328</v>
      </c>
      <c r="T22" s="132">
        <f>IF(SER_hh_emih!T22=0,0,SER_hh_emih!T22/SER_summary!T$26)</f>
        <v>7.7651199015415582</v>
      </c>
      <c r="U22" s="132">
        <f>IF(SER_hh_emih!U22=0,0,SER_hh_emih!U22/SER_summary!U$26)</f>
        <v>6.5072377368360677</v>
      </c>
      <c r="V22" s="132">
        <f>IF(SER_hh_emih!V22=0,0,SER_hh_emih!V22/SER_summary!V$26)</f>
        <v>6.3600008666723253</v>
      </c>
      <c r="W22" s="132">
        <f>IF(SER_hh_emih!W22=0,0,SER_hh_emih!W22/SER_summary!W$26)</f>
        <v>7.060932661288378</v>
      </c>
      <c r="X22" s="132">
        <f>IF(SER_hh_emih!X22=0,0,SER_hh_emih!X22/SER_summary!X$26)</f>
        <v>7.1076198516042854</v>
      </c>
      <c r="Y22" s="132">
        <f>IF(SER_hh_emih!Y22=0,0,SER_hh_emih!Y22/SER_summary!Y$26)</f>
        <v>6.2173292862338725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3.1311184111450392</v>
      </c>
      <c r="C23" s="132">
        <f>IF(SER_hh_emih!C23=0,0,SER_hh_emih!C23/SER_summary!C$26)</f>
        <v>3.7195109718514598</v>
      </c>
      <c r="D23" s="132">
        <f>IF(SER_hh_emih!D23=0,0,SER_hh_emih!D23/SER_summary!D$26)</f>
        <v>4.119936848305767</v>
      </c>
      <c r="E23" s="132">
        <f>IF(SER_hh_emih!E23=0,0,SER_hh_emih!E23/SER_summary!E$26)</f>
        <v>4.8839049932716598</v>
      </c>
      <c r="F23" s="132">
        <f>IF(SER_hh_emih!F23=0,0,SER_hh_emih!F23/SER_summary!F$26)</f>
        <v>4.8150507868571433</v>
      </c>
      <c r="G23" s="132">
        <f>IF(SER_hh_emih!G23=0,0,SER_hh_emih!G23/SER_summary!G$26)</f>
        <v>4.865077352202051</v>
      </c>
      <c r="H23" s="132">
        <f>IF(SER_hh_emih!H23=0,0,SER_hh_emih!H23/SER_summary!H$26)</f>
        <v>4.9870643420434151</v>
      </c>
      <c r="I23" s="132">
        <f>IF(SER_hh_emih!I23=0,0,SER_hh_emih!I23/SER_summary!I$26)</f>
        <v>5.2129502109218233</v>
      </c>
      <c r="J23" s="132">
        <f>IF(SER_hh_emih!J23=0,0,SER_hh_emih!J23/SER_summary!J$26)</f>
        <v>5.4008632527188682</v>
      </c>
      <c r="K23" s="132">
        <f>IF(SER_hh_emih!K23=0,0,SER_hh_emih!K23/SER_summary!K$26)</f>
        <v>5.2619227289811041</v>
      </c>
      <c r="L23" s="132">
        <f>IF(SER_hh_emih!L23=0,0,SER_hh_emih!L23/SER_summary!L$26)</f>
        <v>5.5134958523034054</v>
      </c>
      <c r="M23" s="132">
        <f>IF(SER_hh_emih!M23=0,0,SER_hh_emih!M23/SER_summary!M$26)</f>
        <v>5.3927967355155539</v>
      </c>
      <c r="N23" s="132">
        <f>IF(SER_hh_emih!N23=0,0,SER_hh_emih!N23/SER_summary!N$26)</f>
        <v>5.2920149143237696</v>
      </c>
      <c r="O23" s="132">
        <f>IF(SER_hh_emih!O23=0,0,SER_hh_emih!O23/SER_summary!O$26)</f>
        <v>5.3529992699412094</v>
      </c>
      <c r="P23" s="132">
        <f>IF(SER_hh_emih!P23=0,0,SER_hh_emih!P23/SER_summary!P$26)</f>
        <v>5.3669739666791187</v>
      </c>
      <c r="Q23" s="132">
        <f>IF(SER_hh_emih!Q23=0,0,SER_hh_emih!Q23/SER_summary!Q$26)</f>
        <v>5.5201226272208794</v>
      </c>
      <c r="R23" s="132">
        <f>IF(SER_hh_emih!R23=0,0,SER_hh_emih!R23/SER_summary!R$26)</f>
        <v>5.7652246285447157</v>
      </c>
      <c r="S23" s="132">
        <f>IF(SER_hh_emih!S23=0,0,SER_hh_emih!S23/SER_summary!S$26)</f>
        <v>5.0167053990190791</v>
      </c>
      <c r="T23" s="132">
        <f>IF(SER_hh_emih!T23=0,0,SER_hh_emih!T23/SER_summary!T$26)</f>
        <v>5.0923804907068355</v>
      </c>
      <c r="U23" s="132">
        <f>IF(SER_hh_emih!U23=0,0,SER_hh_emih!U23/SER_summary!U$26)</f>
        <v>4.7097812851873941</v>
      </c>
      <c r="V23" s="132">
        <f>IF(SER_hh_emih!V23=0,0,SER_hh_emih!V23/SER_summary!V$26)</f>
        <v>4.0269227141102721</v>
      </c>
      <c r="W23" s="132">
        <f>IF(SER_hh_emih!W23=0,0,SER_hh_emih!W23/SER_summary!W$26)</f>
        <v>5.2928048095333544</v>
      </c>
      <c r="X23" s="132">
        <f>IF(SER_hh_emih!X23=0,0,SER_hh_emih!X23/SER_summary!X$26)</f>
        <v>4.7975751329013541</v>
      </c>
      <c r="Y23" s="132">
        <f>IF(SER_hh_emih!Y23=0,0,SER_hh_emih!Y23/SER_summary!Y$26)</f>
        <v>4.4077584832737138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2.9352143874179441E-2</v>
      </c>
      <c r="C24" s="132">
        <f>IF(SER_hh_emih!C24=0,0,SER_hh_emih!C24/SER_summary!C$26)</f>
        <v>0.17009820542103563</v>
      </c>
      <c r="D24" s="132">
        <f>IF(SER_hh_emih!D24=0,0,SER_hh_emih!D24/SER_summary!D$26)</f>
        <v>0.2319120378321535</v>
      </c>
      <c r="E24" s="132">
        <f>IF(SER_hh_emih!E24=0,0,SER_hh_emih!E24/SER_summary!E$26)</f>
        <v>0.16950286399348408</v>
      </c>
      <c r="F24" s="132">
        <f>IF(SER_hh_emih!F24=0,0,SER_hh_emih!F24/SER_summary!F$26)</f>
        <v>4.694205634963775E-3</v>
      </c>
      <c r="G24" s="132">
        <f>IF(SER_hh_emih!G24=0,0,SER_hh_emih!G24/SER_summary!G$26)</f>
        <v>4.796643426717246E-2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0.10654406970487219</v>
      </c>
      <c r="K24" s="132">
        <f>IF(SER_hh_emih!K24=0,0,SER_hh_emih!K24/SER_summary!K$26)</f>
        <v>0.23810293015470851</v>
      </c>
      <c r="L24" s="132">
        <f>IF(SER_hh_emih!L24=0,0,SER_hh_emih!L24/SER_summary!L$26)</f>
        <v>4.3910501175770701E-2</v>
      </c>
      <c r="M24" s="132">
        <f>IF(SER_hh_emih!M24=0,0,SER_hh_emih!M24/SER_summary!M$26)</f>
        <v>7.3323913719512218E-2</v>
      </c>
      <c r="N24" s="132">
        <f>IF(SER_hh_emih!N24=0,0,SER_hh_emih!N24/SER_summary!N$26)</f>
        <v>6.8175153872299207E-2</v>
      </c>
      <c r="O24" s="132">
        <f>IF(SER_hh_emih!O24=0,0,SER_hh_emih!O24/SER_summary!O$26)</f>
        <v>0.7093776087033038</v>
      </c>
      <c r="P24" s="132">
        <f>IF(SER_hh_emih!P24=0,0,SER_hh_emih!P24/SER_summary!P$26)</f>
        <v>0.41878104714046849</v>
      </c>
      <c r="Q24" s="132">
        <f>IF(SER_hh_emih!Q24=0,0,SER_hh_emih!Q24/SER_summary!Q$26)</f>
        <v>0.34740308162783662</v>
      </c>
      <c r="R24" s="132">
        <f>IF(SER_hh_emih!R24=0,0,SER_hh_emih!R24/SER_summary!R$26)</f>
        <v>0.55020521625145824</v>
      </c>
      <c r="S24" s="132">
        <f>IF(SER_hh_emih!S24=0,0,SER_hh_emih!S24/SER_summary!S$26)</f>
        <v>0.38707066291342845</v>
      </c>
      <c r="T24" s="132">
        <f>IF(SER_hh_emih!T24=0,0,SER_hh_emih!T24/SER_summary!T$26)</f>
        <v>0.31565201398417803</v>
      </c>
      <c r="U24" s="132">
        <f>IF(SER_hh_emih!U24=0,0,SER_hh_emih!U24/SER_summary!U$26)</f>
        <v>0.28065989703213301</v>
      </c>
      <c r="V24" s="132">
        <f>IF(SER_hh_emih!V24=0,0,SER_hh_emih!V24/SER_summary!V$26)</f>
        <v>0.80965978244355574</v>
      </c>
      <c r="W24" s="132">
        <f>IF(SER_hh_emih!W24=0,0,SER_hh_emih!W24/SER_summary!W$26)</f>
        <v>1.0104189428703363</v>
      </c>
      <c r="X24" s="132">
        <f>IF(SER_hh_emih!X24=0,0,SER_hh_emih!X24/SER_summary!X$26)</f>
        <v>0.32761897087883723</v>
      </c>
      <c r="Y24" s="132">
        <f>IF(SER_hh_emih!Y24=0,0,SER_hh_emih!Y24/SER_summary!Y$26)</f>
        <v>1.4584462964312792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0.73642036537972044</v>
      </c>
      <c r="C29" s="130">
        <f>IF(SER_hh_emih!C29=0,0,SER_hh_emih!C29/SER_summary!C$26)</f>
        <v>0.98836773251224586</v>
      </c>
      <c r="D29" s="130">
        <f>IF(SER_hh_emih!D29=0,0,SER_hh_emih!D29/SER_summary!D$26)</f>
        <v>1.1571191954716988</v>
      </c>
      <c r="E29" s="130">
        <f>IF(SER_hh_emih!E29=0,0,SER_hh_emih!E29/SER_summary!E$26)</f>
        <v>1.4257306169868889</v>
      </c>
      <c r="F29" s="130">
        <f>IF(SER_hh_emih!F29=0,0,SER_hh_emih!F29/SER_summary!F$26)</f>
        <v>1.4298818883861297</v>
      </c>
      <c r="G29" s="130">
        <f>IF(SER_hh_emih!G29=0,0,SER_hh_emih!G29/SER_summary!G$26)</f>
        <v>1.5244383058412505</v>
      </c>
      <c r="H29" s="130">
        <f>IF(SER_hh_emih!H29=0,0,SER_hh_emih!H29/SER_summary!H$26)</f>
        <v>1.6041123181970904</v>
      </c>
      <c r="I29" s="130">
        <f>IF(SER_hh_emih!I29=0,0,SER_hh_emih!I29/SER_summary!I$26)</f>
        <v>1.6047676961842727</v>
      </c>
      <c r="J29" s="130">
        <f>IF(SER_hh_emih!J29=0,0,SER_hh_emih!J29/SER_summary!J$26)</f>
        <v>1.5235007654673087</v>
      </c>
      <c r="K29" s="130">
        <f>IF(SER_hh_emih!K29=0,0,SER_hh_emih!K29/SER_summary!K$26)</f>
        <v>1.4253256976211472</v>
      </c>
      <c r="L29" s="130">
        <f>IF(SER_hh_emih!L29=0,0,SER_hh_emih!L29/SER_summary!L$26)</f>
        <v>1.3818670572278628</v>
      </c>
      <c r="M29" s="130">
        <f>IF(SER_hh_emih!M29=0,0,SER_hh_emih!M29/SER_summary!M$26)</f>
        <v>1.5230443389073298</v>
      </c>
      <c r="N29" s="130">
        <f>IF(SER_hh_emih!N29=0,0,SER_hh_emih!N29/SER_summary!N$26)</f>
        <v>1.6375212697685329</v>
      </c>
      <c r="O29" s="130">
        <f>IF(SER_hh_emih!O29=0,0,SER_hh_emih!O29/SER_summary!O$26)</f>
        <v>1.6696264636774105</v>
      </c>
      <c r="P29" s="130">
        <f>IF(SER_hh_emih!P29=0,0,SER_hh_emih!P29/SER_summary!P$26)</f>
        <v>1.6110915190976129</v>
      </c>
      <c r="Q29" s="130">
        <f>IF(SER_hh_emih!Q29=0,0,SER_hh_emih!Q29/SER_summary!Q$26)</f>
        <v>1.6686770040548402</v>
      </c>
      <c r="R29" s="130">
        <f>IF(SER_hh_emih!R29=0,0,SER_hh_emih!R29/SER_summary!R$26)</f>
        <v>1.5982432872697687</v>
      </c>
      <c r="S29" s="130">
        <f>IF(SER_hh_emih!S29=0,0,SER_hh_emih!S29/SER_summary!S$26)</f>
        <v>1.4872445125584477</v>
      </c>
      <c r="T29" s="130">
        <f>IF(SER_hh_emih!T29=0,0,SER_hh_emih!T29/SER_summary!T$26)</f>
        <v>1.4051787879511366</v>
      </c>
      <c r="U29" s="130">
        <f>IF(SER_hh_emih!U29=0,0,SER_hh_emih!U29/SER_summary!U$26)</f>
        <v>1.4398537761977745</v>
      </c>
      <c r="V29" s="130">
        <f>IF(SER_hh_emih!V29=0,0,SER_hh_emih!V29/SER_summary!V$26)</f>
        <v>1.1402508242189506</v>
      </c>
      <c r="W29" s="130">
        <f>IF(SER_hh_emih!W29=0,0,SER_hh_emih!W29/SER_summary!W$26)</f>
        <v>1.5135591042039098</v>
      </c>
      <c r="X29" s="130">
        <f>IF(SER_hh_emih!X29=0,0,SER_hh_emih!X29/SER_summary!X$26)</f>
        <v>1.4623079570909583</v>
      </c>
      <c r="Y29" s="130">
        <f>IF(SER_hh_emih!Y29=0,0,SER_hh_emih!Y29/SER_summary!Y$26)</f>
        <v>1.4479324193323153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2.0920766006664535</v>
      </c>
      <c r="C30" s="132">
        <f>IF(SER_hh_emih!C30=0,0,SER_hh_emih!C30/SER_summary!C$26)</f>
        <v>6.4654759708821867</v>
      </c>
      <c r="D30" s="132">
        <f>IF(SER_hh_emih!D30=0,0,SER_hh_emih!D30/SER_summary!D$26)</f>
        <v>5.2803285172570442</v>
      </c>
      <c r="E30" s="132">
        <f>IF(SER_hh_emih!E30=0,0,SER_hh_emih!E30/SER_summary!E$26)</f>
        <v>7.7133031882458507</v>
      </c>
      <c r="F30" s="132">
        <f>IF(SER_hh_emih!F30=0,0,SER_hh_emih!F30/SER_summary!F$26)</f>
        <v>6.9525198230331711</v>
      </c>
      <c r="G30" s="132">
        <f>IF(SER_hh_emih!G30=0,0,SER_hh_emih!G30/SER_summary!G$26)</f>
        <v>6.7081518980871016</v>
      </c>
      <c r="H30" s="132">
        <f>IF(SER_hh_emih!H30=0,0,SER_hh_emih!H30/SER_summary!H$26)</f>
        <v>7.5030123753511839</v>
      </c>
      <c r="I30" s="132">
        <f>IF(SER_hh_emih!I30=0,0,SER_hh_emih!I30/SER_summary!I$26)</f>
        <v>7.9792339414933995</v>
      </c>
      <c r="J30" s="132">
        <f>IF(SER_hh_emih!J30=0,0,SER_hh_emih!J30/SER_summary!J$26)</f>
        <v>7.8414139226038362</v>
      </c>
      <c r="K30" s="132">
        <f>IF(SER_hh_emih!K30=0,0,SER_hh_emih!K30/SER_summary!K$26)</f>
        <v>6.8266856565830416</v>
      </c>
      <c r="L30" s="132">
        <f>IF(SER_hh_emih!L30=0,0,SER_hh_emih!L30/SER_summary!L$26)</f>
        <v>6.5136136424719204</v>
      </c>
      <c r="M30" s="132">
        <f>IF(SER_hh_emih!M30=0,0,SER_hh_emih!M30/SER_summary!M$26)</f>
        <v>7.0272826936284138</v>
      </c>
      <c r="N30" s="132">
        <f>IF(SER_hh_emih!N30=0,0,SER_hh_emih!N30/SER_summary!N$26)</f>
        <v>7.3375050845218679</v>
      </c>
      <c r="O30" s="132">
        <f>IF(SER_hh_emih!O30=0,0,SER_hh_emih!O30/SER_summary!O$26)</f>
        <v>7.5487039174224559</v>
      </c>
      <c r="P30" s="132">
        <f>IF(SER_hh_emih!P30=0,0,SER_hh_emih!P30/SER_summary!P$26)</f>
        <v>6.551650448819994</v>
      </c>
      <c r="Q30" s="132">
        <f>IF(SER_hh_emih!Q30=0,0,SER_hh_emih!Q30/SER_summary!Q$26)</f>
        <v>7.2643261930916623</v>
      </c>
      <c r="R30" s="132">
        <f>IF(SER_hh_emih!R30=0,0,SER_hh_emih!R30/SER_summary!R$26)</f>
        <v>7.4838726313885218</v>
      </c>
      <c r="S30" s="132">
        <f>IF(SER_hh_emih!S30=0,0,SER_hh_emih!S30/SER_summary!S$26)</f>
        <v>7.2432182753907508</v>
      </c>
      <c r="T30" s="132">
        <f>IF(SER_hh_emih!T30=0,0,SER_hh_emih!T30/SER_summary!T$26)</f>
        <v>6.8931202112508316</v>
      </c>
      <c r="U30" s="132">
        <f>IF(SER_hh_emih!U30=0,0,SER_hh_emih!U30/SER_summary!U$26)</f>
        <v>8.0304262801978687</v>
      </c>
      <c r="V30" s="132">
        <f>IF(SER_hh_emih!V30=0,0,SER_hh_emih!V30/SER_summary!V$26)</f>
        <v>5.6904069669409152</v>
      </c>
      <c r="W30" s="132">
        <f>IF(SER_hh_emih!W30=0,0,SER_hh_emih!W30/SER_summary!W$26)</f>
        <v>6.0598182243440331</v>
      </c>
      <c r="X30" s="132">
        <f>IF(SER_hh_emih!X30=0,0,SER_hh_emih!X30/SER_summary!X$26)</f>
        <v>5.7777574844218078</v>
      </c>
      <c r="Y30" s="132">
        <f>IF(SER_hh_emih!Y30=0,0,SER_hh_emih!Y30/SER_summary!Y$26)</f>
        <v>6.6243144934999885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3.966612029528322</v>
      </c>
      <c r="C31" s="132">
        <f>IF(SER_hh_emih!C31=0,0,SER_hh_emih!C31/SER_summary!C$26)</f>
        <v>4.6830060725462692</v>
      </c>
      <c r="D31" s="132">
        <f>IF(SER_hh_emih!D31=0,0,SER_hh_emih!D31/SER_summary!D$26)</f>
        <v>5.3194827432142029</v>
      </c>
      <c r="E31" s="132">
        <f>IF(SER_hh_emih!E31=0,0,SER_hh_emih!E31/SER_summary!E$26)</f>
        <v>5.8308837883249396</v>
      </c>
      <c r="F31" s="132">
        <f>IF(SER_hh_emih!F31=0,0,SER_hh_emih!F31/SER_summary!F$26)</f>
        <v>5.7680217382451131</v>
      </c>
      <c r="G31" s="132">
        <f>IF(SER_hh_emih!G31=0,0,SER_hh_emih!G31/SER_summary!G$26)</f>
        <v>6.0129827924171186</v>
      </c>
      <c r="H31" s="132">
        <f>IF(SER_hh_emih!H31=0,0,SER_hh_emih!H31/SER_summary!H$26)</f>
        <v>6.1739444178794001</v>
      </c>
      <c r="I31" s="132">
        <f>IF(SER_hh_emih!I31=0,0,SER_hh_emih!I31/SER_summary!I$26)</f>
        <v>6.2828840299416333</v>
      </c>
      <c r="J31" s="132">
        <f>IF(SER_hh_emih!J31=0,0,SER_hh_emih!J31/SER_summary!J$26)</f>
        <v>6.3136925293010728</v>
      </c>
      <c r="K31" s="132">
        <f>IF(SER_hh_emih!K31=0,0,SER_hh_emih!K31/SER_summary!K$26)</f>
        <v>6.2832381823402503</v>
      </c>
      <c r="L31" s="132">
        <f>IF(SER_hh_emih!L31=0,0,SER_hh_emih!L31/SER_summary!L$26)</f>
        <v>5.9998047619792816</v>
      </c>
      <c r="M31" s="132">
        <f>IF(SER_hh_emih!M31=0,0,SER_hh_emih!M31/SER_summary!M$26)</f>
        <v>6.3307001286583215</v>
      </c>
      <c r="N31" s="132">
        <f>IF(SER_hh_emih!N31=0,0,SER_hh_emih!N31/SER_summary!N$26)</f>
        <v>6.4786877318034604</v>
      </c>
      <c r="O31" s="132">
        <f>IF(SER_hh_emih!O31=0,0,SER_hh_emih!O31/SER_summary!O$26)</f>
        <v>6.3247286540539172</v>
      </c>
      <c r="P31" s="132">
        <f>IF(SER_hh_emih!P31=0,0,SER_hh_emih!P31/SER_summary!P$26)</f>
        <v>6.1989533340138072</v>
      </c>
      <c r="Q31" s="132">
        <f>IF(SER_hh_emih!Q31=0,0,SER_hh_emih!Q31/SER_summary!Q$26)</f>
        <v>6.3661095923534443</v>
      </c>
      <c r="R31" s="132">
        <f>IF(SER_hh_emih!R31=0,0,SER_hh_emih!R31/SER_summary!R$26)</f>
        <v>6.1895320186339244</v>
      </c>
      <c r="S31" s="132">
        <f>IF(SER_hh_emih!S31=0,0,SER_hh_emih!S31/SER_summary!S$26)</f>
        <v>5.9039660453648422</v>
      </c>
      <c r="T31" s="132">
        <f>IF(SER_hh_emih!T31=0,0,SER_hh_emih!T31/SER_summary!T$26)</f>
        <v>5.8397726545023945</v>
      </c>
      <c r="U31" s="132">
        <f>IF(SER_hh_emih!U31=0,0,SER_hh_emih!U31/SER_summary!U$26)</f>
        <v>5.8589755103557257</v>
      </c>
      <c r="V31" s="132">
        <f>IF(SER_hh_emih!V31=0,0,SER_hh_emih!V31/SER_summary!V$26)</f>
        <v>4.7084817085410959</v>
      </c>
      <c r="W31" s="132">
        <f>IF(SER_hh_emih!W31=0,0,SER_hh_emih!W31/SER_summary!W$26)</f>
        <v>5.935725428275914</v>
      </c>
      <c r="X31" s="132">
        <f>IF(SER_hh_emih!X31=0,0,SER_hh_emih!X31/SER_summary!X$26)</f>
        <v>5.5896933778658653</v>
      </c>
      <c r="Y31" s="132">
        <f>IF(SER_hh_emih!Y31=0,0,SER_hh_emih!Y31/SER_summary!Y$26)</f>
        <v>5.5260565463156501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1267.8297614244791</v>
      </c>
      <c r="D3" s="124">
        <f t="shared" si="0"/>
        <v>2153.2066759765421</v>
      </c>
      <c r="E3" s="124">
        <f t="shared" si="0"/>
        <v>6828.8090525536281</v>
      </c>
      <c r="F3" s="124">
        <f t="shared" si="0"/>
        <v>10407.973444589961</v>
      </c>
      <c r="G3" s="124">
        <f t="shared" si="0"/>
        <v>8702.9586394855578</v>
      </c>
      <c r="H3" s="124">
        <f t="shared" si="0"/>
        <v>14383.19190298855</v>
      </c>
      <c r="I3" s="124">
        <f t="shared" si="0"/>
        <v>15928.705485102246</v>
      </c>
      <c r="J3" s="124">
        <f t="shared" si="0"/>
        <v>15472.338845019982</v>
      </c>
      <c r="K3" s="124">
        <f t="shared" si="0"/>
        <v>13004.898054513726</v>
      </c>
      <c r="L3" s="124">
        <f t="shared" si="0"/>
        <v>2150.6258930730637</v>
      </c>
      <c r="M3" s="124">
        <f t="shared" si="0"/>
        <v>11693.781608539854</v>
      </c>
      <c r="N3" s="124">
        <f t="shared" si="0"/>
        <v>9736.9147689785095</v>
      </c>
      <c r="O3" s="124">
        <f t="shared" si="0"/>
        <v>4197.26744318683</v>
      </c>
      <c r="P3" s="124">
        <f t="shared" si="0"/>
        <v>10759.162366140397</v>
      </c>
      <c r="Q3" s="124">
        <f t="shared" si="0"/>
        <v>6917.0947286999763</v>
      </c>
      <c r="R3" s="124">
        <f t="shared" si="0"/>
        <v>8785.5782198308771</v>
      </c>
      <c r="S3" s="124">
        <f t="shared" si="0"/>
        <v>10972.335069342822</v>
      </c>
      <c r="T3" s="124">
        <f t="shared" si="0"/>
        <v>10911.606224991705</v>
      </c>
      <c r="U3" s="124">
        <f t="shared" si="0"/>
        <v>10213.629492682863</v>
      </c>
      <c r="V3" s="124">
        <f t="shared" si="0"/>
        <v>9434.1873260228531</v>
      </c>
      <c r="W3" s="124">
        <f t="shared" si="0"/>
        <v>9060.3535430842676</v>
      </c>
      <c r="X3" s="124">
        <f t="shared" si="0"/>
        <v>8886.383327360465</v>
      </c>
      <c r="Y3" s="124">
        <f t="shared" si="0"/>
        <v>8553.4806024079971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1267.8297614244791</v>
      </c>
      <c r="D4" s="139">
        <f t="shared" si="1"/>
        <v>2153.2066759765421</v>
      </c>
      <c r="E4" s="139">
        <f t="shared" si="1"/>
        <v>6828.8090525536281</v>
      </c>
      <c r="F4" s="139">
        <f t="shared" si="1"/>
        <v>10407.973444589961</v>
      </c>
      <c r="G4" s="139">
        <f t="shared" si="1"/>
        <v>8702.9586394855578</v>
      </c>
      <c r="H4" s="139">
        <f t="shared" si="1"/>
        <v>14383.19190298855</v>
      </c>
      <c r="I4" s="139">
        <f t="shared" si="1"/>
        <v>15928.705485102246</v>
      </c>
      <c r="J4" s="139">
        <f t="shared" si="1"/>
        <v>15472.338845019982</v>
      </c>
      <c r="K4" s="139">
        <f t="shared" si="1"/>
        <v>13004.898054513726</v>
      </c>
      <c r="L4" s="139">
        <f t="shared" si="1"/>
        <v>2150.6258930730637</v>
      </c>
      <c r="M4" s="139">
        <f t="shared" si="1"/>
        <v>11693.781608539854</v>
      </c>
      <c r="N4" s="139">
        <f t="shared" si="1"/>
        <v>9736.9147689785095</v>
      </c>
      <c r="O4" s="139">
        <f t="shared" si="1"/>
        <v>4197.26744318683</v>
      </c>
      <c r="P4" s="139">
        <f t="shared" si="1"/>
        <v>10759.162366140397</v>
      </c>
      <c r="Q4" s="139">
        <f t="shared" si="1"/>
        <v>6917.0947286999763</v>
      </c>
      <c r="R4" s="139">
        <f t="shared" ref="R4:W4" si="2">SUM(R5:R14)</f>
        <v>8785.5782198308771</v>
      </c>
      <c r="S4" s="139">
        <f t="shared" si="2"/>
        <v>10972.335069342822</v>
      </c>
      <c r="T4" s="139">
        <f t="shared" si="2"/>
        <v>10911.606224991705</v>
      </c>
      <c r="U4" s="139">
        <f t="shared" si="2"/>
        <v>10213.629492682863</v>
      </c>
      <c r="V4" s="139">
        <f t="shared" si="2"/>
        <v>9434.1873260228531</v>
      </c>
      <c r="W4" s="139">
        <f t="shared" si="2"/>
        <v>9060.3535430842676</v>
      </c>
      <c r="X4" s="139">
        <f t="shared" ref="X4:Y4" si="3">SUM(X5:X14)</f>
        <v>8886.383327360465</v>
      </c>
      <c r="Y4" s="139">
        <f t="shared" si="3"/>
        <v>8553.4806024079971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226.89710741233213</v>
      </c>
      <c r="D5" s="140">
        <v>425.17513150296514</v>
      </c>
      <c r="E5" s="140">
        <v>1241.8984459902063</v>
      </c>
      <c r="F5" s="140">
        <v>1431.7781882429922</v>
      </c>
      <c r="G5" s="140">
        <v>1155.009389368209</v>
      </c>
      <c r="H5" s="140">
        <v>1775.8296986419602</v>
      </c>
      <c r="I5" s="140">
        <v>2253.5282668131908</v>
      </c>
      <c r="J5" s="140">
        <v>2011.6326027148289</v>
      </c>
      <c r="K5" s="140">
        <v>2302.7273302951553</v>
      </c>
      <c r="L5" s="140">
        <v>416.99828649021515</v>
      </c>
      <c r="M5" s="140">
        <v>1684.5620951499602</v>
      </c>
      <c r="N5" s="140">
        <v>1411.0074835798662</v>
      </c>
      <c r="O5" s="140">
        <v>614.30103299298082</v>
      </c>
      <c r="P5" s="140">
        <v>730.46841272231541</v>
      </c>
      <c r="Q5" s="140">
        <v>643.09048599037567</v>
      </c>
      <c r="R5" s="140">
        <v>761.53431411567738</v>
      </c>
      <c r="S5" s="140">
        <v>1331.259794609882</v>
      </c>
      <c r="T5" s="140">
        <v>807.8493801605307</v>
      </c>
      <c r="U5" s="140">
        <v>572.57271593720782</v>
      </c>
      <c r="V5" s="140">
        <v>482.33719647436413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122.13458045233925</v>
      </c>
      <c r="D7" s="140">
        <v>140.09170024888721</v>
      </c>
      <c r="E7" s="140">
        <v>69.97958852653511</v>
      </c>
      <c r="F7" s="140">
        <v>67.523637974565702</v>
      </c>
      <c r="G7" s="140">
        <v>799.95389657846636</v>
      </c>
      <c r="H7" s="140">
        <v>2609.1927135563624</v>
      </c>
      <c r="I7" s="140">
        <v>2349.112140133318</v>
      </c>
      <c r="J7" s="140">
        <v>1185.5465572865762</v>
      </c>
      <c r="K7" s="140">
        <v>958.33974106846881</v>
      </c>
      <c r="L7" s="140">
        <v>194.51686211589825</v>
      </c>
      <c r="M7" s="140">
        <v>470.51396809197757</v>
      </c>
      <c r="N7" s="140">
        <v>0</v>
      </c>
      <c r="O7" s="140">
        <v>0</v>
      </c>
      <c r="P7" s="140">
        <v>0</v>
      </c>
      <c r="Q7" s="140">
        <v>226.23263172327236</v>
      </c>
      <c r="R7" s="140">
        <v>548.35271709603342</v>
      </c>
      <c r="S7" s="140">
        <v>1032.0380846121784</v>
      </c>
      <c r="T7" s="140">
        <v>1010.6556012682648</v>
      </c>
      <c r="U7" s="140">
        <v>703.64100997039395</v>
      </c>
      <c r="V7" s="140">
        <v>739.73786504329905</v>
      </c>
      <c r="W7" s="140">
        <v>444.43076519259148</v>
      </c>
      <c r="X7" s="140">
        <v>287.17340253059558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4.9170706359180562E-2</v>
      </c>
      <c r="D8" s="140">
        <v>7.9358029797253662E-2</v>
      </c>
      <c r="E8" s="140">
        <v>0.35038089069696926</v>
      </c>
      <c r="F8" s="140">
        <v>0.38354496246819025</v>
      </c>
      <c r="G8" s="140">
        <v>0.44102711440173625</v>
      </c>
      <c r="H8" s="140">
        <v>0.47830013261401655</v>
      </c>
      <c r="I8" s="140">
        <v>0.84349439771535195</v>
      </c>
      <c r="J8" s="140">
        <v>0.41180880922763952</v>
      </c>
      <c r="K8" s="140">
        <v>0.37996632459558383</v>
      </c>
      <c r="L8" s="140">
        <v>1.5948131402925371E-2</v>
      </c>
      <c r="M8" s="140">
        <v>0.27972230948269799</v>
      </c>
      <c r="N8" s="140">
        <v>0.55818903207195358</v>
      </c>
      <c r="O8" s="140">
        <v>0.42755414235363781</v>
      </c>
      <c r="P8" s="140">
        <v>1.8222729813291234</v>
      </c>
      <c r="Q8" s="140">
        <v>0.78932628534893456</v>
      </c>
      <c r="R8" s="140">
        <v>0.43539935923866435</v>
      </c>
      <c r="S8" s="140">
        <v>0.51968764557903913</v>
      </c>
      <c r="T8" s="140">
        <v>0.75374053796598817</v>
      </c>
      <c r="U8" s="140">
        <v>1.0592607646917669</v>
      </c>
      <c r="V8" s="140">
        <v>1.2351127490744434</v>
      </c>
      <c r="W8" s="140">
        <v>1.318855814341426</v>
      </c>
      <c r="X8" s="140">
        <v>1.3813361710931042</v>
      </c>
      <c r="Y8" s="140">
        <v>1.3519473789001162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515.65175746498812</v>
      </c>
      <c r="D9" s="140">
        <v>924.2999620666651</v>
      </c>
      <c r="E9" s="140">
        <v>3187.1215019931046</v>
      </c>
      <c r="F9" s="140">
        <v>2875.0053289959792</v>
      </c>
      <c r="G9" s="140">
        <v>1049.4750513759961</v>
      </c>
      <c r="H9" s="140">
        <v>1566.2751972152569</v>
      </c>
      <c r="I9" s="140">
        <v>3616.0173814582909</v>
      </c>
      <c r="J9" s="140">
        <v>5294.2581009915202</v>
      </c>
      <c r="K9" s="140">
        <v>4742.1043529565568</v>
      </c>
      <c r="L9" s="140">
        <v>266.19006386598676</v>
      </c>
      <c r="M9" s="140">
        <v>4279.8945039307864</v>
      </c>
      <c r="N9" s="140">
        <v>3210.664840172436</v>
      </c>
      <c r="O9" s="140">
        <v>1020.7313904909067</v>
      </c>
      <c r="P9" s="140">
        <v>4244.0896550557645</v>
      </c>
      <c r="Q9" s="140">
        <v>2407.9374241594737</v>
      </c>
      <c r="R9" s="140">
        <v>1831.8322667962086</v>
      </c>
      <c r="S9" s="140">
        <v>934.06015128441493</v>
      </c>
      <c r="T9" s="140">
        <v>1140.2339476265918</v>
      </c>
      <c r="U9" s="140">
        <v>2045.5256381920176</v>
      </c>
      <c r="V9" s="140">
        <v>2278.8628230720456</v>
      </c>
      <c r="W9" s="140">
        <v>2894.9979017267924</v>
      </c>
      <c r="X9" s="140">
        <v>3061.0470712597707</v>
      </c>
      <c r="Y9" s="140">
        <v>2010.5117745186317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94.886805580317727</v>
      </c>
      <c r="I10" s="140">
        <v>457.90428233308518</v>
      </c>
      <c r="J10" s="140">
        <v>536.82352029709239</v>
      </c>
      <c r="K10" s="140">
        <v>888.50358535623445</v>
      </c>
      <c r="L10" s="140">
        <v>128.21015946447994</v>
      </c>
      <c r="M10" s="140">
        <v>565.4687779938771</v>
      </c>
      <c r="N10" s="140">
        <v>313.19283097702419</v>
      </c>
      <c r="O10" s="140">
        <v>224.66080443070689</v>
      </c>
      <c r="P10" s="140">
        <v>198.55760567041827</v>
      </c>
      <c r="Q10" s="140">
        <v>241.95877337314511</v>
      </c>
      <c r="R10" s="140">
        <v>175.30325861339907</v>
      </c>
      <c r="S10" s="140">
        <v>267.7779890058074</v>
      </c>
      <c r="T10" s="140">
        <v>192.6228025458621</v>
      </c>
      <c r="U10" s="140">
        <v>206.48088782785064</v>
      </c>
      <c r="V10" s="140">
        <v>202.03051914847839</v>
      </c>
      <c r="W10" s="140">
        <v>149.2873255312434</v>
      </c>
      <c r="X10" s="140">
        <v>160.95896659860838</v>
      </c>
      <c r="Y10" s="140">
        <v>190.88249162704216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0.76636787840979959</v>
      </c>
      <c r="D11" s="140">
        <v>3.4470199850223877</v>
      </c>
      <c r="E11" s="140">
        <v>10.690003145499865</v>
      </c>
      <c r="F11" s="140">
        <v>11.521065355293448</v>
      </c>
      <c r="G11" s="140">
        <v>9.4045979615074859</v>
      </c>
      <c r="H11" s="140">
        <v>9.4073941953527562</v>
      </c>
      <c r="I11" s="140">
        <v>12.903597759255954</v>
      </c>
      <c r="J11" s="140">
        <v>15.112089683923582</v>
      </c>
      <c r="K11" s="140">
        <v>7.5157774868255265</v>
      </c>
      <c r="L11" s="140">
        <v>0.17772512475140761</v>
      </c>
      <c r="M11" s="140">
        <v>11.231515592972917</v>
      </c>
      <c r="N11" s="140">
        <v>25.226403387181335</v>
      </c>
      <c r="O11" s="140">
        <v>18.233786499755318</v>
      </c>
      <c r="P11" s="140">
        <v>47.981065292887941</v>
      </c>
      <c r="Q11" s="140">
        <v>15.508230472280742</v>
      </c>
      <c r="R11" s="140">
        <v>5.369313098110192</v>
      </c>
      <c r="S11" s="140">
        <v>18.449984244012242</v>
      </c>
      <c r="T11" s="140">
        <v>23.571108957540421</v>
      </c>
      <c r="U11" s="140">
        <v>22.421016696927229</v>
      </c>
      <c r="V11" s="140">
        <v>18.416338259338261</v>
      </c>
      <c r="W11" s="140">
        <v>19.153291924666618</v>
      </c>
      <c r="X11" s="140">
        <v>17.59790055782187</v>
      </c>
      <c r="Y11" s="140">
        <v>19.187175914524921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400.70248441823179</v>
      </c>
      <c r="D12" s="140">
        <v>656.1390330296083</v>
      </c>
      <c r="E12" s="140">
        <v>2293.3667909080737</v>
      </c>
      <c r="F12" s="140">
        <v>5974.6641881034529</v>
      </c>
      <c r="G12" s="140">
        <v>2471.0537113482478</v>
      </c>
      <c r="H12" s="140">
        <v>3686.6854783335334</v>
      </c>
      <c r="I12" s="140">
        <v>3209.420639401018</v>
      </c>
      <c r="J12" s="140">
        <v>2872.4907311044308</v>
      </c>
      <c r="K12" s="140">
        <v>1753.0691127173068</v>
      </c>
      <c r="L12" s="140">
        <v>344.07719517838757</v>
      </c>
      <c r="M12" s="140">
        <v>1624.4894971732042</v>
      </c>
      <c r="N12" s="140">
        <v>2386.921418001411</v>
      </c>
      <c r="O12" s="140">
        <v>1514.6596943167315</v>
      </c>
      <c r="P12" s="140">
        <v>2573.5959585661244</v>
      </c>
      <c r="Q12" s="140">
        <v>2134.7447235236559</v>
      </c>
      <c r="R12" s="140">
        <v>3103.2541188429668</v>
      </c>
      <c r="S12" s="140">
        <v>4495.483147951566</v>
      </c>
      <c r="T12" s="140">
        <v>3338.482799147243</v>
      </c>
      <c r="U12" s="140">
        <v>2991.7239224269256</v>
      </c>
      <c r="V12" s="140">
        <v>2121.6796930598593</v>
      </c>
      <c r="W12" s="140">
        <v>1375.0994499355847</v>
      </c>
      <c r="X12" s="140">
        <v>1108.7781929091511</v>
      </c>
      <c r="Y12" s="140">
        <v>607.81478756610113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1.6282930918186738</v>
      </c>
      <c r="D13" s="140">
        <v>3.9744711135968762</v>
      </c>
      <c r="E13" s="140">
        <v>25.402341099512178</v>
      </c>
      <c r="F13" s="140">
        <v>47.097490955208919</v>
      </c>
      <c r="G13" s="140">
        <v>63.539073603051399</v>
      </c>
      <c r="H13" s="140">
        <v>86.101098564998338</v>
      </c>
      <c r="I13" s="140">
        <v>109.76890749907012</v>
      </c>
      <c r="J13" s="140">
        <v>59.112230724926548</v>
      </c>
      <c r="K13" s="140">
        <v>49.765352832533715</v>
      </c>
      <c r="L13" s="140">
        <v>5.0307052744543039</v>
      </c>
      <c r="M13" s="140">
        <v>49.479902896746388</v>
      </c>
      <c r="N13" s="140">
        <v>70.548494356315629</v>
      </c>
      <c r="O13" s="140">
        <v>56.041132544064745</v>
      </c>
      <c r="P13" s="140">
        <v>262.91998423613006</v>
      </c>
      <c r="Q13" s="140">
        <v>132.09721901973654</v>
      </c>
      <c r="R13" s="140">
        <v>84.751909432770077</v>
      </c>
      <c r="S13" s="140">
        <v>107.47134076630178</v>
      </c>
      <c r="T13" s="140">
        <v>114.1943233546544</v>
      </c>
      <c r="U13" s="140">
        <v>126.68611700957055</v>
      </c>
      <c r="V13" s="140">
        <v>123.39789018734309</v>
      </c>
      <c r="W13" s="140">
        <v>115.34139809455101</v>
      </c>
      <c r="X13" s="140">
        <v>132.81001107234454</v>
      </c>
      <c r="Y13" s="140">
        <v>124.38637632589668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0</v>
      </c>
      <c r="D14" s="141">
        <v>0</v>
      </c>
      <c r="E14" s="141">
        <v>0</v>
      </c>
      <c r="F14" s="141">
        <v>0</v>
      </c>
      <c r="G14" s="141">
        <v>3154.0818921356786</v>
      </c>
      <c r="H14" s="141">
        <v>4554.3352167681523</v>
      </c>
      <c r="I14" s="141">
        <v>3919.2067753073006</v>
      </c>
      <c r="J14" s="141">
        <v>3496.9512034074551</v>
      </c>
      <c r="K14" s="141">
        <v>2302.4928354760486</v>
      </c>
      <c r="L14" s="141">
        <v>795.40894742748753</v>
      </c>
      <c r="M14" s="141">
        <v>3007.8616254008462</v>
      </c>
      <c r="N14" s="141">
        <v>2318.7951094722016</v>
      </c>
      <c r="O14" s="141">
        <v>748.21204776933098</v>
      </c>
      <c r="P14" s="141">
        <v>2699.7274116154285</v>
      </c>
      <c r="Q14" s="141">
        <v>1114.7359141526877</v>
      </c>
      <c r="R14" s="141">
        <v>2274.7449224764723</v>
      </c>
      <c r="S14" s="141">
        <v>2785.2748892230807</v>
      </c>
      <c r="T14" s="141">
        <v>4283.2425213930519</v>
      </c>
      <c r="U14" s="141">
        <v>3543.5189238572784</v>
      </c>
      <c r="V14" s="141">
        <v>3466.4898880290511</v>
      </c>
      <c r="W14" s="141">
        <v>4060.7245548644969</v>
      </c>
      <c r="X14" s="141">
        <v>4116.6364462610809</v>
      </c>
      <c r="Y14" s="141">
        <v>5599.3460490769003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1266.2014683326604</v>
      </c>
      <c r="D15" s="143">
        <f t="shared" si="4"/>
        <v>2149.2322048629453</v>
      </c>
      <c r="E15" s="143">
        <f t="shared" si="4"/>
        <v>6803.4067114541158</v>
      </c>
      <c r="F15" s="143">
        <f t="shared" si="4"/>
        <v>10360.875953634752</v>
      </c>
      <c r="G15" s="143">
        <f t="shared" si="4"/>
        <v>5485.3376737468288</v>
      </c>
      <c r="H15" s="143">
        <f t="shared" si="4"/>
        <v>9742.7555876553979</v>
      </c>
      <c r="I15" s="143">
        <f t="shared" si="4"/>
        <v>11899.729802295875</v>
      </c>
      <c r="J15" s="143">
        <f t="shared" si="4"/>
        <v>11916.2754108876</v>
      </c>
      <c r="K15" s="143">
        <f t="shared" si="4"/>
        <v>10652.639866205143</v>
      </c>
      <c r="L15" s="143">
        <f t="shared" si="4"/>
        <v>1350.186240371122</v>
      </c>
      <c r="M15" s="143">
        <f t="shared" si="4"/>
        <v>8636.4400802422606</v>
      </c>
      <c r="N15" s="143">
        <f t="shared" si="4"/>
        <v>7347.5711651499914</v>
      </c>
      <c r="O15" s="143">
        <f t="shared" si="4"/>
        <v>3393.0142628734347</v>
      </c>
      <c r="P15" s="143">
        <f t="shared" si="4"/>
        <v>7796.5149702888393</v>
      </c>
      <c r="Q15" s="143">
        <f t="shared" si="4"/>
        <v>5670.2615955275523</v>
      </c>
      <c r="R15" s="143">
        <f t="shared" ref="R15:W15" si="5">SUM(R5:R12)</f>
        <v>6426.0813879216348</v>
      </c>
      <c r="S15" s="143">
        <f t="shared" si="5"/>
        <v>8079.5888393534397</v>
      </c>
      <c r="T15" s="143">
        <f t="shared" si="5"/>
        <v>6514.1693802439986</v>
      </c>
      <c r="U15" s="143">
        <f t="shared" si="5"/>
        <v>6543.424451816014</v>
      </c>
      <c r="V15" s="143">
        <f t="shared" si="5"/>
        <v>5844.2995478064595</v>
      </c>
      <c r="W15" s="143">
        <f t="shared" si="5"/>
        <v>4884.28759012522</v>
      </c>
      <c r="X15" s="143">
        <f t="shared" ref="X15:Y15" si="6">SUM(X5:X12)</f>
        <v>4636.9368700270406</v>
      </c>
      <c r="Y15" s="143">
        <f t="shared" si="6"/>
        <v>2829.7481770052004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1267.8297614244789</v>
      </c>
      <c r="D16" s="139">
        <f t="shared" si="7"/>
        <v>2153.206675976543</v>
      </c>
      <c r="E16" s="139">
        <f t="shared" si="7"/>
        <v>3582.0926875958103</v>
      </c>
      <c r="F16" s="139">
        <f t="shared" si="7"/>
        <v>4575.9103796996324</v>
      </c>
      <c r="G16" s="139">
        <f t="shared" si="7"/>
        <v>5093.7297138133454</v>
      </c>
      <c r="H16" s="139">
        <f t="shared" si="7"/>
        <v>6358.2048252562772</v>
      </c>
      <c r="I16" s="139">
        <f t="shared" si="7"/>
        <v>8070.7393743897619</v>
      </c>
      <c r="J16" s="139">
        <f t="shared" si="7"/>
        <v>7935.9059789569474</v>
      </c>
      <c r="K16" s="139">
        <f t="shared" si="7"/>
        <v>6499.4014188467845</v>
      </c>
      <c r="L16" s="139">
        <f t="shared" si="7"/>
        <v>2150.6258930730642</v>
      </c>
      <c r="M16" s="139">
        <f t="shared" si="7"/>
        <v>7634.6951943589193</v>
      </c>
      <c r="N16" s="139">
        <f t="shared" si="7"/>
        <v>7739.1979554046593</v>
      </c>
      <c r="O16" s="139">
        <f t="shared" si="7"/>
        <v>4197.26744318683</v>
      </c>
      <c r="P16" s="139">
        <f t="shared" si="7"/>
        <v>8308.176992614528</v>
      </c>
      <c r="Q16" s="139">
        <f t="shared" si="7"/>
        <v>6917.0947286999763</v>
      </c>
      <c r="R16" s="139">
        <f t="shared" ref="R16:W16" si="8">SUM(R17:R18)</f>
        <v>8262.3229978150412</v>
      </c>
      <c r="S16" s="139">
        <f t="shared" si="8"/>
        <v>8834.7915814944663</v>
      </c>
      <c r="T16" s="139">
        <f t="shared" si="8"/>
        <v>9354.634870536669</v>
      </c>
      <c r="U16" s="139">
        <f t="shared" si="8"/>
        <v>9214.7548944859918</v>
      </c>
      <c r="V16" s="139">
        <f t="shared" si="8"/>
        <v>9380.9766389019005</v>
      </c>
      <c r="W16" s="139">
        <f t="shared" si="8"/>
        <v>9060.3535430842694</v>
      </c>
      <c r="X16" s="139">
        <f t="shared" ref="X16:Y16" si="9">SUM(X17:X18)</f>
        <v>8320.5317090388307</v>
      </c>
      <c r="Y16" s="139">
        <f t="shared" si="9"/>
        <v>8476.6652931328408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2.4431693807132073</v>
      </c>
      <c r="D17" s="140">
        <v>4.5350385369190631</v>
      </c>
      <c r="E17" s="140">
        <v>7.2868107068119334</v>
      </c>
      <c r="F17" s="140">
        <v>11.776813777686389</v>
      </c>
      <c r="G17" s="140">
        <v>12.678665913004163</v>
      </c>
      <c r="H17" s="140">
        <v>12.688289207660166</v>
      </c>
      <c r="I17" s="140">
        <v>20.988505413678173</v>
      </c>
      <c r="J17" s="140">
        <v>17.197213866134859</v>
      </c>
      <c r="K17" s="140">
        <v>16.959864977370884</v>
      </c>
      <c r="L17" s="140">
        <v>4.5213432885700628</v>
      </c>
      <c r="M17" s="140">
        <v>29.850088549245424</v>
      </c>
      <c r="N17" s="140">
        <v>31.767138435622787</v>
      </c>
      <c r="O17" s="140">
        <v>31.098002154936754</v>
      </c>
      <c r="P17" s="140">
        <v>85.209253401417683</v>
      </c>
      <c r="Q17" s="140">
        <v>57.310329543463446</v>
      </c>
      <c r="R17" s="140">
        <v>181.21835881379451</v>
      </c>
      <c r="S17" s="140">
        <v>123.57182912444614</v>
      </c>
      <c r="T17" s="140">
        <v>100.73219136495293</v>
      </c>
      <c r="U17" s="140">
        <v>89.418900923553423</v>
      </c>
      <c r="V17" s="140">
        <v>92.141078617190459</v>
      </c>
      <c r="W17" s="140">
        <v>76.935902583022823</v>
      </c>
      <c r="X17" s="140">
        <v>80.263881686119305</v>
      </c>
      <c r="Y17" s="140">
        <v>117.32269611086998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1265.3865920437656</v>
      </c>
      <c r="D18" s="140">
        <v>2148.6716374396237</v>
      </c>
      <c r="E18" s="140">
        <v>3574.8058768889982</v>
      </c>
      <c r="F18" s="140">
        <v>4564.1335659219458</v>
      </c>
      <c r="G18" s="140">
        <v>5081.0510479003415</v>
      </c>
      <c r="H18" s="140">
        <v>6345.5165360486171</v>
      </c>
      <c r="I18" s="140">
        <v>8049.7508689760834</v>
      </c>
      <c r="J18" s="140">
        <v>7918.7087650908124</v>
      </c>
      <c r="K18" s="140">
        <v>6482.4415538694138</v>
      </c>
      <c r="L18" s="140">
        <v>2146.1045497844939</v>
      </c>
      <c r="M18" s="140">
        <v>7604.8451058096734</v>
      </c>
      <c r="N18" s="140">
        <v>7707.4308169690366</v>
      </c>
      <c r="O18" s="140">
        <v>4166.1694410318933</v>
      </c>
      <c r="P18" s="140">
        <v>8222.9677392131107</v>
      </c>
      <c r="Q18" s="140">
        <v>6859.7843991565132</v>
      </c>
      <c r="R18" s="140">
        <v>8081.1046390012461</v>
      </c>
      <c r="S18" s="140">
        <v>8711.2197523700197</v>
      </c>
      <c r="T18" s="140">
        <v>9253.902679171717</v>
      </c>
      <c r="U18" s="140">
        <v>9125.3359935624376</v>
      </c>
      <c r="V18" s="140">
        <v>9288.8355602847096</v>
      </c>
      <c r="W18" s="140">
        <v>8983.4176405012458</v>
      </c>
      <c r="X18" s="140">
        <v>8240.2678273527108</v>
      </c>
      <c r="Y18" s="140">
        <v>8359.3425970219705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1267.8297614244789</v>
      </c>
      <c r="D19" s="139">
        <f t="shared" si="10"/>
        <v>2153.2066759765426</v>
      </c>
      <c r="E19" s="139">
        <f t="shared" si="10"/>
        <v>6828.8090525536281</v>
      </c>
      <c r="F19" s="139">
        <f t="shared" si="10"/>
        <v>10407.973444589963</v>
      </c>
      <c r="G19" s="139">
        <f t="shared" si="10"/>
        <v>8702.9586394855578</v>
      </c>
      <c r="H19" s="139">
        <f t="shared" si="10"/>
        <v>14383.191902988545</v>
      </c>
      <c r="I19" s="139">
        <f t="shared" si="10"/>
        <v>15928.705485102244</v>
      </c>
      <c r="J19" s="139">
        <f t="shared" si="10"/>
        <v>15472.338845019982</v>
      </c>
      <c r="K19" s="139">
        <f t="shared" si="10"/>
        <v>13004.898054513727</v>
      </c>
      <c r="L19" s="139">
        <f t="shared" si="10"/>
        <v>2150.6258930730637</v>
      </c>
      <c r="M19" s="139">
        <f t="shared" si="10"/>
        <v>11693.781608539855</v>
      </c>
      <c r="N19" s="139">
        <f t="shared" si="10"/>
        <v>9736.9147689785095</v>
      </c>
      <c r="O19" s="139">
        <f t="shared" si="10"/>
        <v>4197.2674431868309</v>
      </c>
      <c r="P19" s="139">
        <f t="shared" si="10"/>
        <v>10759.162366140397</v>
      </c>
      <c r="Q19" s="139">
        <f t="shared" si="10"/>
        <v>6917.0947286999781</v>
      </c>
      <c r="R19" s="139">
        <f t="shared" ref="R19:W19" si="11">SUM(R20:R26)</f>
        <v>8785.5782198308771</v>
      </c>
      <c r="S19" s="139">
        <f t="shared" si="11"/>
        <v>10972.335069342822</v>
      </c>
      <c r="T19" s="139">
        <f t="shared" si="11"/>
        <v>10911.606224991705</v>
      </c>
      <c r="U19" s="139">
        <f t="shared" si="11"/>
        <v>10213.629492682861</v>
      </c>
      <c r="V19" s="139">
        <f t="shared" si="11"/>
        <v>9434.1873260228513</v>
      </c>
      <c r="W19" s="139">
        <f t="shared" si="11"/>
        <v>9060.3535430842676</v>
      </c>
      <c r="X19" s="139">
        <f t="shared" ref="X19:Y19" si="12">SUM(X20:X26)</f>
        <v>8886.383327360465</v>
      </c>
      <c r="Y19" s="139">
        <f t="shared" si="12"/>
        <v>8553.4806024079971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242.15065886655452</v>
      </c>
      <c r="D20" s="140">
        <v>244.26559614721475</v>
      </c>
      <c r="E20" s="140">
        <v>415.9643373948216</v>
      </c>
      <c r="F20" s="140">
        <v>114.64579594593555</v>
      </c>
      <c r="G20" s="140">
        <v>50.054238200012627</v>
      </c>
      <c r="H20" s="140">
        <v>49.94602485372998</v>
      </c>
      <c r="I20" s="140">
        <v>543.80378843604751</v>
      </c>
      <c r="J20" s="140">
        <v>604.78203232617477</v>
      </c>
      <c r="K20" s="140">
        <v>662.04381016801528</v>
      </c>
      <c r="L20" s="140">
        <v>147.8377520027509</v>
      </c>
      <c r="M20" s="140">
        <v>560.50641137714501</v>
      </c>
      <c r="N20" s="140">
        <v>462.62828080179554</v>
      </c>
      <c r="O20" s="140">
        <v>225.38033062337567</v>
      </c>
      <c r="P20" s="140">
        <v>669.41499213880149</v>
      </c>
      <c r="Q20" s="140">
        <v>404.61933201025704</v>
      </c>
      <c r="R20" s="140">
        <v>342.59777420875491</v>
      </c>
      <c r="S20" s="140">
        <v>0</v>
      </c>
      <c r="T20" s="140">
        <v>0</v>
      </c>
      <c r="U20" s="140">
        <v>5.5002142651241721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182.35299173306805</v>
      </c>
      <c r="D21" s="140">
        <v>367.69370641698868</v>
      </c>
      <c r="E21" s="140">
        <v>973.6215066983807</v>
      </c>
      <c r="F21" s="140">
        <v>760.67469303498478</v>
      </c>
      <c r="G21" s="140">
        <v>8.1432248678568033</v>
      </c>
      <c r="H21" s="140">
        <v>115.59356915133219</v>
      </c>
      <c r="I21" s="140">
        <v>0</v>
      </c>
      <c r="J21" s="140">
        <v>138.74105287682443</v>
      </c>
      <c r="K21" s="140">
        <v>333.98737897026376</v>
      </c>
      <c r="L21" s="140">
        <v>238.13832687551042</v>
      </c>
      <c r="M21" s="140">
        <v>1023.3535436382233</v>
      </c>
      <c r="N21" s="140">
        <v>882.40682730269464</v>
      </c>
      <c r="O21" s="140">
        <v>144.61768083379363</v>
      </c>
      <c r="P21" s="140">
        <v>60.861595311190307</v>
      </c>
      <c r="Q21" s="140">
        <v>66.271801262770495</v>
      </c>
      <c r="R21" s="140">
        <v>655.15385540764191</v>
      </c>
      <c r="S21" s="140">
        <v>774.55651616940997</v>
      </c>
      <c r="T21" s="140">
        <v>497.08341207826783</v>
      </c>
      <c r="U21" s="140">
        <v>274.46654356684547</v>
      </c>
      <c r="V21" s="140">
        <v>0</v>
      </c>
      <c r="W21" s="140">
        <v>0</v>
      </c>
      <c r="X21" s="140">
        <v>0</v>
      </c>
      <c r="Y21" s="140">
        <v>0.40132385863924108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36.073684589423337</v>
      </c>
      <c r="D22" s="140">
        <v>83.257481382515351</v>
      </c>
      <c r="E22" s="140">
        <v>234.40142267793004</v>
      </c>
      <c r="F22" s="140">
        <v>361.73198476311308</v>
      </c>
      <c r="G22" s="140">
        <v>345.30842375742151</v>
      </c>
      <c r="H22" s="140">
        <v>623.92907777000141</v>
      </c>
      <c r="I22" s="140">
        <v>732.72040152383806</v>
      </c>
      <c r="J22" s="140">
        <v>786.49259979952478</v>
      </c>
      <c r="K22" s="140">
        <v>665.73078803903786</v>
      </c>
      <c r="L22" s="140">
        <v>146.25765920293478</v>
      </c>
      <c r="M22" s="140">
        <v>480.03792292891734</v>
      </c>
      <c r="N22" s="140">
        <v>370.02422924844922</v>
      </c>
      <c r="O22" s="140">
        <v>165.1531716201421</v>
      </c>
      <c r="P22" s="140">
        <v>239.95031478004759</v>
      </c>
      <c r="Q22" s="140">
        <v>255.70297007953874</v>
      </c>
      <c r="R22" s="140">
        <v>320.0681877309716</v>
      </c>
      <c r="S22" s="140">
        <v>398.6662829012019</v>
      </c>
      <c r="T22" s="140">
        <v>288.67377374992748</v>
      </c>
      <c r="U22" s="140">
        <v>356.40409772225962</v>
      </c>
      <c r="V22" s="140">
        <v>361.6649445875351</v>
      </c>
      <c r="W22" s="140">
        <v>357.13551889211783</v>
      </c>
      <c r="X22" s="140">
        <v>329.72402162955837</v>
      </c>
      <c r="Y22" s="140">
        <v>322.56369753016827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281.06571098720917</v>
      </c>
      <c r="D23" s="140">
        <v>654.30688463535171</v>
      </c>
      <c r="E23" s="140">
        <v>1878.987304390391</v>
      </c>
      <c r="F23" s="140">
        <v>1828.5484175872157</v>
      </c>
      <c r="G23" s="140">
        <v>1500.1349685734688</v>
      </c>
      <c r="H23" s="140">
        <v>1738.8164669033958</v>
      </c>
      <c r="I23" s="140">
        <v>2026.6457184948617</v>
      </c>
      <c r="J23" s="140">
        <v>2433.7953870030265</v>
      </c>
      <c r="K23" s="140">
        <v>2216.4963913260726</v>
      </c>
      <c r="L23" s="140">
        <v>537.01758331088934</v>
      </c>
      <c r="M23" s="140">
        <v>1683.3531001324197</v>
      </c>
      <c r="N23" s="140">
        <v>1237.2224811034537</v>
      </c>
      <c r="O23" s="140">
        <v>592.68380833307026</v>
      </c>
      <c r="P23" s="140">
        <v>1721.5030244173749</v>
      </c>
      <c r="Q23" s="140">
        <v>818.17894797961355</v>
      </c>
      <c r="R23" s="140">
        <v>481.03033872197244</v>
      </c>
      <c r="S23" s="140">
        <v>0</v>
      </c>
      <c r="T23" s="140">
        <v>0</v>
      </c>
      <c r="U23" s="140">
        <v>35.032383779433204</v>
      </c>
      <c r="V23" s="140">
        <v>762.67917574921682</v>
      </c>
      <c r="W23" s="140">
        <v>1185.1268799060551</v>
      </c>
      <c r="X23" s="140">
        <v>991.03986313610437</v>
      </c>
      <c r="Y23" s="140">
        <v>1211.3565686654481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9.8423063491439464</v>
      </c>
      <c r="D24" s="140">
        <v>16.627618069460269</v>
      </c>
      <c r="E24" s="140">
        <v>42.095556403326398</v>
      </c>
      <c r="F24" s="140">
        <v>85.328793881001715</v>
      </c>
      <c r="G24" s="140">
        <v>125.7744141418041</v>
      </c>
      <c r="H24" s="140">
        <v>267.23484132304191</v>
      </c>
      <c r="I24" s="140">
        <v>336.02056526322536</v>
      </c>
      <c r="J24" s="140">
        <v>305.72256042888745</v>
      </c>
      <c r="K24" s="140">
        <v>224.1260387677093</v>
      </c>
      <c r="L24" s="140">
        <v>41.90540927077793</v>
      </c>
      <c r="M24" s="140">
        <v>158.96453079418532</v>
      </c>
      <c r="N24" s="140">
        <v>129.77903382439834</v>
      </c>
      <c r="O24" s="140">
        <v>63.386320623073296</v>
      </c>
      <c r="P24" s="140">
        <v>195.91864839510436</v>
      </c>
      <c r="Q24" s="140">
        <v>189.76329598486649</v>
      </c>
      <c r="R24" s="140">
        <v>226.05057509930808</v>
      </c>
      <c r="S24" s="140">
        <v>187.66840580164541</v>
      </c>
      <c r="T24" s="140">
        <v>172.94033834871775</v>
      </c>
      <c r="U24" s="140">
        <v>287.24595339897132</v>
      </c>
      <c r="V24" s="140">
        <v>311.16042194847898</v>
      </c>
      <c r="W24" s="140">
        <v>193.61269244988841</v>
      </c>
      <c r="X24" s="140">
        <v>0.58701032653512075</v>
      </c>
      <c r="Y24" s="140">
        <v>0.43397871637353441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284.06436498056468</v>
      </c>
      <c r="D25" s="140">
        <v>606.15606765898565</v>
      </c>
      <c r="E25" s="140">
        <v>1986.1120679625913</v>
      </c>
      <c r="F25" s="140">
        <v>3312.5786258518565</v>
      </c>
      <c r="G25" s="140">
        <v>2446.7912521176868</v>
      </c>
      <c r="H25" s="140">
        <v>2780.2016963122278</v>
      </c>
      <c r="I25" s="140">
        <v>2383.2454949905346</v>
      </c>
      <c r="J25" s="140">
        <v>2350.8411350980141</v>
      </c>
      <c r="K25" s="140">
        <v>1964.2467515127687</v>
      </c>
      <c r="L25" s="140">
        <v>395.75089935639886</v>
      </c>
      <c r="M25" s="140">
        <v>1580.5443244616376</v>
      </c>
      <c r="N25" s="140">
        <v>1376.4948275099621</v>
      </c>
      <c r="O25" s="140">
        <v>680.21804818390683</v>
      </c>
      <c r="P25" s="140">
        <v>1284.8290233237526</v>
      </c>
      <c r="Q25" s="140">
        <v>1608.6208531293628</v>
      </c>
      <c r="R25" s="140">
        <v>2249.5844235305981</v>
      </c>
      <c r="S25" s="140">
        <v>2356.0313852634386</v>
      </c>
      <c r="T25" s="140">
        <v>1959.2553676981988</v>
      </c>
      <c r="U25" s="140">
        <v>1422.5273332186264</v>
      </c>
      <c r="V25" s="140">
        <v>1293.4320774228213</v>
      </c>
      <c r="W25" s="140">
        <v>939.46050979875099</v>
      </c>
      <c r="X25" s="140">
        <v>753.11731208255901</v>
      </c>
      <c r="Y25" s="140">
        <v>600.56791638223797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232.28004391851508</v>
      </c>
      <c r="D26" s="141">
        <v>180.89932166602608</v>
      </c>
      <c r="E26" s="141">
        <v>1297.6268570261875</v>
      </c>
      <c r="F26" s="141">
        <v>3944.4651335258554</v>
      </c>
      <c r="G26" s="141">
        <v>4226.7521178273073</v>
      </c>
      <c r="H26" s="141">
        <v>8807.4702266748154</v>
      </c>
      <c r="I26" s="141">
        <v>9906.2695163937369</v>
      </c>
      <c r="J26" s="141">
        <v>8851.9640774875297</v>
      </c>
      <c r="K26" s="141">
        <v>6938.2668957298583</v>
      </c>
      <c r="L26" s="141">
        <v>643.71826305380148</v>
      </c>
      <c r="M26" s="141">
        <v>6207.0217752073268</v>
      </c>
      <c r="N26" s="141">
        <v>5278.3590891877557</v>
      </c>
      <c r="O26" s="141">
        <v>2325.8280829694686</v>
      </c>
      <c r="P26" s="141">
        <v>6586.6847677741271</v>
      </c>
      <c r="Q26" s="141">
        <v>3573.9375282535689</v>
      </c>
      <c r="R26" s="141">
        <v>4511.0930651316303</v>
      </c>
      <c r="S26" s="141">
        <v>7255.412479207127</v>
      </c>
      <c r="T26" s="141">
        <v>7993.653333116592</v>
      </c>
      <c r="U26" s="141">
        <v>7832.452966731601</v>
      </c>
      <c r="V26" s="141">
        <v>6705.2507063147996</v>
      </c>
      <c r="W26" s="141">
        <v>6385.0179420374552</v>
      </c>
      <c r="X26" s="141">
        <v>6811.9151201857094</v>
      </c>
      <c r="Y26" s="141">
        <v>6418.1571172551303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41.454599332730169</v>
      </c>
      <c r="E27" s="150">
        <v>0</v>
      </c>
      <c r="F27" s="150">
        <v>122.92258135515252</v>
      </c>
      <c r="G27" s="150">
        <v>80.34932017232012</v>
      </c>
      <c r="H27" s="150">
        <v>185.21088466840786</v>
      </c>
      <c r="I27" s="150">
        <v>124.08280876543799</v>
      </c>
      <c r="J27" s="150">
        <v>1397.118379437243</v>
      </c>
      <c r="K27" s="150">
        <v>998.01708262805255</v>
      </c>
      <c r="L27" s="150">
        <v>614.89014118512</v>
      </c>
      <c r="M27" s="150">
        <v>1035.1662763136981</v>
      </c>
      <c r="N27" s="150">
        <v>771.53237335001177</v>
      </c>
      <c r="O27" s="150">
        <v>489.07498544506757</v>
      </c>
      <c r="P27" s="150">
        <v>663.47890636303896</v>
      </c>
      <c r="Q27" s="150">
        <v>1043.5721420091479</v>
      </c>
      <c r="R27" s="150">
        <v>482.02076375095493</v>
      </c>
      <c r="S27" s="150">
        <v>267.35837303022464</v>
      </c>
      <c r="T27" s="150">
        <v>1993.1298765422362</v>
      </c>
      <c r="U27" s="150">
        <v>1.6706830033087758E-12</v>
      </c>
      <c r="V27" s="150">
        <v>227.86999801212025</v>
      </c>
      <c r="W27" s="150">
        <v>2.4892897976166881E-2</v>
      </c>
      <c r="X27" s="150">
        <v>6.5020517245578764E-3</v>
      </c>
      <c r="Y27" s="150">
        <v>8.1979199308431986E-13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1267.8297614244789</v>
      </c>
      <c r="D29" s="139">
        <f t="shared" si="13"/>
        <v>2153.206675976543</v>
      </c>
      <c r="E29" s="139">
        <f t="shared" si="13"/>
        <v>6828.8090525536281</v>
      </c>
      <c r="F29" s="139">
        <f t="shared" si="13"/>
        <v>10407.973444589961</v>
      </c>
      <c r="G29" s="139">
        <f t="shared" si="13"/>
        <v>8702.9586394855578</v>
      </c>
      <c r="H29" s="139">
        <f t="shared" si="13"/>
        <v>14383.19190298855</v>
      </c>
      <c r="I29" s="139">
        <f t="shared" si="13"/>
        <v>15928.705485102244</v>
      </c>
      <c r="J29" s="139">
        <f t="shared" si="13"/>
        <v>15472.33884501998</v>
      </c>
      <c r="K29" s="139">
        <f t="shared" si="13"/>
        <v>13004.898054513724</v>
      </c>
      <c r="L29" s="139">
        <f t="shared" si="13"/>
        <v>2150.6258930730637</v>
      </c>
      <c r="M29" s="139">
        <f t="shared" si="13"/>
        <v>11693.781608539855</v>
      </c>
      <c r="N29" s="139">
        <f t="shared" si="13"/>
        <v>9736.9147689785077</v>
      </c>
      <c r="O29" s="139">
        <f t="shared" si="13"/>
        <v>4197.26744318683</v>
      </c>
      <c r="P29" s="139">
        <f t="shared" si="13"/>
        <v>10759.162366140399</v>
      </c>
      <c r="Q29" s="139">
        <f t="shared" si="13"/>
        <v>6917.0947286999781</v>
      </c>
      <c r="R29" s="139">
        <f t="shared" ref="R29:W29" si="14">SUM(R30:R33)</f>
        <v>8785.5782198308771</v>
      </c>
      <c r="S29" s="139">
        <f t="shared" si="14"/>
        <v>10972.335069342822</v>
      </c>
      <c r="T29" s="139">
        <f t="shared" si="14"/>
        <v>10911.606224991705</v>
      </c>
      <c r="U29" s="139">
        <f t="shared" si="14"/>
        <v>10213.629492682863</v>
      </c>
      <c r="V29" s="139">
        <f t="shared" si="14"/>
        <v>9434.1873260228531</v>
      </c>
      <c r="W29" s="139">
        <f t="shared" si="14"/>
        <v>9060.3535430842676</v>
      </c>
      <c r="X29" s="139">
        <f t="shared" ref="X29:Y29" si="15">SUM(X30:X33)</f>
        <v>8886.383327360465</v>
      </c>
      <c r="Y29" s="139">
        <f t="shared" si="15"/>
        <v>8553.4806024079971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119.14411934279653</v>
      </c>
      <c r="D30" s="140">
        <v>238.47307559057865</v>
      </c>
      <c r="E30" s="140">
        <v>722.11490345456184</v>
      </c>
      <c r="F30" s="140">
        <v>609.69055786189426</v>
      </c>
      <c r="G30" s="140">
        <v>442.84867708258952</v>
      </c>
      <c r="H30" s="140">
        <v>462.67289436586378</v>
      </c>
      <c r="I30" s="140">
        <v>99.02339624361376</v>
      </c>
      <c r="J30" s="140">
        <v>0</v>
      </c>
      <c r="K30" s="140">
        <v>0</v>
      </c>
      <c r="L30" s="140">
        <v>0</v>
      </c>
      <c r="M30" s="140">
        <v>0</v>
      </c>
      <c r="N30" s="140">
        <v>152.7625616909969</v>
      </c>
      <c r="O30" s="140">
        <v>218.75461435493241</v>
      </c>
      <c r="P30" s="140">
        <v>483.70614248701378</v>
      </c>
      <c r="Q30" s="140">
        <v>391.54493982156004</v>
      </c>
      <c r="R30" s="140">
        <v>387.07121282633881</v>
      </c>
      <c r="S30" s="140">
        <v>392.44317124060683</v>
      </c>
      <c r="T30" s="140">
        <v>165.43451035017071</v>
      </c>
      <c r="U30" s="140">
        <v>87.330627646840227</v>
      </c>
      <c r="V30" s="140">
        <v>1.0689154215061585</v>
      </c>
      <c r="W30" s="140">
        <v>0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278.76194368553126</v>
      </c>
      <c r="D31" s="140">
        <v>459.58091615884291</v>
      </c>
      <c r="E31" s="140">
        <v>1375.7524104574534</v>
      </c>
      <c r="F31" s="140">
        <v>2065.2816709675362</v>
      </c>
      <c r="G31" s="140">
        <v>1988.0463114917684</v>
      </c>
      <c r="H31" s="140">
        <v>2708.5662155731961</v>
      </c>
      <c r="I31" s="140">
        <v>2648.5528764871974</v>
      </c>
      <c r="J31" s="140">
        <v>2450.1181715417661</v>
      </c>
      <c r="K31" s="140">
        <v>2497.9477811837319</v>
      </c>
      <c r="L31" s="140">
        <v>632.00713738701199</v>
      </c>
      <c r="M31" s="140">
        <v>4410.0934444369814</v>
      </c>
      <c r="N31" s="140">
        <v>3488.2330121059581</v>
      </c>
      <c r="O31" s="140">
        <v>1280.5377948005582</v>
      </c>
      <c r="P31" s="140">
        <v>2156.7327821543613</v>
      </c>
      <c r="Q31" s="140">
        <v>1304.8601209619885</v>
      </c>
      <c r="R31" s="140">
        <v>1248.2457993887767</v>
      </c>
      <c r="S31" s="140">
        <v>1527.827763138253</v>
      </c>
      <c r="T31" s="140">
        <v>1402.3485353975439</v>
      </c>
      <c r="U31" s="140">
        <v>2195.7497993519619</v>
      </c>
      <c r="V31" s="140">
        <v>2363.8800854226338</v>
      </c>
      <c r="W31" s="140">
        <v>3964.3014510315502</v>
      </c>
      <c r="X31" s="140">
        <v>3230.4754014981304</v>
      </c>
      <c r="Y31" s="140">
        <v>2331.5845127340044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869.92369839615105</v>
      </c>
      <c r="D33" s="152">
        <v>1455.1526842271212</v>
      </c>
      <c r="E33" s="152">
        <v>4730.9417386416135</v>
      </c>
      <c r="F33" s="152">
        <v>7733.0012157605306</v>
      </c>
      <c r="G33" s="152">
        <v>6272.063650911201</v>
      </c>
      <c r="H33" s="152">
        <v>11211.95279304949</v>
      </c>
      <c r="I33" s="152">
        <v>13181.129212371432</v>
      </c>
      <c r="J33" s="152">
        <v>13022.220673478214</v>
      </c>
      <c r="K33" s="152">
        <v>10506.950273329992</v>
      </c>
      <c r="L33" s="152">
        <v>1518.6187556860518</v>
      </c>
      <c r="M33" s="152">
        <v>7283.6881641028731</v>
      </c>
      <c r="N33" s="152">
        <v>6095.9191951815528</v>
      </c>
      <c r="O33" s="152">
        <v>2697.9750340313394</v>
      </c>
      <c r="P33" s="152">
        <v>8118.7234414990235</v>
      </c>
      <c r="Q33" s="152">
        <v>5220.6896679164292</v>
      </c>
      <c r="R33" s="152">
        <v>7150.261207615762</v>
      </c>
      <c r="S33" s="152">
        <v>9052.0641349639627</v>
      </c>
      <c r="T33" s="152">
        <v>9343.823179243991</v>
      </c>
      <c r="U33" s="152">
        <v>7930.5490656840611</v>
      </c>
      <c r="V33" s="152">
        <v>7069.2383251787123</v>
      </c>
      <c r="W33" s="152">
        <v>5096.0520920527179</v>
      </c>
      <c r="X33" s="152">
        <v>5655.9079258623351</v>
      </c>
      <c r="Y33" s="152">
        <v>6221.8960896739927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16.991397140338183</v>
      </c>
      <c r="D3" s="125">
        <f t="shared" si="0"/>
        <v>33.430037173473274</v>
      </c>
      <c r="E3" s="125">
        <f t="shared" si="0"/>
        <v>100.40552071478834</v>
      </c>
      <c r="F3" s="125">
        <f t="shared" si="0"/>
        <v>151.68014238634069</v>
      </c>
      <c r="G3" s="125">
        <f t="shared" si="0"/>
        <v>117.55845289845955</v>
      </c>
      <c r="H3" s="125">
        <f t="shared" si="0"/>
        <v>220.15378729600778</v>
      </c>
      <c r="I3" s="125">
        <f t="shared" si="0"/>
        <v>217.41196780999633</v>
      </c>
      <c r="J3" s="125">
        <f t="shared" si="0"/>
        <v>227.40105481801419</v>
      </c>
      <c r="K3" s="125">
        <f t="shared" si="0"/>
        <v>187.59290845889035</v>
      </c>
      <c r="L3" s="125">
        <f t="shared" si="0"/>
        <v>33.401005567739297</v>
      </c>
      <c r="M3" s="125">
        <f t="shared" si="0"/>
        <v>164.73117996433021</v>
      </c>
      <c r="N3" s="125">
        <f t="shared" si="0"/>
        <v>128.39471579335881</v>
      </c>
      <c r="O3" s="125">
        <f t="shared" si="0"/>
        <v>51.026874292830605</v>
      </c>
      <c r="P3" s="125">
        <f t="shared" si="0"/>
        <v>113.5257448591004</v>
      </c>
      <c r="Q3" s="125">
        <f t="shared" si="0"/>
        <v>70.713775346248397</v>
      </c>
      <c r="R3" s="125">
        <f t="shared" ref="R3:W3" si="1">SUM(R4,R16,R19,R29)</f>
        <v>91.452444503229884</v>
      </c>
      <c r="S3" s="125">
        <f t="shared" si="1"/>
        <v>103.03975462632148</v>
      </c>
      <c r="T3" s="125">
        <f t="shared" si="1"/>
        <v>95.096027895565172</v>
      </c>
      <c r="U3" s="125">
        <f t="shared" si="1"/>
        <v>84.181117874403185</v>
      </c>
      <c r="V3" s="125">
        <f t="shared" si="1"/>
        <v>70.257927184727237</v>
      </c>
      <c r="W3" s="125">
        <f t="shared" si="1"/>
        <v>68.712480283468437</v>
      </c>
      <c r="X3" s="125">
        <f t="shared" ref="X3:Y3" si="2">SUM(X4,X16,X19,X29)</f>
        <v>61.246508973534276</v>
      </c>
      <c r="Y3" s="125">
        <f t="shared" si="2"/>
        <v>59.016199875957952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12.31473469679047</v>
      </c>
      <c r="D4" s="130">
        <f t="shared" si="3"/>
        <v>24.880722074766322</v>
      </c>
      <c r="E4" s="130">
        <f t="shared" si="3"/>
        <v>73.842381442066454</v>
      </c>
      <c r="F4" s="130">
        <f t="shared" si="3"/>
        <v>112.51286061742701</v>
      </c>
      <c r="G4" s="130">
        <f t="shared" si="3"/>
        <v>83.452603650919229</v>
      </c>
      <c r="H4" s="130">
        <f t="shared" si="3"/>
        <v>164.34155313508492</v>
      </c>
      <c r="I4" s="130">
        <f t="shared" si="3"/>
        <v>152.77502038945258</v>
      </c>
      <c r="J4" s="130">
        <f t="shared" si="3"/>
        <v>164.05991732602172</v>
      </c>
      <c r="K4" s="130">
        <f t="shared" si="3"/>
        <v>134.85224295992143</v>
      </c>
      <c r="L4" s="130">
        <f t="shared" si="3"/>
        <v>23.731031522529481</v>
      </c>
      <c r="M4" s="130">
        <f t="shared" si="3"/>
        <v>115.2113830070475</v>
      </c>
      <c r="N4" s="130">
        <f t="shared" si="3"/>
        <v>86.432275860938404</v>
      </c>
      <c r="O4" s="130">
        <f t="shared" si="3"/>
        <v>32.788581332845588</v>
      </c>
      <c r="P4" s="130">
        <f t="shared" si="3"/>
        <v>70.06231612247548</v>
      </c>
      <c r="Q4" s="130">
        <f t="shared" si="3"/>
        <v>41.951806688271361</v>
      </c>
      <c r="R4" s="130">
        <f t="shared" ref="R4:W4" si="4">SUM(R5:R15)</f>
        <v>56.696234808176328</v>
      </c>
      <c r="S4" s="130">
        <f t="shared" si="4"/>
        <v>62.081721661887102</v>
      </c>
      <c r="T4" s="130">
        <f t="shared" si="4"/>
        <v>55.323617284220383</v>
      </c>
      <c r="U4" s="130">
        <f t="shared" si="4"/>
        <v>46.632272241322305</v>
      </c>
      <c r="V4" s="130">
        <f t="shared" si="4"/>
        <v>38.536977790524915</v>
      </c>
      <c r="W4" s="130">
        <f t="shared" si="4"/>
        <v>35.849512224025951</v>
      </c>
      <c r="X4" s="130">
        <f t="shared" ref="X4:Y4" si="5">SUM(X5:X15)</f>
        <v>29.868432871373486</v>
      </c>
      <c r="Y4" s="130">
        <f t="shared" si="5"/>
        <v>29.369263731887301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1.695927851836236</v>
      </c>
      <c r="D5" s="132">
        <v>5.1952509460056309</v>
      </c>
      <c r="E5" s="132">
        <v>14.504773154173172</v>
      </c>
      <c r="F5" s="132">
        <v>15.563720988164027</v>
      </c>
      <c r="G5" s="132">
        <v>12.177729722455007</v>
      </c>
      <c r="H5" s="132">
        <v>21.030009866747147</v>
      </c>
      <c r="I5" s="132">
        <v>21.719477835654779</v>
      </c>
      <c r="J5" s="132">
        <v>20.725098211767268</v>
      </c>
      <c r="K5" s="132">
        <v>24.282205159321265</v>
      </c>
      <c r="L5" s="132">
        <v>4.7926733093210396</v>
      </c>
      <c r="M5" s="132">
        <v>16.33203059742543</v>
      </c>
      <c r="N5" s="132">
        <v>13.371401741312498</v>
      </c>
      <c r="O5" s="132">
        <v>5.219456263976789</v>
      </c>
      <c r="P5" s="132">
        <v>5.3145748446421548</v>
      </c>
      <c r="Q5" s="132">
        <v>4.3815268011742576</v>
      </c>
      <c r="R5" s="132">
        <v>5.2678402678080714</v>
      </c>
      <c r="S5" s="132">
        <v>8.7309489170924586</v>
      </c>
      <c r="T5" s="132">
        <v>4.7566970896238878</v>
      </c>
      <c r="U5" s="132">
        <v>2.6417084733157155</v>
      </c>
      <c r="V5" s="132">
        <v>2.2179524662329504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1.5653207006396268</v>
      </c>
      <c r="D7" s="132">
        <v>1.9087228511184418</v>
      </c>
      <c r="E7" s="132">
        <v>0.94571414000278808</v>
      </c>
      <c r="F7" s="132">
        <v>0.83957709607542585</v>
      </c>
      <c r="G7" s="132">
        <v>7.6708442801828367</v>
      </c>
      <c r="H7" s="132">
        <v>38.878384809528228</v>
      </c>
      <c r="I7" s="132">
        <v>30.281294486887212</v>
      </c>
      <c r="J7" s="132">
        <v>14.617641410486193</v>
      </c>
      <c r="K7" s="132">
        <v>10.863248090682738</v>
      </c>
      <c r="L7" s="132">
        <v>2.7217401913131338</v>
      </c>
      <c r="M7" s="132">
        <v>6.0669261598920716</v>
      </c>
      <c r="N7" s="132">
        <v>0</v>
      </c>
      <c r="O7" s="132">
        <v>0</v>
      </c>
      <c r="P7" s="132">
        <v>0</v>
      </c>
      <c r="Q7" s="132">
        <v>1.5391956694400999</v>
      </c>
      <c r="R7" s="132">
        <v>3.5518845953165066</v>
      </c>
      <c r="S7" s="132">
        <v>6.4208174373692382</v>
      </c>
      <c r="T7" s="132">
        <v>6.1240204517674641</v>
      </c>
      <c r="U7" s="132">
        <v>3.5404667798811138</v>
      </c>
      <c r="V7" s="132">
        <v>3.5779659058312778</v>
      </c>
      <c r="W7" s="132">
        <v>2.1871809738450141</v>
      </c>
      <c r="X7" s="132">
        <v>1.22432140190993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2.6698970215124185E-4</v>
      </c>
      <c r="D8" s="132">
        <v>4.318162471841821E-4</v>
      </c>
      <c r="E8" s="132">
        <v>1.9283633470367281E-3</v>
      </c>
      <c r="F8" s="132">
        <v>2.0009619374900152E-3</v>
      </c>
      <c r="G8" s="132">
        <v>2.1803402737122024E-3</v>
      </c>
      <c r="H8" s="132">
        <v>2.226564281451248E-3</v>
      </c>
      <c r="I8" s="132">
        <v>3.6741610235418473E-3</v>
      </c>
      <c r="J8" s="132">
        <v>1.7841890324583091E-3</v>
      </c>
      <c r="K8" s="132">
        <v>1.6507927581267947E-3</v>
      </c>
      <c r="L8" s="132">
        <v>6.5733571386582501E-5</v>
      </c>
      <c r="M8" s="132">
        <v>9.3552024650791262E-4</v>
      </c>
      <c r="N8" s="132">
        <v>1.7266001771783551E-3</v>
      </c>
      <c r="O8" s="132">
        <v>1.0323508763183011E-3</v>
      </c>
      <c r="P8" s="132">
        <v>4.5455370227100739E-3</v>
      </c>
      <c r="Q8" s="132">
        <v>1.7353020298160999E-3</v>
      </c>
      <c r="R8" s="132">
        <v>8.92452879484623E-4</v>
      </c>
      <c r="S8" s="132">
        <v>9.0591237794986328E-4</v>
      </c>
      <c r="T8" s="132">
        <v>1.1746984689230042E-3</v>
      </c>
      <c r="U8" s="132">
        <v>1.5106530621651288E-3</v>
      </c>
      <c r="V8" s="132">
        <v>1.6377052061605677E-3</v>
      </c>
      <c r="W8" s="132">
        <v>1.664169603130855E-3</v>
      </c>
      <c r="X8" s="132">
        <v>1.4752408225862123E-3</v>
      </c>
      <c r="Y8" s="132">
        <v>1.5976155982211848E-3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5.9623139053076608</v>
      </c>
      <c r="D9" s="132">
        <v>11.832133870400313</v>
      </c>
      <c r="E9" s="132">
        <v>40.732563270163716</v>
      </c>
      <c r="F9" s="132">
        <v>37.28589031828497</v>
      </c>
      <c r="G9" s="132">
        <v>13.31889685978331</v>
      </c>
      <c r="H9" s="132">
        <v>18.083054603159489</v>
      </c>
      <c r="I9" s="132">
        <v>40.941323484007036</v>
      </c>
      <c r="J9" s="132">
        <v>60.714594789070588</v>
      </c>
      <c r="K9" s="132">
        <v>53.457372267797012</v>
      </c>
      <c r="L9" s="132">
        <v>3.365356645583784</v>
      </c>
      <c r="M9" s="132">
        <v>45.076573229683561</v>
      </c>
      <c r="N9" s="132">
        <v>31.940869626719294</v>
      </c>
      <c r="O9" s="132">
        <v>8.8567089784072657</v>
      </c>
      <c r="P9" s="132">
        <v>28.059198321860539</v>
      </c>
      <c r="Q9" s="132">
        <v>15.796639259875587</v>
      </c>
      <c r="R9" s="132">
        <v>13.595452115447131</v>
      </c>
      <c r="S9" s="132">
        <v>5.0488212416659364</v>
      </c>
      <c r="T9" s="132">
        <v>5.6676244369279312</v>
      </c>
      <c r="U9" s="132">
        <v>9.8842065023137717</v>
      </c>
      <c r="V9" s="132">
        <v>8.8908895477346697</v>
      </c>
      <c r="W9" s="132">
        <v>12.821379289935878</v>
      </c>
      <c r="X9" s="132">
        <v>11.539603152692711</v>
      </c>
      <c r="Y9" s="132">
        <v>6.9640747369852756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0.9426456056670055</v>
      </c>
      <c r="I10" s="132">
        <v>5.4512866291903714</v>
      </c>
      <c r="J10" s="132">
        <v>5.6348294490733535</v>
      </c>
      <c r="K10" s="132">
        <v>11.766853324920934</v>
      </c>
      <c r="L10" s="132">
        <v>1.7788565716355718</v>
      </c>
      <c r="M10" s="132">
        <v>7.0492486785359834</v>
      </c>
      <c r="N10" s="132">
        <v>3.2766085534552536</v>
      </c>
      <c r="O10" s="132">
        <v>2.468293217296706</v>
      </c>
      <c r="P10" s="132">
        <v>1.7471282358950289</v>
      </c>
      <c r="Q10" s="132">
        <v>2.0649255592673437</v>
      </c>
      <c r="R10" s="132">
        <v>1.5747888011740072</v>
      </c>
      <c r="S10" s="132">
        <v>2.2145044900480779</v>
      </c>
      <c r="T10" s="132">
        <v>1.3991676324589482</v>
      </c>
      <c r="U10" s="132">
        <v>1.3300791286987954</v>
      </c>
      <c r="V10" s="132">
        <v>1.2758285560428395</v>
      </c>
      <c r="W10" s="132">
        <v>0.9204081791377533</v>
      </c>
      <c r="X10" s="132">
        <v>0.71200712748456318</v>
      </c>
      <c r="Y10" s="132">
        <v>0.99507350276913875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4.1440288394952339E-3</v>
      </c>
      <c r="D11" s="132">
        <v>3.0791227055956875E-2</v>
      </c>
      <c r="E11" s="132">
        <v>0.10063035129223687</v>
      </c>
      <c r="F11" s="132">
        <v>9.3133901412971939E-2</v>
      </c>
      <c r="G11" s="132">
        <v>8.4644503194240966E-2</v>
      </c>
      <c r="H11" s="132">
        <v>8.5490188655783145E-2</v>
      </c>
      <c r="I11" s="132">
        <v>8.5439745545214787E-2</v>
      </c>
      <c r="J11" s="132">
        <v>0.13813011878558332</v>
      </c>
      <c r="K11" s="132">
        <v>6.9752401869656533E-2</v>
      </c>
      <c r="L11" s="132">
        <v>1.4505294758779194E-3</v>
      </c>
      <c r="M11" s="132">
        <v>6.7463486413027254E-2</v>
      </c>
      <c r="N11" s="132">
        <v>0.17097770499045425</v>
      </c>
      <c r="O11" s="132">
        <v>0.13012243889353828</v>
      </c>
      <c r="P11" s="132">
        <v>0.31330811514323714</v>
      </c>
      <c r="Q11" s="132">
        <v>9.0681173788006469E-2</v>
      </c>
      <c r="R11" s="132">
        <v>2.8971250694469462E-2</v>
      </c>
      <c r="S11" s="132">
        <v>9.3940195795293474E-2</v>
      </c>
      <c r="T11" s="132">
        <v>0.11262906438880045</v>
      </c>
      <c r="U11" s="132">
        <v>9.9676045408202921E-2</v>
      </c>
      <c r="V11" s="132">
        <v>7.3554054546564107E-2</v>
      </c>
      <c r="W11" s="132">
        <v>6.771675555695858E-2</v>
      </c>
      <c r="X11" s="132">
        <v>5.939333387277531E-2</v>
      </c>
      <c r="Y11" s="132">
        <v>6.4314918198837986E-2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2.9791780643678631</v>
      </c>
      <c r="D12" s="132">
        <v>5.7032668188479558</v>
      </c>
      <c r="E12" s="132">
        <v>16.877186490501536</v>
      </c>
      <c r="F12" s="132">
        <v>57.870846311757433</v>
      </c>
      <c r="G12" s="132">
        <v>20.340864832356917</v>
      </c>
      <c r="H12" s="132">
        <v>36.707371050097301</v>
      </c>
      <c r="I12" s="132">
        <v>20.887419063553338</v>
      </c>
      <c r="J12" s="132">
        <v>26.181081903136945</v>
      </c>
      <c r="K12" s="132">
        <v>14.640642489651798</v>
      </c>
      <c r="L12" s="132">
        <v>3.1112546984688478</v>
      </c>
      <c r="M12" s="132">
        <v>12.199536909541225</v>
      </c>
      <c r="N12" s="132">
        <v>17.234935680604565</v>
      </c>
      <c r="O12" s="132">
        <v>10.821706628608126</v>
      </c>
      <c r="P12" s="132">
        <v>15.14586512586329</v>
      </c>
      <c r="Q12" s="132">
        <v>10.918688310212612</v>
      </c>
      <c r="R12" s="132">
        <v>17.827630588540288</v>
      </c>
      <c r="S12" s="132">
        <v>24.821350034971701</v>
      </c>
      <c r="T12" s="132">
        <v>14.805708801739113</v>
      </c>
      <c r="U12" s="132">
        <v>13.079877477684905</v>
      </c>
      <c r="V12" s="132">
        <v>8.8638694102010067</v>
      </c>
      <c r="W12" s="132">
        <v>4.4273862456539144</v>
      </c>
      <c r="X12" s="132">
        <v>3.7635449869805693</v>
      </c>
      <c r="Y12" s="132">
        <v>1.8518365844701457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6.8057068079612482E-3</v>
      </c>
      <c r="D13" s="132">
        <v>1.427286806952747E-2</v>
      </c>
      <c r="E13" s="132">
        <v>9.7517237637858717E-2</v>
      </c>
      <c r="F13" s="132">
        <v>0.15760940219870237</v>
      </c>
      <c r="G13" s="132">
        <v>0.22427367607763912</v>
      </c>
      <c r="H13" s="132">
        <v>0.3003678158863467</v>
      </c>
      <c r="I13" s="132">
        <v>0.35595199729988153</v>
      </c>
      <c r="J13" s="132">
        <v>0.18858398134397386</v>
      </c>
      <c r="K13" s="132">
        <v>0.15394189298005695</v>
      </c>
      <c r="L13" s="132">
        <v>1.4416553744911206E-2</v>
      </c>
      <c r="M13" s="132">
        <v>0.12465913531096502</v>
      </c>
      <c r="N13" s="132">
        <v>0.15438803333879206</v>
      </c>
      <c r="O13" s="132">
        <v>9.4388042320049867E-2</v>
      </c>
      <c r="P13" s="132">
        <v>0.46093845718177312</v>
      </c>
      <c r="Q13" s="132">
        <v>0.20582807554486149</v>
      </c>
      <c r="R13" s="132">
        <v>0.11992193103467895</v>
      </c>
      <c r="S13" s="132">
        <v>0.13625659185894792</v>
      </c>
      <c r="T13" s="132">
        <v>0.12904852895844973</v>
      </c>
      <c r="U13" s="132">
        <v>0.13146432533022612</v>
      </c>
      <c r="V13" s="132">
        <v>0.11641659835213843</v>
      </c>
      <c r="W13" s="132">
        <v>0.10061205786231654</v>
      </c>
      <c r="X13" s="132">
        <v>0.102765001754791</v>
      </c>
      <c r="Y13" s="132">
        <v>9.9685415041293121E-2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29.277796758129188</v>
      </c>
      <c r="H14" s="65">
        <v>47.497858042811259</v>
      </c>
      <c r="I14" s="65">
        <v>32.122026979659964</v>
      </c>
      <c r="J14" s="65">
        <v>34.870020863233634</v>
      </c>
      <c r="K14" s="65">
        <v>18.73052633998611</v>
      </c>
      <c r="L14" s="65">
        <v>7.8392394488215604</v>
      </c>
      <c r="M14" s="65">
        <v>27.608175058533504</v>
      </c>
      <c r="N14" s="65">
        <v>19.795910170374796</v>
      </c>
      <c r="O14" s="65">
        <v>5.0216156519180712</v>
      </c>
      <c r="P14" s="65">
        <v>18.603098863530981</v>
      </c>
      <c r="Q14" s="65">
        <v>6.674719045971468</v>
      </c>
      <c r="R14" s="65">
        <v>14.4249136057573</v>
      </c>
      <c r="S14" s="65">
        <v>14.332988908643873</v>
      </c>
      <c r="T14" s="65">
        <v>22.102227678185304</v>
      </c>
      <c r="U14" s="65">
        <v>15.692296575342263</v>
      </c>
      <c r="V14" s="65">
        <v>13.316226477923248</v>
      </c>
      <c r="W14" s="65">
        <v>15.116320843045512</v>
      </c>
      <c r="X14" s="65">
        <v>12.288125223780959</v>
      </c>
      <c r="Y14" s="65">
        <v>19.292530450944025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0.10077744928947677</v>
      </c>
      <c r="D15" s="134">
        <v>0.19585167702130912</v>
      </c>
      <c r="E15" s="134">
        <v>0.58206843494811578</v>
      </c>
      <c r="F15" s="134">
        <v>0.70008163759599928</v>
      </c>
      <c r="G15" s="134">
        <v>0.35537267846637444</v>
      </c>
      <c r="H15" s="134">
        <v>0.81414458825089819</v>
      </c>
      <c r="I15" s="134">
        <v>0.92712600663123823</v>
      </c>
      <c r="J15" s="134">
        <v>0.98815241009172006</v>
      </c>
      <c r="K15" s="134">
        <v>0.88605019995374978</v>
      </c>
      <c r="L15" s="134">
        <v>0.10597784059336604</v>
      </c>
      <c r="M15" s="134">
        <v>0.68583423146522793</v>
      </c>
      <c r="N15" s="134">
        <v>0.48545774996555602</v>
      </c>
      <c r="O15" s="134">
        <v>0.17525776054873299</v>
      </c>
      <c r="P15" s="134">
        <v>0.41365862133576775</v>
      </c>
      <c r="Q15" s="134">
        <v>0.27786749096731328</v>
      </c>
      <c r="R15" s="134">
        <v>0.30393919952439058</v>
      </c>
      <c r="S15" s="134">
        <v>0.28118793206362919</v>
      </c>
      <c r="T15" s="134">
        <v>0.22531890170156349</v>
      </c>
      <c r="U15" s="134">
        <v>0.23098628028514562</v>
      </c>
      <c r="V15" s="134">
        <v>0.20263706845406979</v>
      </c>
      <c r="W15" s="134">
        <v>0.20684370938547228</v>
      </c>
      <c r="X15" s="134">
        <v>0.17719740207460105</v>
      </c>
      <c r="Y15" s="134">
        <v>0.10015050788036335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1.1916835222704052</v>
      </c>
      <c r="D16" s="130">
        <f t="shared" si="6"/>
        <v>1.9638355032891408</v>
      </c>
      <c r="E16" s="130">
        <f t="shared" si="6"/>
        <v>3.0677504959343289</v>
      </c>
      <c r="F16" s="130">
        <f t="shared" si="6"/>
        <v>3.7489036137019398</v>
      </c>
      <c r="G16" s="130">
        <f t="shared" si="6"/>
        <v>4.0384224829309856</v>
      </c>
      <c r="H16" s="130">
        <f t="shared" si="6"/>
        <v>5.1179193439948589</v>
      </c>
      <c r="I16" s="130">
        <f t="shared" si="6"/>
        <v>6.0222298982959837</v>
      </c>
      <c r="J16" s="130">
        <f t="shared" si="6"/>
        <v>5.5954543901390359</v>
      </c>
      <c r="K16" s="130">
        <f t="shared" si="6"/>
        <v>4.4007091513219416</v>
      </c>
      <c r="L16" s="130">
        <f t="shared" si="6"/>
        <v>1.5755907869954213</v>
      </c>
      <c r="M16" s="130">
        <f t="shared" si="6"/>
        <v>4.748025035025794</v>
      </c>
      <c r="N16" s="130">
        <f t="shared" si="6"/>
        <v>4.8050633561362712</v>
      </c>
      <c r="O16" s="130">
        <f t="shared" si="6"/>
        <v>2.4701574136806035</v>
      </c>
      <c r="P16" s="130">
        <f t="shared" si="6"/>
        <v>4.5876359525956349</v>
      </c>
      <c r="Q16" s="130">
        <f t="shared" si="6"/>
        <v>4.1814818996020655</v>
      </c>
      <c r="R16" s="130">
        <f t="shared" ref="R16:W16" si="7">SUM(R17:R18)</f>
        <v>4.2653169723183888</v>
      </c>
      <c r="S16" s="130">
        <f t="shared" si="7"/>
        <v>4.411917596220424</v>
      </c>
      <c r="T16" s="130">
        <f t="shared" si="7"/>
        <v>4.6728069978333622</v>
      </c>
      <c r="U16" s="130">
        <f t="shared" si="7"/>
        <v>4.8636740667290503</v>
      </c>
      <c r="V16" s="130">
        <f t="shared" si="7"/>
        <v>4.1470109202392162</v>
      </c>
      <c r="W16" s="130">
        <f t="shared" si="7"/>
        <v>3.9395194497130381</v>
      </c>
      <c r="X16" s="130">
        <f t="shared" ref="X16:Y16" si="8">SUM(X17:X18)</f>
        <v>3.7691487716157352</v>
      </c>
      <c r="Y16" s="130">
        <f t="shared" si="8"/>
        <v>3.8723542092770575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4.5044063255019499E-3</v>
      </c>
      <c r="D17" s="132">
        <v>8.3214035069096009E-3</v>
      </c>
      <c r="E17" s="132">
        <v>1.2876513580133305E-2</v>
      </c>
      <c r="F17" s="132">
        <v>2.0411275008534447E-2</v>
      </c>
      <c r="G17" s="132">
        <v>2.1777696766296047E-2</v>
      </c>
      <c r="H17" s="132">
        <v>2.2611211031347049E-2</v>
      </c>
      <c r="I17" s="132">
        <v>3.5432327678241698E-2</v>
      </c>
      <c r="J17" s="132">
        <v>2.7995121625812285E-2</v>
      </c>
      <c r="K17" s="132">
        <v>2.709289786238914E-2</v>
      </c>
      <c r="L17" s="132">
        <v>7.9810175932322931E-3</v>
      </c>
      <c r="M17" s="132">
        <v>4.5895069796452859E-2</v>
      </c>
      <c r="N17" s="132">
        <v>5.0203978197880347E-2</v>
      </c>
      <c r="O17" s="132">
        <v>4.8042189140666831E-2</v>
      </c>
      <c r="P17" s="132">
        <v>0.12787061710427122</v>
      </c>
      <c r="Q17" s="132">
        <v>9.6385137005775876E-2</v>
      </c>
      <c r="R17" s="132">
        <v>0.26134963856357613</v>
      </c>
      <c r="S17" s="132">
        <v>0.17340746446125388</v>
      </c>
      <c r="T17" s="132">
        <v>0.13921839502317657</v>
      </c>
      <c r="U17" s="132">
        <v>0.12779801337250762</v>
      </c>
      <c r="V17" s="132">
        <v>0.10397595907357227</v>
      </c>
      <c r="W17" s="132">
        <v>8.269745274089936E-2</v>
      </c>
      <c r="X17" s="132">
        <v>9.4768745202682789E-2</v>
      </c>
      <c r="Y17" s="132">
        <v>0.13774819539070657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1.1871791159449032</v>
      </c>
      <c r="D18" s="132">
        <v>1.9555140997822311</v>
      </c>
      <c r="E18" s="132">
        <v>3.0548739823541955</v>
      </c>
      <c r="F18" s="132">
        <v>3.7284923386934055</v>
      </c>
      <c r="G18" s="132">
        <v>4.0166447861646892</v>
      </c>
      <c r="H18" s="132">
        <v>5.0953081329635115</v>
      </c>
      <c r="I18" s="132">
        <v>5.9867975706177416</v>
      </c>
      <c r="J18" s="132">
        <v>5.5674592685132236</v>
      </c>
      <c r="K18" s="132">
        <v>4.3736162534595522</v>
      </c>
      <c r="L18" s="132">
        <v>1.5676097694021891</v>
      </c>
      <c r="M18" s="132">
        <v>4.7021299652293411</v>
      </c>
      <c r="N18" s="132">
        <v>4.7548593779383905</v>
      </c>
      <c r="O18" s="132">
        <v>2.4221152245399367</v>
      </c>
      <c r="P18" s="132">
        <v>4.4597653354913636</v>
      </c>
      <c r="Q18" s="132">
        <v>4.0850967625962893</v>
      </c>
      <c r="R18" s="132">
        <v>4.0039673337548125</v>
      </c>
      <c r="S18" s="132">
        <v>4.2385101317591705</v>
      </c>
      <c r="T18" s="132">
        <v>4.5335886028101857</v>
      </c>
      <c r="U18" s="132">
        <v>4.7358760533565425</v>
      </c>
      <c r="V18" s="132">
        <v>4.0430349611656435</v>
      </c>
      <c r="W18" s="132">
        <v>3.8568219969721387</v>
      </c>
      <c r="X18" s="132">
        <v>3.6743800264130524</v>
      </c>
      <c r="Y18" s="132">
        <v>3.7346060138863511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1.539732303842466</v>
      </c>
      <c r="D19" s="130">
        <f t="shared" si="9"/>
        <v>2.9416289575149976</v>
      </c>
      <c r="E19" s="130">
        <f t="shared" si="9"/>
        <v>10.460974722013864</v>
      </c>
      <c r="F19" s="130">
        <f t="shared" si="9"/>
        <v>15.902376975112986</v>
      </c>
      <c r="G19" s="130">
        <f t="shared" si="9"/>
        <v>13.387970056036639</v>
      </c>
      <c r="H19" s="130">
        <f t="shared" si="9"/>
        <v>23.120402573399399</v>
      </c>
      <c r="I19" s="130">
        <f t="shared" si="9"/>
        <v>27.481179329820996</v>
      </c>
      <c r="J19" s="130">
        <f t="shared" si="9"/>
        <v>27.013847828406522</v>
      </c>
      <c r="K19" s="130">
        <f t="shared" si="9"/>
        <v>22.746095895337035</v>
      </c>
      <c r="L19" s="130">
        <f t="shared" si="9"/>
        <v>3.7189596335096828</v>
      </c>
      <c r="M19" s="130">
        <f t="shared" si="9"/>
        <v>20.208662650392792</v>
      </c>
      <c r="N19" s="130">
        <f t="shared" si="9"/>
        <v>16.828183565166654</v>
      </c>
      <c r="O19" s="130">
        <f t="shared" si="9"/>
        <v>7.123552299562502</v>
      </c>
      <c r="P19" s="130">
        <f t="shared" si="9"/>
        <v>17.662912335557142</v>
      </c>
      <c r="Q19" s="130">
        <f t="shared" si="9"/>
        <v>10.988425329535009</v>
      </c>
      <c r="R19" s="130">
        <f t="shared" ref="R19:W19" si="10">SUM(R20:R27)</f>
        <v>13.852865331990705</v>
      </c>
      <c r="S19" s="130">
        <f t="shared" si="10"/>
        <v>16.667827780900382</v>
      </c>
      <c r="T19" s="130">
        <f t="shared" si="10"/>
        <v>15.778064490124288</v>
      </c>
      <c r="U19" s="130">
        <f t="shared" si="10"/>
        <v>14.551215704047175</v>
      </c>
      <c r="V19" s="130">
        <f t="shared" si="10"/>
        <v>12.065268891022416</v>
      </c>
      <c r="W19" s="130">
        <f t="shared" si="10"/>
        <v>12.278207521957249</v>
      </c>
      <c r="X19" s="130">
        <f t="shared" ref="X19:Y19" si="11">SUM(X20:X27)</f>
        <v>11.820230327791274</v>
      </c>
      <c r="Y19" s="130">
        <f t="shared" si="11"/>
        <v>11.17724619145832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0.32177870085284288</v>
      </c>
      <c r="D20" s="132">
        <v>0.38670746773324732</v>
      </c>
      <c r="E20" s="132">
        <v>0.65528622167166994</v>
      </c>
      <c r="F20" s="132">
        <v>0.18819543617942261</v>
      </c>
      <c r="G20" s="132">
        <v>8.2754107260131299E-2</v>
      </c>
      <c r="H20" s="132">
        <v>7.6094058118218608E-2</v>
      </c>
      <c r="I20" s="132">
        <v>0.98357661243322303</v>
      </c>
      <c r="J20" s="132">
        <v>1.089166638080904</v>
      </c>
      <c r="K20" s="132">
        <v>1.177411041385785</v>
      </c>
      <c r="L20" s="132">
        <v>0.2689898068213083</v>
      </c>
      <c r="M20" s="132">
        <v>1.0029959221989413</v>
      </c>
      <c r="N20" s="132">
        <v>0.82891464259888448</v>
      </c>
      <c r="O20" s="132">
        <v>0.41065344460156539</v>
      </c>
      <c r="P20" s="132">
        <v>1.2060272767394074</v>
      </c>
      <c r="Q20" s="132">
        <v>0.72807708794984249</v>
      </c>
      <c r="R20" s="132">
        <v>0.68928869115634972</v>
      </c>
      <c r="S20" s="132">
        <v>0</v>
      </c>
      <c r="T20" s="132">
        <v>0</v>
      </c>
      <c r="U20" s="132">
        <v>6.8669216703895562E-3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0.26275830654698984</v>
      </c>
      <c r="D21" s="132">
        <v>0.50708772443802019</v>
      </c>
      <c r="E21" s="132">
        <v>2.0301827521285087</v>
      </c>
      <c r="F21" s="132">
        <v>1.3876596921671118</v>
      </c>
      <c r="G21" s="132">
        <v>1.2846033780773371E-2</v>
      </c>
      <c r="H21" s="132">
        <v>0.22974067976524359</v>
      </c>
      <c r="I21" s="132">
        <v>0</v>
      </c>
      <c r="J21" s="132">
        <v>0.25828960282209706</v>
      </c>
      <c r="K21" s="132">
        <v>0.64928640323871956</v>
      </c>
      <c r="L21" s="132">
        <v>0.45255916690862824</v>
      </c>
      <c r="M21" s="132">
        <v>1.9376537443671829</v>
      </c>
      <c r="N21" s="132">
        <v>2.1510426427064511</v>
      </c>
      <c r="O21" s="132">
        <v>0.2320570988831416</v>
      </c>
      <c r="P21" s="132">
        <v>0.11034171928025144</v>
      </c>
      <c r="Q21" s="132">
        <v>0.11121139488547102</v>
      </c>
      <c r="R21" s="132">
        <v>1.1240078993086491</v>
      </c>
      <c r="S21" s="132">
        <v>1.3051741136268269</v>
      </c>
      <c r="T21" s="132">
        <v>0.76629645775994737</v>
      </c>
      <c r="U21" s="132">
        <v>0.47678516358140888</v>
      </c>
      <c r="V21" s="132">
        <v>0</v>
      </c>
      <c r="W21" s="132">
        <v>0</v>
      </c>
      <c r="X21" s="132">
        <v>0</v>
      </c>
      <c r="Y21" s="132">
        <v>5.5730926223274818E-4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5.0040214900436308E-2</v>
      </c>
      <c r="D22" s="132">
        <v>0.13996394590402331</v>
      </c>
      <c r="E22" s="132">
        <v>0.42468749213071344</v>
      </c>
      <c r="F22" s="132">
        <v>0.69546628616261286</v>
      </c>
      <c r="G22" s="132">
        <v>0.64889036009107159</v>
      </c>
      <c r="H22" s="132">
        <v>1.2508290681407339</v>
      </c>
      <c r="I22" s="132">
        <v>1.5617675892391469</v>
      </c>
      <c r="J22" s="132">
        <v>1.7028274910765684</v>
      </c>
      <c r="K22" s="132">
        <v>1.4200471064194149</v>
      </c>
      <c r="L22" s="132">
        <v>0.31286490360639319</v>
      </c>
      <c r="M22" s="132">
        <v>1.011068437696947</v>
      </c>
      <c r="N22" s="132">
        <v>0.75571684055690891</v>
      </c>
      <c r="O22" s="132">
        <v>0.3300729263277023</v>
      </c>
      <c r="P22" s="132">
        <v>0.44846291675156169</v>
      </c>
      <c r="Q22" s="132">
        <v>0.46108987164823595</v>
      </c>
      <c r="R22" s="132">
        <v>0.55442650282752037</v>
      </c>
      <c r="S22" s="132">
        <v>0.7075338949089065</v>
      </c>
      <c r="T22" s="132">
        <v>0.47983724174700038</v>
      </c>
      <c r="U22" s="132">
        <v>0.50137325111752873</v>
      </c>
      <c r="V22" s="132">
        <v>0.50027853259408595</v>
      </c>
      <c r="W22" s="132">
        <v>0.55205353970501658</v>
      </c>
      <c r="X22" s="132">
        <v>0.52359661808494629</v>
      </c>
      <c r="Y22" s="132">
        <v>0.46042858852091384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0.37492133046341392</v>
      </c>
      <c r="D23" s="132">
        <v>0.96782243902079401</v>
      </c>
      <c r="E23" s="132">
        <v>3.3102123639266869</v>
      </c>
      <c r="F23" s="132">
        <v>3.1963195736342374</v>
      </c>
      <c r="G23" s="132">
        <v>2.6550348367950396</v>
      </c>
      <c r="H23" s="132">
        <v>3.1440050190025559</v>
      </c>
      <c r="I23" s="132">
        <v>3.8078720563694617</v>
      </c>
      <c r="J23" s="132">
        <v>4.6991539772104636</v>
      </c>
      <c r="K23" s="132">
        <v>4.149991268273209</v>
      </c>
      <c r="L23" s="132">
        <v>1.0215684390647561</v>
      </c>
      <c r="M23" s="132">
        <v>3.1739201683661471</v>
      </c>
      <c r="N23" s="132">
        <v>2.2473291161152908</v>
      </c>
      <c r="O23" s="132">
        <v>1.0653014094292608</v>
      </c>
      <c r="P23" s="132">
        <v>2.9936860229329816</v>
      </c>
      <c r="Q23" s="132">
        <v>1.4056262756709059</v>
      </c>
      <c r="R23" s="132">
        <v>0.85261217376192666</v>
      </c>
      <c r="S23" s="132">
        <v>0</v>
      </c>
      <c r="T23" s="132">
        <v>0</v>
      </c>
      <c r="U23" s="132">
        <v>4.9939540326114494E-2</v>
      </c>
      <c r="V23" s="132">
        <v>0.94314560081958609</v>
      </c>
      <c r="W23" s="132">
        <v>1.9092704195849297</v>
      </c>
      <c r="X23" s="132">
        <v>1.4855021845031466</v>
      </c>
      <c r="Y23" s="132">
        <v>1.7269708153823542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1.2817430662602184E-2</v>
      </c>
      <c r="D24" s="132">
        <v>2.6398634192723126E-2</v>
      </c>
      <c r="E24" s="132">
        <v>6.8807603000107867E-2</v>
      </c>
      <c r="F24" s="132">
        <v>0.14142569524123569</v>
      </c>
      <c r="G24" s="132">
        <v>0.20217261850096915</v>
      </c>
      <c r="H24" s="132">
        <v>0.45722622139651348</v>
      </c>
      <c r="I24" s="132">
        <v>0.63113462124648412</v>
      </c>
      <c r="J24" s="132">
        <v>0.57813927144854782</v>
      </c>
      <c r="K24" s="132">
        <v>0.41181769076120106</v>
      </c>
      <c r="L24" s="132">
        <v>7.3218694101679568E-2</v>
      </c>
      <c r="M24" s="132">
        <v>0.28051483159356327</v>
      </c>
      <c r="N24" s="132">
        <v>0.23011282530189792</v>
      </c>
      <c r="O24" s="132">
        <v>0.11238404459600641</v>
      </c>
      <c r="P24" s="132">
        <v>0.33494015374900615</v>
      </c>
      <c r="Q24" s="132">
        <v>0.32601651037991902</v>
      </c>
      <c r="R24" s="132">
        <v>0.4106498920505674</v>
      </c>
      <c r="S24" s="132">
        <v>0.33433000369498156</v>
      </c>
      <c r="T24" s="132">
        <v>0.26200317974676601</v>
      </c>
      <c r="U24" s="132">
        <v>0.40913178383370002</v>
      </c>
      <c r="V24" s="132">
        <v>0.47824271862825096</v>
      </c>
      <c r="W24" s="132">
        <v>0.34030121175344835</v>
      </c>
      <c r="X24" s="132">
        <v>7.8943817830342557E-4</v>
      </c>
      <c r="Y24" s="132">
        <v>6.3921011154672561E-4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0.26644762437716285</v>
      </c>
      <c r="D25" s="132">
        <v>0.66120540509230075</v>
      </c>
      <c r="E25" s="132">
        <v>2.2604255983131409</v>
      </c>
      <c r="F25" s="132">
        <v>4.3833360438272875</v>
      </c>
      <c r="G25" s="132">
        <v>3.2312652762728842</v>
      </c>
      <c r="H25" s="132">
        <v>3.7851819181141617</v>
      </c>
      <c r="I25" s="132">
        <v>3.3856576761133521</v>
      </c>
      <c r="J25" s="132">
        <v>3.4206286793058536</v>
      </c>
      <c r="K25" s="132">
        <v>2.8846920545238421</v>
      </c>
      <c r="L25" s="132">
        <v>0.55998580910776197</v>
      </c>
      <c r="M25" s="132">
        <v>2.2814411685912126</v>
      </c>
      <c r="N25" s="132">
        <v>2.005715874797612</v>
      </c>
      <c r="O25" s="132">
        <v>1.0252046938497714</v>
      </c>
      <c r="P25" s="132">
        <v>1.8747798356103422</v>
      </c>
      <c r="Q25" s="132">
        <v>2.2756089297012445</v>
      </c>
      <c r="R25" s="132">
        <v>3.2358329359005524</v>
      </c>
      <c r="S25" s="132">
        <v>3.8549402801379027</v>
      </c>
      <c r="T25" s="132">
        <v>2.6228989802439839</v>
      </c>
      <c r="U25" s="132">
        <v>1.9132019883489129</v>
      </c>
      <c r="V25" s="132">
        <v>1.7674611370714168</v>
      </c>
      <c r="W25" s="132">
        <v>1.0843517597502768</v>
      </c>
      <c r="X25" s="132">
        <v>1.0451693378253697</v>
      </c>
      <c r="Y25" s="132">
        <v>0.74942427906393527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0.25096869603901806</v>
      </c>
      <c r="D26" s="65">
        <v>0.23283834252995791</v>
      </c>
      <c r="E26" s="65">
        <v>1.7113726908430362</v>
      </c>
      <c r="F26" s="65">
        <v>5.8432978836577458</v>
      </c>
      <c r="G26" s="65">
        <v>6.5109180537300091</v>
      </c>
      <c r="H26" s="65">
        <v>14.070056674406247</v>
      </c>
      <c r="I26" s="65">
        <v>17.034797007361753</v>
      </c>
      <c r="J26" s="65">
        <v>14.376623565991535</v>
      </c>
      <c r="K26" s="65">
        <v>11.408382604119007</v>
      </c>
      <c r="L26" s="65">
        <v>0.64848564650727603</v>
      </c>
      <c r="M26" s="65">
        <v>9.850978332454245</v>
      </c>
      <c r="N26" s="65">
        <v>8.0811338563051134</v>
      </c>
      <c r="O26" s="65">
        <v>3.6144505441329122</v>
      </c>
      <c r="P26" s="65">
        <v>10.236840801837493</v>
      </c>
      <c r="Q26" s="65">
        <v>4.9580551725939586</v>
      </c>
      <c r="R26" s="65">
        <v>6.6458007679512701</v>
      </c>
      <c r="S26" s="65">
        <v>10.273643625753801</v>
      </c>
      <c r="T26" s="65">
        <v>10.463562265534728</v>
      </c>
      <c r="U26" s="65">
        <v>11.19391705516912</v>
      </c>
      <c r="V26" s="65">
        <v>8.2384997592535871</v>
      </c>
      <c r="W26" s="65">
        <v>8.3922149350823005</v>
      </c>
      <c r="X26" s="65">
        <v>8.7651676706899018</v>
      </c>
      <c r="Y26" s="65">
        <v>8.2392259891173367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1.9604998603930654E-2</v>
      </c>
      <c r="E27" s="147">
        <v>0</v>
      </c>
      <c r="F27" s="147">
        <v>6.6676364243331329E-2</v>
      </c>
      <c r="G27" s="147">
        <v>4.4088769605760234E-2</v>
      </c>
      <c r="H27" s="147">
        <v>0.1072689344557238</v>
      </c>
      <c r="I27" s="147">
        <v>7.6373767057574149E-2</v>
      </c>
      <c r="J27" s="147">
        <v>0.8890186024705522</v>
      </c>
      <c r="K27" s="147">
        <v>0.64446772661585616</v>
      </c>
      <c r="L27" s="147">
        <v>0.3812871673918794</v>
      </c>
      <c r="M27" s="147">
        <v>0.67009004512455461</v>
      </c>
      <c r="N27" s="147">
        <v>0.52821776678449184</v>
      </c>
      <c r="O27" s="147">
        <v>0.33342813774214208</v>
      </c>
      <c r="P27" s="147">
        <v>0.45783360865609846</v>
      </c>
      <c r="Q27" s="147">
        <v>0.72274008670543255</v>
      </c>
      <c r="R27" s="147">
        <v>0.34024646903386763</v>
      </c>
      <c r="S27" s="147">
        <v>0.1922058627779642</v>
      </c>
      <c r="T27" s="147">
        <v>1.1834663650918615</v>
      </c>
      <c r="U27" s="147">
        <v>1.0799669420183385E-15</v>
      </c>
      <c r="V27" s="147">
        <v>0.13764114265548877</v>
      </c>
      <c r="W27" s="147">
        <v>1.5656081277250267E-5</v>
      </c>
      <c r="X27" s="147">
        <v>5.0785096063895937E-6</v>
      </c>
      <c r="Y27" s="147">
        <v>7.3781677476623568E-16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1.94524661743484</v>
      </c>
      <c r="D29" s="130">
        <f t="shared" si="12"/>
        <v>3.6438506379028173</v>
      </c>
      <c r="E29" s="130">
        <f t="shared" si="12"/>
        <v>13.034414054773698</v>
      </c>
      <c r="F29" s="130">
        <f t="shared" si="12"/>
        <v>19.516001180098744</v>
      </c>
      <c r="G29" s="130">
        <f t="shared" si="12"/>
        <v>16.679456708572705</v>
      </c>
      <c r="H29" s="130">
        <f t="shared" si="12"/>
        <v>27.573912243528614</v>
      </c>
      <c r="I29" s="130">
        <f t="shared" si="12"/>
        <v>31.133538192426762</v>
      </c>
      <c r="J29" s="130">
        <f t="shared" si="12"/>
        <v>30.731835273446936</v>
      </c>
      <c r="K29" s="130">
        <f t="shared" si="12"/>
        <v>25.593860452309983</v>
      </c>
      <c r="L29" s="130">
        <f t="shared" si="12"/>
        <v>4.3754236247047125</v>
      </c>
      <c r="M29" s="130">
        <f t="shared" si="12"/>
        <v>24.563109271864125</v>
      </c>
      <c r="N29" s="130">
        <f t="shared" si="12"/>
        <v>20.329193011117482</v>
      </c>
      <c r="O29" s="130">
        <f t="shared" si="12"/>
        <v>8.6445832467419095</v>
      </c>
      <c r="P29" s="130">
        <f t="shared" si="12"/>
        <v>21.212880448472148</v>
      </c>
      <c r="Q29" s="130">
        <f t="shared" si="12"/>
        <v>13.592061428839969</v>
      </c>
      <c r="R29" s="130">
        <f t="shared" ref="R29:W29" si="13">SUM(R30:R33)</f>
        <v>16.638027390744469</v>
      </c>
      <c r="S29" s="130">
        <f t="shared" si="13"/>
        <v>19.878287587313579</v>
      </c>
      <c r="T29" s="130">
        <f t="shared" si="13"/>
        <v>19.321539123387137</v>
      </c>
      <c r="U29" s="130">
        <f t="shared" si="13"/>
        <v>18.133955862304653</v>
      </c>
      <c r="V29" s="130">
        <f t="shared" si="13"/>
        <v>15.508669582940691</v>
      </c>
      <c r="W29" s="130">
        <f t="shared" si="13"/>
        <v>16.645241087772192</v>
      </c>
      <c r="X29" s="130">
        <f t="shared" ref="X29:Y29" si="14">SUM(X30:X33)</f>
        <v>15.788697002753789</v>
      </c>
      <c r="Y29" s="130">
        <f t="shared" si="14"/>
        <v>14.597335743335275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0.26095829243540242</v>
      </c>
      <c r="D30" s="132">
        <v>0.42738028953815127</v>
      </c>
      <c r="E30" s="132">
        <v>1.8919189868383277</v>
      </c>
      <c r="F30" s="132">
        <v>1.4398287334258881</v>
      </c>
      <c r="G30" s="132">
        <v>1.0089194202841427</v>
      </c>
      <c r="H30" s="132">
        <v>1.1786715786378485</v>
      </c>
      <c r="I30" s="132">
        <v>0.26814142281855879</v>
      </c>
      <c r="J30" s="132">
        <v>0</v>
      </c>
      <c r="K30" s="132">
        <v>0</v>
      </c>
      <c r="L30" s="132">
        <v>0</v>
      </c>
      <c r="M30" s="132">
        <v>0</v>
      </c>
      <c r="N30" s="132">
        <v>0.37959630617618118</v>
      </c>
      <c r="O30" s="132">
        <v>0.56012917775364468</v>
      </c>
      <c r="P30" s="132">
        <v>1.0762819236975207</v>
      </c>
      <c r="Q30" s="132">
        <v>0.96576339438710179</v>
      </c>
      <c r="R30" s="132">
        <v>0.97993086034885357</v>
      </c>
      <c r="S30" s="132">
        <v>0.95611124091947541</v>
      </c>
      <c r="T30" s="132">
        <v>0.38066872110971206</v>
      </c>
      <c r="U30" s="132">
        <v>0.23240490901915842</v>
      </c>
      <c r="V30" s="132">
        <v>2.0041139256163493E-3</v>
      </c>
      <c r="W30" s="132">
        <v>0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0.50391683399927334</v>
      </c>
      <c r="D31" s="132">
        <v>0.93852176452731284</v>
      </c>
      <c r="E31" s="132">
        <v>3.0790121282356093</v>
      </c>
      <c r="F31" s="132">
        <v>4.6144753053854135</v>
      </c>
      <c r="G31" s="132">
        <v>4.6541042807433888</v>
      </c>
      <c r="H31" s="132">
        <v>6.5247946928134839</v>
      </c>
      <c r="I31" s="132">
        <v>6.4786769855096722</v>
      </c>
      <c r="J31" s="132">
        <v>6.0461274398428655</v>
      </c>
      <c r="K31" s="132">
        <v>6.1216108242525822</v>
      </c>
      <c r="L31" s="132">
        <v>1.4793777095915077</v>
      </c>
      <c r="M31" s="132">
        <v>10.926085369840962</v>
      </c>
      <c r="N31" s="132">
        <v>8.8743407151288007</v>
      </c>
      <c r="O31" s="132">
        <v>3.1806951351833121</v>
      </c>
      <c r="P31" s="132">
        <v>5.2690200564812324</v>
      </c>
      <c r="Q31" s="132">
        <v>3.2718866182240749</v>
      </c>
      <c r="R31" s="132">
        <v>3.0258350799784086</v>
      </c>
      <c r="S31" s="132">
        <v>3.5300143782932456</v>
      </c>
      <c r="T31" s="132">
        <v>3.1916976154459187</v>
      </c>
      <c r="U31" s="132">
        <v>5.0088801573174679</v>
      </c>
      <c r="V31" s="132">
        <v>4.3708269171480278</v>
      </c>
      <c r="W31" s="132">
        <v>9.1140509768078637</v>
      </c>
      <c r="X31" s="132">
        <v>7.0885244045205775</v>
      </c>
      <c r="Y31" s="132">
        <v>5.0988653237934898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1.1803714910001641</v>
      </c>
      <c r="D33" s="68">
        <v>2.2779485838373534</v>
      </c>
      <c r="E33" s="68">
        <v>8.0634829396997603</v>
      </c>
      <c r="F33" s="68">
        <v>13.461697141287443</v>
      </c>
      <c r="G33" s="68">
        <v>11.016433007545173</v>
      </c>
      <c r="H33" s="68">
        <v>19.870445972077281</v>
      </c>
      <c r="I33" s="68">
        <v>24.386719784098531</v>
      </c>
      <c r="J33" s="68">
        <v>24.68570783360407</v>
      </c>
      <c r="K33" s="68">
        <v>19.472249628057401</v>
      </c>
      <c r="L33" s="68">
        <v>2.8960459151132043</v>
      </c>
      <c r="M33" s="68">
        <v>13.637023902023163</v>
      </c>
      <c r="N33" s="68">
        <v>11.075255989812501</v>
      </c>
      <c r="O33" s="68">
        <v>4.9037589338049532</v>
      </c>
      <c r="P33" s="68">
        <v>14.867578468293395</v>
      </c>
      <c r="Q33" s="68">
        <v>9.3544114162287926</v>
      </c>
      <c r="R33" s="68">
        <v>12.632261450417205</v>
      </c>
      <c r="S33" s="68">
        <v>15.392161968100856</v>
      </c>
      <c r="T33" s="68">
        <v>15.749172786831506</v>
      </c>
      <c r="U33" s="68">
        <v>12.892670795968025</v>
      </c>
      <c r="V33" s="68">
        <v>11.135838551867046</v>
      </c>
      <c r="W33" s="68">
        <v>7.5311901109643298</v>
      </c>
      <c r="X33" s="68">
        <v>8.7001725982332125</v>
      </c>
      <c r="Y33" s="68">
        <v>9.4984704195417855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12.677613867160686</v>
      </c>
      <c r="D3" s="125">
        <f t="shared" si="0"/>
        <v>24.685393015248046</v>
      </c>
      <c r="E3" s="125">
        <f t="shared" si="0"/>
        <v>70.15031847737032</v>
      </c>
      <c r="F3" s="125">
        <f t="shared" si="0"/>
        <v>113.76120969967791</v>
      </c>
      <c r="G3" s="125">
        <f t="shared" si="0"/>
        <v>90.5995249292002</v>
      </c>
      <c r="H3" s="125">
        <f t="shared" si="0"/>
        <v>162.36897216382789</v>
      </c>
      <c r="I3" s="125">
        <f t="shared" si="0"/>
        <v>159.25449080311938</v>
      </c>
      <c r="J3" s="125">
        <f t="shared" si="0"/>
        <v>167.70303139980379</v>
      </c>
      <c r="K3" s="125">
        <f t="shared" si="0"/>
        <v>135.83594037898891</v>
      </c>
      <c r="L3" s="125">
        <f t="shared" si="0"/>
        <v>27.238003917235151</v>
      </c>
      <c r="M3" s="125">
        <f t="shared" si="0"/>
        <v>125.45372553554525</v>
      </c>
      <c r="N3" s="125">
        <f t="shared" si="0"/>
        <v>104.73984286207894</v>
      </c>
      <c r="O3" s="125">
        <f t="shared" si="0"/>
        <v>44.759157146713569</v>
      </c>
      <c r="P3" s="125">
        <f t="shared" si="0"/>
        <v>100.27748360980357</v>
      </c>
      <c r="Q3" s="125">
        <f t="shared" si="0"/>
        <v>67.703368307614298</v>
      </c>
      <c r="R3" s="125">
        <f t="shared" ref="R3:W3" si="1">SUM(R4,R16,R19,R29)</f>
        <v>85.620925544132092</v>
      </c>
      <c r="S3" s="125">
        <f t="shared" si="1"/>
        <v>97.220172320950624</v>
      </c>
      <c r="T3" s="125">
        <f t="shared" si="1"/>
        <v>93.499197588319262</v>
      </c>
      <c r="U3" s="125">
        <f t="shared" si="1"/>
        <v>85.819515536534553</v>
      </c>
      <c r="V3" s="125">
        <f t="shared" si="1"/>
        <v>72.513099747029358</v>
      </c>
      <c r="W3" s="125">
        <f t="shared" si="1"/>
        <v>70.206629311593161</v>
      </c>
      <c r="X3" s="125">
        <f t="shared" ref="X3:Y3" si="2">SUM(X4,X16,X19,X29)</f>
        <v>64.423427210219771</v>
      </c>
      <c r="Y3" s="125">
        <f t="shared" si="2"/>
        <v>64.350102818596127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7.5751592137623289</v>
      </c>
      <c r="D4" s="130">
        <f t="shared" si="3"/>
        <v>15.488412326663521</v>
      </c>
      <c r="E4" s="130">
        <f t="shared" si="3"/>
        <v>46.462317886453057</v>
      </c>
      <c r="F4" s="130">
        <f t="shared" si="3"/>
        <v>79.034082218631539</v>
      </c>
      <c r="G4" s="130">
        <f t="shared" si="3"/>
        <v>58.479080344311335</v>
      </c>
      <c r="H4" s="130">
        <f t="shared" si="3"/>
        <v>111.99787831778686</v>
      </c>
      <c r="I4" s="130">
        <f t="shared" si="3"/>
        <v>99.82417289252713</v>
      </c>
      <c r="J4" s="130">
        <f t="shared" si="3"/>
        <v>109.12130628406939</v>
      </c>
      <c r="K4" s="130">
        <f t="shared" si="3"/>
        <v>87.351953277866627</v>
      </c>
      <c r="L4" s="130">
        <f t="shared" si="3"/>
        <v>16.374768942573564</v>
      </c>
      <c r="M4" s="130">
        <f t="shared" si="3"/>
        <v>78.050817680098078</v>
      </c>
      <c r="N4" s="130">
        <f t="shared" si="3"/>
        <v>61.633507080221868</v>
      </c>
      <c r="O4" s="130">
        <f t="shared" si="3"/>
        <v>24.328920711617766</v>
      </c>
      <c r="P4" s="130">
        <f t="shared" si="3"/>
        <v>53.672846231876093</v>
      </c>
      <c r="Q4" s="130">
        <f t="shared" si="3"/>
        <v>32.426443093939803</v>
      </c>
      <c r="R4" s="130">
        <f t="shared" ref="R4:W4" si="4">SUM(R5:R15)</f>
        <v>44.834261304514236</v>
      </c>
      <c r="S4" s="130">
        <f t="shared" si="4"/>
        <v>49.883512488502177</v>
      </c>
      <c r="T4" s="130">
        <f t="shared" si="4"/>
        <v>45.155565655431637</v>
      </c>
      <c r="U4" s="130">
        <f t="shared" si="4"/>
        <v>38.711991557632032</v>
      </c>
      <c r="V4" s="130">
        <f t="shared" si="4"/>
        <v>32.16740375543398</v>
      </c>
      <c r="W4" s="130">
        <f t="shared" si="4"/>
        <v>30.401696373909498</v>
      </c>
      <c r="X4" s="130">
        <f t="shared" ref="X4:Y4" si="5">SUM(X5:X15)</f>
        <v>25.678575353106972</v>
      </c>
      <c r="Y4" s="130">
        <f t="shared" si="5"/>
        <v>26.184743579592869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1.0268568017867554</v>
      </c>
      <c r="D5" s="132">
        <v>3.1778918084873</v>
      </c>
      <c r="E5" s="132">
        <v>8.9622312642287838</v>
      </c>
      <c r="F5" s="132">
        <v>9.712834032359277</v>
      </c>
      <c r="G5" s="132">
        <v>7.6748876157771733</v>
      </c>
      <c r="H5" s="132">
        <v>13.383401961519276</v>
      </c>
      <c r="I5" s="132">
        <v>13.955477478258766</v>
      </c>
      <c r="J5" s="132">
        <v>13.443076150977168</v>
      </c>
      <c r="K5" s="132">
        <v>15.897494334107432</v>
      </c>
      <c r="L5" s="132">
        <v>3.1665621705295188</v>
      </c>
      <c r="M5" s="132">
        <v>10.881463253814267</v>
      </c>
      <c r="N5" s="132">
        <v>8.9752589988128246</v>
      </c>
      <c r="O5" s="132">
        <v>3.5262710063521734</v>
      </c>
      <c r="P5" s="132">
        <v>3.6131208207114192</v>
      </c>
      <c r="Q5" s="132">
        <v>3.0028364389965696</v>
      </c>
      <c r="R5" s="132">
        <v>3.6546087411302048</v>
      </c>
      <c r="S5" s="132">
        <v>6.1449229318845955</v>
      </c>
      <c r="T5" s="132">
        <v>3.3983671356197016</v>
      </c>
      <c r="U5" s="132">
        <v>1.9141597136914597</v>
      </c>
      <c r="V5" s="132">
        <v>1.626234925392521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0.79493607808918998</v>
      </c>
      <c r="D7" s="132">
        <v>0.97864807839497747</v>
      </c>
      <c r="E7" s="132">
        <v>0.48975285667739688</v>
      </c>
      <c r="F7" s="132">
        <v>0.43908131779000437</v>
      </c>
      <c r="G7" s="132">
        <v>4.0526709168547566</v>
      </c>
      <c r="H7" s="132">
        <v>20.755515516241879</v>
      </c>
      <c r="I7" s="132">
        <v>16.341215314072937</v>
      </c>
      <c r="J7" s="132">
        <v>7.980402842811622</v>
      </c>
      <c r="K7" s="132">
        <v>6.0068957371666833</v>
      </c>
      <c r="L7" s="132">
        <v>1.5261677113475722</v>
      </c>
      <c r="M7" s="132">
        <v>3.4872879030193644</v>
      </c>
      <c r="N7" s="132">
        <v>0</v>
      </c>
      <c r="O7" s="132">
        <v>0</v>
      </c>
      <c r="P7" s="132">
        <v>0</v>
      </c>
      <c r="Q7" s="132">
        <v>1.064350910718513</v>
      </c>
      <c r="R7" s="132">
        <v>2.4944901915107307</v>
      </c>
      <c r="S7" s="132">
        <v>4.5419901696272458</v>
      </c>
      <c r="T7" s="132">
        <v>4.3423766213641315</v>
      </c>
      <c r="U7" s="132">
        <v>2.5122002629395812</v>
      </c>
      <c r="V7" s="132">
        <v>2.5438913285961795</v>
      </c>
      <c r="W7" s="132">
        <v>1.5593591286441091</v>
      </c>
      <c r="X7" s="132">
        <v>0.8742892412202784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3.0751591717335757E-4</v>
      </c>
      <c r="D8" s="132">
        <v>5.2428631157331272E-4</v>
      </c>
      <c r="E8" s="132">
        <v>2.4631695421727328E-3</v>
      </c>
      <c r="F8" s="132">
        <v>2.6827282771473915E-3</v>
      </c>
      <c r="G8" s="132">
        <v>3.0631767951632785E-3</v>
      </c>
      <c r="H8" s="132">
        <v>3.2726915010581831E-3</v>
      </c>
      <c r="I8" s="132">
        <v>5.6423153418832424E-3</v>
      </c>
      <c r="J8" s="132">
        <v>2.8601240873650327E-3</v>
      </c>
      <c r="K8" s="132">
        <v>2.7608972718671482E-3</v>
      </c>
      <c r="L8" s="132">
        <v>1.146469316253373E-4</v>
      </c>
      <c r="M8" s="132">
        <v>1.7147891538228659E-3</v>
      </c>
      <c r="N8" s="132">
        <v>3.3568605826058986E-3</v>
      </c>
      <c r="O8" s="132">
        <v>2.1470397366178452E-3</v>
      </c>
      <c r="P8" s="132">
        <v>1.0117669430795392E-2</v>
      </c>
      <c r="Q8" s="132">
        <v>4.0609943801222029E-3</v>
      </c>
      <c r="R8" s="132">
        <v>2.1817016660440817E-3</v>
      </c>
      <c r="S8" s="132">
        <v>2.2763415393950905E-3</v>
      </c>
      <c r="T8" s="132">
        <v>3.002523933529044E-3</v>
      </c>
      <c r="U8" s="132">
        <v>3.9061469673311927E-3</v>
      </c>
      <c r="V8" s="132">
        <v>4.2794100283551698E-3</v>
      </c>
      <c r="W8" s="132">
        <v>4.3929228013483675E-3</v>
      </c>
      <c r="X8" s="132">
        <v>3.9265420090001018E-3</v>
      </c>
      <c r="Y8" s="132">
        <v>4.2819422389859382E-3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3.2360018646955719</v>
      </c>
      <c r="D9" s="132">
        <v>6.4758984884965862</v>
      </c>
      <c r="E9" s="132">
        <v>22.491463096445994</v>
      </c>
      <c r="F9" s="132">
        <v>20.768826526884798</v>
      </c>
      <c r="G9" s="132">
        <v>7.4867513791871518</v>
      </c>
      <c r="H9" s="132">
        <v>10.26098752856328</v>
      </c>
      <c r="I9" s="132">
        <v>23.461300896904202</v>
      </c>
      <c r="J9" s="132">
        <v>35.16716889599541</v>
      </c>
      <c r="K9" s="132">
        <v>31.336196971297213</v>
      </c>
      <c r="L9" s="132">
        <v>1.9990651485750854</v>
      </c>
      <c r="M9" s="132">
        <v>27.428282181071193</v>
      </c>
      <c r="N9" s="132">
        <v>20.167444546047903</v>
      </c>
      <c r="O9" s="132">
        <v>5.8805298894957634</v>
      </c>
      <c r="P9" s="132">
        <v>19.706291875075497</v>
      </c>
      <c r="Q9" s="132">
        <v>11.604738745789019</v>
      </c>
      <c r="R9" s="132">
        <v>10.210433459894801</v>
      </c>
      <c r="S9" s="132">
        <v>3.8549581058620763</v>
      </c>
      <c r="T9" s="132">
        <v>4.3849626341051966</v>
      </c>
      <c r="U9" s="132">
        <v>7.7344205831127777</v>
      </c>
      <c r="V9" s="132">
        <v>7.0282272841834805</v>
      </c>
      <c r="W9" s="132">
        <v>10.211510853903812</v>
      </c>
      <c r="X9" s="132">
        <v>9.2336056563133049</v>
      </c>
      <c r="Y9" s="132">
        <v>5.5901169142263782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0.51984348978993811</v>
      </c>
      <c r="I10" s="132">
        <v>3.0078068934017979</v>
      </c>
      <c r="J10" s="132">
        <v>3.1107038674184428</v>
      </c>
      <c r="K10" s="132">
        <v>6.4992674840509874</v>
      </c>
      <c r="L10" s="132">
        <v>0.98303625609054524</v>
      </c>
      <c r="M10" s="132">
        <v>3.8974233567815109</v>
      </c>
      <c r="N10" s="132">
        <v>1.812332791031634</v>
      </c>
      <c r="O10" s="132">
        <v>1.3657021962855367</v>
      </c>
      <c r="P10" s="132">
        <v>0.96696289554520432</v>
      </c>
      <c r="Q10" s="132">
        <v>1.1432453543646022</v>
      </c>
      <c r="R10" s="132">
        <v>0.87233234165650286</v>
      </c>
      <c r="S10" s="132">
        <v>1.2274078031386635</v>
      </c>
      <c r="T10" s="132">
        <v>0.77595541335786899</v>
      </c>
      <c r="U10" s="132">
        <v>0.73803956587737052</v>
      </c>
      <c r="V10" s="132">
        <v>0.70825823746106631</v>
      </c>
      <c r="W10" s="132">
        <v>0.51113791372088357</v>
      </c>
      <c r="X10" s="132">
        <v>0.39920719763943535</v>
      </c>
      <c r="Y10" s="132">
        <v>0.56292444568562305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3.3241674592882913E-3</v>
      </c>
      <c r="D11" s="132">
        <v>2.4822020322060587E-2</v>
      </c>
      <c r="E11" s="132">
        <v>8.1522757058757958E-2</v>
      </c>
      <c r="F11" s="132">
        <v>7.5820554996010328E-2</v>
      </c>
      <c r="G11" s="132">
        <v>6.9246387830518105E-2</v>
      </c>
      <c r="H11" s="132">
        <v>7.0278715113735749E-2</v>
      </c>
      <c r="I11" s="132">
        <v>7.0577584093497764E-2</v>
      </c>
      <c r="J11" s="132">
        <v>0.11465289016792125</v>
      </c>
      <c r="K11" s="132">
        <v>5.817499361945843E-2</v>
      </c>
      <c r="L11" s="132">
        <v>1.2155566648242018E-3</v>
      </c>
      <c r="M11" s="132">
        <v>5.6806894666357431E-2</v>
      </c>
      <c r="N11" s="132">
        <v>0.14466889454356699</v>
      </c>
      <c r="O11" s="132">
        <v>0.11063721545063455</v>
      </c>
      <c r="P11" s="132">
        <v>0.26767015519709669</v>
      </c>
      <c r="Q11" s="132">
        <v>7.7816123856524685E-2</v>
      </c>
      <c r="R11" s="132">
        <v>2.495694779194952E-2</v>
      </c>
      <c r="S11" s="132">
        <v>8.1209999440208763E-2</v>
      </c>
      <c r="T11" s="132">
        <v>9.7686060697603314E-2</v>
      </c>
      <c r="U11" s="132">
        <v>8.6719144862068928E-2</v>
      </c>
      <c r="V11" s="132">
        <v>6.418273385020859E-2</v>
      </c>
      <c r="W11" s="132">
        <v>5.9252678626816505E-2</v>
      </c>
      <c r="X11" s="132">
        <v>5.212552546350939E-2</v>
      </c>
      <c r="Y11" s="132">
        <v>5.6606720273049638E-2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2.4023499099601864</v>
      </c>
      <c r="D12" s="132">
        <v>4.6112173325438315</v>
      </c>
      <c r="E12" s="132">
        <v>13.682705555315655</v>
      </c>
      <c r="F12" s="132">
        <v>47.044928312870312</v>
      </c>
      <c r="G12" s="132">
        <v>16.581682967233629</v>
      </c>
      <c r="H12" s="132">
        <v>30.008251699854998</v>
      </c>
      <c r="I12" s="132">
        <v>17.124903756176458</v>
      </c>
      <c r="J12" s="132">
        <v>21.529728953102399</v>
      </c>
      <c r="K12" s="132">
        <v>12.077871733588152</v>
      </c>
      <c r="L12" s="132">
        <v>2.5752631328454876</v>
      </c>
      <c r="M12" s="132">
        <v>10.144649818540021</v>
      </c>
      <c r="N12" s="132">
        <v>14.421316021406335</v>
      </c>
      <c r="O12" s="132">
        <v>9.1285853528471215</v>
      </c>
      <c r="P12" s="132">
        <v>12.8961653502075</v>
      </c>
      <c r="Q12" s="132">
        <v>9.3784675151546271</v>
      </c>
      <c r="R12" s="132">
        <v>15.414898422560675</v>
      </c>
      <c r="S12" s="132">
        <v>21.600380263798314</v>
      </c>
      <c r="T12" s="132">
        <v>12.964051691005862</v>
      </c>
      <c r="U12" s="132">
        <v>11.520226008034374</v>
      </c>
      <c r="V12" s="132">
        <v>7.850197621335953</v>
      </c>
      <c r="W12" s="132">
        <v>3.9409757670321759</v>
      </c>
      <c r="X12" s="132">
        <v>3.3678983636966304</v>
      </c>
      <c r="Y12" s="132">
        <v>1.6655916094649179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1.0605426564687499E-2</v>
      </c>
      <c r="D13" s="132">
        <v>2.3558635085884544E-2</v>
      </c>
      <c r="E13" s="132">
        <v>0.17011075223618727</v>
      </c>
      <c r="F13" s="132">
        <v>0.28982710785798532</v>
      </c>
      <c r="G13" s="132">
        <v>0.43393491129786027</v>
      </c>
      <c r="H13" s="132">
        <v>0.61039853369659047</v>
      </c>
      <c r="I13" s="132">
        <v>0.7585600044195443</v>
      </c>
      <c r="J13" s="132">
        <v>0.42099332943156936</v>
      </c>
      <c r="K13" s="132">
        <v>0.35973707408713457</v>
      </c>
      <c r="L13" s="132">
        <v>3.5242768362762196E-2</v>
      </c>
      <c r="M13" s="132">
        <v>0.32116949727128469</v>
      </c>
      <c r="N13" s="132">
        <v>0.42291553058960651</v>
      </c>
      <c r="O13" s="132">
        <v>0.27710611406083546</v>
      </c>
      <c r="P13" s="132">
        <v>1.4501644799668063</v>
      </c>
      <c r="Q13" s="132">
        <v>0.68121945065968881</v>
      </c>
      <c r="R13" s="132">
        <v>0.41558785656255115</v>
      </c>
      <c r="S13" s="132">
        <v>0.48594690885557318</v>
      </c>
      <c r="T13" s="132">
        <v>0.46835889494367994</v>
      </c>
      <c r="U13" s="132">
        <v>0.4826905558978356</v>
      </c>
      <c r="V13" s="132">
        <v>0.43197314513007284</v>
      </c>
      <c r="W13" s="132">
        <v>0.37724859332124022</v>
      </c>
      <c r="X13" s="132">
        <v>0.38867610307220946</v>
      </c>
      <c r="Y13" s="132">
        <v>0.37981989965967694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21.821470310868712</v>
      </c>
      <c r="H14" s="65">
        <v>35.571783593255198</v>
      </c>
      <c r="I14" s="65">
        <v>24.171562643226789</v>
      </c>
      <c r="J14" s="65">
        <v>26.363566819985756</v>
      </c>
      <c r="K14" s="65">
        <v>14.227503852723951</v>
      </c>
      <c r="L14" s="65">
        <v>5.9821237106327754</v>
      </c>
      <c r="M14" s="65">
        <v>21.146185754315042</v>
      </c>
      <c r="N14" s="65">
        <v>15.200755687241834</v>
      </c>
      <c r="O14" s="65">
        <v>3.8626841368403553</v>
      </c>
      <c r="P14" s="65">
        <v>14.348694364406009</v>
      </c>
      <c r="Q14" s="65">
        <v>5.1918400690528204</v>
      </c>
      <c r="R14" s="65">
        <v>11.440832442216381</v>
      </c>
      <c r="S14" s="65">
        <v>11.663232032292479</v>
      </c>
      <c r="T14" s="65">
        <v>18.495485778702506</v>
      </c>
      <c r="U14" s="65">
        <v>13.48864329596409</v>
      </c>
      <c r="V14" s="65">
        <v>11.707522001002078</v>
      </c>
      <c r="W14" s="65">
        <v>13.53097480647364</v>
      </c>
      <c r="X14" s="65">
        <v>11.181649321618004</v>
      </c>
      <c r="Y14" s="65">
        <v>17.825251540163872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0.10077744928947677</v>
      </c>
      <c r="D15" s="134">
        <v>0.19585167702130912</v>
      </c>
      <c r="E15" s="134">
        <v>0.58206843494811578</v>
      </c>
      <c r="F15" s="134">
        <v>0.70008163759599928</v>
      </c>
      <c r="G15" s="134">
        <v>0.35537267846637444</v>
      </c>
      <c r="H15" s="134">
        <v>0.81414458825089819</v>
      </c>
      <c r="I15" s="134">
        <v>0.92712600663123823</v>
      </c>
      <c r="J15" s="134">
        <v>0.98815241009172006</v>
      </c>
      <c r="K15" s="134">
        <v>0.88605019995374978</v>
      </c>
      <c r="L15" s="134">
        <v>0.10597784059336604</v>
      </c>
      <c r="M15" s="134">
        <v>0.68583423146522793</v>
      </c>
      <c r="N15" s="134">
        <v>0.48545774996555602</v>
      </c>
      <c r="O15" s="134">
        <v>0.17525776054873299</v>
      </c>
      <c r="P15" s="134">
        <v>0.41365862133576775</v>
      </c>
      <c r="Q15" s="134">
        <v>0.27786749096731328</v>
      </c>
      <c r="R15" s="134">
        <v>0.30393919952439058</v>
      </c>
      <c r="S15" s="134">
        <v>0.28118793206362919</v>
      </c>
      <c r="T15" s="134">
        <v>0.22531890170156349</v>
      </c>
      <c r="U15" s="134">
        <v>0.23098628028514562</v>
      </c>
      <c r="V15" s="134">
        <v>0.20263706845406979</v>
      </c>
      <c r="W15" s="134">
        <v>0.20684370938547228</v>
      </c>
      <c r="X15" s="134">
        <v>0.17719740207460105</v>
      </c>
      <c r="Y15" s="134">
        <v>0.10015050788036335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2.7480910277496062</v>
      </c>
      <c r="D16" s="130">
        <f t="shared" si="6"/>
        <v>4.7139387360760185</v>
      </c>
      <c r="E16" s="130">
        <f t="shared" si="6"/>
        <v>7.6592952034074049</v>
      </c>
      <c r="F16" s="130">
        <f t="shared" si="6"/>
        <v>9.7175376122331816</v>
      </c>
      <c r="G16" s="130">
        <f t="shared" si="6"/>
        <v>10.865500449099857</v>
      </c>
      <c r="H16" s="130">
        <f t="shared" si="6"/>
        <v>14.287449662736012</v>
      </c>
      <c r="I16" s="130">
        <f t="shared" si="6"/>
        <v>17.406472582844057</v>
      </c>
      <c r="J16" s="130">
        <f t="shared" si="6"/>
        <v>16.756951971904623</v>
      </c>
      <c r="K16" s="130">
        <f t="shared" si="6"/>
        <v>13.633160511570958</v>
      </c>
      <c r="L16" s="130">
        <f t="shared" si="6"/>
        <v>5.0537827135360347</v>
      </c>
      <c r="M16" s="130">
        <f t="shared" si="6"/>
        <v>15.771577677301211</v>
      </c>
      <c r="N16" s="130">
        <f t="shared" si="6"/>
        <v>16.637311338919272</v>
      </c>
      <c r="O16" s="130">
        <f t="shared" si="6"/>
        <v>8.9019486246270478</v>
      </c>
      <c r="P16" s="130">
        <f t="shared" si="6"/>
        <v>17.192375051629234</v>
      </c>
      <c r="Q16" s="130">
        <f t="shared" si="6"/>
        <v>16.24287780638684</v>
      </c>
      <c r="R16" s="130">
        <f t="shared" ref="R16:W16" si="7">SUM(R17:R18)</f>
        <v>16.646749686248771</v>
      </c>
      <c r="S16" s="130">
        <f t="shared" si="7"/>
        <v>17.737926995116112</v>
      </c>
      <c r="T16" s="130">
        <f t="shared" si="7"/>
        <v>19.088251989073406</v>
      </c>
      <c r="U16" s="130">
        <f t="shared" si="7"/>
        <v>20.050099288079974</v>
      </c>
      <c r="V16" s="130">
        <f t="shared" si="7"/>
        <v>17.222907761432445</v>
      </c>
      <c r="W16" s="130">
        <f t="shared" si="7"/>
        <v>16.510097728399032</v>
      </c>
      <c r="X16" s="130">
        <f t="shared" ref="X16:Y16" si="8">SUM(X17:X18)</f>
        <v>15.832869866473578</v>
      </c>
      <c r="Y16" s="130">
        <f t="shared" si="8"/>
        <v>16.227663548612668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5.2968682056571985E-3</v>
      </c>
      <c r="D17" s="132">
        <v>9.9371731640668145E-3</v>
      </c>
      <c r="E17" s="132">
        <v>1.5608163844815387E-2</v>
      </c>
      <c r="F17" s="132">
        <v>2.5100040002671228E-2</v>
      </c>
      <c r="G17" s="132">
        <v>2.7157782391562649E-2</v>
      </c>
      <c r="H17" s="132">
        <v>2.8583692423530829E-2</v>
      </c>
      <c r="I17" s="132">
        <v>4.539015701893092E-2</v>
      </c>
      <c r="J17" s="132">
        <v>3.6334278313232771E-2</v>
      </c>
      <c r="K17" s="132">
        <v>3.5620870668875794E-2</v>
      </c>
      <c r="L17" s="132">
        <v>1.0628572905496847E-2</v>
      </c>
      <c r="M17" s="132">
        <v>6.2026484182185697E-2</v>
      </c>
      <c r="N17" s="132">
        <v>6.8981383040299729E-2</v>
      </c>
      <c r="O17" s="132">
        <v>6.7205418760162408E-2</v>
      </c>
      <c r="P17" s="132">
        <v>0.182024729704932</v>
      </c>
      <c r="Q17" s="132">
        <v>0.13899803338230618</v>
      </c>
      <c r="R17" s="132">
        <v>0.38304291166591464</v>
      </c>
      <c r="S17" s="132">
        <v>0.25923707130200885</v>
      </c>
      <c r="T17" s="132">
        <v>0.21247758892221058</v>
      </c>
      <c r="U17" s="132">
        <v>0.19870097804210815</v>
      </c>
      <c r="V17" s="132">
        <v>0.16435185662553026</v>
      </c>
      <c r="W17" s="132">
        <v>0.13236006939732428</v>
      </c>
      <c r="X17" s="132">
        <v>0.15240829254818158</v>
      </c>
      <c r="Y17" s="132">
        <v>0.22170034200807059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2.7427941595439491</v>
      </c>
      <c r="D18" s="132">
        <v>4.7040015629119516</v>
      </c>
      <c r="E18" s="132">
        <v>7.6436870395625895</v>
      </c>
      <c r="F18" s="132">
        <v>9.6924375722305101</v>
      </c>
      <c r="G18" s="132">
        <v>10.838342666708295</v>
      </c>
      <c r="H18" s="132">
        <v>14.258865970312481</v>
      </c>
      <c r="I18" s="132">
        <v>17.361082425825124</v>
      </c>
      <c r="J18" s="132">
        <v>16.720617693591389</v>
      </c>
      <c r="K18" s="132">
        <v>13.597539640902083</v>
      </c>
      <c r="L18" s="132">
        <v>5.0431541406305378</v>
      </c>
      <c r="M18" s="132">
        <v>15.709551193119026</v>
      </c>
      <c r="N18" s="132">
        <v>16.568329955878973</v>
      </c>
      <c r="O18" s="132">
        <v>8.8347432058668858</v>
      </c>
      <c r="P18" s="132">
        <v>17.010350321924303</v>
      </c>
      <c r="Q18" s="132">
        <v>16.103879773004532</v>
      </c>
      <c r="R18" s="132">
        <v>16.263706774582857</v>
      </c>
      <c r="S18" s="132">
        <v>17.478689923814102</v>
      </c>
      <c r="T18" s="132">
        <v>18.875774400151194</v>
      </c>
      <c r="U18" s="132">
        <v>19.851398310037865</v>
      </c>
      <c r="V18" s="132">
        <v>17.058555904806916</v>
      </c>
      <c r="W18" s="132">
        <v>16.377737659001706</v>
      </c>
      <c r="X18" s="132">
        <v>15.680461573925395</v>
      </c>
      <c r="Y18" s="132">
        <v>16.005963206604598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0.98351315954087459</v>
      </c>
      <c r="D19" s="130">
        <f t="shared" si="9"/>
        <v>1.8989806673185587</v>
      </c>
      <c r="E19" s="130">
        <f t="shared" si="9"/>
        <v>6.7918427500625747</v>
      </c>
      <c r="F19" s="130">
        <f t="shared" si="9"/>
        <v>10.889783599987654</v>
      </c>
      <c r="G19" s="130">
        <f t="shared" si="9"/>
        <v>9.2610675612789564</v>
      </c>
      <c r="H19" s="130">
        <f t="shared" si="9"/>
        <v>15.909973131266801</v>
      </c>
      <c r="I19" s="130">
        <f t="shared" si="9"/>
        <v>18.832596775969346</v>
      </c>
      <c r="J19" s="130">
        <f t="shared" si="9"/>
        <v>18.776122393903496</v>
      </c>
      <c r="K19" s="130">
        <f t="shared" si="9"/>
        <v>15.829660481802785</v>
      </c>
      <c r="L19" s="130">
        <f t="shared" si="9"/>
        <v>2.6349835333176292</v>
      </c>
      <c r="M19" s="130">
        <f t="shared" si="9"/>
        <v>14.278330211527376</v>
      </c>
      <c r="N19" s="130">
        <f t="shared" si="9"/>
        <v>12.113150346368966</v>
      </c>
      <c r="O19" s="130">
        <f t="shared" si="9"/>
        <v>5.3660016939129314</v>
      </c>
      <c r="P19" s="130">
        <f t="shared" si="9"/>
        <v>13.624112210865526</v>
      </c>
      <c r="Q19" s="130">
        <f t="shared" si="9"/>
        <v>8.876735994041054</v>
      </c>
      <c r="R19" s="130">
        <f t="shared" ref="R19:W19" si="10">SUM(R20:R27)</f>
        <v>11.302271091517429</v>
      </c>
      <c r="S19" s="130">
        <f t="shared" si="10"/>
        <v>13.963432287070328</v>
      </c>
      <c r="T19" s="130">
        <f t="shared" si="10"/>
        <v>13.626423227337229</v>
      </c>
      <c r="U19" s="130">
        <f t="shared" si="10"/>
        <v>12.621929190067609</v>
      </c>
      <c r="V19" s="130">
        <f t="shared" si="10"/>
        <v>10.603155642031025</v>
      </c>
      <c r="W19" s="130">
        <f t="shared" si="10"/>
        <v>10.870059288408278</v>
      </c>
      <c r="X19" s="130">
        <f t="shared" ref="X19:Y19" si="11">SUM(X20:X27)</f>
        <v>10.662279314228837</v>
      </c>
      <c r="Y19" s="130">
        <f t="shared" si="11"/>
        <v>10.168220267849213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0.20036360521345059</v>
      </c>
      <c r="D20" s="132">
        <v>0.24331054235462526</v>
      </c>
      <c r="E20" s="132">
        <v>0.41654966132141724</v>
      </c>
      <c r="F20" s="132">
        <v>0.12085237401499092</v>
      </c>
      <c r="G20" s="132">
        <v>5.3677215700638305E-2</v>
      </c>
      <c r="H20" s="132">
        <v>4.984847790860801E-2</v>
      </c>
      <c r="I20" s="132">
        <v>0.65066169604364377</v>
      </c>
      <c r="J20" s="132">
        <v>0.72748467860643939</v>
      </c>
      <c r="K20" s="132">
        <v>0.79390746268324086</v>
      </c>
      <c r="L20" s="132">
        <v>0.18307079680583421</v>
      </c>
      <c r="M20" s="132">
        <v>0.68846927674723368</v>
      </c>
      <c r="N20" s="132">
        <v>0.57329147642087508</v>
      </c>
      <c r="O20" s="132">
        <v>0.28589814468580271</v>
      </c>
      <c r="P20" s="132">
        <v>0.84501483042183867</v>
      </c>
      <c r="Q20" s="132">
        <v>0.51432503052958256</v>
      </c>
      <c r="R20" s="132">
        <v>0.49300913978309674</v>
      </c>
      <c r="S20" s="132">
        <v>0</v>
      </c>
      <c r="T20" s="132">
        <v>0</v>
      </c>
      <c r="U20" s="132">
        <v>5.1335465750287218E-3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0.14860589267122939</v>
      </c>
      <c r="D21" s="132">
        <v>0.28801068406119262</v>
      </c>
      <c r="E21" s="132">
        <v>1.1586536608969977</v>
      </c>
      <c r="F21" s="132">
        <v>0.79582764667043981</v>
      </c>
      <c r="G21" s="132">
        <v>7.4070404298754548E-3</v>
      </c>
      <c r="H21" s="132">
        <v>0.13324395733151556</v>
      </c>
      <c r="I21" s="132">
        <v>0</v>
      </c>
      <c r="J21" s="132">
        <v>0.15187732996687475</v>
      </c>
      <c r="K21" s="132">
        <v>0.38513375587460658</v>
      </c>
      <c r="L21" s="132">
        <v>0.27117776717134529</v>
      </c>
      <c r="M21" s="132">
        <v>1.1849379824390316</v>
      </c>
      <c r="N21" s="132">
        <v>1.3591259183949189</v>
      </c>
      <c r="O21" s="132">
        <v>0.15351535569363803</v>
      </c>
      <c r="P21" s="132">
        <v>7.6968983362401253E-2</v>
      </c>
      <c r="Q21" s="132">
        <v>8.1181300352476851E-2</v>
      </c>
      <c r="R21" s="132">
        <v>0.84413826475712839</v>
      </c>
      <c r="S21" s="132">
        <v>1.0057574923749999</v>
      </c>
      <c r="T21" s="132">
        <v>0.60395723609672947</v>
      </c>
      <c r="U21" s="132">
        <v>0.38290847812047862</v>
      </c>
      <c r="V21" s="132">
        <v>0</v>
      </c>
      <c r="W21" s="132">
        <v>0</v>
      </c>
      <c r="X21" s="132">
        <v>0</v>
      </c>
      <c r="Y21" s="132">
        <v>4.610243766584723E-4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2.6680085741475294E-2</v>
      </c>
      <c r="D22" s="132">
        <v>7.4969931911075066E-2</v>
      </c>
      <c r="E22" s="132">
        <v>0.22867069246279334</v>
      </c>
      <c r="F22" s="132">
        <v>0.3764548483850968</v>
      </c>
      <c r="G22" s="132">
        <v>0.35329994724299257</v>
      </c>
      <c r="H22" s="132">
        <v>0.68535406744860383</v>
      </c>
      <c r="I22" s="132">
        <v>0.86165944450823584</v>
      </c>
      <c r="J22" s="132">
        <v>0.94701324980821466</v>
      </c>
      <c r="K22" s="132">
        <v>0.7972335207987622</v>
      </c>
      <c r="L22" s="132">
        <v>0.17758143063572029</v>
      </c>
      <c r="M22" s="132">
        <v>0.58662698435596572</v>
      </c>
      <c r="N22" s="132">
        <v>0.4541757029541334</v>
      </c>
      <c r="O22" s="132">
        <v>0.20839750595584206</v>
      </c>
      <c r="P22" s="132">
        <v>0.29966689572142391</v>
      </c>
      <c r="Q22" s="132">
        <v>0.32339870656288461</v>
      </c>
      <c r="R22" s="132">
        <v>0.40079430155721685</v>
      </c>
      <c r="S22" s="132">
        <v>0.525652434148001</v>
      </c>
      <c r="T22" s="132">
        <v>0.36510794890312764</v>
      </c>
      <c r="U22" s="132">
        <v>0.38916523339008297</v>
      </c>
      <c r="V22" s="132">
        <v>0.39434077309886667</v>
      </c>
      <c r="W22" s="132">
        <v>0.43923875267230511</v>
      </c>
      <c r="X22" s="132">
        <v>0.41840942164770134</v>
      </c>
      <c r="Y22" s="132">
        <v>0.36873842563619491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0.21665251970038665</v>
      </c>
      <c r="D23" s="132">
        <v>0.56490989820906279</v>
      </c>
      <c r="E23" s="132">
        <v>1.9523174000882713</v>
      </c>
      <c r="F23" s="132">
        <v>1.9047749787727279</v>
      </c>
      <c r="G23" s="132">
        <v>1.5991548877731563</v>
      </c>
      <c r="H23" s="132">
        <v>1.91441162849792</v>
      </c>
      <c r="I23" s="132">
        <v>2.3447664214616499</v>
      </c>
      <c r="J23" s="132">
        <v>2.9279559660468877</v>
      </c>
      <c r="K23" s="132">
        <v>2.6186838379433501</v>
      </c>
      <c r="L23" s="132">
        <v>0.6533852719786406</v>
      </c>
      <c r="M23" s="132">
        <v>2.0720271360104232</v>
      </c>
      <c r="N23" s="132">
        <v>1.5101201530750852</v>
      </c>
      <c r="O23" s="132">
        <v>0.7434444842932536</v>
      </c>
      <c r="P23" s="132">
        <v>2.1794009646668613</v>
      </c>
      <c r="Q23" s="132">
        <v>1.0603705680180646</v>
      </c>
      <c r="R23" s="132">
        <v>0.65693705007869918</v>
      </c>
      <c r="S23" s="132">
        <v>0</v>
      </c>
      <c r="T23" s="132">
        <v>0</v>
      </c>
      <c r="U23" s="132">
        <v>4.0219618213071524E-2</v>
      </c>
      <c r="V23" s="132">
        <v>0.76692511499997507</v>
      </c>
      <c r="W23" s="132">
        <v>1.5623796707101469</v>
      </c>
      <c r="X23" s="132">
        <v>1.2195614650452464</v>
      </c>
      <c r="Y23" s="132">
        <v>1.4204983465215908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7.2720468073958358E-3</v>
      </c>
      <c r="D24" s="132">
        <v>1.5292386943894645E-2</v>
      </c>
      <c r="E24" s="132">
        <v>4.068811238553724E-2</v>
      </c>
      <c r="F24" s="132">
        <v>8.5347298673040486E-2</v>
      </c>
      <c r="G24" s="132">
        <v>0.12448055693464377</v>
      </c>
      <c r="H24" s="132">
        <v>0.28715001495607317</v>
      </c>
      <c r="I24" s="132">
        <v>0.40417553505226894</v>
      </c>
      <c r="J24" s="132">
        <v>0.37739832712804472</v>
      </c>
      <c r="K24" s="132">
        <v>0.27391252891893325</v>
      </c>
      <c r="L24" s="132">
        <v>4.9598095595152075E-2</v>
      </c>
      <c r="M24" s="132">
        <v>0.19318046659754148</v>
      </c>
      <c r="N24" s="132">
        <v>0.16071814878155982</v>
      </c>
      <c r="O24" s="132">
        <v>7.9389351500825225E-2</v>
      </c>
      <c r="P24" s="132">
        <v>0.23891050188020549</v>
      </c>
      <c r="Q24" s="132">
        <v>0.23522236712682579</v>
      </c>
      <c r="R24" s="132">
        <v>0.30133653998505183</v>
      </c>
      <c r="S24" s="132">
        <v>0.24996082980628406</v>
      </c>
      <c r="T24" s="132">
        <v>0.19954428902962071</v>
      </c>
      <c r="U24" s="132">
        <v>0.31687610098377655</v>
      </c>
      <c r="V24" s="132">
        <v>0.37557747147215015</v>
      </c>
      <c r="W24" s="132">
        <v>0.27020588434657095</v>
      </c>
      <c r="X24" s="132">
        <v>6.3285734916736106E-4</v>
      </c>
      <c r="Y24" s="132">
        <v>5.1702585769341364E-4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0.21538902133245469</v>
      </c>
      <c r="D25" s="132">
        <v>0.53598559803151236</v>
      </c>
      <c r="E25" s="132">
        <v>1.8375578429192956</v>
      </c>
      <c r="F25" s="132">
        <v>3.5734733981710636</v>
      </c>
      <c r="G25" s="132">
        <v>2.6419192985525992</v>
      </c>
      <c r="H25" s="132">
        <v>3.1039711649568149</v>
      </c>
      <c r="I25" s="132">
        <v>2.7847535808079122</v>
      </c>
      <c r="J25" s="132">
        <v>2.8223852094617277</v>
      </c>
      <c r="K25" s="132">
        <v>2.3880926221131591</v>
      </c>
      <c r="L25" s="132">
        <v>0.46521077356749174</v>
      </c>
      <c r="M25" s="132">
        <v>1.9044927400926523</v>
      </c>
      <c r="N25" s="132">
        <v>1.6852366785248223</v>
      </c>
      <c r="O25" s="132">
        <v>0.86869905447450213</v>
      </c>
      <c r="P25" s="132">
        <v>1.6041502609333369</v>
      </c>
      <c r="Q25" s="132">
        <v>1.9649497638124593</v>
      </c>
      <c r="R25" s="132">
        <v>2.8135158386608632</v>
      </c>
      <c r="S25" s="132">
        <v>3.374339249129926</v>
      </c>
      <c r="T25" s="132">
        <v>2.310688947159651</v>
      </c>
      <c r="U25" s="132">
        <v>1.6957960990028667</v>
      </c>
      <c r="V25" s="132">
        <v>1.5756616961023524</v>
      </c>
      <c r="W25" s="132">
        <v>0.97179325127531957</v>
      </c>
      <c r="X25" s="132">
        <v>0.94166377283780278</v>
      </c>
      <c r="Y25" s="132">
        <v>0.67864235452918309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0.16854998807448202</v>
      </c>
      <c r="D26" s="65">
        <v>0.1568966272032655</v>
      </c>
      <c r="E26" s="65">
        <v>1.1574053799882618</v>
      </c>
      <c r="F26" s="65">
        <v>3.9663766910569627</v>
      </c>
      <c r="G26" s="65">
        <v>4.4370398450392905</v>
      </c>
      <c r="H26" s="65">
        <v>9.6287248857115433</v>
      </c>
      <c r="I26" s="65">
        <v>11.71020633103806</v>
      </c>
      <c r="J26" s="65">
        <v>9.9329890304147526</v>
      </c>
      <c r="K26" s="65">
        <v>7.9282290268548747</v>
      </c>
      <c r="L26" s="65">
        <v>0.45367223017156577</v>
      </c>
      <c r="M26" s="65">
        <v>6.9785055801599718</v>
      </c>
      <c r="N26" s="65">
        <v>5.842264501433081</v>
      </c>
      <c r="O26" s="65">
        <v>2.6932296595669261</v>
      </c>
      <c r="P26" s="65">
        <v>7.9221661652233601</v>
      </c>
      <c r="Q26" s="65">
        <v>3.9745481709333284</v>
      </c>
      <c r="R26" s="65">
        <v>5.452293487661505</v>
      </c>
      <c r="S26" s="65">
        <v>8.6155164188331526</v>
      </c>
      <c r="T26" s="65">
        <v>8.9636584410562374</v>
      </c>
      <c r="U26" s="65">
        <v>9.7918301137823018</v>
      </c>
      <c r="V26" s="65">
        <v>7.3530094437021907</v>
      </c>
      <c r="W26" s="65">
        <v>7.6264260733226577</v>
      </c>
      <c r="X26" s="65">
        <v>8.0820067188393132</v>
      </c>
      <c r="Y26" s="65">
        <v>7.6993630909278927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1.9604998603930654E-2</v>
      </c>
      <c r="E27" s="147">
        <v>0</v>
      </c>
      <c r="F27" s="147">
        <v>6.6676364243331329E-2</v>
      </c>
      <c r="G27" s="147">
        <v>4.4088769605760234E-2</v>
      </c>
      <c r="H27" s="147">
        <v>0.1072689344557238</v>
      </c>
      <c r="I27" s="147">
        <v>7.6373767057574149E-2</v>
      </c>
      <c r="J27" s="147">
        <v>0.8890186024705522</v>
      </c>
      <c r="K27" s="147">
        <v>0.64446772661585616</v>
      </c>
      <c r="L27" s="147">
        <v>0.3812871673918794</v>
      </c>
      <c r="M27" s="147">
        <v>0.67009004512455461</v>
      </c>
      <c r="N27" s="147">
        <v>0.52821776678449184</v>
      </c>
      <c r="O27" s="147">
        <v>0.33342813774214208</v>
      </c>
      <c r="P27" s="147">
        <v>0.45783360865609846</v>
      </c>
      <c r="Q27" s="147">
        <v>0.72274008670543255</v>
      </c>
      <c r="R27" s="147">
        <v>0.34024646903386763</v>
      </c>
      <c r="S27" s="147">
        <v>0.1922058627779642</v>
      </c>
      <c r="T27" s="147">
        <v>1.1834663650918615</v>
      </c>
      <c r="U27" s="147">
        <v>1.0799669420183385E-15</v>
      </c>
      <c r="V27" s="147">
        <v>0.13764114265548877</v>
      </c>
      <c r="W27" s="147">
        <v>1.5656081277250267E-5</v>
      </c>
      <c r="X27" s="147">
        <v>5.0785096063895937E-6</v>
      </c>
      <c r="Y27" s="147">
        <v>7.3781677476623568E-16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1.3708504661078753</v>
      </c>
      <c r="D29" s="130">
        <f t="shared" si="12"/>
        <v>2.5840612851899492</v>
      </c>
      <c r="E29" s="130">
        <f t="shared" si="12"/>
        <v>9.2368626374472811</v>
      </c>
      <c r="F29" s="130">
        <f t="shared" si="12"/>
        <v>14.119806268825528</v>
      </c>
      <c r="G29" s="130">
        <f t="shared" si="12"/>
        <v>11.993876574510052</v>
      </c>
      <c r="H29" s="130">
        <f t="shared" si="12"/>
        <v>20.17367105203823</v>
      </c>
      <c r="I29" s="130">
        <f t="shared" si="12"/>
        <v>23.191248551778834</v>
      </c>
      <c r="J29" s="130">
        <f t="shared" si="12"/>
        <v>23.048650749926271</v>
      </c>
      <c r="K29" s="130">
        <f t="shared" si="12"/>
        <v>19.021166107748535</v>
      </c>
      <c r="L29" s="130">
        <f t="shared" si="12"/>
        <v>3.1744687278079229</v>
      </c>
      <c r="M29" s="130">
        <f t="shared" si="12"/>
        <v>17.352999966618583</v>
      </c>
      <c r="N29" s="130">
        <f t="shared" si="12"/>
        <v>14.355874096568833</v>
      </c>
      <c r="O29" s="130">
        <f t="shared" si="12"/>
        <v>6.1622861165558236</v>
      </c>
      <c r="P29" s="130">
        <f t="shared" si="12"/>
        <v>15.788150115432721</v>
      </c>
      <c r="Q29" s="130">
        <f t="shared" si="12"/>
        <v>10.1573114132466</v>
      </c>
      <c r="R29" s="130">
        <f t="shared" ref="R29:W29" si="13">SUM(R30:R33)</f>
        <v>12.837643461851659</v>
      </c>
      <c r="S29" s="130">
        <f t="shared" si="13"/>
        <v>15.635300550262004</v>
      </c>
      <c r="T29" s="130">
        <f t="shared" si="13"/>
        <v>15.628956716476987</v>
      </c>
      <c r="U29" s="130">
        <f t="shared" si="13"/>
        <v>14.435495500754941</v>
      </c>
      <c r="V29" s="130">
        <f t="shared" si="13"/>
        <v>12.519632588131904</v>
      </c>
      <c r="W29" s="130">
        <f t="shared" si="13"/>
        <v>12.424775920876353</v>
      </c>
      <c r="X29" s="130">
        <f t="shared" ref="X29:Y29" si="14">SUM(X30:X33)</f>
        <v>12.249702676410383</v>
      </c>
      <c r="Y29" s="130">
        <f t="shared" si="14"/>
        <v>11.76947542254138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0.15273155847825381</v>
      </c>
      <c r="D30" s="132">
        <v>0.25034185213758708</v>
      </c>
      <c r="E30" s="132">
        <v>1.109130199841688</v>
      </c>
      <c r="F30" s="132">
        <v>0.84479543509717769</v>
      </c>
      <c r="G30" s="132">
        <v>0.59245812787258667</v>
      </c>
      <c r="H30" s="132">
        <v>0.69271433891001977</v>
      </c>
      <c r="I30" s="132">
        <v>0.15771942886029292</v>
      </c>
      <c r="J30" s="132">
        <v>0</v>
      </c>
      <c r="K30" s="132">
        <v>0</v>
      </c>
      <c r="L30" s="132">
        <v>0</v>
      </c>
      <c r="M30" s="132">
        <v>0</v>
      </c>
      <c r="N30" s="132">
        <v>0.22405085641490211</v>
      </c>
      <c r="O30" s="132">
        <v>0.33067688333185302</v>
      </c>
      <c r="P30" s="132">
        <v>0.63576341152808435</v>
      </c>
      <c r="Q30" s="132">
        <v>0.57183653977359827</v>
      </c>
      <c r="R30" s="132">
        <v>0.583841475942251</v>
      </c>
      <c r="S30" s="132">
        <v>0.57462693345835292</v>
      </c>
      <c r="T30" s="132">
        <v>0.23095774809598521</v>
      </c>
      <c r="U30" s="132">
        <v>0.1422141590358483</v>
      </c>
      <c r="V30" s="132">
        <v>1.2337718057024631E-3</v>
      </c>
      <c r="W30" s="132">
        <v>0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0.29862425680775767</v>
      </c>
      <c r="D31" s="132">
        <v>0.55672700776298911</v>
      </c>
      <c r="E31" s="132">
        <v>1.8282714521706178</v>
      </c>
      <c r="F31" s="132">
        <v>2.7427266000649904</v>
      </c>
      <c r="G31" s="132">
        <v>2.7690246685805913</v>
      </c>
      <c r="H31" s="132">
        <v>3.8858648677318302</v>
      </c>
      <c r="I31" s="132">
        <v>3.8622191442429954</v>
      </c>
      <c r="J31" s="132">
        <v>3.6079230709553225</v>
      </c>
      <c r="K31" s="132">
        <v>3.656577199627026</v>
      </c>
      <c r="L31" s="132">
        <v>0.88453870132816181</v>
      </c>
      <c r="M31" s="132">
        <v>6.5377404911905641</v>
      </c>
      <c r="N31" s="132">
        <v>5.3122795268416292</v>
      </c>
      <c r="O31" s="132">
        <v>1.9044757421746026</v>
      </c>
      <c r="P31" s="132">
        <v>3.1570836142744843</v>
      </c>
      <c r="Q31" s="132">
        <v>1.9660062759408392</v>
      </c>
      <c r="R31" s="132">
        <v>1.8316707599520359</v>
      </c>
      <c r="S31" s="132">
        <v>2.1591080162412677</v>
      </c>
      <c r="T31" s="132">
        <v>1.974237415197434</v>
      </c>
      <c r="U31" s="132">
        <v>3.1298294572167986</v>
      </c>
      <c r="V31" s="132">
        <v>2.750682954357937</v>
      </c>
      <c r="W31" s="132">
        <v>5.7553130432165602</v>
      </c>
      <c r="X31" s="132">
        <v>4.4791199132148556</v>
      </c>
      <c r="Y31" s="132">
        <v>3.2220948220827785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0.91949465082186377</v>
      </c>
      <c r="D33" s="68">
        <v>1.7769924252893727</v>
      </c>
      <c r="E33" s="68">
        <v>6.2994609854349743</v>
      </c>
      <c r="F33" s="68">
        <v>10.53228423366336</v>
      </c>
      <c r="G33" s="68">
        <v>8.6323937780568745</v>
      </c>
      <c r="H33" s="68">
        <v>15.595091845396382</v>
      </c>
      <c r="I33" s="68">
        <v>19.171309978675545</v>
      </c>
      <c r="J33" s="68">
        <v>19.440727678970948</v>
      </c>
      <c r="K33" s="68">
        <v>15.36458890812151</v>
      </c>
      <c r="L33" s="68">
        <v>2.2899300264797611</v>
      </c>
      <c r="M33" s="68">
        <v>10.81525947542802</v>
      </c>
      <c r="N33" s="68">
        <v>8.8195437133123011</v>
      </c>
      <c r="O33" s="68">
        <v>3.9271334910493678</v>
      </c>
      <c r="P33" s="68">
        <v>11.995303089630152</v>
      </c>
      <c r="Q33" s="68">
        <v>7.6194685975321619</v>
      </c>
      <c r="R33" s="68">
        <v>10.422131225957372</v>
      </c>
      <c r="S33" s="68">
        <v>12.901565600562384</v>
      </c>
      <c r="T33" s="68">
        <v>13.423761553183567</v>
      </c>
      <c r="U33" s="68">
        <v>11.163451884502294</v>
      </c>
      <c r="V33" s="68">
        <v>9.7677158619682647</v>
      </c>
      <c r="W33" s="68">
        <v>6.669462877659794</v>
      </c>
      <c r="X33" s="68">
        <v>7.7705827631955264</v>
      </c>
      <c r="Y33" s="68">
        <v>8.5473806004586006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0.74611956641655897</v>
      </c>
      <c r="D3" s="126">
        <f>IF(SER_hh_tes_in!D3=0,"",SER_hh_tes_in!D3/SER_hh_fec_in!D3)</f>
        <v>0.73841955027306694</v>
      </c>
      <c r="E3" s="126">
        <f>IF(SER_hh_tes_in!E3=0,"",SER_hh_tes_in!E3/SER_hh_fec_in!E3)</f>
        <v>0.69866993346550266</v>
      </c>
      <c r="F3" s="126">
        <f>IF(SER_hh_tes_in!F3=0,"",SER_hh_tes_in!F3/SER_hh_fec_in!F3)</f>
        <v>0.75000727128749378</v>
      </c>
      <c r="G3" s="126">
        <f>IF(SER_hh_tes_in!G3=0,"",SER_hh_tes_in!G3/SER_hh_fec_in!G3)</f>
        <v>0.77067639710651037</v>
      </c>
      <c r="H3" s="126">
        <f>IF(SER_hh_tes_in!H3=0,"",SER_hh_tes_in!H3/SER_hh_fec_in!H3)</f>
        <v>0.73752522796945885</v>
      </c>
      <c r="I3" s="126">
        <f>IF(SER_hh_tes_in!I3=0,"",SER_hh_tes_in!I3/SER_hh_fec_in!I3)</f>
        <v>0.73250103206046724</v>
      </c>
      <c r="J3" s="126">
        <f>IF(SER_hh_tes_in!J3=0,"",SER_hh_tes_in!J3/SER_hh_fec_in!J3)</f>
        <v>0.73747692830191192</v>
      </c>
      <c r="K3" s="126">
        <f>IF(SER_hh_tes_in!K3=0,"",SER_hh_tes_in!K3/SER_hh_fec_in!K3)</f>
        <v>0.72409954883106031</v>
      </c>
      <c r="L3" s="126">
        <f>IF(SER_hh_tes_in!L3=0,"",SER_hh_tes_in!L3/SER_hh_fec_in!L3)</f>
        <v>0.81548454767311729</v>
      </c>
      <c r="M3" s="126">
        <f>IF(SER_hh_tes_in!M3=0,"",SER_hh_tes_in!M3/SER_hh_fec_in!M3)</f>
        <v>0.76156636262005872</v>
      </c>
      <c r="N3" s="126">
        <f>IF(SER_hh_tes_in!N3=0,"",SER_hh_tes_in!N3/SER_hh_fec_in!N3)</f>
        <v>0.81576443559133283</v>
      </c>
      <c r="O3" s="126">
        <f>IF(SER_hh_tes_in!O3=0,"",SER_hh_tes_in!O3/SER_hh_fec_in!O3)</f>
        <v>0.8771683111501567</v>
      </c>
      <c r="P3" s="126">
        <f>IF(SER_hh_tes_in!P3=0,"",SER_hh_tes_in!P3/SER_hh_fec_in!P3)</f>
        <v>0.88330170160310706</v>
      </c>
      <c r="Q3" s="126">
        <f>IF(SER_hh_tes_in!Q3=0,"",SER_hh_tes_in!Q3/SER_hh_fec_in!Q3)</f>
        <v>0.95742828007847536</v>
      </c>
      <c r="R3" s="126">
        <f>IF(SER_hh_tes_in!R3=0,"",SER_hh_tes_in!R3/SER_hh_fec_in!R3)</f>
        <v>0.93623441132957541</v>
      </c>
      <c r="S3" s="126">
        <f>IF(SER_hh_tes_in!S3=0,"",SER_hh_tes_in!S3/SER_hh_fec_in!S3)</f>
        <v>0.94352099996282168</v>
      </c>
      <c r="T3" s="126">
        <f>IF(SER_hh_tes_in!T3=0,"",SER_hh_tes_in!T3/SER_hh_fec_in!T3)</f>
        <v>0.98320823337648178</v>
      </c>
      <c r="U3" s="126">
        <f>IF(SER_hh_tes_in!U3=0,"",SER_hh_tes_in!U3/SER_hh_fec_in!U3)</f>
        <v>1.0194627691280582</v>
      </c>
      <c r="V3" s="126">
        <f>IF(SER_hh_tes_in!V3=0,"",SER_hh_tes_in!V3/SER_hh_fec_in!V3)</f>
        <v>1.0320984784588458</v>
      </c>
      <c r="W3" s="126">
        <f>IF(SER_hh_tes_in!W3=0,"",SER_hh_tes_in!W3/SER_hh_fec_in!W3)</f>
        <v>1.0217449438873509</v>
      </c>
      <c r="X3" s="126">
        <f>IF(SER_hh_tes_in!X3=0,"",SER_hh_tes_in!X3/SER_hh_fec_in!X3)</f>
        <v>1.0518710093020698</v>
      </c>
      <c r="Y3" s="126">
        <f>IF(SER_hh_tes_in!Y3=0,"",SER_hh_tes_in!Y3/SER_hh_fec_in!Y3)</f>
        <v>1.0903803185201544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0.6151297125172015</v>
      </c>
      <c r="D4" s="135">
        <f>IF(SER_hh_tes_in!D4=0,"",SER_hh_tes_in!D4/SER_hh_fec_in!D4)</f>
        <v>0.62250654463005528</v>
      </c>
      <c r="E4" s="135">
        <f>IF(SER_hh_tes_in!E4=0,"",SER_hh_tes_in!E4/SER_hh_fec_in!E4)</f>
        <v>0.62920936431208396</v>
      </c>
      <c r="F4" s="135">
        <f>IF(SER_hh_tes_in!F4=0,"",SER_hh_tes_in!F4/SER_hh_fec_in!F4)</f>
        <v>0.70244487416747825</v>
      </c>
      <c r="G4" s="135">
        <f>IF(SER_hh_tes_in!G4=0,"",SER_hh_tes_in!G4/SER_hh_fec_in!G4)</f>
        <v>0.70074602571932088</v>
      </c>
      <c r="H4" s="135">
        <f>IF(SER_hh_tes_in!H4=0,"",SER_hh_tes_in!H4/SER_hh_fec_in!H4)</f>
        <v>0.68149458357453407</v>
      </c>
      <c r="I4" s="135">
        <f>IF(SER_hh_tes_in!I4=0,"",SER_hh_tes_in!I4/SER_hh_fec_in!I4)</f>
        <v>0.653406379119154</v>
      </c>
      <c r="J4" s="135">
        <f>IF(SER_hh_tes_in!J4=0,"",SER_hh_tes_in!J4/SER_hh_fec_in!J4)</f>
        <v>0.66513081356259796</v>
      </c>
      <c r="K4" s="135">
        <f>IF(SER_hh_tes_in!K4=0,"",SER_hh_tes_in!K4/SER_hh_fec_in!K4)</f>
        <v>0.64776047739767995</v>
      </c>
      <c r="L4" s="135">
        <f>IF(SER_hh_tes_in!L4=0,"",SER_hh_tes_in!L4/SER_hh_fec_in!L4)</f>
        <v>0.6900150516857172</v>
      </c>
      <c r="M4" s="135">
        <f>IF(SER_hh_tes_in!M4=0,"",SER_hh_tes_in!M4/SER_hh_fec_in!M4)</f>
        <v>0.67745751889224082</v>
      </c>
      <c r="N4" s="135">
        <f>IF(SER_hh_tes_in!N4=0,"",SER_hh_tes_in!N4/SER_hh_fec_in!N4)</f>
        <v>0.7130843942994689</v>
      </c>
      <c r="O4" s="135">
        <f>IF(SER_hh_tes_in!O4=0,"",SER_hh_tes_in!O4/SER_hh_fec_in!O4)</f>
        <v>0.74199369788672576</v>
      </c>
      <c r="P4" s="135">
        <f>IF(SER_hh_tes_in!P4=0,"",SER_hh_tes_in!P4/SER_hh_fec_in!P4)</f>
        <v>0.7660729647882456</v>
      </c>
      <c r="Q4" s="135">
        <f>IF(SER_hh_tes_in!Q4=0,"",SER_hh_tes_in!Q4/SER_hh_fec_in!Q4)</f>
        <v>0.77294509232674824</v>
      </c>
      <c r="R4" s="135">
        <f>IF(SER_hh_tes_in!R4=0,"",SER_hh_tes_in!R4/SER_hh_fec_in!R4)</f>
        <v>0.79078022475750998</v>
      </c>
      <c r="S4" s="135">
        <f>IF(SER_hh_tes_in!S4=0,"",SER_hh_tes_in!S4/SER_hh_fec_in!S4)</f>
        <v>0.80351367766796988</v>
      </c>
      <c r="T4" s="135">
        <f>IF(SER_hh_tes_in!T4=0,"",SER_hh_tes_in!T4/SER_hh_fec_in!T4)</f>
        <v>0.81620775849577509</v>
      </c>
      <c r="U4" s="135">
        <f>IF(SER_hh_tes_in!U4=0,"",SER_hh_tes_in!U4/SER_hh_fec_in!U4)</f>
        <v>0.83015451954168629</v>
      </c>
      <c r="V4" s="135">
        <f>IF(SER_hh_tes_in!V4=0,"",SER_hh_tes_in!V4/SER_hh_fec_in!V4)</f>
        <v>0.83471526828818887</v>
      </c>
      <c r="W4" s="135">
        <f>IF(SER_hh_tes_in!W4=0,"",SER_hh_tes_in!W4/SER_hh_fec_in!W4)</f>
        <v>0.84803654186219624</v>
      </c>
      <c r="X4" s="135">
        <f>IF(SER_hh_tes_in!X4=0,"",SER_hh_tes_in!X4/SER_hh_fec_in!X4)</f>
        <v>0.85972288749430315</v>
      </c>
      <c r="Y4" s="135">
        <f>IF(SER_hh_tes_in!Y4=0,"",SER_hh_tes_in!Y4/SER_hh_fec_in!Y4)</f>
        <v>0.89156962934563178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0.60548377731690906</v>
      </c>
      <c r="D5" s="136">
        <f>IF(SER_hh_tes_in!D5=0,"",SER_hh_tes_in!D5/SER_hh_fec_in!D5)</f>
        <v>0.61169168564044485</v>
      </c>
      <c r="E5" s="136">
        <f>IF(SER_hh_tes_in!E5=0,"",SER_hh_tes_in!E5/SER_hh_fec_in!E5)</f>
        <v>0.61788151865375829</v>
      </c>
      <c r="F5" s="136">
        <f>IF(SER_hh_tes_in!F5=0,"",SER_hh_tes_in!F5/SER_hh_fec_in!F5)</f>
        <v>0.62406888685204132</v>
      </c>
      <c r="G5" s="136">
        <f>IF(SER_hh_tes_in!G5=0,"",SER_hh_tes_in!G5/SER_hh_fec_in!G5)</f>
        <v>0.6302396087527824</v>
      </c>
      <c r="H5" s="136">
        <f>IF(SER_hh_tes_in!H5=0,"",SER_hh_tes_in!H5/SER_hh_fec_in!H5)</f>
        <v>0.6363954199889007</v>
      </c>
      <c r="I5" s="136">
        <f>IF(SER_hh_tes_in!I5=0,"",SER_hh_tes_in!I5/SER_hh_fec_in!I5)</f>
        <v>0.6425328262426917</v>
      </c>
      <c r="J5" s="136">
        <f>IF(SER_hh_tes_in!J5=0,"",SER_hh_tes_in!J5/SER_hh_fec_in!J5)</f>
        <v>0.64863751252790092</v>
      </c>
      <c r="K5" s="136">
        <f>IF(SER_hh_tes_in!K5=0,"",SER_hh_tes_in!K5/SER_hh_fec_in!K5)</f>
        <v>0.65469730734092013</v>
      </c>
      <c r="L5" s="136">
        <f>IF(SER_hh_tes_in!L5=0,"",SER_hh_tes_in!L5/SER_hh_fec_in!L5)</f>
        <v>0.66070895430552812</v>
      </c>
      <c r="M5" s="136">
        <f>IF(SER_hh_tes_in!M5=0,"",SER_hh_tes_in!M5/SER_hh_fec_in!M5)</f>
        <v>0.66626517681944675</v>
      </c>
      <c r="N5" s="136">
        <f>IF(SER_hh_tes_in!N5=0,"",SER_hh_tes_in!N5/SER_hh_fec_in!N5)</f>
        <v>0.67122798136284545</v>
      </c>
      <c r="O5" s="136">
        <f>IF(SER_hh_tes_in!O5=0,"",SER_hh_tes_in!O5/SER_hh_fec_in!O5)</f>
        <v>0.67560121744663304</v>
      </c>
      <c r="P5" s="136">
        <f>IF(SER_hh_tes_in!P5=0,"",SER_hh_tes_in!P5/SER_hh_fec_in!P5)</f>
        <v>0.67985133831616984</v>
      </c>
      <c r="Q5" s="136">
        <f>IF(SER_hh_tes_in!Q5=0,"",SER_hh_tes_in!Q5/SER_hh_fec_in!Q5)</f>
        <v>0.68534019652505684</v>
      </c>
      <c r="R5" s="136">
        <f>IF(SER_hh_tes_in!R5=0,"",SER_hh_tes_in!R5/SER_hh_fec_in!R5)</f>
        <v>0.69375845798962954</v>
      </c>
      <c r="S5" s="136">
        <f>IF(SER_hh_tes_in!S5=0,"",SER_hh_tes_in!S5/SER_hh_fec_in!S5)</f>
        <v>0.70380928696705169</v>
      </c>
      <c r="T5" s="136">
        <f>IF(SER_hh_tes_in!T5=0,"",SER_hh_tes_in!T5/SER_hh_fec_in!T5)</f>
        <v>0.71443841631891902</v>
      </c>
      <c r="U5" s="136">
        <f>IF(SER_hh_tes_in!U5=0,"",SER_hh_tes_in!U5/SER_hh_fec_in!U5)</f>
        <v>0.72459157890685799</v>
      </c>
      <c r="V5" s="136">
        <f>IF(SER_hh_tes_in!V5=0,"",SER_hh_tes_in!V5/SER_hh_fec_in!V5)</f>
        <v>0.73321450759248075</v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0.50784230845753231</v>
      </c>
      <c r="D7" s="136">
        <f>IF(SER_hh_tes_in!D7=0,"",SER_hh_tes_in!D7/SER_hh_fec_in!D7)</f>
        <v>0.51272403315207626</v>
      </c>
      <c r="E7" s="136">
        <f>IF(SER_hh_tes_in!E7=0,"",SER_hh_tes_in!E7/SER_hh_fec_in!E7)</f>
        <v>0.517865638210668</v>
      </c>
      <c r="F7" s="136">
        <f>IF(SER_hh_tes_in!F7=0,"",SER_hh_tes_in!F7/SER_hh_fec_in!F7)</f>
        <v>0.52297915205461754</v>
      </c>
      <c r="G7" s="136">
        <f>IF(SER_hh_tes_in!G7=0,"",SER_hh_tes_in!G7/SER_hh_fec_in!G7)</f>
        <v>0.52832136448455713</v>
      </c>
      <c r="H7" s="136">
        <f>IF(SER_hh_tes_in!H7=0,"",SER_hh_tes_in!H7/SER_hh_fec_in!H7)</f>
        <v>0.53385745364491488</v>
      </c>
      <c r="I7" s="136">
        <f>IF(SER_hh_tes_in!I7=0,"",SER_hh_tes_in!I7/SER_hh_fec_in!I7)</f>
        <v>0.53964718453992166</v>
      </c>
      <c r="J7" s="136">
        <f>IF(SER_hh_tes_in!J7=0,"",SER_hh_tes_in!J7/SER_hh_fec_in!J7)</f>
        <v>0.54594326257632475</v>
      </c>
      <c r="K7" s="136">
        <f>IF(SER_hh_tes_in!K7=0,"",SER_hh_tes_in!K7/SER_hh_fec_in!K7)</f>
        <v>0.55295577225367032</v>
      </c>
      <c r="L7" s="136">
        <f>IF(SER_hh_tes_in!L7=0,"",SER_hh_tes_in!L7/SER_hh_fec_in!L7)</f>
        <v>0.56073232714076782</v>
      </c>
      <c r="M7" s="136">
        <f>IF(SER_hh_tes_in!M7=0,"",SER_hh_tes_in!M7/SER_hh_fec_in!M7)</f>
        <v>0.57480308991949258</v>
      </c>
      <c r="N7" s="136" t="str">
        <f>IF(SER_hh_tes_in!N7=0,"",SER_hh_tes_in!N7/SER_hh_fec_in!N7)</f>
        <v/>
      </c>
      <c r="O7" s="136" t="str">
        <f>IF(SER_hh_tes_in!O7=0,"",SER_hh_tes_in!O7/SER_hh_fec_in!O7)</f>
        <v/>
      </c>
      <c r="P7" s="136" t="str">
        <f>IF(SER_hh_tes_in!P7=0,"",SER_hh_tes_in!P7/SER_hh_fec_in!P7)</f>
        <v/>
      </c>
      <c r="Q7" s="136">
        <f>IF(SER_hh_tes_in!Q7=0,"",SER_hh_tes_in!Q7/SER_hh_fec_in!Q7)</f>
        <v>0.6914981193428662</v>
      </c>
      <c r="R7" s="136">
        <f>IF(SER_hh_tes_in!R7=0,"",SER_hh_tes_in!R7/SER_hh_fec_in!R7)</f>
        <v>0.70230046178863759</v>
      </c>
      <c r="S7" s="136">
        <f>IF(SER_hh_tes_in!S7=0,"",SER_hh_tes_in!S7/SER_hh_fec_in!S7)</f>
        <v>0.70738503530606645</v>
      </c>
      <c r="T7" s="136">
        <f>IF(SER_hh_tes_in!T7=0,"",SER_hh_tes_in!T7/SER_hh_fec_in!T7)</f>
        <v>0.7090728477418573</v>
      </c>
      <c r="U7" s="136">
        <f>IF(SER_hh_tes_in!U7=0,"",SER_hh_tes_in!U7/SER_hh_fec_in!U7)</f>
        <v>0.70956752855733307</v>
      </c>
      <c r="V7" s="136">
        <f>IF(SER_hh_tes_in!V7=0,"",SER_hh_tes_in!V7/SER_hh_fec_in!V7)</f>
        <v>0.71098814118105769</v>
      </c>
      <c r="W7" s="136">
        <f>IF(SER_hh_tes_in!W7=0,"",SER_hh_tes_in!W7/SER_hh_fec_in!W7)</f>
        <v>0.71295386494826329</v>
      </c>
      <c r="X7" s="136">
        <f>IF(SER_hh_tes_in!X7=0,"",SER_hh_tes_in!X7/SER_hh_fec_in!X7)</f>
        <v>0.71410108477757173</v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1.1517894311862216</v>
      </c>
      <c r="D8" s="136">
        <f>IF(SER_hh_tes_in!D8=0,"",SER_hh_tes_in!D8/SER_hh_fec_in!D8)</f>
        <v>1.2141421611440422</v>
      </c>
      <c r="E8" s="136">
        <f>IF(SER_hh_tes_in!E8=0,"",SER_hh_tes_in!E8/SER_hh_fec_in!E8)</f>
        <v>1.2773368390131605</v>
      </c>
      <c r="F8" s="136">
        <f>IF(SER_hh_tes_in!F8=0,"",SER_hh_tes_in!F8/SER_hh_fec_in!F8)</f>
        <v>1.3407192944972139</v>
      </c>
      <c r="G8" s="136">
        <f>IF(SER_hh_tes_in!G8=0,"",SER_hh_tes_in!G8/SER_hh_fec_in!G8)</f>
        <v>1.40490767982191</v>
      </c>
      <c r="H8" s="136">
        <f>IF(SER_hh_tes_in!H8=0,"",SER_hh_tes_in!H8/SER_hh_fec_in!H8)</f>
        <v>1.4698392174534849</v>
      </c>
      <c r="I8" s="136">
        <f>IF(SER_hh_tes_in!I8=0,"",SER_hh_tes_in!I8/SER_hh_fec_in!I8)</f>
        <v>1.5356744861563301</v>
      </c>
      <c r="J8" s="136">
        <f>IF(SER_hh_tes_in!J8=0,"",SER_hh_tes_in!J8/SER_hh_fec_in!J8)</f>
        <v>1.6030387113322113</v>
      </c>
      <c r="K8" s="136">
        <f>IF(SER_hh_tes_in!K8=0,"",SER_hh_tes_in!K8/SER_hh_fec_in!K8)</f>
        <v>1.672467520998834</v>
      </c>
      <c r="L8" s="136">
        <f>IF(SER_hh_tes_in!L8=0,"",SER_hh_tes_in!L8/SER_hh_fec_in!L8)</f>
        <v>1.7441153615569254</v>
      </c>
      <c r="M8" s="136">
        <f>IF(SER_hh_tes_in!M8=0,"",SER_hh_tes_in!M8/SER_hh_fec_in!M8)</f>
        <v>1.8329792008497832</v>
      </c>
      <c r="N8" s="136">
        <f>IF(SER_hh_tes_in!N8=0,"",SER_hh_tes_in!N8/SER_hh_fec_in!N8)</f>
        <v>1.9442026167816964</v>
      </c>
      <c r="O8" s="136">
        <f>IF(SER_hh_tes_in!O8=0,"",SER_hh_tes_in!O8/SER_hh_fec_in!O8)</f>
        <v>2.0797577508481293</v>
      </c>
      <c r="P8" s="136">
        <f>IF(SER_hh_tes_in!P8=0,"",SER_hh_tes_in!P8/SER_hh_fec_in!P8)</f>
        <v>2.2258468867916474</v>
      </c>
      <c r="Q8" s="136">
        <f>IF(SER_hh_tes_in!Q8=0,"",SER_hh_tes_in!Q8/SER_hh_fec_in!Q8)</f>
        <v>2.3402233791846427</v>
      </c>
      <c r="R8" s="136">
        <f>IF(SER_hh_tes_in!R8=0,"",SER_hh_tes_in!R8/SER_hh_fec_in!R8)</f>
        <v>2.4446127254404502</v>
      </c>
      <c r="S8" s="136">
        <f>IF(SER_hh_tes_in!S8=0,"",SER_hh_tes_in!S8/SER_hh_fec_in!S8)</f>
        <v>2.512761272283965</v>
      </c>
      <c r="T8" s="136">
        <f>IF(SER_hh_tes_in!T8=0,"",SER_hh_tes_in!T8/SER_hh_fec_in!T8)</f>
        <v>2.5559954430534333</v>
      </c>
      <c r="U8" s="136">
        <f>IF(SER_hh_tes_in!U8=0,"",SER_hh_tes_in!U8/SER_hh_fec_in!U8)</f>
        <v>2.5857339882744128</v>
      </c>
      <c r="V8" s="136">
        <f>IF(SER_hh_tes_in!V8=0,"",SER_hh_tes_in!V8/SER_hh_fec_in!V8)</f>
        <v>2.6130527107426182</v>
      </c>
      <c r="W8" s="136">
        <f>IF(SER_hh_tes_in!W8=0,"",SER_hh_tes_in!W8/SER_hh_fec_in!W8)</f>
        <v>2.6397085928524486</v>
      </c>
      <c r="X8" s="136">
        <f>IF(SER_hh_tes_in!X8=0,"",SER_hh_tes_in!X8/SER_hh_fec_in!X8)</f>
        <v>2.6616278162073681</v>
      </c>
      <c r="Y8" s="136">
        <f>IF(SER_hh_tes_in!Y8=0,"",SER_hh_tes_in!Y8/SER_hh_fec_in!Y8)</f>
        <v>2.6802080824408159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0.54274261907191401</v>
      </c>
      <c r="D9" s="136">
        <f>IF(SER_hh_tes_in!D9=0,"",SER_hh_tes_in!D9/SER_hh_fec_in!D9)</f>
        <v>0.54731450467247711</v>
      </c>
      <c r="E9" s="136">
        <f>IF(SER_hh_tes_in!E9=0,"",SER_hh_tes_in!E9/SER_hh_fec_in!E9)</f>
        <v>0.55217401731554705</v>
      </c>
      <c r="F9" s="136">
        <f>IF(SER_hh_tes_in!F9=0,"",SER_hh_tes_in!F9/SER_hh_fec_in!F9)</f>
        <v>0.55701570619864704</v>
      </c>
      <c r="G9" s="136">
        <f>IF(SER_hh_tes_in!G9=0,"",SER_hh_tes_in!G9/SER_hh_fec_in!G9)</f>
        <v>0.56211497528699661</v>
      </c>
      <c r="H9" s="136">
        <f>IF(SER_hh_tes_in!H9=0,"",SER_hh_tes_in!H9/SER_hh_fec_in!H9)</f>
        <v>0.56743662803354422</v>
      </c>
      <c r="I9" s="136">
        <f>IF(SER_hh_tes_in!I9=0,"",SER_hh_tes_in!I9/SER_hh_fec_in!I9)</f>
        <v>0.57304695843721132</v>
      </c>
      <c r="J9" s="136">
        <f>IF(SER_hh_tes_in!J9=0,"",SER_hh_tes_in!J9/SER_hh_fec_in!J9)</f>
        <v>0.57922100967930623</v>
      </c>
      <c r="K9" s="136">
        <f>IF(SER_hh_tes_in!K9=0,"",SER_hh_tes_in!K9/SER_hh_fec_in!K9)</f>
        <v>0.58619037266398322</v>
      </c>
      <c r="L9" s="136">
        <f>IF(SER_hh_tes_in!L9=0,"",SER_hh_tes_in!L9/SER_hh_fec_in!L9)</f>
        <v>0.59401286671900722</v>
      </c>
      <c r="M9" s="136">
        <f>IF(SER_hh_tes_in!M9=0,"",SER_hh_tes_in!M9/SER_hh_fec_in!M9)</f>
        <v>0.60848197225003964</v>
      </c>
      <c r="N9" s="136">
        <f>IF(SER_hh_tes_in!N9=0,"",SER_hh_tes_in!N9/SER_hh_fec_in!N9)</f>
        <v>0.63139935705374028</v>
      </c>
      <c r="O9" s="136">
        <f>IF(SER_hh_tes_in!O9=0,"",SER_hh_tes_in!O9/SER_hh_fec_in!O9)</f>
        <v>0.66396331908754669</v>
      </c>
      <c r="P9" s="136">
        <f>IF(SER_hh_tes_in!P9=0,"",SER_hh_tes_in!P9/SER_hh_fec_in!P9)</f>
        <v>0.70231129375220225</v>
      </c>
      <c r="Q9" s="136">
        <f>IF(SER_hh_tes_in!Q9=0,"",SER_hh_tes_in!Q9/SER_hh_fec_in!Q9)</f>
        <v>0.73463339605822064</v>
      </c>
      <c r="R9" s="136">
        <f>IF(SER_hh_tes_in!R9=0,"",SER_hh_tes_in!R9/SER_hh_fec_in!R9)</f>
        <v>0.75101830915161127</v>
      </c>
      <c r="S9" s="136">
        <f>IF(SER_hh_tes_in!S9=0,"",SER_hh_tes_in!S9/SER_hh_fec_in!S9)</f>
        <v>0.7635362634843601</v>
      </c>
      <c r="T9" s="136">
        <f>IF(SER_hh_tes_in!T9=0,"",SER_hh_tes_in!T9/SER_hh_fec_in!T9)</f>
        <v>0.77368616832381609</v>
      </c>
      <c r="U9" s="136">
        <f>IF(SER_hh_tes_in!U9=0,"",SER_hh_tes_in!U9/SER_hh_fec_in!U9)</f>
        <v>0.78250293347293431</v>
      </c>
      <c r="V9" s="136">
        <f>IF(SER_hh_tes_in!V9=0,"",SER_hh_tes_in!V9/SER_hh_fec_in!V9)</f>
        <v>0.7904976489078327</v>
      </c>
      <c r="W9" s="136">
        <f>IF(SER_hh_tes_in!W9=0,"",SER_hh_tes_in!W9/SER_hh_fec_in!W9)</f>
        <v>0.79644401924208896</v>
      </c>
      <c r="X9" s="136">
        <f>IF(SER_hh_tes_in!X9=0,"",SER_hh_tes_in!X9/SER_hh_fec_in!X9)</f>
        <v>0.80016665513828233</v>
      </c>
      <c r="Y9" s="136">
        <f>IF(SER_hh_tes_in!Y9=0,"",SER_hh_tes_in!Y9/SER_hh_fec_in!Y9)</f>
        <v>0.80270777172134733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>
        <f>IF(SER_hh_tes_in!H10=0,"",SER_hh_tes_in!H10/SER_hh_fec_in!H10)</f>
        <v>0.55147288298458963</v>
      </c>
      <c r="I10" s="136">
        <f>IF(SER_hh_tes_in!I10=0,"",SER_hh_tes_in!I10/SER_hh_fec_in!I10)</f>
        <v>0.55176091407406314</v>
      </c>
      <c r="J10" s="136">
        <f>IF(SER_hh_tes_in!J10=0,"",SER_hh_tes_in!J10/SER_hh_fec_in!J10)</f>
        <v>0.55204933805583012</v>
      </c>
      <c r="K10" s="136">
        <f>IF(SER_hh_tes_in!K10=0,"",SER_hh_tes_in!K10/SER_hh_fec_in!K10)</f>
        <v>0.55233691664076712</v>
      </c>
      <c r="L10" s="136">
        <f>IF(SER_hh_tes_in!L10=0,"",SER_hh_tes_in!L10/SER_hh_fec_in!L10)</f>
        <v>0.55262255078085998</v>
      </c>
      <c r="M10" s="136">
        <f>IF(SER_hh_tes_in!M10=0,"",SER_hh_tes_in!M10/SER_hh_fec_in!M10)</f>
        <v>0.55288492923347166</v>
      </c>
      <c r="N10" s="136">
        <f>IF(SER_hh_tes_in!N10=0,"",SER_hh_tes_in!N10/SER_hh_fec_in!N10)</f>
        <v>0.55311239089591291</v>
      </c>
      <c r="O10" s="136">
        <f>IF(SER_hh_tes_in!O10=0,"",SER_hh_tes_in!O10/SER_hh_fec_in!O10)</f>
        <v>0.55329820084392745</v>
      </c>
      <c r="P10" s="136">
        <f>IF(SER_hh_tes_in!P10=0,"",SER_hh_tes_in!P10/SER_hh_fec_in!P10)</f>
        <v>0.55345845581268571</v>
      </c>
      <c r="Q10" s="136">
        <f>IF(SER_hh_tes_in!Q10=0,"",SER_hh_tes_in!Q10/SER_hh_fec_in!Q10)</f>
        <v>0.55364966995238174</v>
      </c>
      <c r="R10" s="136">
        <f>IF(SER_hh_tes_in!R10=0,"",SER_hh_tes_in!R10/SER_hh_fec_in!R10)</f>
        <v>0.55393608400452043</v>
      </c>
      <c r="S10" s="136">
        <f>IF(SER_hh_tes_in!S10=0,"",SER_hh_tes_in!S10/SER_hh_fec_in!S10)</f>
        <v>0.55425843959883592</v>
      </c>
      <c r="T10" s="136">
        <f>IF(SER_hh_tes_in!T10=0,"",SER_hh_tes_in!T10/SER_hh_fec_in!T10)</f>
        <v>0.55458359338557361</v>
      </c>
      <c r="U10" s="136">
        <f>IF(SER_hh_tes_in!U10=0,"",SER_hh_tes_in!U10/SER_hh_fec_in!U10)</f>
        <v>0.55488395385873623</v>
      </c>
      <c r="V10" s="136">
        <f>IF(SER_hh_tes_in!V10=0,"",SER_hh_tes_in!V10/SER_hh_fec_in!V10)</f>
        <v>0.55513590294438009</v>
      </c>
      <c r="W10" s="136">
        <f>IF(SER_hh_tes_in!W10=0,"",SER_hh_tes_in!W10/SER_hh_fec_in!W10)</f>
        <v>0.55533830023079778</v>
      </c>
      <c r="X10" s="136">
        <f>IF(SER_hh_tes_in!X10=0,"",SER_hh_tes_in!X10/SER_hh_fec_in!X10)</f>
        <v>0.56067865366711578</v>
      </c>
      <c r="Y10" s="136">
        <f>IF(SER_hh_tes_in!Y10=0,"",SER_hh_tes_in!Y10/SER_hh_fec_in!Y10)</f>
        <v>0.56571142143679798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0.80215837969245252</v>
      </c>
      <c r="D11" s="136">
        <f>IF(SER_hh_tes_in!D11=0,"",SER_hh_tes_in!D11/SER_hh_fec_in!D11)</f>
        <v>0.80613936810480291</v>
      </c>
      <c r="E11" s="136">
        <f>IF(SER_hh_tes_in!E11=0,"",SER_hh_tes_in!E11/SER_hh_fec_in!E11)</f>
        <v>0.81012096263095357</v>
      </c>
      <c r="F11" s="136">
        <f>IF(SER_hh_tes_in!F11=0,"",SER_hh_tes_in!F11/SER_hh_fec_in!F11)</f>
        <v>0.81410263980898623</v>
      </c>
      <c r="G11" s="136">
        <f>IF(SER_hh_tes_in!G11=0,"",SER_hh_tes_in!G11/SER_hh_fec_in!G11)</f>
        <v>0.81808487518217821</v>
      </c>
      <c r="H11" s="136">
        <f>IF(SER_hh_tes_in!H11=0,"",SER_hh_tes_in!H11/SER_hh_fec_in!H11)</f>
        <v>0.82206761055008637</v>
      </c>
      <c r="I11" s="136">
        <f>IF(SER_hh_tes_in!I11=0,"",SER_hh_tes_in!I11/SER_hh_fec_in!I11)</f>
        <v>0.82605096308658887</v>
      </c>
      <c r="J11" s="136">
        <f>IF(SER_hh_tes_in!J11=0,"",SER_hh_tes_in!J11/SER_hh_fec_in!J11)</f>
        <v>0.83003541281170323</v>
      </c>
      <c r="K11" s="136">
        <f>IF(SER_hh_tes_in!K11=0,"",SER_hh_tes_in!K11/SER_hh_fec_in!K11)</f>
        <v>0.83402136786870318</v>
      </c>
      <c r="L11" s="136">
        <f>IF(SER_hh_tes_in!L11=0,"",SER_hh_tes_in!L11/SER_hh_fec_in!L11)</f>
        <v>0.83800893745264804</v>
      </c>
      <c r="M11" s="136">
        <f>IF(SER_hh_tes_in!M11=0,"",SER_hh_tes_in!M11/SER_hh_fec_in!M11)</f>
        <v>0.84203911903651596</v>
      </c>
      <c r="N11" s="136">
        <f>IF(SER_hh_tes_in!N11=0,"",SER_hh_tes_in!N11/SER_hh_fec_in!N11)</f>
        <v>0.84612724537180972</v>
      </c>
      <c r="O11" s="136">
        <f>IF(SER_hh_tes_in!O11=0,"",SER_hh_tes_in!O11/SER_hh_fec_in!O11)</f>
        <v>0.85025470158266969</v>
      </c>
      <c r="P11" s="136">
        <f>IF(SER_hh_tes_in!P11=0,"",SER_hh_tes_in!P11/SER_hh_fec_in!P11)</f>
        <v>0.85433521271775603</v>
      </c>
      <c r="Q11" s="136">
        <f>IF(SER_hh_tes_in!Q11=0,"",SER_hh_tes_in!Q11/SER_hh_fec_in!Q11)</f>
        <v>0.85812876704091234</v>
      </c>
      <c r="R11" s="136">
        <f>IF(SER_hh_tes_in!R11=0,"",SER_hh_tes_in!R11/SER_hh_fec_in!R11)</f>
        <v>0.86143839819499879</v>
      </c>
      <c r="S11" s="136">
        <f>IF(SER_hh_tes_in!S11=0,"",SER_hh_tes_in!S11/SER_hh_fec_in!S11)</f>
        <v>0.86448616327322458</v>
      </c>
      <c r="T11" s="136">
        <f>IF(SER_hh_tes_in!T11=0,"",SER_hh_tes_in!T11/SER_hh_fec_in!T11)</f>
        <v>0.86732550987360391</v>
      </c>
      <c r="U11" s="136">
        <f>IF(SER_hh_tes_in!U11=0,"",SER_hh_tes_in!U11/SER_hh_fec_in!U11)</f>
        <v>0.87000988559416004</v>
      </c>
      <c r="V11" s="136">
        <f>IF(SER_hh_tes_in!V11=0,"",SER_hh_tes_in!V11/SER_hh_fec_in!V11)</f>
        <v>0.87259273803291271</v>
      </c>
      <c r="W11" s="136">
        <f>IF(SER_hh_tes_in!W11=0,"",SER_hh_tes_in!W11/SER_hh_fec_in!W11)</f>
        <v>0.87500764234011941</v>
      </c>
      <c r="X11" s="136">
        <f>IF(SER_hh_tes_in!X11=0,"",SER_hh_tes_in!X11/SER_hh_fec_in!X11)</f>
        <v>0.87763259047161624</v>
      </c>
      <c r="Y11" s="136">
        <f>IF(SER_hh_tes_in!Y11=0,"",SER_hh_tes_in!Y11/SER_hh_fec_in!Y11)</f>
        <v>0.88014914514922582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0.80638010150961859</v>
      </c>
      <c r="D12" s="136">
        <f>IF(SER_hh_tes_in!D12=0,"",SER_hh_tes_in!D12/SER_hh_fec_in!D12)</f>
        <v>0.80852211180175582</v>
      </c>
      <c r="E12" s="136">
        <f>IF(SER_hh_tes_in!E12=0,"",SER_hh_tes_in!E12/SER_hh_fec_in!E12)</f>
        <v>0.81072195078345954</v>
      </c>
      <c r="F12" s="136">
        <f>IF(SER_hh_tes_in!F12=0,"",SER_hh_tes_in!F12/SER_hh_fec_in!F12)</f>
        <v>0.81292967549555861</v>
      </c>
      <c r="G12" s="136">
        <f>IF(SER_hh_tes_in!G12=0,"",SER_hh_tes_in!G12/SER_hh_fec_in!G12)</f>
        <v>0.81519065702932025</v>
      </c>
      <c r="H12" s="136">
        <f>IF(SER_hh_tes_in!H12=0,"",SER_hh_tes_in!H12/SER_hh_fec_in!H12)</f>
        <v>0.81749934254077983</v>
      </c>
      <c r="I12" s="136">
        <f>IF(SER_hh_tes_in!I12=0,"",SER_hh_tes_in!I12/SER_hh_fec_in!I12)</f>
        <v>0.81986691146815116</v>
      </c>
      <c r="J12" s="136">
        <f>IF(SER_hh_tes_in!J12=0,"",SER_hh_tes_in!J12/SER_hh_fec_in!J12)</f>
        <v>0.82233916202381097</v>
      </c>
      <c r="K12" s="136">
        <f>IF(SER_hh_tes_in!K12=0,"",SER_hh_tes_in!K12/SER_hh_fec_in!K12)</f>
        <v>0.82495503473464049</v>
      </c>
      <c r="L12" s="136">
        <f>IF(SER_hh_tes_in!L12=0,"",SER_hh_tes_in!L12/SER_hh_fec_in!L12)</f>
        <v>0.82772494778806138</v>
      </c>
      <c r="M12" s="136">
        <f>IF(SER_hh_tes_in!M12=0,"",SER_hh_tes_in!M12/SER_hh_fec_in!M12)</f>
        <v>0.83156023820919933</v>
      </c>
      <c r="N12" s="136">
        <f>IF(SER_hh_tes_in!N12=0,"",SER_hh_tes_in!N12/SER_hh_fec_in!N12)</f>
        <v>0.83674904790247906</v>
      </c>
      <c r="O12" s="136">
        <f>IF(SER_hh_tes_in!O12=0,"",SER_hh_tes_in!O12/SER_hh_fec_in!O12)</f>
        <v>0.84354396826050604</v>
      </c>
      <c r="P12" s="136">
        <f>IF(SER_hh_tes_in!P12=0,"",SER_hh_tes_in!P12/SER_hh_fec_in!P12)</f>
        <v>0.8514644256395647</v>
      </c>
      <c r="Q12" s="136">
        <f>IF(SER_hh_tes_in!Q12=0,"",SER_hh_tes_in!Q12/SER_hh_fec_in!Q12)</f>
        <v>0.85893719544889235</v>
      </c>
      <c r="R12" s="136">
        <f>IF(SER_hh_tes_in!R12=0,"",SER_hh_tes_in!R12/SER_hh_fec_in!R12)</f>
        <v>0.8646633295436057</v>
      </c>
      <c r="S12" s="136">
        <f>IF(SER_hh_tes_in!S12=0,"",SER_hh_tes_in!S12/SER_hh_fec_in!S12)</f>
        <v>0.87023390078963292</v>
      </c>
      <c r="T12" s="136">
        <f>IF(SER_hh_tes_in!T12=0,"",SER_hh_tes_in!T12/SER_hh_fec_in!T12)</f>
        <v>0.87561168901843278</v>
      </c>
      <c r="U12" s="136">
        <f>IF(SER_hh_tes_in!U12=0,"",SER_hh_tes_in!U12/SER_hh_fec_in!U12)</f>
        <v>0.88075947406148147</v>
      </c>
      <c r="V12" s="136">
        <f>IF(SER_hh_tes_in!V12=0,"",SER_hh_tes_in!V12/SER_hh_fec_in!V12)</f>
        <v>0.88564003575024841</v>
      </c>
      <c r="W12" s="136">
        <f>IF(SER_hh_tes_in!W12=0,"",SER_hh_tes_in!W12/SER_hh_fec_in!W12)</f>
        <v>0.890135973770254</v>
      </c>
      <c r="X12" s="136">
        <f>IF(SER_hh_tes_in!X12=0,"",SER_hh_tes_in!X12/SER_hh_fec_in!X12)</f>
        <v>0.89487394872317982</v>
      </c>
      <c r="Y12" s="136">
        <f>IF(SER_hh_tes_in!Y12=0,"",SER_hh_tes_in!Y12/SER_hh_fec_in!Y12)</f>
        <v>0.89942688433357809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1.5583137598994681</v>
      </c>
      <c r="D13" s="136">
        <f>IF(SER_hh_tes_in!D13=0,"",SER_hh_tes_in!D13/SER_hh_fec_in!D13)</f>
        <v>1.6505887233822443</v>
      </c>
      <c r="E13" s="136">
        <f>IF(SER_hh_tes_in!E13=0,"",SER_hh_tes_in!E13/SER_hh_fec_in!E13)</f>
        <v>1.7444172574690104</v>
      </c>
      <c r="F13" s="136">
        <f>IF(SER_hh_tes_in!F13=0,"",SER_hh_tes_in!F13/SER_hh_fec_in!F13)</f>
        <v>1.8388947855572257</v>
      </c>
      <c r="G13" s="136">
        <f>IF(SER_hh_tes_in!G13=0,"",SER_hh_tes_in!G13/SER_hh_fec_in!G13)</f>
        <v>1.9348454927346916</v>
      </c>
      <c r="H13" s="136">
        <f>IF(SER_hh_tes_in!H13=0,"",SER_hh_tes_in!H13/SER_hh_fec_in!H13)</f>
        <v>2.0321702306732932</v>
      </c>
      <c r="I13" s="136">
        <f>IF(SER_hh_tes_in!I13=0,"",SER_hh_tes_in!I13/SER_hh_fec_in!I13)</f>
        <v>2.1310738812359427</v>
      </c>
      <c r="J13" s="136">
        <f>IF(SER_hh_tes_in!J13=0,"",SER_hh_tes_in!J13/SER_hh_fec_in!J13)</f>
        <v>2.2323917780889615</v>
      </c>
      <c r="K13" s="136">
        <f>IF(SER_hh_tes_in!K13=0,"",SER_hh_tes_in!K13/SER_hh_fec_in!K13)</f>
        <v>2.3368367578391296</v>
      </c>
      <c r="L13" s="136">
        <f>IF(SER_hh_tes_in!L13=0,"",SER_hh_tes_in!L13/SER_hh_fec_in!L13)</f>
        <v>2.4446042366541505</v>
      </c>
      <c r="M13" s="136">
        <f>IF(SER_hh_tes_in!M13=0,"",SER_hh_tes_in!M13/SER_hh_fec_in!M13)</f>
        <v>2.5763815581595377</v>
      </c>
      <c r="N13" s="136">
        <f>IF(SER_hh_tes_in!N13=0,"",SER_hh_tes_in!N13/SER_hh_fec_in!N13)</f>
        <v>2.7393025317030406</v>
      </c>
      <c r="O13" s="136">
        <f>IF(SER_hh_tes_in!O13=0,"",SER_hh_tes_in!O13/SER_hh_fec_in!O13)</f>
        <v>2.935818004586082</v>
      </c>
      <c r="P13" s="136">
        <f>IF(SER_hh_tes_in!P13=0,"",SER_hh_tes_in!P13/SER_hh_fec_in!P13)</f>
        <v>3.1461130165472992</v>
      </c>
      <c r="Q13" s="136">
        <f>IF(SER_hh_tes_in!Q13=0,"",SER_hh_tes_in!Q13/SER_hh_fec_in!Q13)</f>
        <v>3.3096527228192096</v>
      </c>
      <c r="R13" s="136">
        <f>IF(SER_hh_tes_in!R13=0,"",SER_hh_tes_in!R13/SER_hh_fec_in!R13)</f>
        <v>3.4654866960270319</v>
      </c>
      <c r="S13" s="136">
        <f>IF(SER_hh_tes_in!S13=0,"",SER_hh_tes_in!S13/SER_hh_fec_in!S13)</f>
        <v>3.5664102721622655</v>
      </c>
      <c r="T13" s="136">
        <f>IF(SER_hh_tes_in!T13=0,"",SER_hh_tes_in!T13/SER_hh_fec_in!T13)</f>
        <v>3.6293237801608673</v>
      </c>
      <c r="U13" s="136">
        <f>IF(SER_hh_tes_in!U13=0,"",SER_hh_tes_in!U13/SER_hh_fec_in!U13)</f>
        <v>3.6716466971960795</v>
      </c>
      <c r="V13" s="136">
        <f>IF(SER_hh_tes_in!V13=0,"",SER_hh_tes_in!V13/SER_hh_fec_in!V13)</f>
        <v>3.7105803746595902</v>
      </c>
      <c r="W13" s="136">
        <f>IF(SER_hh_tes_in!W13=0,"",SER_hh_tes_in!W13/SER_hh_fec_in!W13)</f>
        <v>3.7495365996537848</v>
      </c>
      <c r="X13" s="136">
        <f>IF(SER_hh_tes_in!X13=0,"",SER_hh_tes_in!X13/SER_hh_fec_in!X13)</f>
        <v>3.7821835881405899</v>
      </c>
      <c r="Y13" s="136">
        <f>IF(SER_hh_tes_in!Y13=0,"",SER_hh_tes_in!Y13/SER_hh_fec_in!Y13)</f>
        <v>3.8101852663435518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 t="str">
        <f>IF(SER_hh_tes_in!C14=0,"",SER_hh_tes_in!C14/SER_hh_fec_in!C14)</f>
        <v/>
      </c>
      <c r="D14" s="137" t="str">
        <f>IF(SER_hh_tes_in!D14=0,"",SER_hh_tes_in!D14/SER_hh_fec_in!D14)</f>
        <v/>
      </c>
      <c r="E14" s="137" t="str">
        <f>IF(SER_hh_tes_in!E14=0,"",SER_hh_tes_in!E14/SER_hh_fec_in!E14)</f>
        <v/>
      </c>
      <c r="F14" s="137" t="str">
        <f>IF(SER_hh_tes_in!F14=0,"",SER_hh_tes_in!F14/SER_hh_fec_in!F14)</f>
        <v/>
      </c>
      <c r="G14" s="137">
        <f>IF(SER_hh_tes_in!G14=0,"",SER_hh_tes_in!G14/SER_hh_fec_in!G14)</f>
        <v>0.74532487847842666</v>
      </c>
      <c r="H14" s="137">
        <f>IF(SER_hh_tes_in!H14=0,"",SER_hh_tes_in!H14/SER_hh_fec_in!H14)</f>
        <v>0.74891342597372013</v>
      </c>
      <c r="I14" s="137">
        <f>IF(SER_hh_tes_in!I14=0,"",SER_hh_tes_in!I14/SER_hh_fec_in!I14)</f>
        <v>0.75249182308863949</v>
      </c>
      <c r="J14" s="137">
        <f>IF(SER_hh_tes_in!J14=0,"",SER_hh_tes_in!J14/SER_hh_fec_in!J14)</f>
        <v>0.75605251064770829</v>
      </c>
      <c r="K14" s="137">
        <f>IF(SER_hh_tes_in!K14=0,"",SER_hh_tes_in!K14/SER_hh_fec_in!K14)</f>
        <v>0.75958911108391747</v>
      </c>
      <c r="L14" s="137">
        <f>IF(SER_hh_tes_in!L14=0,"",SER_hh_tes_in!L14/SER_hh_fec_in!L14)</f>
        <v>0.76310001112825332</v>
      </c>
      <c r="M14" s="137">
        <f>IF(SER_hh_tes_in!M14=0,"",SER_hh_tes_in!M14/SER_hh_fec_in!M14)</f>
        <v>0.76593928100940867</v>
      </c>
      <c r="N14" s="137">
        <f>IF(SER_hh_tes_in!N14=0,"",SER_hh_tes_in!N14/SER_hh_fec_in!N14)</f>
        <v>0.76787354339434433</v>
      </c>
      <c r="O14" s="137">
        <f>IF(SER_hh_tes_in!O14=0,"",SER_hh_tes_in!O14/SER_hh_fec_in!O14)</f>
        <v>0.76921142608055892</v>
      </c>
      <c r="P14" s="137">
        <f>IF(SER_hh_tes_in!P14=0,"",SER_hh_tes_in!P14/SER_hh_fec_in!P14)</f>
        <v>0.77130667689643939</v>
      </c>
      <c r="Q14" s="137">
        <f>IF(SER_hh_tes_in!Q14=0,"",SER_hh_tes_in!Q14/SER_hh_fec_in!Q14)</f>
        <v>0.77783649518347286</v>
      </c>
      <c r="R14" s="137">
        <f>IF(SER_hh_tes_in!R14=0,"",SER_hh_tes_in!R14/SER_hh_fec_in!R14)</f>
        <v>0.79313004950338784</v>
      </c>
      <c r="S14" s="137">
        <f>IF(SER_hh_tes_in!S14=0,"",SER_hh_tes_in!S14/SER_hh_fec_in!S14)</f>
        <v>0.81373341643058628</v>
      </c>
      <c r="T14" s="137">
        <f>IF(SER_hh_tes_in!T14=0,"",SER_hh_tes_in!T14/SER_hh_fec_in!T14)</f>
        <v>0.8368154580616044</v>
      </c>
      <c r="U14" s="137">
        <f>IF(SER_hh_tes_in!U14=0,"",SER_hh_tes_in!U14/SER_hh_fec_in!U14)</f>
        <v>0.85957101506475264</v>
      </c>
      <c r="V14" s="137">
        <f>IF(SER_hh_tes_in!V14=0,"",SER_hh_tes_in!V14/SER_hh_fec_in!V14)</f>
        <v>0.87919216606985362</v>
      </c>
      <c r="W14" s="137">
        <f>IF(SER_hh_tes_in!W14=0,"",SER_hh_tes_in!W14/SER_hh_fec_in!W14)</f>
        <v>0.89512355201819926</v>
      </c>
      <c r="X14" s="137">
        <f>IF(SER_hh_tes_in!X14=0,"",SER_hh_tes_in!X14/SER_hh_fec_in!X14)</f>
        <v>0.9099556781842022</v>
      </c>
      <c r="Y14" s="137">
        <f>IF(SER_hh_tes_in!Y14=0,"",SER_hh_tes_in!Y14/SER_hh_fec_in!Y14)</f>
        <v>0.92394575120609157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2.3060577547585122</v>
      </c>
      <c r="D16" s="135">
        <f>IF(SER_hh_tes_in!D16=0,"",SER_hh_tes_in!D16/SER_hh_fec_in!D16)</f>
        <v>2.4003735181387911</v>
      </c>
      <c r="E16" s="135">
        <f>IF(SER_hh_tes_in!E16=0,"",SER_hh_tes_in!E16/SER_hh_fec_in!E16)</f>
        <v>2.4967138669061328</v>
      </c>
      <c r="F16" s="135">
        <f>IF(SER_hh_tes_in!F16=0,"",SER_hh_tes_in!F16/SER_hh_fec_in!F16)</f>
        <v>2.5921012150636167</v>
      </c>
      <c r="G16" s="135">
        <f>IF(SER_hh_tes_in!G16=0,"",SER_hh_tes_in!G16/SER_hh_fec_in!G16)</f>
        <v>2.6905308929475722</v>
      </c>
      <c r="H16" s="135">
        <f>IF(SER_hh_tes_in!H16=0,"",SER_hh_tes_in!H16/SER_hh_fec_in!H16)</f>
        <v>2.7916519785526273</v>
      </c>
      <c r="I16" s="135">
        <f>IF(SER_hh_tes_in!I16=0,"",SER_hh_tes_in!I16/SER_hh_fec_in!I16)</f>
        <v>2.8903699919807604</v>
      </c>
      <c r="J16" s="135">
        <f>IF(SER_hh_tes_in!J16=0,"",SER_hh_tes_in!J16/SER_hh_fec_in!J16)</f>
        <v>2.9947437336699023</v>
      </c>
      <c r="K16" s="135">
        <f>IF(SER_hh_tes_in!K16=0,"",SER_hh_tes_in!K16/SER_hh_fec_in!K16)</f>
        <v>3.0979462724719387</v>
      </c>
      <c r="L16" s="135">
        <f>IF(SER_hh_tes_in!L16=0,"",SER_hh_tes_in!L16/SER_hh_fec_in!L16)</f>
        <v>3.2075477689060143</v>
      </c>
      <c r="M16" s="135">
        <f>IF(SER_hh_tes_in!M16=0,"",SER_hh_tes_in!M16/SER_hh_fec_in!M16)</f>
        <v>3.3217132515004804</v>
      </c>
      <c r="N16" s="135">
        <f>IF(SER_hh_tes_in!N16=0,"",SER_hh_tes_in!N16/SER_hh_fec_in!N16)</f>
        <v>3.4624541043090962</v>
      </c>
      <c r="O16" s="135">
        <f>IF(SER_hh_tes_in!O16=0,"",SER_hh_tes_in!O16/SER_hh_fec_in!O16)</f>
        <v>3.6037981123490006</v>
      </c>
      <c r="P16" s="135">
        <f>IF(SER_hh_tes_in!P16=0,"",SER_hh_tes_in!P16/SER_hh_fec_in!P16)</f>
        <v>3.7475456268281215</v>
      </c>
      <c r="Q16" s="135">
        <f>IF(SER_hh_tes_in!Q16=0,"",SER_hh_tes_in!Q16/SER_hh_fec_in!Q16)</f>
        <v>3.8844788035391491</v>
      </c>
      <c r="R16" s="135">
        <f>IF(SER_hh_tes_in!R16=0,"",SER_hh_tes_in!R16/SER_hh_fec_in!R16)</f>
        <v>3.9028165536781958</v>
      </c>
      <c r="S16" s="135">
        <f>IF(SER_hh_tes_in!S16=0,"",SER_hh_tes_in!S16/SER_hh_fec_in!S16)</f>
        <v>4.0204574560303978</v>
      </c>
      <c r="T16" s="135">
        <f>IF(SER_hh_tes_in!T16=0,"",SER_hh_tes_in!T16/SER_hh_fec_in!T16)</f>
        <v>4.0849647755458429</v>
      </c>
      <c r="U16" s="135">
        <f>IF(SER_hh_tes_in!U16=0,"",SER_hh_tes_in!U16/SER_hh_fec_in!U16)</f>
        <v>4.1224183637708673</v>
      </c>
      <c r="V16" s="135">
        <f>IF(SER_hh_tes_in!V16=0,"",SER_hh_tes_in!V16/SER_hh_fec_in!V16)</f>
        <v>4.1530895608152774</v>
      </c>
      <c r="W16" s="135">
        <f>IF(SER_hh_tes_in!W16=0,"",SER_hh_tes_in!W16/SER_hh_fec_in!W16)</f>
        <v>4.1908912848752804</v>
      </c>
      <c r="X16" s="135">
        <f>IF(SER_hh_tes_in!X16=0,"",SER_hh_tes_in!X16/SER_hh_fec_in!X16)</f>
        <v>4.2006486943964383</v>
      </c>
      <c r="Y16" s="135">
        <f>IF(SER_hh_tes_in!Y16=0,"",SER_hh_tes_in!Y16/SER_hh_fec_in!Y16)</f>
        <v>4.1906454501852668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1.1759303719268577</v>
      </c>
      <c r="D17" s="136">
        <f>IF(SER_hh_tes_in!D17=0,"",SER_hh_tes_in!D17/SER_hh_fec_in!D17)</f>
        <v>1.1941703290575412</v>
      </c>
      <c r="E17" s="136">
        <f>IF(SER_hh_tes_in!E17=0,"",SER_hh_tes_in!E17/SER_hh_fec_in!E17)</f>
        <v>1.2121420715073561</v>
      </c>
      <c r="F17" s="136">
        <f>IF(SER_hh_tes_in!F17=0,"",SER_hh_tes_in!F17/SER_hh_fec_in!F17)</f>
        <v>1.229714458904517</v>
      </c>
      <c r="G17" s="136">
        <f>IF(SER_hh_tes_in!G17=0,"",SER_hh_tes_in!G17/SER_hh_fec_in!G17)</f>
        <v>1.2470456670878538</v>
      </c>
      <c r="H17" s="136">
        <f>IF(SER_hh_tes_in!H17=0,"",SER_hh_tes_in!H17/SER_hh_fec_in!H17)</f>
        <v>1.2641380589435847</v>
      </c>
      <c r="I17" s="136">
        <f>IF(SER_hh_tes_in!I17=0,"",SER_hh_tes_in!I17/SER_hh_fec_in!I17)</f>
        <v>1.2810379671105867</v>
      </c>
      <c r="J17" s="136">
        <f>IF(SER_hh_tes_in!J17=0,"",SER_hh_tes_in!J17/SER_hh_fec_in!J17)</f>
        <v>1.2978789232953911</v>
      </c>
      <c r="K17" s="136">
        <f>IF(SER_hh_tes_in!K17=0,"",SER_hh_tes_in!K17/SER_hh_fec_in!K17)</f>
        <v>1.314767835091031</v>
      </c>
      <c r="L17" s="136">
        <f>IF(SER_hh_tes_in!L17=0,"",SER_hh_tes_in!L17/SER_hh_fec_in!L17)</f>
        <v>1.3317315469282534</v>
      </c>
      <c r="M17" s="136">
        <f>IF(SER_hh_tes_in!M17=0,"",SER_hh_tes_in!M17/SER_hh_fec_in!M17)</f>
        <v>1.3514846901263369</v>
      </c>
      <c r="N17" s="136">
        <f>IF(SER_hh_tes_in!N17=0,"",SER_hh_tes_in!N17/SER_hh_fec_in!N17)</f>
        <v>1.3740222491613658</v>
      </c>
      <c r="O17" s="136">
        <f>IF(SER_hh_tes_in!O17=0,"",SER_hh_tes_in!O17/SER_hh_fec_in!O17)</f>
        <v>1.398883355697758</v>
      </c>
      <c r="P17" s="136">
        <f>IF(SER_hh_tes_in!P17=0,"",SER_hh_tes_in!P17/SER_hh_fec_in!P17)</f>
        <v>1.4235070872966944</v>
      </c>
      <c r="Q17" s="136">
        <f>IF(SER_hh_tes_in!Q17=0,"",SER_hh_tes_in!Q17/SER_hh_fec_in!Q17)</f>
        <v>1.4421106583474248</v>
      </c>
      <c r="R17" s="136">
        <f>IF(SER_hh_tes_in!R17=0,"",SER_hh_tes_in!R17/SER_hh_fec_in!R17)</f>
        <v>1.4656339827794915</v>
      </c>
      <c r="S17" s="136">
        <f>IF(SER_hh_tes_in!S17=0,"",SER_hh_tes_in!S17/SER_hh_fec_in!S17)</f>
        <v>1.4949591247840008</v>
      </c>
      <c r="T17" s="136">
        <f>IF(SER_hh_tes_in!T17=0,"",SER_hh_tes_in!T17/SER_hh_fec_in!T17)</f>
        <v>1.5262177737851244</v>
      </c>
      <c r="U17" s="136">
        <f>IF(SER_hh_tes_in!U17=0,"",SER_hh_tes_in!U17/SER_hh_fec_in!U17)</f>
        <v>1.5548049050099979</v>
      </c>
      <c r="V17" s="136">
        <f>IF(SER_hh_tes_in!V17=0,"",SER_hh_tes_in!V17/SER_hh_fec_in!V17)</f>
        <v>1.5806717061319593</v>
      </c>
      <c r="W17" s="136">
        <f>IF(SER_hh_tes_in!W17=0,"",SER_hh_tes_in!W17/SER_hh_fec_in!W17)</f>
        <v>1.600533813441916</v>
      </c>
      <c r="X17" s="136">
        <f>IF(SER_hh_tes_in!X17=0,"",SER_hh_tes_in!X17/SER_hh_fec_in!X17)</f>
        <v>1.6082126256101055</v>
      </c>
      <c r="Y17" s="136">
        <f>IF(SER_hh_tes_in!Y17=0,"",SER_hh_tes_in!Y17/SER_hh_fec_in!Y17)</f>
        <v>1.6094609543104621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2.3103456948540542</v>
      </c>
      <c r="D18" s="136">
        <f>IF(SER_hh_tes_in!D18=0,"",SER_hh_tes_in!D18/SER_hh_fec_in!D18)</f>
        <v>2.405506338939615</v>
      </c>
      <c r="E18" s="136">
        <f>IF(SER_hh_tes_in!E18=0,"",SER_hh_tes_in!E18/SER_hh_fec_in!E18)</f>
        <v>2.5021284294261101</v>
      </c>
      <c r="F18" s="136">
        <f>IF(SER_hh_tes_in!F18=0,"",SER_hh_tes_in!F18/SER_hh_fec_in!F18)</f>
        <v>2.5995594711687353</v>
      </c>
      <c r="G18" s="136">
        <f>IF(SER_hh_tes_in!G18=0,"",SER_hh_tes_in!G18/SER_hh_fec_in!G18)</f>
        <v>2.6983572717310991</v>
      </c>
      <c r="H18" s="136">
        <f>IF(SER_hh_tes_in!H18=0,"",SER_hh_tes_in!H18/SER_hh_fec_in!H18)</f>
        <v>2.798430555762935</v>
      </c>
      <c r="I18" s="136">
        <f>IF(SER_hh_tes_in!I18=0,"",SER_hh_tes_in!I18/SER_hh_fec_in!I18)</f>
        <v>2.8998946800925052</v>
      </c>
      <c r="J18" s="136">
        <f>IF(SER_hh_tes_in!J18=0,"",SER_hh_tes_in!J18/SER_hh_fec_in!J18)</f>
        <v>3.0032761601247584</v>
      </c>
      <c r="K18" s="136">
        <f>IF(SER_hh_tes_in!K18=0,"",SER_hh_tes_in!K18/SER_hh_fec_in!K18)</f>
        <v>3.108992388197378</v>
      </c>
      <c r="L18" s="136">
        <f>IF(SER_hh_tes_in!L18=0,"",SER_hh_tes_in!L18/SER_hh_fec_in!L18)</f>
        <v>3.2170979277283744</v>
      </c>
      <c r="M18" s="136">
        <f>IF(SER_hh_tes_in!M18=0,"",SER_hh_tes_in!M18/SER_hh_fec_in!M18)</f>
        <v>3.3409436381567157</v>
      </c>
      <c r="N18" s="136">
        <f>IF(SER_hh_tes_in!N18=0,"",SER_hh_tes_in!N18/SER_hh_fec_in!N18)</f>
        <v>3.4845047222117134</v>
      </c>
      <c r="O18" s="136">
        <f>IF(SER_hh_tes_in!O18=0,"",SER_hh_tes_in!O18/SER_hh_fec_in!O18)</f>
        <v>3.6475321720274398</v>
      </c>
      <c r="P18" s="136">
        <f>IF(SER_hh_tes_in!P18=0,"",SER_hh_tes_in!P18/SER_hh_fec_in!P18)</f>
        <v>3.8141805772949158</v>
      </c>
      <c r="Q18" s="136">
        <f>IF(SER_hh_tes_in!Q18=0,"",SER_hh_tes_in!Q18/SER_hh_fec_in!Q18)</f>
        <v>3.942104853048741</v>
      </c>
      <c r="R18" s="136">
        <f>IF(SER_hh_tes_in!R18=0,"",SER_hh_tes_in!R18/SER_hh_fec_in!R18)</f>
        <v>4.0618979674170301</v>
      </c>
      <c r="S18" s="136">
        <f>IF(SER_hh_tes_in!S18=0,"",SER_hh_tes_in!S18/SER_hh_fec_in!S18)</f>
        <v>4.1237815601397809</v>
      </c>
      <c r="T18" s="136">
        <f>IF(SER_hh_tes_in!T18=0,"",SER_hh_tes_in!T18/SER_hh_fec_in!T18)</f>
        <v>4.1635393181575573</v>
      </c>
      <c r="U18" s="136">
        <f>IF(SER_hh_tes_in!U18=0,"",SER_hh_tes_in!U18/SER_hh_fec_in!U18)</f>
        <v>4.191705628775531</v>
      </c>
      <c r="V18" s="136">
        <f>IF(SER_hh_tes_in!V18=0,"",SER_hh_tes_in!V18/SER_hh_fec_in!V18)</f>
        <v>4.2192452127321651</v>
      </c>
      <c r="W18" s="136">
        <f>IF(SER_hh_tes_in!W18=0,"",SER_hh_tes_in!W18/SER_hh_fec_in!W18)</f>
        <v>4.2464333774955954</v>
      </c>
      <c r="X18" s="136">
        <f>IF(SER_hh_tes_in!X18=0,"",SER_hh_tes_in!X18/SER_hh_fec_in!X18)</f>
        <v>4.2675121955833015</v>
      </c>
      <c r="Y18" s="136">
        <f>IF(SER_hh_tes_in!Y18=0,"",SER_hh_tes_in!Y18/SER_hh_fec_in!Y18)</f>
        <v>4.2858505414198369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0.63875594289116144</v>
      </c>
      <c r="D19" s="135">
        <f>IF(SER_hh_tes_in!D19=0,"",SER_hh_tes_in!D19/SER_hh_fec_in!D19)</f>
        <v>0.645554111257717</v>
      </c>
      <c r="E19" s="135">
        <f>IF(SER_hh_tes_in!E19=0,"",SER_hh_tes_in!E19/SER_hh_fec_in!E19)</f>
        <v>0.6492552492044511</v>
      </c>
      <c r="F19" s="135">
        <f>IF(SER_hh_tes_in!F19=0,"",SER_hh_tes_in!F19/SER_hh_fec_in!F19)</f>
        <v>0.68478967748217912</v>
      </c>
      <c r="G19" s="135">
        <f>IF(SER_hh_tes_in!G19=0,"",SER_hh_tes_in!G19/SER_hh_fec_in!G19)</f>
        <v>0.69174546421271221</v>
      </c>
      <c r="H19" s="135">
        <f>IF(SER_hh_tes_in!H19=0,"",SER_hh_tes_in!H19/SER_hh_fec_in!H19)</f>
        <v>0.68813564473014943</v>
      </c>
      <c r="I19" s="135">
        <f>IF(SER_hh_tes_in!I19=0,"",SER_hh_tes_in!I19/SER_hh_fec_in!I19)</f>
        <v>0.68529070568428241</v>
      </c>
      <c r="J19" s="135">
        <f>IF(SER_hh_tes_in!J19=0,"",SER_hh_tes_in!J19/SER_hh_fec_in!J19)</f>
        <v>0.69505545871030583</v>
      </c>
      <c r="K19" s="135">
        <f>IF(SER_hh_tes_in!K19=0,"",SER_hh_tes_in!K19/SER_hh_fec_in!K19)</f>
        <v>0.69592867956948501</v>
      </c>
      <c r="L19" s="135">
        <f>IF(SER_hh_tes_in!L19=0,"",SER_hh_tes_in!L19/SER_hh_fec_in!L19)</f>
        <v>0.70852705944294536</v>
      </c>
      <c r="M19" s="135">
        <f>IF(SER_hh_tes_in!M19=0,"",SER_hh_tes_in!M19/SER_hh_fec_in!M19)</f>
        <v>0.70654503261995172</v>
      </c>
      <c r="N19" s="135">
        <f>IF(SER_hh_tes_in!N19=0,"",SER_hh_tes_in!N19/SER_hh_fec_in!N19)</f>
        <v>0.71981330007847499</v>
      </c>
      <c r="O19" s="135">
        <f>IF(SER_hh_tes_in!O19=0,"",SER_hh_tes_in!O19/SER_hh_fec_in!O19)</f>
        <v>0.75327609993717437</v>
      </c>
      <c r="P19" s="135">
        <f>IF(SER_hh_tes_in!P19=0,"",SER_hh_tes_in!P19/SER_hh_fec_in!P19)</f>
        <v>0.77134007982584374</v>
      </c>
      <c r="Q19" s="135">
        <f>IF(SER_hh_tes_in!Q19=0,"",SER_hh_tes_in!Q19/SER_hh_fec_in!Q19)</f>
        <v>0.8078260285558756</v>
      </c>
      <c r="R19" s="135">
        <f>IF(SER_hh_tes_in!R19=0,"",SER_hh_tes_in!R19/SER_hh_fec_in!R19)</f>
        <v>0.81587966248519461</v>
      </c>
      <c r="S19" s="135">
        <f>IF(SER_hh_tes_in!S19=0,"",SER_hh_tes_in!S19/SER_hh_fec_in!S19)</f>
        <v>0.83774757398627475</v>
      </c>
      <c r="T19" s="135">
        <f>IF(SER_hh_tes_in!T19=0,"",SER_hh_tes_in!T19/SER_hh_fec_in!T19)</f>
        <v>0.86363084875627161</v>
      </c>
      <c r="U19" s="135">
        <f>IF(SER_hh_tes_in!U19=0,"",SER_hh_tes_in!U19/SER_hh_fec_in!U19)</f>
        <v>0.86741406675436972</v>
      </c>
      <c r="V19" s="135">
        <f>IF(SER_hh_tes_in!V19=0,"",SER_hh_tes_in!V19/SER_hh_fec_in!V19)</f>
        <v>0.8788163560880663</v>
      </c>
      <c r="W19" s="135">
        <f>IF(SER_hh_tes_in!W19=0,"",SER_hh_tes_in!W19/SER_hh_fec_in!W19)</f>
        <v>0.88531320789042178</v>
      </c>
      <c r="X19" s="135">
        <f>IF(SER_hh_tes_in!X19=0,"",SER_hh_tes_in!X19/SER_hh_fec_in!X19)</f>
        <v>0.90203651016512709</v>
      </c>
      <c r="Y19" s="135">
        <f>IF(SER_hh_tes_in!Y19=0,"",SER_hh_tes_in!Y19/SER_hh_fec_in!Y19)</f>
        <v>0.90972499788183903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>
        <f>IF(SER_hh_tes_in!C20=0,"",SER_hh_tes_in!C20/SER_hh_fec_in!C20)</f>
        <v>0.62267516365255537</v>
      </c>
      <c r="D20" s="136">
        <f>IF(SER_hh_tes_in!D20=0,"",SER_hh_tes_in!D20/SER_hh_fec_in!D20)</f>
        <v>0.62918501103904734</v>
      </c>
      <c r="E20" s="136">
        <f>IF(SER_hh_tes_in!E20=0,"",SER_hh_tes_in!E20/SER_hh_fec_in!E20)</f>
        <v>0.63567590397182006</v>
      </c>
      <c r="F20" s="136">
        <f>IF(SER_hh_tes_in!F20=0,"",SER_hh_tes_in!F20/SER_hh_fec_in!F20)</f>
        <v>0.64216421220635844</v>
      </c>
      <c r="G20" s="136">
        <f>IF(SER_hh_tes_in!G20=0,"",SER_hh_tes_in!G20/SER_hh_fec_in!G20)</f>
        <v>0.64863506450390462</v>
      </c>
      <c r="H20" s="136">
        <f>IF(SER_hh_tes_in!H20=0,"",SER_hh_tes_in!H20/SER_hh_fec_in!H20)</f>
        <v>0.6550902809147614</v>
      </c>
      <c r="I20" s="136">
        <f>IF(SER_hh_tes_in!I20=0,"",SER_hh_tes_in!I20/SER_hh_fec_in!I20)</f>
        <v>0.66152619716526506</v>
      </c>
      <c r="J20" s="136">
        <f>IF(SER_hh_tes_in!J20=0,"",SER_hh_tes_in!J20/SER_hh_fec_in!J20)</f>
        <v>0.66792780201958535</v>
      </c>
      <c r="K20" s="136">
        <f>IF(SER_hh_tes_in!K20=0,"",SER_hh_tes_in!K20/SER_hh_fec_in!K20)</f>
        <v>0.67428233197883936</v>
      </c>
      <c r="L20" s="136">
        <f>IF(SER_hh_tes_in!L20=0,"",SER_hh_tes_in!L20/SER_hh_fec_in!L20)</f>
        <v>0.68058637228379937</v>
      </c>
      <c r="M20" s="136">
        <f>IF(SER_hh_tes_in!M20=0,"",SER_hh_tes_in!M20/SER_hh_fec_in!M20)</f>
        <v>0.68641283729035718</v>
      </c>
      <c r="N20" s="136">
        <f>IF(SER_hh_tes_in!N20=0,"",SER_hh_tes_in!N20/SER_hh_fec_in!N20)</f>
        <v>0.69161702177614126</v>
      </c>
      <c r="O20" s="136">
        <f>IF(SER_hh_tes_in!O20=0,"",SER_hh_tes_in!O20/SER_hh_fec_in!O20)</f>
        <v>0.69620296248383862</v>
      </c>
      <c r="P20" s="136">
        <f>IF(SER_hh_tes_in!P20=0,"",SER_hh_tes_in!P20/SER_hh_fec_in!P20)</f>
        <v>0.70065979992293781</v>
      </c>
      <c r="Q20" s="136">
        <f>IF(SER_hh_tes_in!Q20=0,"",SER_hh_tes_in!Q20/SER_hh_fec_in!Q20)</f>
        <v>0.70641562417222314</v>
      </c>
      <c r="R20" s="136">
        <f>IF(SER_hh_tes_in!R20=0,"",SER_hh_tes_in!R20/SER_hh_fec_in!R20)</f>
        <v>0.71524333143493957</v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>
        <f>IF(SER_hh_tes_in!U20=0,"",SER_hh_tes_in!U20/SER_hh_fec_in!U20)</f>
        <v>0.74757610781622608</v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0.56556116007945789</v>
      </c>
      <c r="D21" s="136">
        <f>IF(SER_hh_tes_in!D21=0,"",SER_hh_tes_in!D21/SER_hh_fec_in!D21)</f>
        <v>0.56797013648946126</v>
      </c>
      <c r="E21" s="136">
        <f>IF(SER_hh_tes_in!E21=0,"",SER_hh_tes_in!E21/SER_hh_fec_in!E21)</f>
        <v>0.57071397128274681</v>
      </c>
      <c r="F21" s="136">
        <f>IF(SER_hh_tes_in!F21=0,"",SER_hh_tes_in!F21/SER_hh_fec_in!F21)</f>
        <v>0.57350346858284373</v>
      </c>
      <c r="G21" s="136">
        <f>IF(SER_hh_tes_in!G21=0,"",SER_hh_tes_in!G21/SER_hh_fec_in!G21)</f>
        <v>0.57660135075789343</v>
      </c>
      <c r="H21" s="136">
        <f>IF(SER_hh_tes_in!H21=0,"",SER_hh_tes_in!H21/SER_hh_fec_in!H21)</f>
        <v>0.57997546393467847</v>
      </c>
      <c r="I21" s="136" t="str">
        <f>IF(SER_hh_tes_in!I21=0,"",SER_hh_tes_in!I21/SER_hh_fec_in!I21)</f>
        <v/>
      </c>
      <c r="J21" s="136">
        <f>IF(SER_hh_tes_in!J21=0,"",SER_hh_tes_in!J21/SER_hh_fec_in!J21)</f>
        <v>0.5880117833139562</v>
      </c>
      <c r="K21" s="136">
        <f>IF(SER_hh_tes_in!K21=0,"",SER_hh_tes_in!K21/SER_hh_fec_in!K21)</f>
        <v>0.59316467117363392</v>
      </c>
      <c r="L21" s="136">
        <f>IF(SER_hh_tes_in!L21=0,"",SER_hh_tes_in!L21/SER_hh_fec_in!L21)</f>
        <v>0.59920953325003823</v>
      </c>
      <c r="M21" s="136">
        <f>IF(SER_hh_tes_in!M21=0,"",SER_hh_tes_in!M21/SER_hh_fec_in!M21)</f>
        <v>0.61153236788754528</v>
      </c>
      <c r="N21" s="136">
        <f>IF(SER_hh_tes_in!N21=0,"",SER_hh_tes_in!N21/SER_hh_fec_in!N21)</f>
        <v>0.63184517657207429</v>
      </c>
      <c r="O21" s="136">
        <f>IF(SER_hh_tes_in!O21=0,"",SER_hh_tes_in!O21/SER_hh_fec_in!O21)</f>
        <v>0.66154130355195329</v>
      </c>
      <c r="P21" s="136">
        <f>IF(SER_hh_tes_in!P21=0,"",SER_hh_tes_in!P21/SER_hh_fec_in!P21)</f>
        <v>0.69755106105344944</v>
      </c>
      <c r="Q21" s="136">
        <f>IF(SER_hh_tes_in!Q21=0,"",SER_hh_tes_in!Q21/SER_hh_fec_in!Q21)</f>
        <v>0.72997286326711308</v>
      </c>
      <c r="R21" s="136">
        <f>IF(SER_hh_tes_in!R21=0,"",SER_hh_tes_in!R21/SER_hh_fec_in!R21)</f>
        <v>0.75100741309410557</v>
      </c>
      <c r="S21" s="136">
        <f>IF(SER_hh_tes_in!S21=0,"",SER_hh_tes_in!S21/SER_hh_fec_in!S21)</f>
        <v>0.77059258368233641</v>
      </c>
      <c r="T21" s="136">
        <f>IF(SER_hh_tes_in!T21=0,"",SER_hh_tes_in!T21/SER_hh_fec_in!T21)</f>
        <v>0.78815089118672033</v>
      </c>
      <c r="U21" s="136">
        <f>IF(SER_hh_tes_in!U21=0,"",SER_hh_tes_in!U21/SER_hh_fec_in!U21)</f>
        <v>0.80310485176223134</v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>
        <f>IF(SER_hh_tes_in!Y21=0,"",SER_hh_tes_in!Y21/SER_hh_fec_in!Y21)</f>
        <v>0.82723257605924272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0.53317288493984194</v>
      </c>
      <c r="D22" s="136">
        <f>IF(SER_hh_tes_in!D22=0,"",SER_hh_tes_in!D22/SER_hh_fec_in!D22)</f>
        <v>0.53563745596657997</v>
      </c>
      <c r="E22" s="136">
        <f>IF(SER_hh_tes_in!E22=0,"",SER_hh_tes_in!E22/SER_hh_fec_in!E22)</f>
        <v>0.53844461327439186</v>
      </c>
      <c r="F22" s="136">
        <f>IF(SER_hh_tes_in!F22=0,"",SER_hh_tes_in!F22/SER_hh_fec_in!F22)</f>
        <v>0.54129848689325932</v>
      </c>
      <c r="G22" s="136">
        <f>IF(SER_hh_tes_in!G22=0,"",SER_hh_tes_in!G22/SER_hh_fec_in!G22)</f>
        <v>0.54446786232639832</v>
      </c>
      <c r="H22" s="136">
        <f>IF(SER_hh_tes_in!H22=0,"",SER_hh_tes_in!H22/SER_hh_fec_in!H22)</f>
        <v>0.54791984365004609</v>
      </c>
      <c r="I22" s="136">
        <f>IF(SER_hh_tes_in!I22=0,"",SER_hh_tes_in!I22/SER_hh_fec_in!I22)</f>
        <v>0.55172065962004901</v>
      </c>
      <c r="J22" s="136">
        <f>IF(SER_hh_tes_in!J22=0,"",SER_hh_tes_in!J22/SER_hh_fec_in!J22)</f>
        <v>0.55614162607246265</v>
      </c>
      <c r="K22" s="136">
        <f>IF(SER_hh_tes_in!K22=0,"",SER_hh_tes_in!K22/SER_hh_fec_in!K22)</f>
        <v>0.5614134328324859</v>
      </c>
      <c r="L22" s="136">
        <f>IF(SER_hh_tes_in!L22=0,"",SER_hh_tes_in!L22/SER_hh_fec_in!L22)</f>
        <v>0.56759779888616291</v>
      </c>
      <c r="M22" s="136">
        <f>IF(SER_hh_tes_in!M22=0,"",SER_hh_tes_in!M22/SER_hh_fec_in!M22)</f>
        <v>0.58020502122705819</v>
      </c>
      <c r="N22" s="136">
        <f>IF(SER_hh_tes_in!N22=0,"",SER_hh_tes_in!N22/SER_hh_fec_in!N22)</f>
        <v>0.60098661109555085</v>
      </c>
      <c r="O22" s="136">
        <f>IF(SER_hh_tes_in!O22=0,"",SER_hh_tes_in!O22/SER_hh_fec_in!O22)</f>
        <v>0.63136806848842031</v>
      </c>
      <c r="P22" s="136">
        <f>IF(SER_hh_tes_in!P22=0,"",SER_hh_tes_in!P22/SER_hh_fec_in!P22)</f>
        <v>0.66820886304727078</v>
      </c>
      <c r="Q22" s="136">
        <f>IF(SER_hh_tes_in!Q22=0,"",SER_hh_tes_in!Q22/SER_hh_fec_in!Q22)</f>
        <v>0.70137889910018347</v>
      </c>
      <c r="R22" s="136">
        <f>IF(SER_hh_tes_in!R22=0,"",SER_hh_tes_in!R22/SER_hh_fec_in!R22)</f>
        <v>0.72289888653086665</v>
      </c>
      <c r="S22" s="136">
        <f>IF(SER_hh_tes_in!S22=0,"",SER_hh_tes_in!S22/SER_hh_fec_in!S22)</f>
        <v>0.74293604579279926</v>
      </c>
      <c r="T22" s="136">
        <f>IF(SER_hh_tes_in!T22=0,"",SER_hh_tes_in!T22/SER_hh_fec_in!T22)</f>
        <v>0.7608995658065969</v>
      </c>
      <c r="U22" s="136">
        <f>IF(SER_hh_tes_in!U22=0,"",SER_hh_tes_in!U22/SER_hh_fec_in!U22)</f>
        <v>0.776198635492936</v>
      </c>
      <c r="V22" s="136">
        <f>IF(SER_hh_tes_in!V22=0,"",SER_hh_tes_in!V22/SER_hh_fec_in!V22)</f>
        <v>0.78824244377246822</v>
      </c>
      <c r="W22" s="136">
        <f>IF(SER_hh_tes_in!W22=0,"",SER_hh_tes_in!W22/SER_hh_fec_in!W22)</f>
        <v>0.79564520663522464</v>
      </c>
      <c r="X22" s="136">
        <f>IF(SER_hh_tes_in!X22=0,"",SER_hh_tes_in!X22/SER_hh_fec_in!X22)</f>
        <v>0.799106425052998</v>
      </c>
      <c r="Y22" s="136">
        <f>IF(SER_hh_tes_in!Y22=0,"",SER_hh_tes_in!Y22/SER_hh_fec_in!Y22)</f>
        <v>0.80085910134454186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0.57786127941186405</v>
      </c>
      <c r="D23" s="136">
        <f>IF(SER_hh_tes_in!D23=0,"",SER_hh_tes_in!D23/SER_hh_fec_in!D23)</f>
        <v>0.58369167259711108</v>
      </c>
      <c r="E23" s="136">
        <f>IF(SER_hh_tes_in!E23=0,"",SER_hh_tes_in!E23/SER_hh_fec_in!E23)</f>
        <v>0.58978614827369136</v>
      </c>
      <c r="F23" s="136">
        <f>IF(SER_hh_tes_in!F23=0,"",SER_hh_tes_in!F23/SER_hh_fec_in!F23)</f>
        <v>0.59592757698097931</v>
      </c>
      <c r="G23" s="136">
        <f>IF(SER_hh_tes_in!G23=0,"",SER_hh_tes_in!G23/SER_hh_fec_in!G23)</f>
        <v>0.60231032211371549</v>
      </c>
      <c r="H23" s="136">
        <f>IF(SER_hh_tes_in!H23=0,"",SER_hh_tes_in!H23/SER_hh_fec_in!H23)</f>
        <v>0.60890857900260997</v>
      </c>
      <c r="I23" s="136">
        <f>IF(SER_hh_tes_in!I23=0,"",SER_hh_tes_in!I23/SER_hh_fec_in!I23)</f>
        <v>0.61576817360224545</v>
      </c>
      <c r="J23" s="136">
        <f>IF(SER_hh_tes_in!J23=0,"",SER_hh_tes_in!J23/SER_hh_fec_in!J23)</f>
        <v>0.62308151217147312</v>
      </c>
      <c r="K23" s="136">
        <f>IF(SER_hh_tes_in!K23=0,"",SER_hh_tes_in!K23/SER_hh_fec_in!K23)</f>
        <v>0.63100948138451662</v>
      </c>
      <c r="L23" s="136">
        <f>IF(SER_hh_tes_in!L23=0,"",SER_hh_tes_in!L23/SER_hh_fec_in!L23)</f>
        <v>0.63959030740692568</v>
      </c>
      <c r="M23" s="136">
        <f>IF(SER_hh_tes_in!M23=0,"",SER_hh_tes_in!M23/SER_hh_fec_in!M23)</f>
        <v>0.65282900202151262</v>
      </c>
      <c r="N23" s="136">
        <f>IF(SER_hh_tes_in!N23=0,"",SER_hh_tes_in!N23/SER_hh_fec_in!N23)</f>
        <v>0.67196217156010629</v>
      </c>
      <c r="O23" s="136">
        <f>IF(SER_hh_tes_in!O23=0,"",SER_hh_tes_in!O23/SER_hh_fec_in!O23)</f>
        <v>0.69787243095036999</v>
      </c>
      <c r="P23" s="136">
        <f>IF(SER_hh_tes_in!P23=0,"",SER_hh_tes_in!P23/SER_hh_fec_in!P23)</f>
        <v>0.72799917826106997</v>
      </c>
      <c r="Q23" s="136">
        <f>IF(SER_hh_tes_in!Q23=0,"",SER_hh_tes_in!Q23/SER_hh_fec_in!Q23)</f>
        <v>0.75437588665731892</v>
      </c>
      <c r="R23" s="136">
        <f>IF(SER_hh_tes_in!R23=0,"",SER_hh_tes_in!R23/SER_hh_fec_in!R23)</f>
        <v>0.77049926132316116</v>
      </c>
      <c r="S23" s="136" t="str">
        <f>IF(SER_hh_tes_in!S23=0,"",SER_hh_tes_in!S23/SER_hh_fec_in!S23)</f>
        <v/>
      </c>
      <c r="T23" s="136" t="str">
        <f>IF(SER_hh_tes_in!T23=0,"",SER_hh_tes_in!T23/SER_hh_fec_in!T23)</f>
        <v/>
      </c>
      <c r="U23" s="136">
        <f>IF(SER_hh_tes_in!U23=0,"",SER_hh_tes_in!U23/SER_hh_fec_in!U23)</f>
        <v>0.80536620782710311</v>
      </c>
      <c r="V23" s="136">
        <f>IF(SER_hh_tes_in!V23=0,"",SER_hh_tes_in!V23/SER_hh_fec_in!V23)</f>
        <v>0.81315664764117357</v>
      </c>
      <c r="W23" s="136">
        <f>IF(SER_hh_tes_in!W23=0,"",SER_hh_tes_in!W23/SER_hh_fec_in!W23)</f>
        <v>0.81831240597641697</v>
      </c>
      <c r="X23" s="136">
        <f>IF(SER_hh_tes_in!X23=0,"",SER_hh_tes_in!X23/SER_hh_fec_in!X23)</f>
        <v>0.82097588126613963</v>
      </c>
      <c r="Y23" s="136">
        <f>IF(SER_hh_tes_in!Y23=0,"",SER_hh_tes_in!Y23/SER_hh_fec_in!Y23)</f>
        <v>0.82253755180401822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0.56735604808955298</v>
      </c>
      <c r="D24" s="136">
        <f>IF(SER_hh_tes_in!D24=0,"",SER_hh_tes_in!D24/SER_hh_fec_in!D24)</f>
        <v>0.5792870506956016</v>
      </c>
      <c r="E24" s="136">
        <f>IF(SER_hh_tes_in!E24=0,"",SER_hh_tes_in!E24/SER_hh_fec_in!E24)</f>
        <v>0.59133163504436359</v>
      </c>
      <c r="F24" s="136">
        <f>IF(SER_hh_tes_in!F24=0,"",SER_hh_tes_in!F24/SER_hh_fec_in!F24)</f>
        <v>0.60347802093148672</v>
      </c>
      <c r="G24" s="136">
        <f>IF(SER_hh_tes_in!G24=0,"",SER_hh_tes_in!G24/SER_hh_fec_in!G24)</f>
        <v>0.61571422410026833</v>
      </c>
      <c r="H24" s="136">
        <f>IF(SER_hh_tes_in!H24=0,"",SER_hh_tes_in!H24/SER_hh_fec_in!H24)</f>
        <v>0.62802613130766261</v>
      </c>
      <c r="I24" s="136">
        <f>IF(SER_hh_tes_in!I24=0,"",SER_hh_tes_in!I24/SER_hh_fec_in!I24)</f>
        <v>0.6403951256136553</v>
      </c>
      <c r="J24" s="136">
        <f>IF(SER_hh_tes_in!J24=0,"",SER_hh_tes_in!J24/SER_hh_fec_in!J24)</f>
        <v>0.65278099199602935</v>
      </c>
      <c r="K24" s="136">
        <f>IF(SER_hh_tes_in!K24=0,"",SER_hh_tes_in!K24/SER_hh_fec_in!K24)</f>
        <v>0.66513055428152001</v>
      </c>
      <c r="L24" s="136">
        <f>IF(SER_hh_tes_in!L24=0,"",SER_hh_tes_in!L24/SER_hh_fec_in!L24)</f>
        <v>0.67739661576420196</v>
      </c>
      <c r="M24" s="136">
        <f>IF(SER_hh_tes_in!M24=0,"",SER_hh_tes_in!M24/SER_hh_fec_in!M24)</f>
        <v>0.6886640021852386</v>
      </c>
      <c r="N24" s="136">
        <f>IF(SER_hh_tes_in!N24=0,"",SER_hh_tes_in!N24/SER_hh_fec_in!N24)</f>
        <v>0.69843194776607809</v>
      </c>
      <c r="O24" s="136">
        <f>IF(SER_hh_tes_in!O24=0,"",SER_hh_tes_in!O24/SER_hh_fec_in!O24)</f>
        <v>0.70641123289529961</v>
      </c>
      <c r="P24" s="136">
        <f>IF(SER_hh_tes_in!P24=0,"",SER_hh_tes_in!P24/SER_hh_fec_in!P24)</f>
        <v>0.71329310387561851</v>
      </c>
      <c r="Q24" s="136">
        <f>IF(SER_hh_tes_in!Q24=0,"",SER_hh_tes_in!Q24/SER_hh_fec_in!Q24)</f>
        <v>0.72150446261973822</v>
      </c>
      <c r="R24" s="136">
        <f>IF(SER_hh_tes_in!R24=0,"",SER_hh_tes_in!R24/SER_hh_fec_in!R24)</f>
        <v>0.7338040160691075</v>
      </c>
      <c r="S24" s="136">
        <f>IF(SER_hh_tes_in!S24=0,"",SER_hh_tes_in!S24/SER_hh_fec_in!S24)</f>
        <v>0.74764701655173671</v>
      </c>
      <c r="T24" s="136">
        <f>IF(SER_hh_tes_in!T24=0,"",SER_hh_tes_in!T24/SER_hh_fec_in!T24)</f>
        <v>0.76161018054241281</v>
      </c>
      <c r="U24" s="136">
        <f>IF(SER_hh_tes_in!U24=0,"",SER_hh_tes_in!U24/SER_hh_fec_in!U24)</f>
        <v>0.774508638792476</v>
      </c>
      <c r="V24" s="136">
        <f>IF(SER_hh_tes_in!V24=0,"",SER_hh_tes_in!V24/SER_hh_fec_in!V24)</f>
        <v>0.78532815418376534</v>
      </c>
      <c r="W24" s="136">
        <f>IF(SER_hh_tes_in!W24=0,"",SER_hh_tes_in!W24/SER_hh_fec_in!W24)</f>
        <v>0.79401975371847289</v>
      </c>
      <c r="X24" s="136">
        <f>IF(SER_hh_tes_in!X24=0,"",SER_hh_tes_in!X24/SER_hh_fec_in!X24)</f>
        <v>0.80165536271304871</v>
      </c>
      <c r="Y24" s="136">
        <f>IF(SER_hh_tes_in!Y24=0,"",SER_hh_tes_in!Y24/SER_hh_fec_in!Y24)</f>
        <v>0.80885118735425321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0.80837283438326513</v>
      </c>
      <c r="D25" s="136">
        <f>IF(SER_hh_tes_in!D25=0,"",SER_hh_tes_in!D25/SER_hh_fec_in!D25)</f>
        <v>0.81061889982083801</v>
      </c>
      <c r="E25" s="136">
        <f>IF(SER_hh_tes_in!E25=0,"",SER_hh_tes_in!E25/SER_hh_fec_in!E25)</f>
        <v>0.81292560316543327</v>
      </c>
      <c r="F25" s="136">
        <f>IF(SER_hh_tes_in!F25=0,"",SER_hh_tes_in!F25/SER_hh_fec_in!F25)</f>
        <v>0.81524057531553151</v>
      </c>
      <c r="G25" s="136">
        <f>IF(SER_hh_tes_in!G25=0,"",SER_hh_tes_in!G25/SER_hh_fec_in!G25)</f>
        <v>0.81761139141133332</v>
      </c>
      <c r="H25" s="136">
        <f>IF(SER_hh_tes_in!H25=0,"",SER_hh_tes_in!H25/SER_hh_fec_in!H25)</f>
        <v>0.82003222886134441</v>
      </c>
      <c r="I25" s="136">
        <f>IF(SER_hh_tes_in!I25=0,"",SER_hh_tes_in!I25/SER_hh_fec_in!I25)</f>
        <v>0.82251481018149997</v>
      </c>
      <c r="J25" s="136">
        <f>IF(SER_hh_tes_in!J25=0,"",SER_hh_tes_in!J25/SER_hh_fec_in!J25)</f>
        <v>0.82510715838191262</v>
      </c>
      <c r="K25" s="136">
        <f>IF(SER_hh_tes_in!K25=0,"",SER_hh_tes_in!K25/SER_hh_fec_in!K25)</f>
        <v>0.82785010565273198</v>
      </c>
      <c r="L25" s="136">
        <f>IF(SER_hh_tes_in!L25=0,"",SER_hh_tes_in!L25/SER_hh_fec_in!L25)</f>
        <v>0.83075457627885707</v>
      </c>
      <c r="M25" s="136">
        <f>IF(SER_hh_tes_in!M25=0,"",SER_hh_tes_in!M25/SER_hh_fec_in!M25)</f>
        <v>0.83477617845770469</v>
      </c>
      <c r="N25" s="136">
        <f>IF(SER_hh_tes_in!N25=0,"",SER_hh_tes_in!N25/SER_hh_fec_in!N25)</f>
        <v>0.84021705152773551</v>
      </c>
      <c r="O25" s="136">
        <f>IF(SER_hh_tes_in!O25=0,"",SER_hh_tes_in!O25/SER_hh_fec_in!O25)</f>
        <v>0.84734205733337886</v>
      </c>
      <c r="P25" s="136">
        <f>IF(SER_hh_tes_in!P25=0,"",SER_hh_tes_in!P25/SER_hh_fec_in!P25)</f>
        <v>0.85564727679669073</v>
      </c>
      <c r="Q25" s="136">
        <f>IF(SER_hh_tes_in!Q25=0,"",SER_hh_tes_in!Q25/SER_hh_fec_in!Q25)</f>
        <v>0.86348306080448967</v>
      </c>
      <c r="R25" s="136">
        <f>IF(SER_hh_tes_in!R25=0,"",SER_hh_tes_in!R25/SER_hh_fec_in!R25)</f>
        <v>0.86948736056357745</v>
      </c>
      <c r="S25" s="136">
        <f>IF(SER_hh_tes_in!S25=0,"",SER_hh_tes_in!S25/SER_hh_fec_in!S25)</f>
        <v>0.87532854050055886</v>
      </c>
      <c r="T25" s="136">
        <f>IF(SER_hh_tes_in!T25=0,"",SER_hh_tes_in!T25/SER_hh_fec_in!T25)</f>
        <v>0.88096757235564938</v>
      </c>
      <c r="U25" s="136">
        <f>IF(SER_hh_tes_in!U25=0,"",SER_hh_tes_in!U25/SER_hh_fec_in!U25)</f>
        <v>0.88636542786908412</v>
      </c>
      <c r="V25" s="136">
        <f>IF(SER_hh_tes_in!V25=0,"",SER_hh_tes_in!V25/SER_hh_fec_in!V25)</f>
        <v>0.89148307878108979</v>
      </c>
      <c r="W25" s="136">
        <f>IF(SER_hh_tes_in!W25=0,"",SER_hh_tes_in!W25/SER_hh_fec_in!W25)</f>
        <v>0.89619742167349914</v>
      </c>
      <c r="X25" s="136">
        <f>IF(SER_hh_tes_in!X25=0,"",SER_hh_tes_in!X25/SER_hh_fec_in!X25)</f>
        <v>0.90096766022343744</v>
      </c>
      <c r="Y25" s="136">
        <f>IF(SER_hh_tes_in!Y25=0,"",SER_hh_tes_in!Y25/SER_hh_fec_in!Y25)</f>
        <v>0.90555159939151963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0.67159765633988699</v>
      </c>
      <c r="D26" s="137">
        <f>IF(SER_hh_tes_in!D26=0,"",SER_hh_tes_in!D26/SER_hh_fec_in!D26)</f>
        <v>0.67384360109451713</v>
      </c>
      <c r="E26" s="137">
        <f>IF(SER_hh_tes_in!E26=0,"",SER_hh_tes_in!E26/SER_hh_fec_in!E26)</f>
        <v>0.67630235435048014</v>
      </c>
      <c r="F26" s="137">
        <f>IF(SER_hh_tes_in!F26=0,"",SER_hh_tes_in!F26/SER_hh_fec_in!F26)</f>
        <v>0.67879077363999085</v>
      </c>
      <c r="G26" s="137">
        <f>IF(SER_hh_tes_in!G26=0,"",SER_hh_tes_in!G26/SER_hh_fec_in!G26)</f>
        <v>0.68147683758627187</v>
      </c>
      <c r="H26" s="137">
        <f>IF(SER_hh_tes_in!H26=0,"",SER_hh_tes_in!H26/SER_hh_fec_in!H26)</f>
        <v>0.68434158500771447</v>
      </c>
      <c r="I26" s="137">
        <f>IF(SER_hh_tes_in!I26=0,"",SER_hh_tes_in!I26/SER_hh_fec_in!I26)</f>
        <v>0.6874285808030105</v>
      </c>
      <c r="J26" s="137">
        <f>IF(SER_hh_tes_in!J26=0,"",SER_hh_tes_in!J26/SER_hh_fec_in!J26)</f>
        <v>0.69091250701671192</v>
      </c>
      <c r="K26" s="137">
        <f>IF(SER_hh_tes_in!K26=0,"",SER_hh_tes_in!K26/SER_hh_fec_in!K26)</f>
        <v>0.69494768031292886</v>
      </c>
      <c r="L26" s="137">
        <f>IF(SER_hh_tes_in!L26=0,"",SER_hh_tes_in!L26/SER_hh_fec_in!L26)</f>
        <v>0.69958715758017254</v>
      </c>
      <c r="M26" s="137">
        <f>IF(SER_hh_tes_in!M26=0,"",SER_hh_tes_in!M26/SER_hh_fec_in!M26)</f>
        <v>0.70840736266459403</v>
      </c>
      <c r="N26" s="137">
        <f>IF(SER_hh_tes_in!N26=0,"",SER_hh_tes_in!N26/SER_hh_fec_in!N26)</f>
        <v>0.7229510864833395</v>
      </c>
      <c r="O26" s="137">
        <f>IF(SER_hh_tes_in!O26=0,"",SER_hh_tes_in!O26/SER_hh_fec_in!O26)</f>
        <v>0.74512837475080673</v>
      </c>
      <c r="P26" s="137">
        <f>IF(SER_hh_tes_in!P26=0,"",SER_hh_tes_in!P26/SER_hh_fec_in!P26)</f>
        <v>0.77388779591076051</v>
      </c>
      <c r="Q26" s="137">
        <f>IF(SER_hh_tes_in!Q26=0,"",SER_hh_tes_in!Q26/SER_hh_fec_in!Q26)</f>
        <v>0.80163451849083023</v>
      </c>
      <c r="R26" s="137">
        <f>IF(SER_hh_tes_in!R26=0,"",SER_hh_tes_in!R26/SER_hh_fec_in!R26)</f>
        <v>0.82041181763297233</v>
      </c>
      <c r="S26" s="137">
        <f>IF(SER_hh_tes_in!S26=0,"",SER_hh_tes_in!S26/SER_hh_fec_in!S26)</f>
        <v>0.83860378388402712</v>
      </c>
      <c r="T26" s="137">
        <f>IF(SER_hh_tes_in!T26=0,"",SER_hh_tes_in!T26/SER_hh_fec_in!T26)</f>
        <v>0.85665457074605178</v>
      </c>
      <c r="U26" s="137">
        <f>IF(SER_hh_tes_in!U26=0,"",SER_hh_tes_in!U26/SER_hh_fec_in!U26)</f>
        <v>0.87474563778910952</v>
      </c>
      <c r="V26" s="137">
        <f>IF(SER_hh_tes_in!V26=0,"",SER_hh_tes_in!V26/SER_hh_fec_in!V26)</f>
        <v>0.89251801402836695</v>
      </c>
      <c r="W26" s="137">
        <f>IF(SER_hh_tes_in!W26=0,"",SER_hh_tes_in!W26/SER_hh_fec_in!W26)</f>
        <v>0.90875008949563651</v>
      </c>
      <c r="X26" s="137">
        <f>IF(SER_hh_tes_in!X26=0,"",SER_hh_tes_in!X26/SER_hh_fec_in!X26)</f>
        <v>0.92205956833717739</v>
      </c>
      <c r="Y26" s="137">
        <f>IF(SER_hh_tes_in!Y26=0,"",SER_hh_tes_in!Y26/SER_hh_fec_in!Y26)</f>
        <v>0.93447650314452912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>
        <f>IF(SER_hh_tes_in!D27=0,"",SER_hh_tes_in!D27/SER_hh_fec_in!D27)</f>
        <v>1</v>
      </c>
      <c r="E27" s="148" t="str">
        <f>IF(SER_hh_tes_in!E27=0,"",SER_hh_tes_in!E27/SER_hh_fec_in!E27)</f>
        <v/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0.70471808243809719</v>
      </c>
      <c r="D29" s="135">
        <f>IF(SER_hh_tes_in!D29=0,"",SER_hh_tes_in!D29/SER_hh_fec_in!D29)</f>
        <v>0.70915675256030264</v>
      </c>
      <c r="E29" s="135">
        <f>IF(SER_hh_tes_in!E29=0,"",SER_hh_tes_in!E29/SER_hh_fec_in!E29)</f>
        <v>0.70865192701657276</v>
      </c>
      <c r="F29" s="135">
        <f>IF(SER_hh_tes_in!F29=0,"",SER_hh_tes_in!F29/SER_hh_fec_in!F29)</f>
        <v>0.72349894522572922</v>
      </c>
      <c r="G29" s="135">
        <f>IF(SER_hh_tes_in!G29=0,"",SER_hh_tes_in!G29/SER_hh_fec_in!G29)</f>
        <v>0.71908077007961446</v>
      </c>
      <c r="H29" s="135">
        <f>IF(SER_hh_tes_in!H29=0,"",SER_hh_tes_in!H29/SER_hh_fec_in!H29)</f>
        <v>0.7316216456289345</v>
      </c>
      <c r="I29" s="135">
        <f>IF(SER_hh_tes_in!I29=0,"",SER_hh_tes_in!I29/SER_hh_fec_in!I29)</f>
        <v>0.74489601562279573</v>
      </c>
      <c r="J29" s="135">
        <f>IF(SER_hh_tes_in!J29=0,"",SER_hh_tes_in!J29/SER_hh_fec_in!J29)</f>
        <v>0.7499926556563602</v>
      </c>
      <c r="K29" s="135">
        <f>IF(SER_hh_tes_in!K29=0,"",SER_hh_tes_in!K29/SER_hh_fec_in!K29)</f>
        <v>0.74319253803822993</v>
      </c>
      <c r="L29" s="135">
        <f>IF(SER_hh_tes_in!L29=0,"",SER_hh_tes_in!L29/SER_hh_fec_in!L29)</f>
        <v>0.72552260080237618</v>
      </c>
      <c r="M29" s="135">
        <f>IF(SER_hh_tes_in!M29=0,"",SER_hh_tes_in!M29/SER_hh_fec_in!M29)</f>
        <v>0.70646593534050761</v>
      </c>
      <c r="N29" s="135">
        <f>IF(SER_hh_tes_in!N29=0,"",SER_hh_tes_in!N29/SER_hh_fec_in!N29)</f>
        <v>0.70617038702510204</v>
      </c>
      <c r="O29" s="135">
        <f>IF(SER_hh_tes_in!O29=0,"",SER_hh_tes_in!O29/SER_hh_fec_in!O29)</f>
        <v>0.71284941571687122</v>
      </c>
      <c r="P29" s="135">
        <f>IF(SER_hh_tes_in!P29=0,"",SER_hh_tes_in!P29/SER_hh_fec_in!P29)</f>
        <v>0.74427186603834639</v>
      </c>
      <c r="Q29" s="135">
        <f>IF(SER_hh_tes_in!Q29=0,"",SER_hh_tes_in!Q29/SER_hh_fec_in!Q29)</f>
        <v>0.74729734458781705</v>
      </c>
      <c r="R29" s="135">
        <f>IF(SER_hh_tes_in!R29=0,"",SER_hh_tes_in!R29/SER_hh_fec_in!R29)</f>
        <v>0.7715844649344118</v>
      </c>
      <c r="S29" s="135">
        <f>IF(SER_hh_tes_in!S29=0,"",SER_hh_tes_in!S29/SER_hh_fec_in!S29)</f>
        <v>0.78655168266307451</v>
      </c>
      <c r="T29" s="135">
        <f>IF(SER_hh_tes_in!T29=0,"",SER_hh_tes_in!T29/SER_hh_fec_in!T29)</f>
        <v>0.80888777113824317</v>
      </c>
      <c r="U29" s="135">
        <f>IF(SER_hh_tes_in!U29=0,"",SER_hh_tes_in!U29/SER_hh_fec_in!U29)</f>
        <v>0.79604779069536824</v>
      </c>
      <c r="V29" s="135">
        <f>IF(SER_hh_tes_in!V29=0,"",SER_hh_tes_in!V29/SER_hh_fec_in!V29)</f>
        <v>0.80726670467615846</v>
      </c>
      <c r="W29" s="135">
        <f>IF(SER_hh_tes_in!W29=0,"",SER_hh_tes_in!W29/SER_hh_fec_in!W29)</f>
        <v>0.74644613768939361</v>
      </c>
      <c r="X29" s="135">
        <f>IF(SER_hh_tes_in!X29=0,"",SER_hh_tes_in!X29/SER_hh_fec_in!X29)</f>
        <v>0.77585266689669508</v>
      </c>
      <c r="Y29" s="135">
        <f>IF(SER_hh_tes_in!Y29=0,"",SER_hh_tes_in!Y29/SER_hh_fec_in!Y29)</f>
        <v>0.80627558545503653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0.58527191089764263</v>
      </c>
      <c r="D30" s="136">
        <f>IF(SER_hh_tes_in!D30=0,"",SER_hh_tes_in!D30/SER_hh_fec_in!D30)</f>
        <v>0.58575900261595859</v>
      </c>
      <c r="E30" s="136">
        <f>IF(SER_hh_tes_in!E30=0,"",SER_hh_tes_in!E30/SER_hh_fec_in!E30)</f>
        <v>0.58624613821081539</v>
      </c>
      <c r="F30" s="136">
        <f>IF(SER_hh_tes_in!F30=0,"",SER_hh_tes_in!F30/SER_hh_fec_in!F30)</f>
        <v>0.58673327978883649</v>
      </c>
      <c r="G30" s="136">
        <f>IF(SER_hh_tes_in!G30=0,"",SER_hh_tes_in!G30/SER_hh_fec_in!G30)</f>
        <v>0.58722046177457088</v>
      </c>
      <c r="H30" s="136">
        <f>IF(SER_hh_tes_in!H30=0,"",SER_hh_tes_in!H30/SER_hh_fec_in!H30)</f>
        <v>0.58770767995489182</v>
      </c>
      <c r="I30" s="136">
        <f>IF(SER_hh_tes_in!I30=0,"",SER_hh_tes_in!I30/SER_hh_fec_in!I30)</f>
        <v>0.58819494281200901</v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>
        <f>IF(SER_hh_tes_in!N30=0,"",SER_hh_tes_in!N30/SER_hh_fec_in!N30)</f>
        <v>0.59023455383918799</v>
      </c>
      <c r="O30" s="136">
        <f>IF(SER_hh_tes_in!O30=0,"",SER_hh_tes_in!O30/SER_hh_fec_in!O30)</f>
        <v>0.59035825389066043</v>
      </c>
      <c r="P30" s="136">
        <f>IF(SER_hh_tes_in!P30=0,"",SER_hh_tes_in!P30/SER_hh_fec_in!P30)</f>
        <v>0.59070341843514962</v>
      </c>
      <c r="Q30" s="136">
        <f>IF(SER_hh_tes_in!Q30=0,"",SER_hh_tes_in!Q30/SER_hh_fec_in!Q30)</f>
        <v>0.59210831876321057</v>
      </c>
      <c r="R30" s="136">
        <f>IF(SER_hh_tes_in!R30=0,"",SER_hh_tes_in!R30/SER_hh_fec_in!R30)</f>
        <v>0.59579864209440703</v>
      </c>
      <c r="S30" s="136">
        <f>IF(SER_hh_tes_in!S30=0,"",SER_hh_tes_in!S30/SER_hh_fec_in!S30)</f>
        <v>0.60100426484448011</v>
      </c>
      <c r="T30" s="136">
        <f>IF(SER_hh_tes_in!T30=0,"",SER_hh_tes_in!T30/SER_hh_fec_in!T30)</f>
        <v>0.60671585367640746</v>
      </c>
      <c r="U30" s="136">
        <f>IF(SER_hh_tes_in!U30=0,"",SER_hh_tes_in!U30/SER_hh_fec_in!U30)</f>
        <v>0.61192407525318149</v>
      </c>
      <c r="V30" s="136">
        <f>IF(SER_hh_tes_in!V30=0,"",SER_hh_tes_in!V30/SER_hh_fec_in!V30)</f>
        <v>0.61561959623778695</v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0.59260623313129546</v>
      </c>
      <c r="D31" s="136">
        <f>IF(SER_hh_tes_in!D31=0,"",SER_hh_tes_in!D31/SER_hh_fec_in!D31)</f>
        <v>0.5931956282797396</v>
      </c>
      <c r="E31" s="136">
        <f>IF(SER_hh_tes_in!E31=0,"",SER_hh_tes_in!E31/SER_hh_fec_in!E31)</f>
        <v>0.59378507652007417</v>
      </c>
      <c r="F31" s="136">
        <f>IF(SER_hh_tes_in!F31=0,"",SER_hh_tes_in!F31/SER_hh_fec_in!F31)</f>
        <v>0.59437453200021195</v>
      </c>
      <c r="G31" s="136">
        <f>IF(SER_hh_tes_in!G31=0,"",SER_hh_tes_in!G31/SER_hh_fec_in!G31)</f>
        <v>0.59496403637485784</v>
      </c>
      <c r="H31" s="136">
        <f>IF(SER_hh_tes_in!H31=0,"",SER_hh_tes_in!H31/SER_hh_fec_in!H31)</f>
        <v>0.5955535845460066</v>
      </c>
      <c r="I31" s="136">
        <f>IF(SER_hh_tes_in!I31=0,"",SER_hh_tes_in!I31/SER_hh_fec_in!I31)</f>
        <v>0.59614318677737843</v>
      </c>
      <c r="J31" s="136">
        <f>IF(SER_hh_tes_in!J31=0,"",SER_hh_tes_in!J31/SER_hh_fec_in!J31)</f>
        <v>0.5967328851158139</v>
      </c>
      <c r="K31" s="136">
        <f>IF(SER_hh_tes_in!K31=0,"",SER_hh_tes_in!K31/SER_hh_fec_in!K31)</f>
        <v>0.59732271531218673</v>
      </c>
      <c r="L31" s="136">
        <f>IF(SER_hh_tes_in!L31=0,"",SER_hh_tes_in!L31/SER_hh_fec_in!L31)</f>
        <v>0.59791268693132094</v>
      </c>
      <c r="M31" s="136">
        <f>IF(SER_hh_tes_in!M31=0,"",SER_hh_tes_in!M31/SER_hh_fec_in!M31)</f>
        <v>0.59836073670415835</v>
      </c>
      <c r="N31" s="136">
        <f>IF(SER_hh_tes_in!N31=0,"",SER_hh_tes_in!N31/SER_hh_fec_in!N31)</f>
        <v>0.59861117545164344</v>
      </c>
      <c r="O31" s="136">
        <f>IF(SER_hh_tes_in!O31=0,"",SER_hh_tes_in!O31/SER_hh_fec_in!O31)</f>
        <v>0.59876085611230467</v>
      </c>
      <c r="P31" s="136">
        <f>IF(SER_hh_tes_in!P31=0,"",SER_hh_tes_in!P31/SER_hh_fec_in!P31)</f>
        <v>0.59917851525181975</v>
      </c>
      <c r="Q31" s="136">
        <f>IF(SER_hh_tes_in!Q31=0,"",SER_hh_tes_in!Q31/SER_hh_fec_in!Q31)</f>
        <v>0.60087848551669998</v>
      </c>
      <c r="R31" s="136">
        <f>IF(SER_hh_tes_in!R31=0,"",SER_hh_tes_in!R31/SER_hh_fec_in!R31)</f>
        <v>0.60534388409731377</v>
      </c>
      <c r="S31" s="136">
        <f>IF(SER_hh_tes_in!S31=0,"",SER_hh_tes_in!S31/SER_hh_fec_in!S31)</f>
        <v>0.61164283905415473</v>
      </c>
      <c r="T31" s="136">
        <f>IF(SER_hh_tes_in!T31=0,"",SER_hh_tes_in!T31/SER_hh_fec_in!T31)</f>
        <v>0.61855402768836831</v>
      </c>
      <c r="U31" s="136">
        <f>IF(SER_hh_tes_in!U31=0,"",SER_hh_tes_in!U31/SER_hh_fec_in!U31)</f>
        <v>0.62485612730111617</v>
      </c>
      <c r="V31" s="136">
        <f>IF(SER_hh_tes_in!V31=0,"",SER_hh_tes_in!V31/SER_hh_fec_in!V31)</f>
        <v>0.62932781519355208</v>
      </c>
      <c r="W31" s="136">
        <f>IF(SER_hh_tes_in!W31=0,"",SER_hh_tes_in!W31/SER_hh_fec_in!W31)</f>
        <v>0.63147694234560015</v>
      </c>
      <c r="X31" s="136">
        <f>IF(SER_hh_tes_in!X31=0,"",SER_hh_tes_in!X31/SER_hh_fec_in!X31)</f>
        <v>0.63188326054973842</v>
      </c>
      <c r="Y31" s="136">
        <f>IF(SER_hh_tes_in!Y31=0,"",SER_hh_tes_in!Y31/SER_hh_fec_in!Y31)</f>
        <v>0.63192389237015223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0.77898751184065651</v>
      </c>
      <c r="D33" s="149">
        <f>IF(SER_hh_tes_in!D33=0,"",SER_hh_tes_in!D33/SER_hh_fec_in!D33)</f>
        <v>0.78008451898238751</v>
      </c>
      <c r="E33" s="149">
        <f>IF(SER_hh_tes_in!E33=0,"",SER_hh_tes_in!E33/SER_hh_fec_in!E33)</f>
        <v>0.7812332502646222</v>
      </c>
      <c r="F33" s="149">
        <f>IF(SER_hh_tes_in!F33=0,"",SER_hh_tes_in!F33/SER_hh_fec_in!F33)</f>
        <v>0.78238903483874378</v>
      </c>
      <c r="G33" s="149">
        <f>IF(SER_hh_tes_in!G33=0,"",SER_hh_tes_in!G33/SER_hh_fec_in!G33)</f>
        <v>0.78359245430390523</v>
      </c>
      <c r="H33" s="149">
        <f>IF(SER_hh_tes_in!H33=0,"",SER_hh_tes_in!H33/SER_hh_fec_in!H33)</f>
        <v>0.7848385419890026</v>
      </c>
      <c r="I33" s="149">
        <f>IF(SER_hh_tes_in!I33=0,"",SER_hh_tes_in!I33/SER_hh_fec_in!I33)</f>
        <v>0.78613729720125303</v>
      </c>
      <c r="J33" s="149">
        <f>IF(SER_hh_tes_in!J33=0,"",SER_hh_tes_in!J33/SER_hh_fec_in!J33)</f>
        <v>0.78752968357288688</v>
      </c>
      <c r="K33" s="149">
        <f>IF(SER_hh_tes_in!K33=0,"",SER_hh_tes_in!K33/SER_hh_fec_in!K33)</f>
        <v>0.78905053096601652</v>
      </c>
      <c r="L33" s="149">
        <f>IF(SER_hh_tes_in!L33=0,"",SER_hh_tes_in!L33/SER_hh_fec_in!L33)</f>
        <v>0.79070915779670892</v>
      </c>
      <c r="M33" s="149">
        <f>IF(SER_hh_tes_in!M33=0,"",SER_hh_tes_in!M33/SER_hh_fec_in!M33)</f>
        <v>0.793080627645119</v>
      </c>
      <c r="N33" s="149">
        <f>IF(SER_hh_tes_in!N33=0,"",SER_hh_tes_in!N33/SER_hh_fec_in!N33)</f>
        <v>0.79632865564686706</v>
      </c>
      <c r="O33" s="149">
        <f>IF(SER_hh_tes_in!O33=0,"",SER_hh_tes_in!O33/SER_hh_fec_in!O33)</f>
        <v>0.80084146550862434</v>
      </c>
      <c r="P33" s="149">
        <f>IF(SER_hh_tes_in!P33=0,"",SER_hh_tes_in!P33/SER_hh_fec_in!P33)</f>
        <v>0.80680946902088602</v>
      </c>
      <c r="Q33" s="149">
        <f>IF(SER_hh_tes_in!Q33=0,"",SER_hh_tes_in!Q33/SER_hh_fec_in!Q33)</f>
        <v>0.81453212377566475</v>
      </c>
      <c r="R33" s="149">
        <f>IF(SER_hh_tes_in!R33=0,"",SER_hh_tes_in!R33/SER_hh_fec_in!R33)</f>
        <v>0.82504081053619738</v>
      </c>
      <c r="S33" s="149">
        <f>IF(SER_hh_tes_in!S33=0,"",SER_hh_tes_in!S33/SER_hh_fec_in!S33)</f>
        <v>0.83819060813548785</v>
      </c>
      <c r="T33" s="149">
        <f>IF(SER_hh_tes_in!T33=0,"",SER_hh_tes_in!T33/SER_hh_fec_in!T33)</f>
        <v>0.85234708735989573</v>
      </c>
      <c r="U33" s="149">
        <f>IF(SER_hh_tes_in!U33=0,"",SER_hh_tes_in!U33/SER_hh_fec_in!U33)</f>
        <v>0.86587581899581922</v>
      </c>
      <c r="V33" s="149">
        <f>IF(SER_hh_tes_in!V33=0,"",SER_hh_tes_in!V33/SER_hh_fec_in!V33)</f>
        <v>0.87714237382963856</v>
      </c>
      <c r="W33" s="149">
        <f>IF(SER_hh_tes_in!W33=0,"",SER_hh_tes_in!W33/SER_hh_fec_in!W33)</f>
        <v>0.88557887656427836</v>
      </c>
      <c r="X33" s="149">
        <f>IF(SER_hh_tes_in!X33=0,"",SER_hh_tes_in!X33/SER_hh_fec_in!X33)</f>
        <v>0.89315271340404645</v>
      </c>
      <c r="Y33" s="149">
        <f>IF(SER_hh_tes_in!Y33=0,"",SER_hh_tes_in!Y33/SER_hh_fec_in!Y33)</f>
        <v>0.8998691602885398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30.460519707935049</v>
      </c>
      <c r="D3" s="125">
        <f t="shared" si="0"/>
        <v>63.778635134789852</v>
      </c>
      <c r="E3" s="125">
        <f t="shared" si="0"/>
        <v>186.7184324832557</v>
      </c>
      <c r="F3" s="125">
        <f t="shared" si="0"/>
        <v>180.54957588468619</v>
      </c>
      <c r="G3" s="125">
        <f t="shared" si="0"/>
        <v>125.17685009213341</v>
      </c>
      <c r="H3" s="125">
        <f t="shared" si="0"/>
        <v>276.56659157471887</v>
      </c>
      <c r="I3" s="125">
        <f t="shared" si="0"/>
        <v>308.54772738755236</v>
      </c>
      <c r="J3" s="125">
        <f t="shared" si="0"/>
        <v>302.67553801946218</v>
      </c>
      <c r="K3" s="125">
        <f t="shared" si="0"/>
        <v>289.3368354477866</v>
      </c>
      <c r="L3" s="125">
        <f t="shared" si="0"/>
        <v>44.477440905407938</v>
      </c>
      <c r="M3" s="125">
        <f t="shared" si="0"/>
        <v>232.51278740068818</v>
      </c>
      <c r="N3" s="125">
        <f t="shared" si="0"/>
        <v>164.22686666775851</v>
      </c>
      <c r="O3" s="125">
        <f t="shared" si="0"/>
        <v>56.486834797133085</v>
      </c>
      <c r="P3" s="125">
        <f t="shared" si="0"/>
        <v>113.93524776845437</v>
      </c>
      <c r="Q3" s="125">
        <f t="shared" si="0"/>
        <v>76.59133174148657</v>
      </c>
      <c r="R3" s="125">
        <f t="shared" ref="R3:W3" si="1">SUM(R4,R16,R19,R29)</f>
        <v>82.828584564495173</v>
      </c>
      <c r="S3" s="125">
        <f t="shared" si="1"/>
        <v>83.043867129793568</v>
      </c>
      <c r="T3" s="125">
        <f t="shared" si="1"/>
        <v>62.935039957227509</v>
      </c>
      <c r="U3" s="125">
        <f t="shared" si="1"/>
        <v>58.922641014706031</v>
      </c>
      <c r="V3" s="125">
        <f t="shared" si="1"/>
        <v>53.872237850079657</v>
      </c>
      <c r="W3" s="125">
        <f t="shared" si="1"/>
        <v>63.119652476841033</v>
      </c>
      <c r="X3" s="125">
        <f t="shared" ref="X3:Y3" si="2">SUM(X4,X16,X19,X29)</f>
        <v>50.882355855730829</v>
      </c>
      <c r="Y3" s="125">
        <f t="shared" si="2"/>
        <v>33.323721321744756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25.562890628270814</v>
      </c>
      <c r="D4" s="130">
        <f t="shared" si="3"/>
        <v>54.830857235483123</v>
      </c>
      <c r="E4" s="130">
        <f t="shared" si="3"/>
        <v>157.45073495146579</v>
      </c>
      <c r="F4" s="130">
        <f t="shared" si="3"/>
        <v>152.10614412705144</v>
      </c>
      <c r="G4" s="130">
        <f t="shared" si="3"/>
        <v>103.30284973056263</v>
      </c>
      <c r="H4" s="130">
        <f t="shared" si="3"/>
        <v>246.45008630402225</v>
      </c>
      <c r="I4" s="130">
        <f t="shared" si="3"/>
        <v>275.3195477760712</v>
      </c>
      <c r="J4" s="130">
        <f t="shared" si="3"/>
        <v>267.64491945989857</v>
      </c>
      <c r="K4" s="130">
        <f t="shared" si="3"/>
        <v>254.80216059454054</v>
      </c>
      <c r="L4" s="130">
        <f t="shared" si="3"/>
        <v>35.463067334557898</v>
      </c>
      <c r="M4" s="130">
        <f t="shared" si="3"/>
        <v>187.81483444707396</v>
      </c>
      <c r="N4" s="130">
        <f t="shared" si="3"/>
        <v>126.36543440800024</v>
      </c>
      <c r="O4" s="130">
        <f t="shared" si="3"/>
        <v>41.880411600852433</v>
      </c>
      <c r="P4" s="130">
        <f t="shared" si="3"/>
        <v>85.429663799688754</v>
      </c>
      <c r="Q4" s="130">
        <f t="shared" si="3"/>
        <v>58.504008472255983</v>
      </c>
      <c r="R4" s="130">
        <f t="shared" ref="R4:W4" si="4">SUM(R5:R15)</f>
        <v>63.296226559368833</v>
      </c>
      <c r="S4" s="130">
        <f t="shared" si="4"/>
        <v>66.466783783559393</v>
      </c>
      <c r="T4" s="130">
        <f t="shared" si="4"/>
        <v>50.894467988431821</v>
      </c>
      <c r="U4" s="130">
        <f t="shared" si="4"/>
        <v>43.80267503445377</v>
      </c>
      <c r="V4" s="130">
        <f t="shared" si="4"/>
        <v>40.115669920580913</v>
      </c>
      <c r="W4" s="130">
        <f t="shared" si="4"/>
        <v>36.154758733590349</v>
      </c>
      <c r="X4" s="130">
        <f t="shared" ref="X4:Y4" si="5">SUM(X5:X15)</f>
        <v>29.811358260504861</v>
      </c>
      <c r="Y4" s="130">
        <f t="shared" si="5"/>
        <v>16.315336719248588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6.9476190473929487</v>
      </c>
      <c r="D5" s="132">
        <v>21.426088224862823</v>
      </c>
      <c r="E5" s="132">
        <v>59.832169187162421</v>
      </c>
      <c r="F5" s="132">
        <v>63.560927658657597</v>
      </c>
      <c r="G5" s="132">
        <v>48.932362831107945</v>
      </c>
      <c r="H5" s="132">
        <v>84.387169989105033</v>
      </c>
      <c r="I5" s="132">
        <v>87.273124149068565</v>
      </c>
      <c r="J5" s="132">
        <v>82.95638445603231</v>
      </c>
      <c r="K5" s="132">
        <v>97.09384361415259</v>
      </c>
      <c r="L5" s="132">
        <v>19.249795862724412</v>
      </c>
      <c r="M5" s="132">
        <v>65.481485550621414</v>
      </c>
      <c r="N5" s="132">
        <v>53.299479043391521</v>
      </c>
      <c r="O5" s="132">
        <v>20.85036374210668</v>
      </c>
      <c r="P5" s="132">
        <v>21.183351812612656</v>
      </c>
      <c r="Q5" s="132">
        <v>17.476380923289739</v>
      </c>
      <c r="R5" s="132">
        <v>21.014914479328144</v>
      </c>
      <c r="S5" s="132">
        <v>34.809376701229695</v>
      </c>
      <c r="T5" s="132">
        <v>18.968098862375296</v>
      </c>
      <c r="U5" s="132">
        <v>10.531546884523454</v>
      </c>
      <c r="V5" s="132">
        <v>8.8238501101150746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4.8475300314045322</v>
      </c>
      <c r="D7" s="132">
        <v>5.9204712869515959</v>
      </c>
      <c r="E7" s="132">
        <v>2.9310482172596157</v>
      </c>
      <c r="F7" s="132">
        <v>2.6012582295328941</v>
      </c>
      <c r="G7" s="132">
        <v>23.7981715067117</v>
      </c>
      <c r="H7" s="132">
        <v>120.6170319467148</v>
      </c>
      <c r="I7" s="132">
        <v>93.945257304455225</v>
      </c>
      <c r="J7" s="132">
        <v>45.350045523550889</v>
      </c>
      <c r="K7" s="132">
        <v>33.702345105598233</v>
      </c>
      <c r="L7" s="132">
        <v>8.4448713900798449</v>
      </c>
      <c r="M7" s="132">
        <v>18.823451748391761</v>
      </c>
      <c r="N7" s="132">
        <v>0</v>
      </c>
      <c r="O7" s="132">
        <v>0</v>
      </c>
      <c r="P7" s="132">
        <v>0</v>
      </c>
      <c r="Q7" s="132">
        <v>4.775229581749552</v>
      </c>
      <c r="R7" s="132">
        <v>11.007592239920388</v>
      </c>
      <c r="S7" s="132">
        <v>19.894773567906892</v>
      </c>
      <c r="T7" s="132">
        <v>18.970062878339384</v>
      </c>
      <c r="U7" s="132">
        <v>10.948421182404616</v>
      </c>
      <c r="V7" s="132">
        <v>11.06682767194849</v>
      </c>
      <c r="W7" s="132">
        <v>6.7646728799666427</v>
      </c>
      <c r="X7" s="132">
        <v>3.7851231926685132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6.1648559244966252E-4</v>
      </c>
      <c r="D8" s="132">
        <v>1.0030086976757758E-3</v>
      </c>
      <c r="E8" s="132">
        <v>4.4824896773574714E-3</v>
      </c>
      <c r="F8" s="132">
        <v>4.6119687461222978E-3</v>
      </c>
      <c r="G8" s="132">
        <v>5.0039534724071457E-3</v>
      </c>
      <c r="H8" s="132">
        <v>5.1025983446435948E-3</v>
      </c>
      <c r="I8" s="132">
        <v>8.4440800453702003E-3</v>
      </c>
      <c r="J8" s="132">
        <v>4.0875132605425815E-3</v>
      </c>
      <c r="K8" s="132">
        <v>3.7933094964936664E-3</v>
      </c>
      <c r="L8" s="132">
        <v>1.5107488008114968E-4</v>
      </c>
      <c r="M8" s="132">
        <v>2.1434921535556498E-3</v>
      </c>
      <c r="N8" s="132">
        <v>3.9441197492750858E-3</v>
      </c>
      <c r="O8" s="132">
        <v>2.3592504352187961E-3</v>
      </c>
      <c r="P8" s="132">
        <v>1.0351307621263448E-2</v>
      </c>
      <c r="Q8" s="132">
        <v>3.9461534296177303E-3</v>
      </c>
      <c r="R8" s="132">
        <v>2.0285449424825579E-3</v>
      </c>
      <c r="S8" s="132">
        <v>2.0437175791696831E-3</v>
      </c>
      <c r="T8" s="132">
        <v>2.6388147544038928E-3</v>
      </c>
      <c r="U8" s="132">
        <v>3.3807509120874005E-3</v>
      </c>
      <c r="V8" s="132">
        <v>3.6315976868364665E-3</v>
      </c>
      <c r="W8" s="132">
        <v>3.7626621549519904E-3</v>
      </c>
      <c r="X8" s="132">
        <v>3.3103249929216298E-3</v>
      </c>
      <c r="Y8" s="132">
        <v>3.574126965773923E-3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13.767125063880886</v>
      </c>
      <c r="D9" s="132">
        <v>27.483294714971027</v>
      </c>
      <c r="E9" s="132">
        <v>94.683035057366411</v>
      </c>
      <c r="F9" s="132">
        <v>85.939346270114811</v>
      </c>
      <c r="G9" s="132">
        <v>30.567311439270565</v>
      </c>
      <c r="H9" s="132">
        <v>41.440781769857772</v>
      </c>
      <c r="I9" s="132">
        <v>94.092722242502077</v>
      </c>
      <c r="J9" s="132">
        <v>139.09496516008574</v>
      </c>
      <c r="K9" s="132">
        <v>122.83816783345516</v>
      </c>
      <c r="L9" s="132">
        <v>7.7345691240754473</v>
      </c>
      <c r="M9" s="132">
        <v>103.28080165840232</v>
      </c>
      <c r="N9" s="132">
        <v>72.963397298870362</v>
      </c>
      <c r="O9" s="132">
        <v>20.24039984005498</v>
      </c>
      <c r="P9" s="132">
        <v>63.897707132181708</v>
      </c>
      <c r="Q9" s="132">
        <v>35.92225510068598</v>
      </c>
      <c r="R9" s="132">
        <v>30.902455763805126</v>
      </c>
      <c r="S9" s="132">
        <v>11.390025102680559</v>
      </c>
      <c r="T9" s="132">
        <v>12.731616991292563</v>
      </c>
      <c r="U9" s="132">
        <v>22.120261087654558</v>
      </c>
      <c r="V9" s="132">
        <v>19.71547369698358</v>
      </c>
      <c r="W9" s="132">
        <v>28.988943517395565</v>
      </c>
      <c r="X9" s="132">
        <v>25.893966693375948</v>
      </c>
      <c r="Y9" s="132">
        <v>15.579772341255024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0.23943680696914554</v>
      </c>
      <c r="K10" s="132">
        <v>1.1640107318380259</v>
      </c>
      <c r="L10" s="132">
        <v>3.367988279810976E-2</v>
      </c>
      <c r="M10" s="132">
        <v>0.22695199750488987</v>
      </c>
      <c r="N10" s="132">
        <v>9.8613945989078133E-2</v>
      </c>
      <c r="O10" s="132">
        <v>0.78728876825555494</v>
      </c>
      <c r="P10" s="132">
        <v>0.33825354727313317</v>
      </c>
      <c r="Q10" s="132">
        <v>0.32619671310109116</v>
      </c>
      <c r="R10" s="132">
        <v>0.36923553137269571</v>
      </c>
      <c r="S10" s="132">
        <v>0.37056469416308596</v>
      </c>
      <c r="T10" s="132">
        <v>0.22205044167017821</v>
      </c>
      <c r="U10" s="132">
        <v>0.19906512895905373</v>
      </c>
      <c r="V10" s="132">
        <v>0.50588684384693527</v>
      </c>
      <c r="W10" s="132">
        <v>0.39737967407318275</v>
      </c>
      <c r="X10" s="132">
        <v>0.12895804946747816</v>
      </c>
      <c r="Y10" s="132">
        <v>0.73199025102779014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1.040078167748224E-2</v>
      </c>
      <c r="D16" s="130">
        <f t="shared" si="6"/>
        <v>1.9328684709586749E-2</v>
      </c>
      <c r="E16" s="130">
        <f t="shared" si="6"/>
        <v>2.993151642920203E-2</v>
      </c>
      <c r="F16" s="130">
        <f t="shared" si="6"/>
        <v>4.7045453811056182E-2</v>
      </c>
      <c r="G16" s="130">
        <f t="shared" si="6"/>
        <v>4.9980538665737297E-2</v>
      </c>
      <c r="H16" s="130">
        <f t="shared" si="6"/>
        <v>5.18179191771359E-2</v>
      </c>
      <c r="I16" s="130">
        <f t="shared" si="6"/>
        <v>8.1431763385383715E-2</v>
      </c>
      <c r="J16" s="130">
        <f t="shared" si="6"/>
        <v>6.4135822378834167E-2</v>
      </c>
      <c r="K16" s="130">
        <f t="shared" si="6"/>
        <v>6.2255995637848532E-2</v>
      </c>
      <c r="L16" s="130">
        <f t="shared" si="6"/>
        <v>1.8342701459687125E-2</v>
      </c>
      <c r="M16" s="130">
        <f t="shared" si="6"/>
        <v>0.10515616563382793</v>
      </c>
      <c r="N16" s="130">
        <f t="shared" si="6"/>
        <v>0.11468231297533425</v>
      </c>
      <c r="O16" s="130">
        <f t="shared" si="6"/>
        <v>0.10979169799632651</v>
      </c>
      <c r="P16" s="130">
        <f t="shared" si="6"/>
        <v>0.29119289684675109</v>
      </c>
      <c r="Q16" s="130">
        <f t="shared" si="6"/>
        <v>0.21918405696778057</v>
      </c>
      <c r="R16" s="130">
        <f t="shared" ref="R16:W16" si="7">SUM(R17:R18)</f>
        <v>0.59404759591783185</v>
      </c>
      <c r="S16" s="130">
        <f t="shared" si="7"/>
        <v>0.39120326877608935</v>
      </c>
      <c r="T16" s="130">
        <f t="shared" si="7"/>
        <v>0.31273689767247603</v>
      </c>
      <c r="U16" s="130">
        <f t="shared" si="7"/>
        <v>0.28600428588998911</v>
      </c>
      <c r="V16" s="130">
        <f t="shared" si="7"/>
        <v>0.23056582530101985</v>
      </c>
      <c r="W16" s="130">
        <f t="shared" si="7"/>
        <v>0.18697768253530936</v>
      </c>
      <c r="X16" s="130">
        <f t="shared" ref="X16:Y16" si="8">SUM(X17:X18)</f>
        <v>0.21265365016289012</v>
      </c>
      <c r="Y16" s="130">
        <f t="shared" si="8"/>
        <v>0.30816520581095258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1.040078167748224E-2</v>
      </c>
      <c r="D17" s="132">
        <v>1.9328684709586749E-2</v>
      </c>
      <c r="E17" s="132">
        <v>2.993151642920203E-2</v>
      </c>
      <c r="F17" s="132">
        <v>4.7045453811056182E-2</v>
      </c>
      <c r="G17" s="132">
        <v>4.9980538665737297E-2</v>
      </c>
      <c r="H17" s="132">
        <v>5.18179191771359E-2</v>
      </c>
      <c r="I17" s="132">
        <v>8.1431763385383715E-2</v>
      </c>
      <c r="J17" s="132">
        <v>6.4135822378834167E-2</v>
      </c>
      <c r="K17" s="132">
        <v>6.2255995637848532E-2</v>
      </c>
      <c r="L17" s="132">
        <v>1.8342701459687125E-2</v>
      </c>
      <c r="M17" s="132">
        <v>0.10515616563382793</v>
      </c>
      <c r="N17" s="132">
        <v>0.11468231297533425</v>
      </c>
      <c r="O17" s="132">
        <v>0.10979169799632651</v>
      </c>
      <c r="P17" s="132">
        <v>0.29119289684675109</v>
      </c>
      <c r="Q17" s="132">
        <v>0.21918405696778057</v>
      </c>
      <c r="R17" s="132">
        <v>0.59404759591783185</v>
      </c>
      <c r="S17" s="132">
        <v>0.39120326877608935</v>
      </c>
      <c r="T17" s="132">
        <v>0.31273689767247603</v>
      </c>
      <c r="U17" s="132">
        <v>0.28600428588998911</v>
      </c>
      <c r="V17" s="132">
        <v>0.23056582530101985</v>
      </c>
      <c r="W17" s="132">
        <v>0.18697768253530936</v>
      </c>
      <c r="X17" s="132">
        <v>0.21265365016289012</v>
      </c>
      <c r="Y17" s="132">
        <v>0.30816520581095258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3.0342542123859126</v>
      </c>
      <c r="D19" s="130">
        <f t="shared" si="9"/>
        <v>5.6193979571907455</v>
      </c>
      <c r="E19" s="130">
        <f t="shared" si="9"/>
        <v>17.082382302491489</v>
      </c>
      <c r="F19" s="130">
        <f t="shared" si="9"/>
        <v>13.956752355641346</v>
      </c>
      <c r="G19" s="130">
        <f t="shared" si="9"/>
        <v>8.4772608913335397</v>
      </c>
      <c r="H19" s="130">
        <f t="shared" si="9"/>
        <v>11.997973061950994</v>
      </c>
      <c r="I19" s="130">
        <f t="shared" si="9"/>
        <v>17.548840198641017</v>
      </c>
      <c r="J19" s="130">
        <f t="shared" si="9"/>
        <v>21.115021016653412</v>
      </c>
      <c r="K19" s="130">
        <f t="shared" si="9"/>
        <v>20.40574431038916</v>
      </c>
      <c r="L19" s="130">
        <f t="shared" si="9"/>
        <v>5.5959902910857471</v>
      </c>
      <c r="M19" s="130">
        <f t="shared" si="9"/>
        <v>19.558621048059429</v>
      </c>
      <c r="N19" s="130">
        <f t="shared" si="9"/>
        <v>16.472007666820485</v>
      </c>
      <c r="O19" s="130">
        <f t="shared" si="9"/>
        <v>5.7479415166197434</v>
      </c>
      <c r="P19" s="130">
        <f t="shared" si="9"/>
        <v>13.372136561550702</v>
      </c>
      <c r="Q19" s="130">
        <f t="shared" si="9"/>
        <v>7.8763024768507854</v>
      </c>
      <c r="R19" s="130">
        <f t="shared" ref="R19:W19" si="10">SUM(R20:R27)</f>
        <v>9.4717380809224725</v>
      </c>
      <c r="S19" s="130">
        <f t="shared" si="10"/>
        <v>5.6963261087783756</v>
      </c>
      <c r="T19" s="130">
        <f t="shared" si="10"/>
        <v>3.5524037367704411</v>
      </c>
      <c r="U19" s="130">
        <f t="shared" si="10"/>
        <v>3.0104046983295776</v>
      </c>
      <c r="V19" s="130">
        <f t="shared" si="10"/>
        <v>3.8284351229152529</v>
      </c>
      <c r="W19" s="130">
        <f t="shared" si="10"/>
        <v>6.1711854581244632</v>
      </c>
      <c r="X19" s="130">
        <f t="shared" ref="X19:Y19" si="11">SUM(X20:X27)</f>
        <v>4.9522497399943495</v>
      </c>
      <c r="Y19" s="130">
        <f t="shared" si="11"/>
        <v>5.2932250803360059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1.3182139963501496</v>
      </c>
      <c r="D20" s="132">
        <v>1.5948466025950596</v>
      </c>
      <c r="E20" s="132">
        <v>2.7030547575158361</v>
      </c>
      <c r="F20" s="132">
        <v>0.7685743347485231</v>
      </c>
      <c r="G20" s="132">
        <v>0.33252125761589219</v>
      </c>
      <c r="H20" s="132">
        <v>0.30534280574620515</v>
      </c>
      <c r="I20" s="132">
        <v>3.9522038447024732</v>
      </c>
      <c r="J20" s="132">
        <v>4.3596090808401087</v>
      </c>
      <c r="K20" s="132">
        <v>4.7079481773509322</v>
      </c>
      <c r="L20" s="132">
        <v>1.0803988789290975</v>
      </c>
      <c r="M20" s="132">
        <v>4.0214021517419614</v>
      </c>
      <c r="N20" s="132">
        <v>3.3041202019574474</v>
      </c>
      <c r="O20" s="132">
        <v>1.6404531926028549</v>
      </c>
      <c r="P20" s="132">
        <v>4.8071013854539526</v>
      </c>
      <c r="Q20" s="132">
        <v>2.9040453494706169</v>
      </c>
      <c r="R20" s="132">
        <v>2.7497688160248672</v>
      </c>
      <c r="S20" s="132">
        <v>0</v>
      </c>
      <c r="T20" s="132">
        <v>0</v>
      </c>
      <c r="U20" s="132">
        <v>2.7375960767270748E-2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0.69417349752394142</v>
      </c>
      <c r="D21" s="132">
        <v>1.3396602522312522</v>
      </c>
      <c r="E21" s="132">
        <v>5.3634805315119456</v>
      </c>
      <c r="F21" s="132">
        <v>3.6660176210732818</v>
      </c>
      <c r="G21" s="132">
        <v>3.3937561541238781E-2</v>
      </c>
      <c r="H21" s="132">
        <v>0.60694519344394804</v>
      </c>
      <c r="I21" s="132">
        <v>0</v>
      </c>
      <c r="J21" s="132">
        <v>0.68236775963929597</v>
      </c>
      <c r="K21" s="132">
        <v>1.7153307895533987</v>
      </c>
      <c r="L21" s="132">
        <v>1.1956028483282315</v>
      </c>
      <c r="M21" s="132">
        <v>5.1190308477543258</v>
      </c>
      <c r="N21" s="132">
        <v>5.6827767473210073</v>
      </c>
      <c r="O21" s="132">
        <v>0.61306487347208449</v>
      </c>
      <c r="P21" s="132">
        <v>0.29150856618829335</v>
      </c>
      <c r="Q21" s="132">
        <v>0.29380613677519529</v>
      </c>
      <c r="R21" s="132">
        <v>2.9694836481528606</v>
      </c>
      <c r="S21" s="132">
        <v>3.4481013797065967</v>
      </c>
      <c r="T21" s="132">
        <v>2.0244562358994385</v>
      </c>
      <c r="U21" s="132">
        <v>1.2596048015389476</v>
      </c>
      <c r="V21" s="132">
        <v>0</v>
      </c>
      <c r="W21" s="132">
        <v>0</v>
      </c>
      <c r="X21" s="132">
        <v>0</v>
      </c>
      <c r="Y21" s="132">
        <v>1.4723390664622405E-3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0.15496597240979512</v>
      </c>
      <c r="D22" s="132">
        <v>0.43413978223588429</v>
      </c>
      <c r="E22" s="132">
        <v>1.3162323201580923</v>
      </c>
      <c r="F22" s="132">
        <v>2.154760305753566</v>
      </c>
      <c r="G22" s="132">
        <v>2.0131296522853104</v>
      </c>
      <c r="H22" s="132">
        <v>3.880595616586294</v>
      </c>
      <c r="I22" s="132">
        <v>4.8452571300862068</v>
      </c>
      <c r="J22" s="132">
        <v>5.2828840214727792</v>
      </c>
      <c r="K22" s="132">
        <v>4.4055808398411935</v>
      </c>
      <c r="L22" s="132">
        <v>0.97074066138215998</v>
      </c>
      <c r="M22" s="132">
        <v>3.1369753726570639</v>
      </c>
      <c r="N22" s="132">
        <v>2.3445501336203565</v>
      </c>
      <c r="O22" s="132">
        <v>1.0240244520100785</v>
      </c>
      <c r="P22" s="132">
        <v>1.3913197840328797</v>
      </c>
      <c r="Q22" s="132">
        <v>1.4304938862910743</v>
      </c>
      <c r="R22" s="132">
        <v>1.7182148536519628</v>
      </c>
      <c r="S22" s="132">
        <v>2.1922795295359294</v>
      </c>
      <c r="T22" s="132">
        <v>1.4863671209135874</v>
      </c>
      <c r="U22" s="132">
        <v>1.5504298907757426</v>
      </c>
      <c r="V22" s="132">
        <v>1.5473865469681458</v>
      </c>
      <c r="W22" s="132">
        <v>1.7074314622292164</v>
      </c>
      <c r="X22" s="132">
        <v>1.6187560714240699</v>
      </c>
      <c r="Y22" s="132">
        <v>1.4277668203940723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0.86570229739356397</v>
      </c>
      <c r="D23" s="132">
        <v>2.2480264012150366</v>
      </c>
      <c r="E23" s="132">
        <v>7.6946042217425736</v>
      </c>
      <c r="F23" s="132">
        <v>7.367119633825423</v>
      </c>
      <c r="G23" s="132">
        <v>6.0933932887101916</v>
      </c>
      <c r="H23" s="132">
        <v>7.2050894461745454</v>
      </c>
      <c r="I23" s="132">
        <v>8.7513792238523376</v>
      </c>
      <c r="J23" s="132">
        <v>10.765593693126801</v>
      </c>
      <c r="K23" s="132">
        <v>9.5361463217040736</v>
      </c>
      <c r="L23" s="132">
        <v>2.3478616203393714</v>
      </c>
      <c r="M23" s="132">
        <v>7.2721814437474297</v>
      </c>
      <c r="N23" s="132">
        <v>5.1336350286240187</v>
      </c>
      <c r="O23" s="132">
        <v>2.4345528942625312</v>
      </c>
      <c r="P23" s="132">
        <v>6.8173605868862728</v>
      </c>
      <c r="Q23" s="132">
        <v>3.19645620946307</v>
      </c>
      <c r="R23" s="132">
        <v>1.9379870385791238</v>
      </c>
      <c r="S23" s="132">
        <v>0</v>
      </c>
      <c r="T23" s="132">
        <v>0</v>
      </c>
      <c r="U23" s="132">
        <v>0.11176169481612054</v>
      </c>
      <c r="V23" s="132">
        <v>2.0914175331445972</v>
      </c>
      <c r="W23" s="132">
        <v>4.3168313721306708</v>
      </c>
      <c r="X23" s="132">
        <v>3.3333506862829974</v>
      </c>
      <c r="Y23" s="132">
        <v>3.8635157088070073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1.1984487084625716E-3</v>
      </c>
      <c r="D24" s="132">
        <v>2.7249189135129283E-3</v>
      </c>
      <c r="E24" s="132">
        <v>5.0104715630441155E-3</v>
      </c>
      <c r="F24" s="132">
        <v>2.8046024055167727E-4</v>
      </c>
      <c r="G24" s="132">
        <v>4.2791311809059701E-3</v>
      </c>
      <c r="H24" s="132">
        <v>0</v>
      </c>
      <c r="I24" s="132">
        <v>0</v>
      </c>
      <c r="J24" s="132">
        <v>2.4566461574426681E-2</v>
      </c>
      <c r="K24" s="132">
        <v>4.0738181939563904E-2</v>
      </c>
      <c r="L24" s="132">
        <v>1.386282106886141E-3</v>
      </c>
      <c r="M24" s="132">
        <v>9.0312321586488355E-3</v>
      </c>
      <c r="N24" s="132">
        <v>6.9255552976525015E-3</v>
      </c>
      <c r="O24" s="132">
        <v>3.5846104272194132E-2</v>
      </c>
      <c r="P24" s="132">
        <v>6.4846238989303889E-2</v>
      </c>
      <c r="Q24" s="132">
        <v>5.1500894850829308E-2</v>
      </c>
      <c r="R24" s="132">
        <v>9.6283724513657701E-2</v>
      </c>
      <c r="S24" s="132">
        <v>5.5945199535849456E-2</v>
      </c>
      <c r="T24" s="132">
        <v>4.158037995741546E-2</v>
      </c>
      <c r="U24" s="132">
        <v>6.1232350431495761E-2</v>
      </c>
      <c r="V24" s="132">
        <v>0.18963104280250967</v>
      </c>
      <c r="W24" s="132">
        <v>0.14692262376457585</v>
      </c>
      <c r="X24" s="132">
        <v>1.4298228728247694E-4</v>
      </c>
      <c r="Y24" s="132">
        <v>4.7021206846379384E-4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1.8529740856008372</v>
      </c>
      <c r="D29" s="130">
        <f t="shared" si="12"/>
        <v>3.3090512574063924</v>
      </c>
      <c r="E29" s="130">
        <f t="shared" si="12"/>
        <v>12.155383712869238</v>
      </c>
      <c r="F29" s="130">
        <f t="shared" si="12"/>
        <v>14.43963394818236</v>
      </c>
      <c r="G29" s="130">
        <f t="shared" si="12"/>
        <v>13.346758931571504</v>
      </c>
      <c r="H29" s="130">
        <f t="shared" si="12"/>
        <v>18.066714289568512</v>
      </c>
      <c r="I29" s="130">
        <f t="shared" si="12"/>
        <v>15.597907649454712</v>
      </c>
      <c r="J29" s="130">
        <f t="shared" si="12"/>
        <v>13.85146172053132</v>
      </c>
      <c r="K29" s="130">
        <f t="shared" si="12"/>
        <v>14.066674547219064</v>
      </c>
      <c r="L29" s="130">
        <f t="shared" si="12"/>
        <v>3.4000405783046035</v>
      </c>
      <c r="M29" s="130">
        <f t="shared" si="12"/>
        <v>25.034175739920983</v>
      </c>
      <c r="N29" s="130">
        <f t="shared" si="12"/>
        <v>21.274742279962449</v>
      </c>
      <c r="O29" s="130">
        <f t="shared" si="12"/>
        <v>8.7486899816645796</v>
      </c>
      <c r="P29" s="130">
        <f t="shared" si="12"/>
        <v>14.84225451036817</v>
      </c>
      <c r="Q29" s="130">
        <f t="shared" si="12"/>
        <v>9.9918367354120274</v>
      </c>
      <c r="R29" s="130">
        <f t="shared" ref="R29:W29" si="13">SUM(R30:R33)</f>
        <v>9.4665723282860306</v>
      </c>
      <c r="S29" s="130">
        <f t="shared" si="13"/>
        <v>10.489553968679697</v>
      </c>
      <c r="T29" s="130">
        <f t="shared" si="13"/>
        <v>8.1754313343527745</v>
      </c>
      <c r="U29" s="130">
        <f t="shared" si="13"/>
        <v>11.823556996032689</v>
      </c>
      <c r="V29" s="130">
        <f t="shared" si="13"/>
        <v>9.6975669812824741</v>
      </c>
      <c r="W29" s="130">
        <f t="shared" si="13"/>
        <v>20.606730602590915</v>
      </c>
      <c r="X29" s="130">
        <f t="shared" ref="X29:Y29" si="14">SUM(X30:X33)</f>
        <v>15.906094205068733</v>
      </c>
      <c r="Y29" s="130">
        <f t="shared" si="14"/>
        <v>11.406994316349209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0.68941809280295063</v>
      </c>
      <c r="D30" s="132">
        <v>1.1290835074263874</v>
      </c>
      <c r="E30" s="132">
        <v>4.9982055272937629</v>
      </c>
      <c r="F30" s="132">
        <v>3.8038414878388385</v>
      </c>
      <c r="G30" s="132">
        <v>2.6654347560016047</v>
      </c>
      <c r="H30" s="132">
        <v>3.1138980263932363</v>
      </c>
      <c r="I30" s="132">
        <v>0.7083949952148042</v>
      </c>
      <c r="J30" s="132">
        <v>0</v>
      </c>
      <c r="K30" s="132">
        <v>0</v>
      </c>
      <c r="L30" s="132">
        <v>0</v>
      </c>
      <c r="M30" s="132">
        <v>0</v>
      </c>
      <c r="N30" s="132">
        <v>1.002844397074713</v>
      </c>
      <c r="O30" s="132">
        <v>1.4797889189353637</v>
      </c>
      <c r="P30" s="132">
        <v>2.8433977867843083</v>
      </c>
      <c r="Q30" s="132">
        <v>2.5514221113401687</v>
      </c>
      <c r="R30" s="132">
        <v>2.5888507259745146</v>
      </c>
      <c r="S30" s="132">
        <v>2.5259223689369277</v>
      </c>
      <c r="T30" s="132">
        <v>1.0056775787730921</v>
      </c>
      <c r="U30" s="132">
        <v>0.61398374291437141</v>
      </c>
      <c r="V30" s="132">
        <v>5.2946100599592059E-3</v>
      </c>
      <c r="W30" s="132">
        <v>0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1.1635559927978867</v>
      </c>
      <c r="D31" s="132">
        <v>2.1799677499800052</v>
      </c>
      <c r="E31" s="132">
        <v>7.1571781855754741</v>
      </c>
      <c r="F31" s="132">
        <v>10.635792460343522</v>
      </c>
      <c r="G31" s="132">
        <v>10.6813241755699</v>
      </c>
      <c r="H31" s="132">
        <v>14.952816263175277</v>
      </c>
      <c r="I31" s="132">
        <v>14.889512654239907</v>
      </c>
      <c r="J31" s="132">
        <v>13.85146172053132</v>
      </c>
      <c r="K31" s="132">
        <v>14.066674547219064</v>
      </c>
      <c r="L31" s="132">
        <v>3.4000405783046035</v>
      </c>
      <c r="M31" s="132">
        <v>25.034175739920983</v>
      </c>
      <c r="N31" s="132">
        <v>20.271897882887735</v>
      </c>
      <c r="O31" s="132">
        <v>7.2689010627292161</v>
      </c>
      <c r="P31" s="132">
        <v>11.998856723583861</v>
      </c>
      <c r="Q31" s="132">
        <v>7.4404146240718587</v>
      </c>
      <c r="R31" s="132">
        <v>6.8777216023115155</v>
      </c>
      <c r="S31" s="132">
        <v>7.9636315997427687</v>
      </c>
      <c r="T31" s="132">
        <v>7.1697537555796824</v>
      </c>
      <c r="U31" s="132">
        <v>11.209573253118318</v>
      </c>
      <c r="V31" s="132">
        <v>9.6922723712225149</v>
      </c>
      <c r="W31" s="132">
        <v>20.606730602590915</v>
      </c>
      <c r="X31" s="132">
        <v>15.906094205068733</v>
      </c>
      <c r="Y31" s="132">
        <v>11.406994316349209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155864.73417385865</v>
      </c>
      <c r="D3" s="125">
        <f>IF(SER_hh_fec_in!D3=0,0,11630*1000*SER_hh_fec_in!D3/SER_hh_num_in!D3)</f>
        <v>180563.87093039544</v>
      </c>
      <c r="E3" s="125">
        <f>IF(SER_hh_fec_in!E3=0,0,11630*1000*SER_hh_fec_in!E3/SER_hh_num_in!E3)</f>
        <v>170998.51481076656</v>
      </c>
      <c r="F3" s="125">
        <f>IF(SER_hh_fec_in!F3=0,0,11630*1000*SER_hh_fec_in!F3/SER_hh_num_in!F3)</f>
        <v>169489.29254523473</v>
      </c>
      <c r="G3" s="125">
        <f>IF(SER_hh_fec_in!G3=0,0,11630*1000*SER_hh_fec_in!G3/SER_hh_num_in!G3)</f>
        <v>157096.55346470792</v>
      </c>
      <c r="H3" s="125">
        <f>IF(SER_hh_fec_in!H3=0,0,11630*1000*SER_hh_fec_in!H3/SER_hh_num_in!H3)</f>
        <v>178012.54155001376</v>
      </c>
      <c r="I3" s="125">
        <f>IF(SER_hh_fec_in!I3=0,0,11630*1000*SER_hh_fec_in!I3/SER_hh_num_in!I3)</f>
        <v>158738.64878694044</v>
      </c>
      <c r="J3" s="125">
        <f>IF(SER_hh_fec_in!J3=0,0,11630*1000*SER_hh_fec_in!J3/SER_hh_num_in!J3)</f>
        <v>170929.18491665114</v>
      </c>
      <c r="K3" s="125">
        <f>IF(SER_hh_fec_in!K3=0,0,11630*1000*SER_hh_fec_in!K3/SER_hh_num_in!K3)</f>
        <v>167760.29433154003</v>
      </c>
      <c r="L3" s="125">
        <f>IF(SER_hh_fec_in!L3=0,0,11630*1000*SER_hh_fec_in!L3/SER_hh_num_in!L3)</f>
        <v>180623.55521896016</v>
      </c>
      <c r="M3" s="125">
        <f>IF(SER_hh_fec_in!M3=0,0,11630*1000*SER_hh_fec_in!M3/SER_hh_num_in!M3)</f>
        <v>163832.68365351149</v>
      </c>
      <c r="N3" s="125">
        <f>IF(SER_hh_fec_in!N3=0,0,11630*1000*SER_hh_fec_in!N3/SER_hh_num_in!N3)</f>
        <v>153357.6682250672</v>
      </c>
      <c r="O3" s="125">
        <f>IF(SER_hh_fec_in!O3=0,0,11630*1000*SER_hh_fec_in!O3/SER_hh_num_in!O3)</f>
        <v>141387.83293137999</v>
      </c>
      <c r="P3" s="125">
        <f>IF(SER_hh_fec_in!P3=0,0,11630*1000*SER_hh_fec_in!P3/SER_hh_num_in!P3)</f>
        <v>122714.42402118581</v>
      </c>
      <c r="Q3" s="125">
        <f>IF(SER_hh_fec_in!Q3=0,0,11630*1000*SER_hh_fec_in!Q3/SER_hh_num_in!Q3)</f>
        <v>118894.02119427586</v>
      </c>
      <c r="R3" s="125">
        <f>IF(SER_hh_fec_in!R3=0,0,11630*1000*SER_hh_fec_in!R3/SER_hh_num_in!R3)</f>
        <v>121061.11891096881</v>
      </c>
      <c r="S3" s="125">
        <f>IF(SER_hh_fec_in!S3=0,0,11630*1000*SER_hh_fec_in!S3/SER_hh_num_in!S3)</f>
        <v>109215.79943838637</v>
      </c>
      <c r="T3" s="125">
        <f>IF(SER_hh_fec_in!T3=0,0,11630*1000*SER_hh_fec_in!T3/SER_hh_num_in!T3)</f>
        <v>101356.92047723832</v>
      </c>
      <c r="U3" s="125">
        <f>IF(SER_hh_fec_in!U3=0,0,11630*1000*SER_hh_fec_in!U3/SER_hh_num_in!U3)</f>
        <v>95854.896790674902</v>
      </c>
      <c r="V3" s="125">
        <f>IF(SER_hh_fec_in!V3=0,0,11630*1000*SER_hh_fec_in!V3/SER_hh_num_in!V3)</f>
        <v>86610.501246305066</v>
      </c>
      <c r="W3" s="125">
        <f>IF(SER_hh_fec_in!W3=0,0,11630*1000*SER_hh_fec_in!W3/SER_hh_num_in!W3)</f>
        <v>88200.327050891705</v>
      </c>
      <c r="X3" s="125">
        <f>IF(SER_hh_fec_in!X3=0,0,11630*1000*SER_hh_fec_in!X3/SER_hh_num_in!X3)</f>
        <v>80155.995203256462</v>
      </c>
      <c r="Y3" s="125">
        <f>IF(SER_hh_fec_in!Y3=0,0,11630*1000*SER_hh_fec_in!Y3/SER_hh_num_in!Y3)</f>
        <v>80243.170758365392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112964.98069485048</v>
      </c>
      <c r="D4" s="130">
        <f>IF(SER_hh_fec_in!D4=0,0,11630*1000*SER_hh_fec_in!D4/SER_hh_num_in!D4)</f>
        <v>134386.91276502653</v>
      </c>
      <c r="E4" s="130">
        <f>IF(SER_hh_fec_in!E4=0,0,11630*1000*SER_hh_fec_in!E4/SER_hh_num_in!E4)</f>
        <v>125759.3951686334</v>
      </c>
      <c r="F4" s="130">
        <f>IF(SER_hh_fec_in!F4=0,0,11630*1000*SER_hh_fec_in!F4/SER_hh_num_in!F4)</f>
        <v>125723.28090064872</v>
      </c>
      <c r="G4" s="130">
        <f>IF(SER_hh_fec_in!G4=0,0,11630*1000*SER_hh_fec_in!G4/SER_hh_num_in!G4)</f>
        <v>111519.98080937234</v>
      </c>
      <c r="H4" s="130">
        <f>IF(SER_hh_fec_in!H4=0,0,11630*1000*SER_hh_fec_in!H4/SER_hh_num_in!H4)</f>
        <v>132883.73511611897</v>
      </c>
      <c r="I4" s="130">
        <f>IF(SER_hh_fec_in!I4=0,0,11630*1000*SER_hh_fec_in!I4/SER_hh_num_in!I4)</f>
        <v>111545.37879999785</v>
      </c>
      <c r="J4" s="130">
        <f>IF(SER_hh_fec_in!J4=0,0,11630*1000*SER_hh_fec_in!J4/SER_hh_num_in!J4)</f>
        <v>123317.93257719134</v>
      </c>
      <c r="K4" s="130">
        <f>IF(SER_hh_fec_in!K4=0,0,11630*1000*SER_hh_fec_in!K4/SER_hh_num_in!K4)</f>
        <v>120595.45403968402</v>
      </c>
      <c r="L4" s="130">
        <f>IF(SER_hh_fec_in!L4=0,0,11630*1000*SER_hh_fec_in!L4/SER_hh_num_in!L4)</f>
        <v>128330.96518365109</v>
      </c>
      <c r="M4" s="130">
        <f>IF(SER_hh_fec_in!M4=0,0,11630*1000*SER_hh_fec_in!M4/SER_hh_num_in!M4)</f>
        <v>114582.9834374058</v>
      </c>
      <c r="N4" s="130">
        <f>IF(SER_hh_fec_in!N4=0,0,11630*1000*SER_hh_fec_in!N4/SER_hh_num_in!N4)</f>
        <v>103236.74306621963</v>
      </c>
      <c r="O4" s="130">
        <f>IF(SER_hh_fec_in!O4=0,0,11630*1000*SER_hh_fec_in!O4/SER_hh_num_in!O4)</f>
        <v>90852.252343363551</v>
      </c>
      <c r="P4" s="130">
        <f>IF(SER_hh_fec_in!P4=0,0,11630*1000*SER_hh_fec_in!P4/SER_hh_num_in!P4)</f>
        <v>75733.101590573875</v>
      </c>
      <c r="Q4" s="130">
        <f>IF(SER_hh_fec_in!Q4=0,0,11630*1000*SER_hh_fec_in!Q4/SER_hh_num_in!Q4)</f>
        <v>70535.323126374686</v>
      </c>
      <c r="R4" s="130">
        <f>IF(SER_hh_fec_in!R4=0,0,11630*1000*SER_hh_fec_in!R4/SER_hh_num_in!R4)</f>
        <v>75052.226992952972</v>
      </c>
      <c r="S4" s="130">
        <f>IF(SER_hh_fec_in!S4=0,0,11630*1000*SER_hh_fec_in!S4/SER_hh_num_in!S4)</f>
        <v>65802.804814544477</v>
      </c>
      <c r="T4" s="130">
        <f>IF(SER_hh_fec_in!T4=0,0,11630*1000*SER_hh_fec_in!T4/SER_hh_num_in!T4)</f>
        <v>58965.990501180509</v>
      </c>
      <c r="U4" s="130">
        <f>IF(SER_hh_fec_in!U4=0,0,11630*1000*SER_hh_fec_in!U4/SER_hh_num_in!U4)</f>
        <v>53098.981763056014</v>
      </c>
      <c r="V4" s="130">
        <f>IF(SER_hh_fec_in!V4=0,0,11630*1000*SER_hh_fec_in!V4/SER_hh_num_in!V4)</f>
        <v>47506.482139436703</v>
      </c>
      <c r="W4" s="130">
        <f>IF(SER_hh_fec_in!W4=0,0,11630*1000*SER_hh_fec_in!W4/SER_hh_num_in!W4)</f>
        <v>46016.949027741051</v>
      </c>
      <c r="X4" s="130">
        <f>IF(SER_hh_fec_in!X4=0,0,11630*1000*SER_hh_fec_in!X4/SER_hh_num_in!X4)</f>
        <v>39090.129414578543</v>
      </c>
      <c r="Y4" s="130">
        <f>IF(SER_hh_fec_in!Y4=0,0,11630*1000*SER_hh_fec_in!Y4/SER_hh_num_in!Y4)</f>
        <v>39932.812509762545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86927.687804377099</v>
      </c>
      <c r="D5" s="132">
        <f>IF(SER_hh_fec_in!D5=0,0,11630*1000*SER_hh_fec_in!D5/SER_hh_num_in!D5)</f>
        <v>142107.9551112554</v>
      </c>
      <c r="E5" s="132">
        <f>IF(SER_hh_fec_in!E5=0,0,11630*1000*SER_hh_fec_in!E5/SER_hh_num_in!E5)</f>
        <v>135832.7746746889</v>
      </c>
      <c r="F5" s="132">
        <f>IF(SER_hh_fec_in!F5=0,0,11630*1000*SER_hh_fec_in!F5/SER_hh_num_in!F5)</f>
        <v>126420.47251360169</v>
      </c>
      <c r="G5" s="132">
        <f>IF(SER_hh_fec_in!G5=0,0,11630*1000*SER_hh_fec_in!G5/SER_hh_num_in!G5)</f>
        <v>122619.77952371609</v>
      </c>
      <c r="H5" s="132">
        <f>IF(SER_hh_fec_in!H5=0,0,11630*1000*SER_hh_fec_in!H5/SER_hh_num_in!H5)</f>
        <v>137726.61586711134</v>
      </c>
      <c r="I5" s="132">
        <f>IF(SER_hh_fec_in!I5=0,0,11630*1000*SER_hh_fec_in!I5/SER_hh_num_in!I5)</f>
        <v>112089.7975625901</v>
      </c>
      <c r="J5" s="132">
        <f>IF(SER_hh_fec_in!J5=0,0,11630*1000*SER_hh_fec_in!J5/SER_hh_num_in!J5)</f>
        <v>119819.53955089203</v>
      </c>
      <c r="K5" s="132">
        <f>IF(SER_hh_fec_in!K5=0,0,11630*1000*SER_hh_fec_in!K5/SER_hh_num_in!K5)</f>
        <v>122638.07455080192</v>
      </c>
      <c r="L5" s="132">
        <f>IF(SER_hh_fec_in!L5=0,0,11630*1000*SER_hh_fec_in!L5/SER_hh_num_in!L5)</f>
        <v>133666.71373291506</v>
      </c>
      <c r="M5" s="132">
        <f>IF(SER_hh_fec_in!M5=0,0,11630*1000*SER_hh_fec_in!M5/SER_hh_num_in!M5)</f>
        <v>112754.23826460318</v>
      </c>
      <c r="N5" s="132">
        <f>IF(SER_hh_fec_in!N5=0,0,11630*1000*SER_hh_fec_in!N5/SER_hh_num_in!N5)</f>
        <v>110211.60699794558</v>
      </c>
      <c r="O5" s="132">
        <f>IF(SER_hh_fec_in!O5=0,0,11630*1000*SER_hh_fec_in!O5/SER_hh_num_in!O5)</f>
        <v>98815.19497744953</v>
      </c>
      <c r="P5" s="132">
        <f>IF(SER_hh_fec_in!P5=0,0,11630*1000*SER_hh_fec_in!P5/SER_hh_num_in!P5)</f>
        <v>84614.891440466032</v>
      </c>
      <c r="Q5" s="132">
        <f>IF(SER_hh_fec_in!Q5=0,0,11630*1000*SER_hh_fec_in!Q5/SER_hh_num_in!Q5)</f>
        <v>79237.926555827216</v>
      </c>
      <c r="R5" s="132">
        <f>IF(SER_hh_fec_in!R5=0,0,11630*1000*SER_hh_fec_in!R5/SER_hh_num_in!R5)</f>
        <v>80449.404812114211</v>
      </c>
      <c r="S5" s="132">
        <f>IF(SER_hh_fec_in!S5=0,0,11630*1000*SER_hh_fec_in!S5/SER_hh_num_in!S5)</f>
        <v>76274.320246816496</v>
      </c>
      <c r="T5" s="132">
        <f>IF(SER_hh_fec_in!T5=0,0,11630*1000*SER_hh_fec_in!T5/SER_hh_num_in!T5)</f>
        <v>68478.590825102699</v>
      </c>
      <c r="U5" s="132">
        <f>IF(SER_hh_fec_in!U5=0,0,11630*1000*SER_hh_fec_in!U5/SER_hh_num_in!U5)</f>
        <v>53657.934947831272</v>
      </c>
      <c r="V5" s="132">
        <f>IF(SER_hh_fec_in!V5=0,0,11630*1000*SER_hh_fec_in!V5/SER_hh_num_in!V5)</f>
        <v>53478.743440969905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149054.26195444213</v>
      </c>
      <c r="D7" s="132">
        <f>IF(SER_hh_fec_in!D7=0,0,11630*1000*SER_hh_fec_in!D7/SER_hh_num_in!D7)</f>
        <v>158456.54467088109</v>
      </c>
      <c r="E7" s="132">
        <f>IF(SER_hh_fec_in!E7=0,0,11630*1000*SER_hh_fec_in!E7/SER_hh_num_in!E7)</f>
        <v>157169.47869823378</v>
      </c>
      <c r="F7" s="132">
        <f>IF(SER_hh_fec_in!F7=0,0,11630*1000*SER_hh_fec_in!F7/SER_hh_num_in!F7)</f>
        <v>144605.38442900751</v>
      </c>
      <c r="G7" s="132">
        <f>IF(SER_hh_fec_in!G7=0,0,11630*1000*SER_hh_fec_in!G7/SER_hh_num_in!G7)</f>
        <v>111521.32561651409</v>
      </c>
      <c r="H7" s="132">
        <f>IF(SER_hh_fec_in!H7=0,0,11630*1000*SER_hh_fec_in!H7/SER_hh_num_in!H7)</f>
        <v>173293.29987225035</v>
      </c>
      <c r="I7" s="132">
        <f>IF(SER_hh_fec_in!I7=0,0,11630*1000*SER_hh_fec_in!I7/SER_hh_num_in!I7)</f>
        <v>149916.83405225247</v>
      </c>
      <c r="J7" s="132">
        <f>IF(SER_hh_fec_in!J7=0,0,11630*1000*SER_hh_fec_in!J7/SER_hh_num_in!J7)</f>
        <v>143396.45166955719</v>
      </c>
      <c r="K7" s="132">
        <f>IF(SER_hh_fec_in!K7=0,0,11630*1000*SER_hh_fec_in!K7/SER_hh_num_in!K7)</f>
        <v>131831.71883676885</v>
      </c>
      <c r="L7" s="132">
        <f>IF(SER_hh_fec_in!L7=0,0,11630*1000*SER_hh_fec_in!L7/SER_hh_num_in!L7)</f>
        <v>162730.56269081475</v>
      </c>
      <c r="M7" s="132">
        <f>IF(SER_hh_fec_in!M7=0,0,11630*1000*SER_hh_fec_in!M7/SER_hh_num_in!M7)</f>
        <v>149960.16276769029</v>
      </c>
      <c r="N7" s="132">
        <f>IF(SER_hh_fec_in!N7=0,0,11630*1000*SER_hh_fec_in!N7/SER_hh_num_in!N7)</f>
        <v>0</v>
      </c>
      <c r="O7" s="132">
        <f>IF(SER_hh_fec_in!O7=0,0,11630*1000*SER_hh_fec_in!O7/SER_hh_num_in!O7)</f>
        <v>0</v>
      </c>
      <c r="P7" s="132">
        <f>IF(SER_hh_fec_in!P7=0,0,11630*1000*SER_hh_fec_in!P7/SER_hh_num_in!P7)</f>
        <v>0</v>
      </c>
      <c r="Q7" s="132">
        <f>IF(SER_hh_fec_in!Q7=0,0,11630*1000*SER_hh_fec_in!Q7/SER_hh_num_in!Q7)</f>
        <v>79125.833878309248</v>
      </c>
      <c r="R7" s="132">
        <f>IF(SER_hh_fec_in!R7=0,0,11630*1000*SER_hh_fec_in!R7/SER_hh_num_in!R7)</f>
        <v>75331.837621398328</v>
      </c>
      <c r="S7" s="132">
        <f>IF(SER_hh_fec_in!S7=0,0,11630*1000*SER_hh_fec_in!S7/SER_hh_num_in!S7)</f>
        <v>72355.960414644433</v>
      </c>
      <c r="T7" s="132">
        <f>IF(SER_hh_fec_in!T7=0,0,11630*1000*SER_hh_fec_in!T7/SER_hh_num_in!T7)</f>
        <v>70471.442264485711</v>
      </c>
      <c r="U7" s="132">
        <f>IF(SER_hh_fec_in!U7=0,0,11630*1000*SER_hh_fec_in!U7/SER_hh_num_in!U7)</f>
        <v>58517.948878150004</v>
      </c>
      <c r="V7" s="132">
        <f>IF(SER_hh_fec_in!V7=0,0,11630*1000*SER_hh_fec_in!V7/SER_hh_num_in!V7)</f>
        <v>56252.012302198564</v>
      </c>
      <c r="W7" s="132">
        <f>IF(SER_hh_fec_in!W7=0,0,11630*1000*SER_hh_fec_in!W7/SER_hh_num_in!W7)</f>
        <v>57234.819724495384</v>
      </c>
      <c r="X7" s="132">
        <f>IF(SER_hh_fec_in!X7=0,0,11630*1000*SER_hh_fec_in!X7/SER_hh_num_in!X7)</f>
        <v>49582.787886129081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63149.189139911512</v>
      </c>
      <c r="D8" s="132">
        <f>IF(SER_hh_fec_in!D8=0,0,11630*1000*SER_hh_fec_in!D8/SER_hh_num_in!D8)</f>
        <v>63283.110323964145</v>
      </c>
      <c r="E8" s="132">
        <f>IF(SER_hh_fec_in!E8=0,0,11630*1000*SER_hh_fec_in!E8/SER_hh_num_in!E8)</f>
        <v>64007.102902861407</v>
      </c>
      <c r="F8" s="132">
        <f>IF(SER_hh_fec_in!F8=0,0,11630*1000*SER_hh_fec_in!F8/SER_hh_num_in!F8)</f>
        <v>60673.948585464481</v>
      </c>
      <c r="G8" s="132">
        <f>IF(SER_hh_fec_in!G8=0,0,11630*1000*SER_hh_fec_in!G8/SER_hh_num_in!G8)</f>
        <v>57496.141518806093</v>
      </c>
      <c r="H8" s="132">
        <f>IF(SER_hh_fec_in!H8=0,0,11630*1000*SER_hh_fec_in!H8/SER_hh_num_in!H8)</f>
        <v>54139.526267233916</v>
      </c>
      <c r="I8" s="132">
        <f>IF(SER_hh_fec_in!I8=0,0,11630*1000*SER_hh_fec_in!I8/SER_hh_num_in!I8)</f>
        <v>50658.893312782428</v>
      </c>
      <c r="J8" s="132">
        <f>IF(SER_hh_fec_in!J8=0,0,11630*1000*SER_hh_fec_in!J8/SER_hh_num_in!J8)</f>
        <v>50387.747863887707</v>
      </c>
      <c r="K8" s="132">
        <f>IF(SER_hh_fec_in!K8=0,0,11630*1000*SER_hh_fec_in!K8/SER_hh_num_in!K8)</f>
        <v>50527.424495970088</v>
      </c>
      <c r="L8" s="132">
        <f>IF(SER_hh_fec_in!L8=0,0,11630*1000*SER_hh_fec_in!L8/SER_hh_num_in!L8)</f>
        <v>47935.486353324464</v>
      </c>
      <c r="M8" s="132">
        <f>IF(SER_hh_fec_in!M8=0,0,11630*1000*SER_hh_fec_in!M8/SER_hh_num_in!M8)</f>
        <v>38896.076923603425</v>
      </c>
      <c r="N8" s="132">
        <f>IF(SER_hh_fec_in!N8=0,0,11630*1000*SER_hh_fec_in!N8/SER_hh_num_in!N8)</f>
        <v>35974.121501541442</v>
      </c>
      <c r="O8" s="132">
        <f>IF(SER_hh_fec_in!O8=0,0,11630*1000*SER_hh_fec_in!O8/SER_hh_num_in!O8)</f>
        <v>28081.21709566145</v>
      </c>
      <c r="P8" s="132">
        <f>IF(SER_hh_fec_in!P8=0,0,11630*1000*SER_hh_fec_in!P8/SER_hh_num_in!P8)</f>
        <v>29010.250448623759</v>
      </c>
      <c r="Q8" s="132">
        <f>IF(SER_hh_fec_in!Q8=0,0,11630*1000*SER_hh_fec_in!Q8/SER_hh_num_in!Q8)</f>
        <v>25568.086330533963</v>
      </c>
      <c r="R8" s="132">
        <f>IF(SER_hh_fec_in!R8=0,0,11630*1000*SER_hh_fec_in!R8/SER_hh_num_in!R8)</f>
        <v>23838.406667743369</v>
      </c>
      <c r="S8" s="132">
        <f>IF(SER_hh_fec_in!S8=0,0,11630*1000*SER_hh_fec_in!S8/SER_hh_num_in!S8)</f>
        <v>20273.256532427091</v>
      </c>
      <c r="T8" s="132">
        <f>IF(SER_hh_fec_in!T8=0,0,11630*1000*SER_hh_fec_in!T8/SER_hh_num_in!T8)</f>
        <v>18125.259960730695</v>
      </c>
      <c r="U8" s="132">
        <f>IF(SER_hh_fec_in!U8=0,0,11630*1000*SER_hh_fec_in!U8/SER_hh_num_in!U8)</f>
        <v>16585.996289679246</v>
      </c>
      <c r="V8" s="132">
        <f>IF(SER_hh_fec_in!V8=0,0,11630*1000*SER_hh_fec_in!V8/SER_hh_num_in!V8)</f>
        <v>15420.868711719064</v>
      </c>
      <c r="W8" s="132">
        <f>IF(SER_hh_fec_in!W8=0,0,11630*1000*SER_hh_fec_in!W8/SER_hh_num_in!W8)</f>
        <v>14675.063243419416</v>
      </c>
      <c r="X8" s="132">
        <f>IF(SER_hh_fec_in!X8=0,0,11630*1000*SER_hh_fec_in!X8/SER_hh_num_in!X8)</f>
        <v>12420.61934358862</v>
      </c>
      <c r="Y8" s="132">
        <f>IF(SER_hh_fec_in!Y8=0,0,11630*1000*SER_hh_fec_in!Y8/SER_hh_num_in!Y8)</f>
        <v>13743.337719570456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134473.91522453268</v>
      </c>
      <c r="D9" s="132">
        <f>IF(SER_hh_fec_in!D9=0,0,11630*1000*SER_hh_fec_in!D9/SER_hh_num_in!D9)</f>
        <v>148877.76972864431</v>
      </c>
      <c r="E9" s="132">
        <f>IF(SER_hh_fec_in!E9=0,0,11630*1000*SER_hh_fec_in!E9/SER_hh_num_in!E9)</f>
        <v>148635.59815204964</v>
      </c>
      <c r="F9" s="132">
        <f>IF(SER_hh_fec_in!F9=0,0,11630*1000*SER_hh_fec_in!F9/SER_hh_num_in!F9)</f>
        <v>150829.25239414768</v>
      </c>
      <c r="G9" s="132">
        <f>IF(SER_hh_fec_in!G9=0,0,11630*1000*SER_hh_fec_in!G9/SER_hh_num_in!G9)</f>
        <v>147596.42954464501</v>
      </c>
      <c r="H9" s="132">
        <f>IF(SER_hh_fec_in!H9=0,0,11630*1000*SER_hh_fec_in!H9/SER_hh_num_in!H9)</f>
        <v>134271.37543176074</v>
      </c>
      <c r="I9" s="132">
        <f>IF(SER_hh_fec_in!I9=0,0,11630*1000*SER_hh_fec_in!I9/SER_hh_num_in!I9)</f>
        <v>131677.35159695995</v>
      </c>
      <c r="J9" s="132">
        <f>IF(SER_hh_fec_in!J9=0,0,11630*1000*SER_hh_fec_in!J9/SER_hh_num_in!J9)</f>
        <v>133372.9342104891</v>
      </c>
      <c r="K9" s="132">
        <f>IF(SER_hh_fec_in!K9=0,0,11630*1000*SER_hh_fec_in!K9/SER_hh_num_in!K9)</f>
        <v>131104.08232304346</v>
      </c>
      <c r="L9" s="132">
        <f>IF(SER_hh_fec_in!L9=0,0,11630*1000*SER_hh_fec_in!L9/SER_hh_num_in!L9)</f>
        <v>147034.40549097268</v>
      </c>
      <c r="M9" s="132">
        <f>IF(SER_hh_fec_in!M9=0,0,11630*1000*SER_hh_fec_in!M9/SER_hh_num_in!M9)</f>
        <v>122489.12822027301</v>
      </c>
      <c r="N9" s="132">
        <f>IF(SER_hh_fec_in!N9=0,0,11630*1000*SER_hh_fec_in!N9/SER_hh_num_in!N9)</f>
        <v>115699.49909153227</v>
      </c>
      <c r="O9" s="132">
        <f>IF(SER_hh_fec_in!O9=0,0,11630*1000*SER_hh_fec_in!O9/SER_hh_num_in!O9)</f>
        <v>100911.4899164004</v>
      </c>
      <c r="P9" s="132">
        <f>IF(SER_hh_fec_in!P9=0,0,11630*1000*SER_hh_fec_in!P9/SER_hh_num_in!P9)</f>
        <v>76890.099645868657</v>
      </c>
      <c r="Q9" s="132">
        <f>IF(SER_hh_fec_in!Q9=0,0,11630*1000*SER_hh_fec_in!Q9/SER_hh_num_in!Q9)</f>
        <v>76295.55184827176</v>
      </c>
      <c r="R9" s="132">
        <f>IF(SER_hh_fec_in!R9=0,0,11630*1000*SER_hh_fec_in!R9/SER_hh_num_in!R9)</f>
        <v>86315.27622296242</v>
      </c>
      <c r="S9" s="132">
        <f>IF(SER_hh_fec_in!S9=0,0,11630*1000*SER_hh_fec_in!S9/SER_hh_num_in!S9)</f>
        <v>62862.965473725337</v>
      </c>
      <c r="T9" s="132">
        <f>IF(SER_hh_fec_in!T9=0,0,11630*1000*SER_hh_fec_in!T9/SER_hh_num_in!T9)</f>
        <v>57807.849291519051</v>
      </c>
      <c r="U9" s="132">
        <f>IF(SER_hh_fec_in!U9=0,0,11630*1000*SER_hh_fec_in!U9/SER_hh_num_in!U9)</f>
        <v>56197.448458046791</v>
      </c>
      <c r="V9" s="132">
        <f>IF(SER_hh_fec_in!V9=0,0,11630*1000*SER_hh_fec_in!V9/SER_hh_num_in!V9)</f>
        <v>45373.96652105778</v>
      </c>
      <c r="W9" s="132">
        <f>IF(SER_hh_fec_in!W9=0,0,11630*1000*SER_hh_fec_in!W9/SER_hh_num_in!W9)</f>
        <v>51506.994548428651</v>
      </c>
      <c r="X9" s="132">
        <f>IF(SER_hh_fec_in!X9=0,0,11630*1000*SER_hh_fec_in!X9/SER_hh_num_in!X9)</f>
        <v>43843.031989241535</v>
      </c>
      <c r="Y9" s="132">
        <f>IF(SER_hh_fec_in!Y9=0,0,11630*1000*SER_hh_fec_in!Y9/SER_hh_num_in!Y9)</f>
        <v>40284.364517352988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115537.3323704904</v>
      </c>
      <c r="I10" s="132">
        <f>IF(SER_hh_fec_in!I10=0,0,11630*1000*SER_hh_fec_in!I10/SER_hh_num_in!I10)</f>
        <v>138453.52826678133</v>
      </c>
      <c r="J10" s="132">
        <f>IF(SER_hh_fec_in!J10=0,0,11630*1000*SER_hh_fec_in!J10/SER_hh_num_in!J10)</f>
        <v>122075.62451148817</v>
      </c>
      <c r="K10" s="132">
        <f>IF(SER_hh_fec_in!K10=0,0,11630*1000*SER_hh_fec_in!K10/SER_hh_num_in!K10)</f>
        <v>154021.33027292485</v>
      </c>
      <c r="L10" s="132">
        <f>IF(SER_hh_fec_in!L10=0,0,11630*1000*SER_hh_fec_in!L10/SER_hh_num_in!L10)</f>
        <v>161360.8626222265</v>
      </c>
      <c r="M10" s="132">
        <f>IF(SER_hh_fec_in!M10=0,0,11630*1000*SER_hh_fec_in!M10/SER_hh_num_in!M10)</f>
        <v>144981.94298582687</v>
      </c>
      <c r="N10" s="132">
        <f>IF(SER_hh_fec_in!N10=0,0,11630*1000*SER_hh_fec_in!N10/SER_hh_num_in!N10)</f>
        <v>121672.50877936004</v>
      </c>
      <c r="O10" s="132">
        <f>IF(SER_hh_fec_in!O10=0,0,11630*1000*SER_hh_fec_in!O10/SER_hh_num_in!O10)</f>
        <v>127775.96069729504</v>
      </c>
      <c r="P10" s="132">
        <f>IF(SER_hh_fec_in!P10=0,0,11630*1000*SER_hh_fec_in!P10/SER_hh_num_in!P10)</f>
        <v>102333.53345923423</v>
      </c>
      <c r="Q10" s="132">
        <f>IF(SER_hh_fec_in!Q10=0,0,11630*1000*SER_hh_fec_in!Q10/SER_hh_num_in!Q10)</f>
        <v>99252.793851965485</v>
      </c>
      <c r="R10" s="132">
        <f>IF(SER_hh_fec_in!R10=0,0,11630*1000*SER_hh_fec_in!R10/SER_hh_num_in!R10)</f>
        <v>104474.91907748162</v>
      </c>
      <c r="S10" s="132">
        <f>IF(SER_hh_fec_in!S10=0,0,11630*1000*SER_hh_fec_in!S10/SER_hh_num_in!S10)</f>
        <v>96179.253996491083</v>
      </c>
      <c r="T10" s="132">
        <f>IF(SER_hh_fec_in!T10=0,0,11630*1000*SER_hh_fec_in!T10/SER_hh_num_in!T10)</f>
        <v>84477.638942166494</v>
      </c>
      <c r="U10" s="132">
        <f>IF(SER_hh_fec_in!U10=0,0,11630*1000*SER_hh_fec_in!U10/SER_hh_num_in!U10)</f>
        <v>74916.474979823877</v>
      </c>
      <c r="V10" s="132">
        <f>IF(SER_hh_fec_in!V10=0,0,11630*1000*SER_hh_fec_in!V10/SER_hh_num_in!V10)</f>
        <v>73443.785470221002</v>
      </c>
      <c r="W10" s="132">
        <f>IF(SER_hh_fec_in!W10=0,0,11630*1000*SER_hh_fec_in!W10/SER_hh_num_in!W10)</f>
        <v>71702.986742379711</v>
      </c>
      <c r="X10" s="132">
        <f>IF(SER_hh_fec_in!X10=0,0,11630*1000*SER_hh_fec_in!X10/SER_hh_num_in!X10)</f>
        <v>51445.676296464633</v>
      </c>
      <c r="Y10" s="132">
        <f>IF(SER_hh_fec_in!Y10=0,0,11630*1000*SER_hh_fec_in!Y10/SER_hh_num_in!Y10)</f>
        <v>60627.377286213028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62887.624548322012</v>
      </c>
      <c r="D11" s="132">
        <f>IF(SER_hh_fec_in!D11=0,0,11630*1000*SER_hh_fec_in!D11/SER_hh_num_in!D11)</f>
        <v>103887.40773675923</v>
      </c>
      <c r="E11" s="132">
        <f>IF(SER_hh_fec_in!E11=0,0,11630*1000*SER_hh_fec_in!E11/SER_hh_num_in!E11)</f>
        <v>109479.01226964418</v>
      </c>
      <c r="F11" s="132">
        <f>IF(SER_hh_fec_in!F11=0,0,11630*1000*SER_hh_fec_in!F11/SER_hh_num_in!F11)</f>
        <v>94014.506474021749</v>
      </c>
      <c r="G11" s="132">
        <f>IF(SER_hh_fec_in!G11=0,0,11630*1000*SER_hh_fec_in!G11/SER_hh_num_in!G11)</f>
        <v>104673.86018819545</v>
      </c>
      <c r="H11" s="132">
        <f>IF(SER_hh_fec_in!H11=0,0,11630*1000*SER_hh_fec_in!H11/SER_hh_num_in!H11)</f>
        <v>105688.2355964117</v>
      </c>
      <c r="I11" s="132">
        <f>IF(SER_hh_fec_in!I11=0,0,11630*1000*SER_hh_fec_in!I11/SER_hh_num_in!I11)</f>
        <v>77006.758830348452</v>
      </c>
      <c r="J11" s="132">
        <f>IF(SER_hh_fec_in!J11=0,0,11630*1000*SER_hh_fec_in!J11/SER_hh_num_in!J11)</f>
        <v>106302.5243415077</v>
      </c>
      <c r="K11" s="132">
        <f>IF(SER_hh_fec_in!K11=0,0,11630*1000*SER_hh_fec_in!K11/SER_hh_num_in!K11)</f>
        <v>107935.6640302485</v>
      </c>
      <c r="L11" s="132">
        <f>IF(SER_hh_fec_in!L11=0,0,11630*1000*SER_hh_fec_in!L11/SER_hh_num_in!L11)</f>
        <v>94919.937898800621</v>
      </c>
      <c r="M11" s="132">
        <f>IF(SER_hh_fec_in!M11=0,0,11630*1000*SER_hh_fec_in!M11/SER_hh_num_in!M11)</f>
        <v>69857.03224900458</v>
      </c>
      <c r="N11" s="132">
        <f>IF(SER_hh_fec_in!N11=0,0,11630*1000*SER_hh_fec_in!N11/SER_hh_num_in!N11)</f>
        <v>78824.978674899568</v>
      </c>
      <c r="O11" s="132">
        <f>IF(SER_hh_fec_in!O11=0,0,11630*1000*SER_hh_fec_in!O11/SER_hh_num_in!O11)</f>
        <v>82995.595256759072</v>
      </c>
      <c r="P11" s="132">
        <f>IF(SER_hh_fec_in!P11=0,0,11630*1000*SER_hh_fec_in!P11/SER_hh_num_in!P11)</f>
        <v>75941.902433249037</v>
      </c>
      <c r="Q11" s="132">
        <f>IF(SER_hh_fec_in!Q11=0,0,11630*1000*SER_hh_fec_in!Q11/SER_hh_num_in!Q11)</f>
        <v>68004.022318312607</v>
      </c>
      <c r="R11" s="132">
        <f>IF(SER_hh_fec_in!R11=0,0,11630*1000*SER_hh_fec_in!R11/SER_hh_num_in!R11)</f>
        <v>62752.0949924245</v>
      </c>
      <c r="S11" s="132">
        <f>IF(SER_hh_fec_in!S11=0,0,11630*1000*SER_hh_fec_in!S11/SER_hh_num_in!S11)</f>
        <v>59215.469381976895</v>
      </c>
      <c r="T11" s="132">
        <f>IF(SER_hh_fec_in!T11=0,0,11630*1000*SER_hh_fec_in!T11/SER_hh_num_in!T11)</f>
        <v>55571.251280594443</v>
      </c>
      <c r="U11" s="132">
        <f>IF(SER_hh_fec_in!U11=0,0,11630*1000*SER_hh_fec_in!U11/SER_hh_num_in!U11)</f>
        <v>51702.936747568237</v>
      </c>
      <c r="V11" s="132">
        <f>IF(SER_hh_fec_in!V11=0,0,11630*1000*SER_hh_fec_in!V11/SER_hh_num_in!V11)</f>
        <v>46449.71450515039</v>
      </c>
      <c r="W11" s="132">
        <f>IF(SER_hh_fec_in!W11=0,0,11630*1000*SER_hh_fec_in!W11/SER_hh_num_in!W11)</f>
        <v>41118.042278319022</v>
      </c>
      <c r="X11" s="132">
        <f>IF(SER_hh_fec_in!X11=0,0,11630*1000*SER_hh_fec_in!X11/SER_hh_num_in!X11)</f>
        <v>39251.527230238637</v>
      </c>
      <c r="Y11" s="132">
        <f>IF(SER_hh_fec_in!Y11=0,0,11630*1000*SER_hh_fec_in!Y11/SER_hh_num_in!Y11)</f>
        <v>38983.459680809727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86467.746609813097</v>
      </c>
      <c r="D12" s="132">
        <f>IF(SER_hh_fec_in!D12=0,0,11630*1000*SER_hh_fec_in!D12/SER_hh_num_in!D12)</f>
        <v>101089.84493261907</v>
      </c>
      <c r="E12" s="132">
        <f>IF(SER_hh_fec_in!E12=0,0,11630*1000*SER_hh_fec_in!E12/SER_hh_num_in!E12)</f>
        <v>85586.692744780637</v>
      </c>
      <c r="F12" s="132">
        <f>IF(SER_hh_fec_in!F12=0,0,11630*1000*SER_hh_fec_in!F12/SER_hh_num_in!F12)</f>
        <v>112648.66466401059</v>
      </c>
      <c r="G12" s="132">
        <f>IF(SER_hh_fec_in!G12=0,0,11630*1000*SER_hh_fec_in!G12/SER_hh_num_in!G12)</f>
        <v>95734.162682865193</v>
      </c>
      <c r="H12" s="132">
        <f>IF(SER_hh_fec_in!H12=0,0,11630*1000*SER_hh_fec_in!H12/SER_hh_num_in!H12)</f>
        <v>115796.89339422664</v>
      </c>
      <c r="I12" s="132">
        <f>IF(SER_hh_fec_in!I12=0,0,11630*1000*SER_hh_fec_in!I12/SER_hh_num_in!I12)</f>
        <v>75689.886432107625</v>
      </c>
      <c r="J12" s="132">
        <f>IF(SER_hh_fec_in!J12=0,0,11630*1000*SER_hh_fec_in!J12/SER_hh_num_in!J12)</f>
        <v>106000.68408799086</v>
      </c>
      <c r="K12" s="132">
        <f>IF(SER_hh_fec_in!K12=0,0,11630*1000*SER_hh_fec_in!K12/SER_hh_num_in!K12)</f>
        <v>97127.187353569912</v>
      </c>
      <c r="L12" s="132">
        <f>IF(SER_hh_fec_in!L12=0,0,11630*1000*SER_hh_fec_in!L12/SER_hh_num_in!L12)</f>
        <v>105162.13410898413</v>
      </c>
      <c r="M12" s="132">
        <f>IF(SER_hh_fec_in!M12=0,0,11630*1000*SER_hh_fec_in!M12/SER_hh_num_in!M12)</f>
        <v>87338.58514004109</v>
      </c>
      <c r="N12" s="132">
        <f>IF(SER_hh_fec_in!N12=0,0,11630*1000*SER_hh_fec_in!N12/SER_hh_num_in!N12)</f>
        <v>83975.241268421436</v>
      </c>
      <c r="O12" s="132">
        <f>IF(SER_hh_fec_in!O12=0,0,11630*1000*SER_hh_fec_in!O12/SER_hh_num_in!O12)</f>
        <v>83092.227622447434</v>
      </c>
      <c r="P12" s="132">
        <f>IF(SER_hh_fec_in!P12=0,0,11630*1000*SER_hh_fec_in!P12/SER_hh_num_in!P12)</f>
        <v>68443.692891066632</v>
      </c>
      <c r="Q12" s="132">
        <f>IF(SER_hh_fec_in!Q12=0,0,11630*1000*SER_hh_fec_in!Q12/SER_hh_num_in!Q12)</f>
        <v>59484.557403270948</v>
      </c>
      <c r="R12" s="132">
        <f>IF(SER_hh_fec_in!R12=0,0,11630*1000*SER_hh_fec_in!R12/SER_hh_num_in!R12)</f>
        <v>66812.235094052667</v>
      </c>
      <c r="S12" s="132">
        <f>IF(SER_hh_fec_in!S12=0,0,11630*1000*SER_hh_fec_in!S12/SER_hh_num_in!S12)</f>
        <v>64213.854530465476</v>
      </c>
      <c r="T12" s="132">
        <f>IF(SER_hh_fec_in!T12=0,0,11630*1000*SER_hh_fec_in!T12/SER_hh_num_in!T12)</f>
        <v>51577.439131394931</v>
      </c>
      <c r="U12" s="132">
        <f>IF(SER_hh_fec_in!U12=0,0,11630*1000*SER_hh_fec_in!U12/SER_hh_num_in!U12)</f>
        <v>50846.595143737235</v>
      </c>
      <c r="V12" s="132">
        <f>IF(SER_hh_fec_in!V12=0,0,11630*1000*SER_hh_fec_in!V12/SER_hh_num_in!V12)</f>
        <v>48587.353490652131</v>
      </c>
      <c r="W12" s="132">
        <f>IF(SER_hh_fec_in!W12=0,0,11630*1000*SER_hh_fec_in!W12/SER_hh_num_in!W12)</f>
        <v>37444.929557180061</v>
      </c>
      <c r="X12" s="132">
        <f>IF(SER_hh_fec_in!X12=0,0,11630*1000*SER_hh_fec_in!X12/SER_hh_num_in!X12)</f>
        <v>39475.910040891613</v>
      </c>
      <c r="Y12" s="132">
        <f>IF(SER_hh_fec_in!Y12=0,0,11630*1000*SER_hh_fec_in!Y12/SER_hh_num_in!Y12)</f>
        <v>35433.260127856985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48609.412257706419</v>
      </c>
      <c r="D13" s="132">
        <f>IF(SER_hh_fec_in!D13=0,0,11630*1000*SER_hh_fec_in!D13/SER_hh_num_in!D13)</f>
        <v>41764.916866732805</v>
      </c>
      <c r="E13" s="132">
        <f>IF(SER_hh_fec_in!E13=0,0,11630*1000*SER_hh_fec_in!E13/SER_hh_num_in!E13)</f>
        <v>44646.494167030782</v>
      </c>
      <c r="F13" s="132">
        <f>IF(SER_hh_fec_in!F13=0,0,11630*1000*SER_hh_fec_in!F13/SER_hh_num_in!F13)</f>
        <v>38919.21438690104</v>
      </c>
      <c r="G13" s="132">
        <f>IF(SER_hh_fec_in!G13=0,0,11630*1000*SER_hh_fec_in!G13/SER_hh_num_in!G13)</f>
        <v>41050.375853413163</v>
      </c>
      <c r="H13" s="132">
        <f>IF(SER_hh_fec_in!H13=0,0,11630*1000*SER_hh_fec_in!H13/SER_hh_num_in!H13)</f>
        <v>40571.813333149417</v>
      </c>
      <c r="I13" s="132">
        <f>IF(SER_hh_fec_in!I13=0,0,11630*1000*SER_hh_fec_in!I13/SER_hh_num_in!I13)</f>
        <v>37713.063042307229</v>
      </c>
      <c r="J13" s="132">
        <f>IF(SER_hh_fec_in!J13=0,0,11630*1000*SER_hh_fec_in!J13/SER_hh_num_in!J13)</f>
        <v>37102.841089459514</v>
      </c>
      <c r="K13" s="132">
        <f>IF(SER_hh_fec_in!K13=0,0,11630*1000*SER_hh_fec_in!K13/SER_hh_num_in!K13)</f>
        <v>35975.716305735477</v>
      </c>
      <c r="L13" s="132">
        <f>IF(SER_hh_fec_in!L13=0,0,11630*1000*SER_hh_fec_in!L13/SER_hh_num_in!L13)</f>
        <v>33328.233499328664</v>
      </c>
      <c r="M13" s="132">
        <f>IF(SER_hh_fec_in!M13=0,0,11630*1000*SER_hh_fec_in!M13/SER_hh_num_in!M13)</f>
        <v>29300.496945030496</v>
      </c>
      <c r="N13" s="132">
        <f>IF(SER_hh_fec_in!N13=0,0,11630*1000*SER_hh_fec_in!N13/SER_hh_num_in!N13)</f>
        <v>25451.043911178982</v>
      </c>
      <c r="O13" s="132">
        <f>IF(SER_hh_fec_in!O13=0,0,11630*1000*SER_hh_fec_in!O13/SER_hh_num_in!O13)</f>
        <v>19587.986222780924</v>
      </c>
      <c r="P13" s="132">
        <f>IF(SER_hh_fec_in!P13=0,0,11630*1000*SER_hh_fec_in!P13/SER_hh_num_in!P13)</f>
        <v>20389.147187113518</v>
      </c>
      <c r="Q13" s="132">
        <f>IF(SER_hh_fec_in!Q13=0,0,11630*1000*SER_hh_fec_in!Q13/SER_hh_num_in!Q13)</f>
        <v>18121.354380890381</v>
      </c>
      <c r="R13" s="132">
        <f>IF(SER_hh_fec_in!R13=0,0,11630*1000*SER_hh_fec_in!R13/SER_hh_num_in!R13)</f>
        <v>16456.172695904432</v>
      </c>
      <c r="S13" s="132">
        <f>IF(SER_hh_fec_in!S13=0,0,11630*1000*SER_hh_fec_in!S13/SER_hh_num_in!S13)</f>
        <v>14744.992962965291</v>
      </c>
      <c r="T13" s="132">
        <f>IF(SER_hh_fec_in!T13=0,0,11630*1000*SER_hh_fec_in!T13/SER_hh_num_in!T13)</f>
        <v>13142.810848185638</v>
      </c>
      <c r="U13" s="132">
        <f>IF(SER_hh_fec_in!U13=0,0,11630*1000*SER_hh_fec_in!U13/SER_hh_num_in!U13)</f>
        <v>12068.647612547995</v>
      </c>
      <c r="V13" s="132">
        <f>IF(SER_hh_fec_in!V13=0,0,11630*1000*SER_hh_fec_in!V13/SER_hh_num_in!V13)</f>
        <v>10972.027453466477</v>
      </c>
      <c r="W13" s="132">
        <f>IF(SER_hh_fec_in!W13=0,0,11630*1000*SER_hh_fec_in!W13/SER_hh_num_in!W13)</f>
        <v>10144.824427908685</v>
      </c>
      <c r="X13" s="132">
        <f>IF(SER_hh_fec_in!X13=0,0,11630*1000*SER_hh_fec_in!X13/SER_hh_num_in!X13)</f>
        <v>8998.9975963272154</v>
      </c>
      <c r="Y13" s="132">
        <f>IF(SER_hh_fec_in!Y13=0,0,11630*1000*SER_hh_fec_in!Y13/SER_hh_num_in!Y13)</f>
        <v>9320.485178318273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107955.59149749408</v>
      </c>
      <c r="H14" s="65">
        <f>IF(SER_hh_fec_in!H14=0,0,11630*1000*SER_hh_fec_in!H14/SER_hh_num_in!H14)</f>
        <v>121291.04748461822</v>
      </c>
      <c r="I14" s="65">
        <f>IF(SER_hh_fec_in!I14=0,0,11630*1000*SER_hh_fec_in!I14/SER_hh_num_in!I14)</f>
        <v>95320.097966546673</v>
      </c>
      <c r="J14" s="65">
        <f>IF(SER_hh_fec_in!J14=0,0,11630*1000*SER_hh_fec_in!J14/SER_hh_num_in!J14)</f>
        <v>115969.11682503537</v>
      </c>
      <c r="K14" s="65">
        <f>IF(SER_hh_fec_in!K14=0,0,11630*1000*SER_hh_fec_in!K14/SER_hh_num_in!K14)</f>
        <v>94608.772708298173</v>
      </c>
      <c r="L14" s="65">
        <f>IF(SER_hh_fec_in!L14=0,0,11630*1000*SER_hh_fec_in!L14/SER_hh_num_in!L14)</f>
        <v>114620.73073814169</v>
      </c>
      <c r="M14" s="65">
        <f>IF(SER_hh_fec_in!M14=0,0,11630*1000*SER_hh_fec_in!M14/SER_hh_num_in!M14)</f>
        <v>106747.95450005289</v>
      </c>
      <c r="N14" s="65">
        <f>IF(SER_hh_fec_in!N14=0,0,11630*1000*SER_hh_fec_in!N14/SER_hh_num_in!N14)</f>
        <v>99287.097139799662</v>
      </c>
      <c r="O14" s="65">
        <f>IF(SER_hh_fec_in!O14=0,0,11630*1000*SER_hh_fec_in!O14/SER_hh_num_in!O14)</f>
        <v>78054.597230719737</v>
      </c>
      <c r="P14" s="65">
        <f>IF(SER_hh_fec_in!P14=0,0,11630*1000*SER_hh_fec_in!P14/SER_hh_num_in!P14)</f>
        <v>80139.21659350273</v>
      </c>
      <c r="Q14" s="65">
        <f>IF(SER_hh_fec_in!Q14=0,0,11630*1000*SER_hh_fec_in!Q14/SER_hh_num_in!Q14)</f>
        <v>69637.105541407582</v>
      </c>
      <c r="R14" s="65">
        <f>IF(SER_hh_fec_in!R14=0,0,11630*1000*SER_hh_fec_in!R14/SER_hh_num_in!R14)</f>
        <v>73749.695439398245</v>
      </c>
      <c r="S14" s="65">
        <f>IF(SER_hh_fec_in!S14=0,0,11630*1000*SER_hh_fec_in!S14/SER_hh_num_in!S14)</f>
        <v>59847.831053410024</v>
      </c>
      <c r="T14" s="65">
        <f>IF(SER_hh_fec_in!T14=0,0,11630*1000*SER_hh_fec_in!T14/SER_hh_num_in!T14)</f>
        <v>60012.690529065418</v>
      </c>
      <c r="U14" s="65">
        <f>IF(SER_hh_fec_in!U14=0,0,11630*1000*SER_hh_fec_in!U14/SER_hh_num_in!U14)</f>
        <v>51502.874146519192</v>
      </c>
      <c r="V14" s="65">
        <f>IF(SER_hh_fec_in!V14=0,0,11630*1000*SER_hh_fec_in!V14/SER_hh_num_in!V14)</f>
        <v>44675.657203864168</v>
      </c>
      <c r="W14" s="65">
        <f>IF(SER_hh_fec_in!W14=0,0,11630*1000*SER_hh_fec_in!W14/SER_hh_num_in!W14)</f>
        <v>43293.458846899237</v>
      </c>
      <c r="X14" s="65">
        <f>IF(SER_hh_fec_in!X14=0,0,11630*1000*SER_hh_fec_in!X14/SER_hh_num_in!X14)</f>
        <v>34715.452340313132</v>
      </c>
      <c r="Y14" s="65">
        <f>IF(SER_hh_fec_in!Y14=0,0,11630*1000*SER_hh_fec_in!Y14/SER_hh_num_in!Y14)</f>
        <v>40071.131017428124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925.63605756986237</v>
      </c>
      <c r="D15" s="134">
        <f>IF(SER_hh_fec_in!D15=0,0,11630*1000*SER_hh_fec_in!D15/SER_hh_num_in!D15)</f>
        <v>1059.7994012020099</v>
      </c>
      <c r="E15" s="134">
        <f>IF(SER_hh_fec_in!E15=0,0,11630*1000*SER_hh_fec_in!E15/SER_hh_num_in!E15)</f>
        <v>995.00973343981184</v>
      </c>
      <c r="F15" s="134">
        <f>IF(SER_hh_fec_in!F15=0,0,11630*1000*SER_hh_fec_in!F15/SER_hh_num_in!F15)</f>
        <v>785.83601248359253</v>
      </c>
      <c r="G15" s="134">
        <f>IF(SER_hh_fec_in!G15=0,0,11630*1000*SER_hh_fec_in!G15/SER_hh_num_in!G15)</f>
        <v>753.46031482157559</v>
      </c>
      <c r="H15" s="134">
        <f>IF(SER_hh_fec_in!H15=0,0,11630*1000*SER_hh_fec_in!H15/SER_hh_num_in!H15)</f>
        <v>971.85046634599485</v>
      </c>
      <c r="I15" s="134">
        <f>IF(SER_hh_fec_in!I15=0,0,11630*1000*SER_hh_fec_in!I15/SER_hh_num_in!I15)</f>
        <v>906.11094842178557</v>
      </c>
      <c r="J15" s="134">
        <f>IF(SER_hh_fec_in!J15=0,0,11630*1000*SER_hh_fec_in!J15/SER_hh_num_in!J15)</f>
        <v>964.41313523742156</v>
      </c>
      <c r="K15" s="134">
        <f>IF(SER_hh_fec_in!K15=0,0,11630*1000*SER_hh_fec_in!K15/SER_hh_num_in!K15)</f>
        <v>967.34367770690824</v>
      </c>
      <c r="L15" s="134">
        <f>IF(SER_hh_fec_in!L15=0,0,11630*1000*SER_hh_fec_in!L15/SER_hh_num_in!L15)</f>
        <v>912.85353771792768</v>
      </c>
      <c r="M15" s="134">
        <f>IF(SER_hh_fec_in!M15=0,0,11630*1000*SER_hh_fec_in!M15/SER_hh_num_in!M15)</f>
        <v>923.55785923739768</v>
      </c>
      <c r="N15" s="134">
        <f>IF(SER_hh_fec_in!N15=0,0,11630*1000*SER_hh_fec_in!N15/SER_hh_num_in!N15)</f>
        <v>768.39999303146089</v>
      </c>
      <c r="O15" s="134">
        <f>IF(SER_hh_fec_in!O15=0,0,11630*1000*SER_hh_fec_in!O15/SER_hh_num_in!O15)</f>
        <v>600.71888806492609</v>
      </c>
      <c r="P15" s="134">
        <f>IF(SER_hh_fec_in!P15=0,0,11630*1000*SER_hh_fec_in!P15/SER_hh_num_in!P15)</f>
        <v>617.05130875375596</v>
      </c>
      <c r="Q15" s="134">
        <f>IF(SER_hh_fec_in!Q15=0,0,11630*1000*SER_hh_fec_in!Q15/SER_hh_num_in!Q15)</f>
        <v>569.9206051619899</v>
      </c>
      <c r="R15" s="134">
        <f>IF(SER_hh_fec_in!R15=0,0,11630*1000*SER_hh_fec_in!R15/SER_hh_num_in!R15)</f>
        <v>550.07284798985631</v>
      </c>
      <c r="S15" s="134">
        <f>IF(SER_hh_fec_in!S15=0,0,11630*1000*SER_hh_fec_in!S15/SER_hh_num_in!S15)</f>
        <v>404.75025585110131</v>
      </c>
      <c r="T15" s="134">
        <f>IF(SER_hh_fec_in!T15=0,0,11630*1000*SER_hh_fec_in!T15/SER_hh_num_in!T15)</f>
        <v>402.27060026047866</v>
      </c>
      <c r="U15" s="134">
        <f>IF(SER_hh_fec_in!U15=0,0,11630*1000*SER_hh_fec_in!U15/SER_hh_num_in!U15)</f>
        <v>410.54503792287051</v>
      </c>
      <c r="V15" s="134">
        <f>IF(SER_hh_fec_in!V15=0,0,11630*1000*SER_hh_fec_in!V15/SER_hh_num_in!V15)</f>
        <v>403.24235382585073</v>
      </c>
      <c r="W15" s="134">
        <f>IF(SER_hh_fec_in!W15=0,0,11630*1000*SER_hh_fec_in!W15/SER_hh_num_in!W15)</f>
        <v>492.51652278144616</v>
      </c>
      <c r="X15" s="134">
        <f>IF(SER_hh_fec_in!X15=0,0,11630*1000*SER_hh_fec_in!X15/SER_hh_num_in!X15)</f>
        <v>444.43257346214256</v>
      </c>
      <c r="Y15" s="134">
        <f>IF(SER_hh_fec_in!Y15=0,0,11630*1000*SER_hh_fec_in!Y15/SER_hh_num_in!Y15)</f>
        <v>411.60920823750223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10931.49868041678</v>
      </c>
      <c r="D16" s="130">
        <f>IF(SER_hh_fec_in!D16=0,0,11630*1000*SER_hh_fec_in!D16/SER_hh_num_in!D16)</f>
        <v>10607.159618290872</v>
      </c>
      <c r="E16" s="130">
        <f>IF(SER_hh_fec_in!E16=0,0,11630*1000*SER_hh_fec_in!E16/SER_hh_num_in!E16)</f>
        <v>9960.082381805194</v>
      </c>
      <c r="F16" s="130">
        <f>IF(SER_hh_fec_in!F16=0,0,11630*1000*SER_hh_fec_in!F16/SER_hh_num_in!F16)</f>
        <v>9528.1037890902699</v>
      </c>
      <c r="G16" s="130">
        <f>IF(SER_hh_fec_in!G16=0,0,11630*1000*SER_hh_fec_in!G16/SER_hh_num_in!G16)</f>
        <v>9220.523293397584</v>
      </c>
      <c r="H16" s="130">
        <f>IF(SER_hh_fec_in!H16=0,0,11630*1000*SER_hh_fec_in!H16/SER_hh_num_in!H16)</f>
        <v>9361.3533389530439</v>
      </c>
      <c r="I16" s="130">
        <f>IF(SER_hh_fec_in!I16=0,0,11630*1000*SER_hh_fec_in!I16/SER_hh_num_in!I16)</f>
        <v>8678.0814579925627</v>
      </c>
      <c r="J16" s="130">
        <f>IF(SER_hh_fec_in!J16=0,0,11630*1000*SER_hh_fec_in!J16/SER_hh_num_in!J16)</f>
        <v>8200.0889035066557</v>
      </c>
      <c r="K16" s="130">
        <f>IF(SER_hh_fec_in!K16=0,0,11630*1000*SER_hh_fec_in!K16/SER_hh_num_in!K16)</f>
        <v>7874.6093880988974</v>
      </c>
      <c r="L16" s="130">
        <f>IF(SER_hh_fec_in!L16=0,0,11630*1000*SER_hh_fec_in!L16/SER_hh_num_in!L16)</f>
        <v>8520.3665183130088</v>
      </c>
      <c r="M16" s="130">
        <f>IF(SER_hh_fec_in!M16=0,0,11630*1000*SER_hh_fec_in!M16/SER_hh_num_in!M16)</f>
        <v>7232.7093291360579</v>
      </c>
      <c r="N16" s="130">
        <f>IF(SER_hh_fec_in!N16=0,0,11630*1000*SER_hh_fec_in!N16/SER_hh_num_in!N16)</f>
        <v>7220.7594577470509</v>
      </c>
      <c r="O16" s="130">
        <f>IF(SER_hh_fec_in!O16=0,0,11630*1000*SER_hh_fec_in!O16/SER_hh_num_in!O16)</f>
        <v>6844.4365554398328</v>
      </c>
      <c r="P16" s="130">
        <f>IF(SER_hh_fec_in!P16=0,0,11630*1000*SER_hh_fec_in!P16/SER_hh_num_in!P16)</f>
        <v>6421.890888472396</v>
      </c>
      <c r="Q16" s="130">
        <f>IF(SER_hh_fec_in!Q16=0,0,11630*1000*SER_hh_fec_in!Q16/SER_hh_num_in!Q16)</f>
        <v>7030.5000003248242</v>
      </c>
      <c r="R16" s="130">
        <f>IF(SER_hh_fec_in!R16=0,0,11630*1000*SER_hh_fec_in!R16/SER_hh_num_in!R16)</f>
        <v>6003.8364998779398</v>
      </c>
      <c r="S16" s="130">
        <f>IF(SER_hh_fec_in!S16=0,0,11630*1000*SER_hh_fec_in!S16/SER_hh_num_in!S16)</f>
        <v>5807.7885789088396</v>
      </c>
      <c r="T16" s="130">
        <f>IF(SER_hh_fec_in!T16=0,0,11630*1000*SER_hh_fec_in!T16/SER_hh_num_in!T16)</f>
        <v>5809.3924708879931</v>
      </c>
      <c r="U16" s="130">
        <f>IF(SER_hh_fec_in!U16=0,0,11630*1000*SER_hh_fec_in!U16/SER_hh_num_in!U16)</f>
        <v>6138.4735724122684</v>
      </c>
      <c r="V16" s="130">
        <f>IF(SER_hh_fec_in!V16=0,0,11630*1000*SER_hh_fec_in!V16/SER_hh_num_in!V16)</f>
        <v>5141.2277056930889</v>
      </c>
      <c r="W16" s="130">
        <f>IF(SER_hh_fec_in!W16=0,0,11630*1000*SER_hh_fec_in!W16/SER_hh_num_in!W16)</f>
        <v>5056.8237742923693</v>
      </c>
      <c r="X16" s="130">
        <f>IF(SER_hh_fec_in!X16=0,0,11630*1000*SER_hh_fec_in!X16/SER_hh_num_in!X16)</f>
        <v>5268.3171877431305</v>
      </c>
      <c r="Y16" s="130">
        <f>IF(SER_hh_fec_in!Y16=0,0,11630*1000*SER_hh_fec_in!Y16/SER_hh_num_in!Y16)</f>
        <v>5312.8769270123894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21441.921292536477</v>
      </c>
      <c r="D17" s="132">
        <f>IF(SER_hh_fec_in!D17=0,0,11630*1000*SER_hh_fec_in!D17/SER_hh_num_in!D17)</f>
        <v>21340.044190915738</v>
      </c>
      <c r="E17" s="132">
        <f>IF(SER_hh_fec_in!E17=0,0,11630*1000*SER_hh_fec_in!E17/SER_hh_num_in!E17)</f>
        <v>20551.357646350803</v>
      </c>
      <c r="F17" s="132">
        <f>IF(SER_hh_fec_in!F17=0,0,11630*1000*SER_hh_fec_in!F17/SER_hh_num_in!F17)</f>
        <v>20156.821091883707</v>
      </c>
      <c r="G17" s="132">
        <f>IF(SER_hh_fec_in!G17=0,0,11630*1000*SER_hh_fec_in!G17/SER_hh_num_in!G17)</f>
        <v>19976.440354993985</v>
      </c>
      <c r="H17" s="132">
        <f>IF(SER_hh_fec_in!H17=0,0,11630*1000*SER_hh_fec_in!H17/SER_hh_num_in!H17)</f>
        <v>20725.282974777016</v>
      </c>
      <c r="I17" s="132">
        <f>IF(SER_hh_fec_in!I17=0,0,11630*1000*SER_hh_fec_in!I17/SER_hh_num_in!I17)</f>
        <v>19633.507140027246</v>
      </c>
      <c r="J17" s="132">
        <f>IF(SER_hh_fec_in!J17=0,0,11630*1000*SER_hh_fec_in!J17/SER_hh_num_in!J17)</f>
        <v>18932.326308352935</v>
      </c>
      <c r="K17" s="132">
        <f>IF(SER_hh_fec_in!K17=0,0,11630*1000*SER_hh_fec_in!K17/SER_hh_num_in!K17)</f>
        <v>18578.591431005068</v>
      </c>
      <c r="L17" s="132">
        <f>IF(SER_hh_fec_in!L17=0,0,11630*1000*SER_hh_fec_in!L17/SER_hh_num_in!L17)</f>
        <v>20529.127890805859</v>
      </c>
      <c r="M17" s="132">
        <f>IF(SER_hh_fec_in!M17=0,0,11630*1000*SER_hh_fec_in!M17/SER_hh_num_in!M17)</f>
        <v>17881.342658403591</v>
      </c>
      <c r="N17" s="132">
        <f>IF(SER_hh_fec_in!N17=0,0,11630*1000*SER_hh_fec_in!N17/SER_hh_num_in!N17)</f>
        <v>18379.756414780197</v>
      </c>
      <c r="O17" s="132">
        <f>IF(SER_hh_fec_in!O17=0,0,11630*1000*SER_hh_fec_in!O17/SER_hh_num_in!O17)</f>
        <v>17966.770242096012</v>
      </c>
      <c r="P17" s="132">
        <f>IF(SER_hh_fec_in!P17=0,0,11630*1000*SER_hh_fec_in!P17/SER_hh_num_in!P17)</f>
        <v>17452.743892929495</v>
      </c>
      <c r="Q17" s="132">
        <f>IF(SER_hh_fec_in!Q17=0,0,11630*1000*SER_hh_fec_in!Q17/SER_hh_num_in!Q17)</f>
        <v>19559.460786681604</v>
      </c>
      <c r="R17" s="132">
        <f>IF(SER_hh_fec_in!R17=0,0,11630*1000*SER_hh_fec_in!R17/SER_hh_num_in!R17)</f>
        <v>16772.562760142497</v>
      </c>
      <c r="S17" s="132">
        <f>IF(SER_hh_fec_in!S17=0,0,11630*1000*SER_hh_fec_in!S17/SER_hh_num_in!S17)</f>
        <v>16320.295863334553</v>
      </c>
      <c r="T17" s="132">
        <f>IF(SER_hh_fec_in!T17=0,0,11630*1000*SER_hh_fec_in!T17/SER_hh_num_in!T17)</f>
        <v>16073.411212245996</v>
      </c>
      <c r="U17" s="132">
        <f>IF(SER_hh_fec_in!U17=0,0,11630*1000*SER_hh_fec_in!U17/SER_hh_num_in!U17)</f>
        <v>16621.663654677806</v>
      </c>
      <c r="V17" s="132">
        <f>IF(SER_hh_fec_in!V17=0,0,11630*1000*SER_hh_fec_in!V17/SER_hh_num_in!V17)</f>
        <v>13123.792581694843</v>
      </c>
      <c r="W17" s="132">
        <f>IF(SER_hh_fec_in!W17=0,0,11630*1000*SER_hh_fec_in!W17/SER_hh_num_in!W17)</f>
        <v>12500.943552833425</v>
      </c>
      <c r="X17" s="132">
        <f>IF(SER_hh_fec_in!X17=0,0,11630*1000*SER_hh_fec_in!X17/SER_hh_num_in!X17)</f>
        <v>13731.711992416715</v>
      </c>
      <c r="Y17" s="132">
        <f>IF(SER_hh_fec_in!Y17=0,0,11630*1000*SER_hh_fec_in!Y17/SER_hh_num_in!Y17)</f>
        <v>13654.745121779473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10911.20548080036</v>
      </c>
      <c r="D18" s="132">
        <f>IF(SER_hh_fec_in!D18=0,0,11630*1000*SER_hh_fec_in!D18/SER_hh_num_in!D18)</f>
        <v>10584.506531471541</v>
      </c>
      <c r="E18" s="132">
        <f>IF(SER_hh_fec_in!E18=0,0,11630*1000*SER_hh_fec_in!E18/SER_hh_num_in!E18)</f>
        <v>9938.4933443429272</v>
      </c>
      <c r="F18" s="132">
        <f>IF(SER_hh_fec_in!F18=0,0,11630*1000*SER_hh_fec_in!F18/SER_hh_num_in!F18)</f>
        <v>9500.6785565542923</v>
      </c>
      <c r="G18" s="132">
        <f>IF(SER_hh_fec_in!G18=0,0,11630*1000*SER_hh_fec_in!G18/SER_hh_num_in!G18)</f>
        <v>9193.6842245265252</v>
      </c>
      <c r="H18" s="132">
        <f>IF(SER_hh_fec_in!H18=0,0,11630*1000*SER_hh_fec_in!H18/SER_hh_num_in!H18)</f>
        <v>9338.6303935575506</v>
      </c>
      <c r="I18" s="132">
        <f>IF(SER_hh_fec_in!I18=0,0,11630*1000*SER_hh_fec_in!I18/SER_hh_num_in!I18)</f>
        <v>8649.5168458723638</v>
      </c>
      <c r="J18" s="132">
        <f>IF(SER_hh_fec_in!J18=0,0,11630*1000*SER_hh_fec_in!J18/SER_hh_num_in!J18)</f>
        <v>8176.7814947625793</v>
      </c>
      <c r="K18" s="132">
        <f>IF(SER_hh_fec_in!K18=0,0,11630*1000*SER_hh_fec_in!K18/SER_hh_num_in!K18)</f>
        <v>7846.6048023792564</v>
      </c>
      <c r="L18" s="132">
        <f>IF(SER_hh_fec_in!L18=0,0,11630*1000*SER_hh_fec_in!L18/SER_hh_num_in!L18)</f>
        <v>8495.0668502977624</v>
      </c>
      <c r="M18" s="132">
        <f>IF(SER_hh_fec_in!M18=0,0,11630*1000*SER_hh_fec_in!M18/SER_hh_num_in!M18)</f>
        <v>7190.9119429454768</v>
      </c>
      <c r="N18" s="132">
        <f>IF(SER_hh_fec_in!N18=0,0,11630*1000*SER_hh_fec_in!N18/SER_hh_num_in!N18)</f>
        <v>7174.7662585143953</v>
      </c>
      <c r="O18" s="132">
        <f>IF(SER_hh_fec_in!O18=0,0,11630*1000*SER_hh_fec_in!O18/SER_hh_num_in!O18)</f>
        <v>6761.4148824495251</v>
      </c>
      <c r="P18" s="132">
        <f>IF(SER_hh_fec_in!P18=0,0,11630*1000*SER_hh_fec_in!P18/SER_hh_num_in!P18)</f>
        <v>6307.5853507760366</v>
      </c>
      <c r="Q18" s="132">
        <f>IF(SER_hh_fec_in!Q18=0,0,11630*1000*SER_hh_fec_in!Q18/SER_hh_num_in!Q18)</f>
        <v>6925.8263211357907</v>
      </c>
      <c r="R18" s="132">
        <f>IF(SER_hh_fec_in!R18=0,0,11630*1000*SER_hh_fec_in!R18/SER_hh_num_in!R18)</f>
        <v>5762.34836346874</v>
      </c>
      <c r="S18" s="132">
        <f>IF(SER_hh_fec_in!S18=0,0,11630*1000*SER_hh_fec_in!S18/SER_hh_num_in!S18)</f>
        <v>5658.6648292218779</v>
      </c>
      <c r="T18" s="132">
        <f>IF(SER_hh_fec_in!T18=0,0,11630*1000*SER_hh_fec_in!T18/SER_hh_num_in!T18)</f>
        <v>5697.664788430835</v>
      </c>
      <c r="U18" s="132">
        <f>IF(SER_hh_fec_in!U18=0,0,11630*1000*SER_hh_fec_in!U18/SER_hh_num_in!U18)</f>
        <v>6035.7490989254648</v>
      </c>
      <c r="V18" s="132">
        <f>IF(SER_hh_fec_in!V18=0,0,11630*1000*SER_hh_fec_in!V18/SER_hh_num_in!V18)</f>
        <v>5062.0442458252774</v>
      </c>
      <c r="W18" s="132">
        <f>IF(SER_hh_fec_in!W18=0,0,11630*1000*SER_hh_fec_in!W18/SER_hh_num_in!W18)</f>
        <v>4993.0707465453215</v>
      </c>
      <c r="X18" s="132">
        <f>IF(SER_hh_fec_in!X18=0,0,11630*1000*SER_hh_fec_in!X18/SER_hh_num_in!X18)</f>
        <v>5185.879949840456</v>
      </c>
      <c r="Y18" s="132">
        <f>IF(SER_hh_fec_in!Y18=0,0,11630*1000*SER_hh_fec_in!Y18/SER_hh_num_in!Y18)</f>
        <v>5195.7994827214652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14124.204399152333</v>
      </c>
      <c r="D19" s="130">
        <f>IF(SER_hh_fec_in!D19=0,0,11630*1000*SER_hh_fec_in!D19/SER_hh_num_in!D19)</f>
        <v>15888.463080481424</v>
      </c>
      <c r="E19" s="130">
        <f>IF(SER_hh_fec_in!E19=0,0,11630*1000*SER_hh_fec_in!E19/SER_hh_num_in!E19)</f>
        <v>17815.864388758411</v>
      </c>
      <c r="F19" s="130">
        <f>IF(SER_hh_fec_in!F19=0,0,11630*1000*SER_hh_fec_in!F19/SER_hh_num_in!F19)</f>
        <v>17769.515382141733</v>
      </c>
      <c r="G19" s="130">
        <f>IF(SER_hh_fec_in!G19=0,0,11630*1000*SER_hh_fec_in!G19/SER_hh_num_in!G19)</f>
        <v>17890.707999608494</v>
      </c>
      <c r="H19" s="130">
        <f>IF(SER_hh_fec_in!H19=0,0,11630*1000*SER_hh_fec_in!H19/SER_hh_num_in!H19)</f>
        <v>18694.757307156895</v>
      </c>
      <c r="I19" s="130">
        <f>IF(SER_hh_fec_in!I19=0,0,11630*1000*SER_hh_fec_in!I19/SER_hh_num_in!I19)</f>
        <v>20064.789063037078</v>
      </c>
      <c r="J19" s="130">
        <f>IF(SER_hh_fec_in!J19=0,0,11630*1000*SER_hh_fec_in!J19/SER_hh_num_in!J19)</f>
        <v>20305.336729714189</v>
      </c>
      <c r="K19" s="130">
        <f>IF(SER_hh_fec_in!K19=0,0,11630*1000*SER_hh_fec_in!K19/SER_hh_num_in!K19)</f>
        <v>20341.343250357466</v>
      </c>
      <c r="L19" s="130">
        <f>IF(SER_hh_fec_in!L19=0,0,11630*1000*SER_hh_fec_in!L19/SER_hh_num_in!L19)</f>
        <v>20111.122383965558</v>
      </c>
      <c r="M19" s="130">
        <f>IF(SER_hh_fec_in!M19=0,0,11630*1000*SER_hh_fec_in!M19/SER_hh_num_in!M19)</f>
        <v>20098.438169260011</v>
      </c>
      <c r="N19" s="130">
        <f>IF(SER_hh_fec_in!N19=0,0,11630*1000*SER_hh_fec_in!N19/SER_hh_num_in!N19)</f>
        <v>20099.978227848875</v>
      </c>
      <c r="O19" s="130">
        <f>IF(SER_hh_fec_in!O19=0,0,11630*1000*SER_hh_fec_in!O19/SER_hh_num_in!O19)</f>
        <v>19738.297443588508</v>
      </c>
      <c r="P19" s="130">
        <f>IF(SER_hh_fec_in!P19=0,0,11630*1000*SER_hh_fec_in!P19/SER_hh_num_in!P19)</f>
        <v>19092.533737477108</v>
      </c>
      <c r="Q19" s="130">
        <f>IF(SER_hh_fec_in!Q19=0,0,11630*1000*SER_hh_fec_in!Q19/SER_hh_num_in!Q19)</f>
        <v>18475.298025376389</v>
      </c>
      <c r="R19" s="130">
        <f>IF(SER_hh_fec_in!R19=0,0,11630*1000*SER_hh_fec_in!R19/SER_hh_num_in!R19)</f>
        <v>18337.87370390668</v>
      </c>
      <c r="S19" s="130">
        <f>IF(SER_hh_fec_in!S19=0,0,11630*1000*SER_hh_fec_in!S19/SER_hh_num_in!S19)</f>
        <v>17666.871806848834</v>
      </c>
      <c r="T19" s="130">
        <f>IF(SER_hh_fec_in!T19=0,0,11630*1000*SER_hh_fec_in!T19/SER_hh_num_in!T19)</f>
        <v>16816.854112629506</v>
      </c>
      <c r="U19" s="130">
        <f>IF(SER_hh_fec_in!U19=0,0,11630*1000*SER_hh_fec_in!U19/SER_hh_num_in!U19)</f>
        <v>16569.099041560792</v>
      </c>
      <c r="V19" s="130">
        <f>IF(SER_hh_fec_in!V19=0,0,11630*1000*SER_hh_fec_in!V19/SER_hh_num_in!V19)</f>
        <v>14873.467353731749</v>
      </c>
      <c r="W19" s="130">
        <f>IF(SER_hh_fec_in!W19=0,0,11630*1000*SER_hh_fec_in!W19/SER_hh_num_in!W19)</f>
        <v>15760.483606002117</v>
      </c>
      <c r="X19" s="130">
        <f>IF(SER_hh_fec_in!X19=0,0,11630*1000*SER_hh_fec_in!X19/SER_hh_num_in!X19)</f>
        <v>15469.654374345473</v>
      </c>
      <c r="Y19" s="130">
        <f>IF(SER_hh_fec_in!Y19=0,0,11630*1000*SER_hh_fec_in!Y19/SER_hh_num_in!Y19)</f>
        <v>15197.482668057348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15454.371705760581</v>
      </c>
      <c r="D20" s="132">
        <f>IF(SER_hh_fec_in!D20=0,0,11630*1000*SER_hh_fec_in!D20/SER_hh_num_in!D20)</f>
        <v>18411.957806072514</v>
      </c>
      <c r="E20" s="132">
        <f>IF(SER_hh_fec_in!E20=0,0,11630*1000*SER_hh_fec_in!E20/SER_hh_num_in!E20)</f>
        <v>18321.231107867556</v>
      </c>
      <c r="F20" s="132">
        <f>IF(SER_hh_fec_in!F20=0,0,11630*1000*SER_hh_fec_in!F20/SER_hh_num_in!F20)</f>
        <v>19091.087507463722</v>
      </c>
      <c r="G20" s="132">
        <f>IF(SER_hh_fec_in!G20=0,0,11630*1000*SER_hh_fec_in!G20/SER_hh_num_in!G20)</f>
        <v>19227.747780108744</v>
      </c>
      <c r="H20" s="132">
        <f>IF(SER_hh_fec_in!H20=0,0,11630*1000*SER_hh_fec_in!H20/SER_hh_num_in!H20)</f>
        <v>17718.605204449868</v>
      </c>
      <c r="I20" s="132">
        <f>IF(SER_hh_fec_in!I20=0,0,11630*1000*SER_hh_fec_in!I20/SER_hh_num_in!I20)</f>
        <v>21035.153203872236</v>
      </c>
      <c r="J20" s="132">
        <f>IF(SER_hh_fec_in!J20=0,0,11630*1000*SER_hh_fec_in!J20/SER_hh_num_in!J20)</f>
        <v>20944.749221731614</v>
      </c>
      <c r="K20" s="132">
        <f>IF(SER_hh_fec_in!K20=0,0,11630*1000*SER_hh_fec_in!K20/SER_hh_num_in!K20)</f>
        <v>20683.359924234559</v>
      </c>
      <c r="L20" s="132">
        <f>IF(SER_hh_fec_in!L20=0,0,11630*1000*SER_hh_fec_in!L20/SER_hh_num_in!L20)</f>
        <v>21160.707674137284</v>
      </c>
      <c r="M20" s="132">
        <f>IF(SER_hh_fec_in!M20=0,0,11630*1000*SER_hh_fec_in!M20/SER_hh_num_in!M20)</f>
        <v>20811.256282534876</v>
      </c>
      <c r="N20" s="132">
        <f>IF(SER_hh_fec_in!N20=0,0,11630*1000*SER_hh_fec_in!N20/SER_hh_num_in!N20)</f>
        <v>20838.063070241104</v>
      </c>
      <c r="O20" s="132">
        <f>IF(SER_hh_fec_in!O20=0,0,11630*1000*SER_hh_fec_in!O20/SER_hh_num_in!O20)</f>
        <v>21190.400899256048</v>
      </c>
      <c r="P20" s="132">
        <f>IF(SER_hh_fec_in!P20=0,0,11630*1000*SER_hh_fec_in!P20/SER_hh_num_in!P20)</f>
        <v>20952.768302462864</v>
      </c>
      <c r="Q20" s="132">
        <f>IF(SER_hh_fec_in!Q20=0,0,11630*1000*SER_hh_fec_in!Q20/SER_hh_num_in!Q20)</f>
        <v>20927.167495402857</v>
      </c>
      <c r="R20" s="132">
        <f>IF(SER_hh_fec_in!R20=0,0,11630*1000*SER_hh_fec_in!R20/SER_hh_num_in!R20)</f>
        <v>23398.947925632765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14519.85235066612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16758.042059516898</v>
      </c>
      <c r="D21" s="132">
        <f>IF(SER_hh_fec_in!D21=0,0,11630*1000*SER_hh_fec_in!D21/SER_hh_num_in!D21)</f>
        <v>16038.975191286259</v>
      </c>
      <c r="E21" s="132">
        <f>IF(SER_hh_fec_in!E21=0,0,11630*1000*SER_hh_fec_in!E21/SER_hh_num_in!E21)</f>
        <v>24250.722939883704</v>
      </c>
      <c r="F21" s="132">
        <f>IF(SER_hh_fec_in!F21=0,0,11630*1000*SER_hh_fec_in!F21/SER_hh_num_in!F21)</f>
        <v>21216.010428207152</v>
      </c>
      <c r="G21" s="132">
        <f>IF(SER_hh_fec_in!G21=0,0,11630*1000*SER_hh_fec_in!G21/SER_hh_num_in!G21)</f>
        <v>18346.462893356696</v>
      </c>
      <c r="H21" s="132">
        <f>IF(SER_hh_fec_in!H21=0,0,11630*1000*SER_hh_fec_in!H21/SER_hh_num_in!H21)</f>
        <v>23114.470167209904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21651.184119871759</v>
      </c>
      <c r="K21" s="132">
        <f>IF(SER_hh_fec_in!K21=0,0,11630*1000*SER_hh_fec_in!K21/SER_hh_num_in!K21)</f>
        <v>22609.240184308346</v>
      </c>
      <c r="L21" s="132">
        <f>IF(SER_hh_fec_in!L21=0,0,11630*1000*SER_hh_fec_in!L21/SER_hh_num_in!L21)</f>
        <v>22101.705257628601</v>
      </c>
      <c r="M21" s="132">
        <f>IF(SER_hh_fec_in!M21=0,0,11630*1000*SER_hh_fec_in!M21/SER_hh_num_in!M21)</f>
        <v>22020.65277154783</v>
      </c>
      <c r="N21" s="132">
        <f>IF(SER_hh_fec_in!N21=0,0,11630*1000*SER_hh_fec_in!N21/SER_hh_num_in!N21)</f>
        <v>28350.444670907444</v>
      </c>
      <c r="O21" s="132">
        <f>IF(SER_hh_fec_in!O21=0,0,11630*1000*SER_hh_fec_in!O21/SER_hh_num_in!O21)</f>
        <v>18661.784952233087</v>
      </c>
      <c r="P21" s="132">
        <f>IF(SER_hh_fec_in!P21=0,0,11630*1000*SER_hh_fec_in!P21/SER_hh_num_in!P21)</f>
        <v>21085.122541856461</v>
      </c>
      <c r="Q21" s="132">
        <f>IF(SER_hh_fec_in!Q21=0,0,11630*1000*SER_hh_fec_in!Q21/SER_hh_num_in!Q21)</f>
        <v>19516.423242967063</v>
      </c>
      <c r="R21" s="132">
        <f>IF(SER_hh_fec_in!R21=0,0,11630*1000*SER_hh_fec_in!R21/SER_hh_num_in!R21)</f>
        <v>19952.888563596953</v>
      </c>
      <c r="S21" s="132">
        <f>IF(SER_hh_fec_in!S21=0,0,11630*1000*SER_hh_fec_in!S21/SER_hh_num_in!S21)</f>
        <v>19597.246456009449</v>
      </c>
      <c r="T21" s="132">
        <f>IF(SER_hh_fec_in!T21=0,0,11630*1000*SER_hh_fec_in!T21/SER_hh_num_in!T21)</f>
        <v>17928.636496815856</v>
      </c>
      <c r="U21" s="132">
        <f>IF(SER_hh_fec_in!U21=0,0,11630*1000*SER_hh_fec_in!U21/SER_hh_num_in!U21)</f>
        <v>20202.868372921799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16150.314964436819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16132.749008475417</v>
      </c>
      <c r="D22" s="132">
        <f>IF(SER_hh_fec_in!D22=0,0,11630*1000*SER_hh_fec_in!D22/SER_hh_num_in!D22)</f>
        <v>19551.164217725622</v>
      </c>
      <c r="E22" s="132">
        <f>IF(SER_hh_fec_in!E22=0,0,11630*1000*SER_hh_fec_in!E22/SER_hh_num_in!E22)</f>
        <v>21071.184112506828</v>
      </c>
      <c r="F22" s="132">
        <f>IF(SER_hh_fec_in!F22=0,0,11630*1000*SER_hh_fec_in!F22/SER_hh_num_in!F22)</f>
        <v>22359.849968390114</v>
      </c>
      <c r="G22" s="132">
        <f>IF(SER_hh_fec_in!G22=0,0,11630*1000*SER_hh_fec_in!G22/SER_hh_num_in!G22)</f>
        <v>21854.650418724308</v>
      </c>
      <c r="H22" s="132">
        <f>IF(SER_hh_fec_in!H22=0,0,11630*1000*SER_hh_fec_in!H22/SER_hh_num_in!H22)</f>
        <v>23315.377629890234</v>
      </c>
      <c r="I22" s="132">
        <f>IF(SER_hh_fec_in!I22=0,0,11630*1000*SER_hh_fec_in!I22/SER_hh_num_in!I22)</f>
        <v>24788.933166153092</v>
      </c>
      <c r="J22" s="132">
        <f>IF(SER_hh_fec_in!J22=0,0,11630*1000*SER_hh_fec_in!J22/SER_hh_num_in!J22)</f>
        <v>25180.000074086463</v>
      </c>
      <c r="K22" s="132">
        <f>IF(SER_hh_fec_in!K22=0,0,11630*1000*SER_hh_fec_in!K22/SER_hh_num_in!K22)</f>
        <v>24807.547051120255</v>
      </c>
      <c r="L22" s="132">
        <f>IF(SER_hh_fec_in!L22=0,0,11630*1000*SER_hh_fec_in!L22/SER_hh_num_in!L22)</f>
        <v>24878.142100535828</v>
      </c>
      <c r="M22" s="132">
        <f>IF(SER_hh_fec_in!M22=0,0,11630*1000*SER_hh_fec_in!M22/SER_hh_num_in!M22)</f>
        <v>24495.410401475081</v>
      </c>
      <c r="N22" s="132">
        <f>IF(SER_hh_fec_in!N22=0,0,11630*1000*SER_hh_fec_in!N22/SER_hh_num_in!N22)</f>
        <v>23752.463111748202</v>
      </c>
      <c r="O22" s="132">
        <f>IF(SER_hh_fec_in!O22=0,0,11630*1000*SER_hh_fec_in!O22/SER_hh_num_in!O22)</f>
        <v>23243.562903051166</v>
      </c>
      <c r="P22" s="132">
        <f>IF(SER_hh_fec_in!P22=0,0,11630*1000*SER_hh_fec_in!P22/SER_hh_num_in!P22)</f>
        <v>21736.265387280724</v>
      </c>
      <c r="Q22" s="132">
        <f>IF(SER_hh_fec_in!Q22=0,0,11630*1000*SER_hh_fec_in!Q22/SER_hh_num_in!Q22)</f>
        <v>20971.501447953215</v>
      </c>
      <c r="R22" s="132">
        <f>IF(SER_hh_fec_in!R22=0,0,11630*1000*SER_hh_fec_in!R22/SER_hh_num_in!R22)</f>
        <v>20145.645443850895</v>
      </c>
      <c r="S22" s="132">
        <f>IF(SER_hh_fec_in!S22=0,0,11630*1000*SER_hh_fec_in!S22/SER_hh_num_in!S22)</f>
        <v>20640.369027219218</v>
      </c>
      <c r="T22" s="132">
        <f>IF(SER_hh_fec_in!T22=0,0,11630*1000*SER_hh_fec_in!T22/SER_hh_num_in!T22)</f>
        <v>19331.534863821402</v>
      </c>
      <c r="U22" s="132">
        <f>IF(SER_hh_fec_in!U22=0,0,11630*1000*SER_hh_fec_in!U22/SER_hh_num_in!U22)</f>
        <v>16360.560800961517</v>
      </c>
      <c r="V22" s="132">
        <f>IF(SER_hh_fec_in!V22=0,0,11630*1000*SER_hh_fec_in!V22/SER_hh_num_in!V22)</f>
        <v>16087.374298066672</v>
      </c>
      <c r="W22" s="132">
        <f>IF(SER_hh_fec_in!W22=0,0,11630*1000*SER_hh_fec_in!W22/SER_hh_num_in!W22)</f>
        <v>17977.440851266289</v>
      </c>
      <c r="X22" s="132">
        <f>IF(SER_hh_fec_in!X22=0,0,11630*1000*SER_hh_fec_in!X22/SER_hh_num_in!X22)</f>
        <v>18468.259116314362</v>
      </c>
      <c r="Y22" s="132">
        <f>IF(SER_hh_fec_in!Y22=0,0,11630*1000*SER_hh_fec_in!Y22/SER_hh_num_in!Y22)</f>
        <v>16600.704064031921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15513.578863726767</v>
      </c>
      <c r="D23" s="132">
        <f>IF(SER_hh_fec_in!D23=0,0,11630*1000*SER_hh_fec_in!D23/SER_hh_num_in!D23)</f>
        <v>17202.592896580525</v>
      </c>
      <c r="E23" s="132">
        <f>IF(SER_hh_fec_in!E23=0,0,11630*1000*SER_hh_fec_in!E23/SER_hh_num_in!E23)</f>
        <v>20488.573660138372</v>
      </c>
      <c r="F23" s="132">
        <f>IF(SER_hh_fec_in!F23=0,0,11630*1000*SER_hh_fec_in!F23/SER_hh_num_in!F23)</f>
        <v>20329.347740442397</v>
      </c>
      <c r="G23" s="132">
        <f>IF(SER_hh_fec_in!G23=0,0,11630*1000*SER_hh_fec_in!G23/SER_hh_num_in!G23)</f>
        <v>20583.518015908488</v>
      </c>
      <c r="H23" s="132">
        <f>IF(SER_hh_fec_in!H23=0,0,11630*1000*SER_hh_fec_in!H23/SER_hh_num_in!H23)</f>
        <v>21028.543878536417</v>
      </c>
      <c r="I23" s="132">
        <f>IF(SER_hh_fec_in!I23=0,0,11630*1000*SER_hh_fec_in!I23/SER_hh_num_in!I23)</f>
        <v>21851.649556423996</v>
      </c>
      <c r="J23" s="132">
        <f>IF(SER_hh_fec_in!J23=0,0,11630*1000*SER_hh_fec_in!J23/SER_hh_num_in!J23)</f>
        <v>22455.117240671199</v>
      </c>
      <c r="K23" s="132">
        <f>IF(SER_hh_fec_in!K23=0,0,11630*1000*SER_hh_fec_in!K23/SER_hh_num_in!K23)</f>
        <v>21775.085508324279</v>
      </c>
      <c r="L23" s="132">
        <f>IF(SER_hh_fec_in!L23=0,0,11630*1000*SER_hh_fec_in!L23/SER_hh_num_in!L23)</f>
        <v>22123.746624968659</v>
      </c>
      <c r="M23" s="132">
        <f>IF(SER_hh_fec_in!M23=0,0,11630*1000*SER_hh_fec_in!M23/SER_hh_num_in!M23)</f>
        <v>21928.074124908544</v>
      </c>
      <c r="N23" s="132">
        <f>IF(SER_hh_fec_in!N23=0,0,11630*1000*SER_hh_fec_in!N23/SER_hh_num_in!N23)</f>
        <v>21125.091096882003</v>
      </c>
      <c r="O23" s="132">
        <f>IF(SER_hh_fec_in!O23=0,0,11630*1000*SER_hh_fec_in!O23/SER_hh_num_in!O23)</f>
        <v>20903.988294378723</v>
      </c>
      <c r="P23" s="132">
        <f>IF(SER_hh_fec_in!P23=0,0,11630*1000*SER_hh_fec_in!P23/SER_hh_num_in!P23)</f>
        <v>20224.51773414333</v>
      </c>
      <c r="Q23" s="132">
        <f>IF(SER_hh_fec_in!Q23=0,0,11630*1000*SER_hh_fec_in!Q23/SER_hh_num_in!Q23)</f>
        <v>19980.26669644886</v>
      </c>
      <c r="R23" s="132">
        <f>IF(SER_hh_fec_in!R23=0,0,11630*1000*SER_hh_fec_in!R23/SER_hh_num_in!R23)</f>
        <v>20613.834061269928</v>
      </c>
      <c r="S23" s="132">
        <f>IF(SER_hh_fec_in!S23=0,0,11630*1000*SER_hh_fec_in!S23/SER_hh_num_in!S23)</f>
        <v>0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16578.856227696542</v>
      </c>
      <c r="V23" s="132">
        <f>IF(SER_hh_fec_in!V23=0,0,11630*1000*SER_hh_fec_in!V23/SER_hh_num_in!V23)</f>
        <v>14381.910095757652</v>
      </c>
      <c r="W23" s="132">
        <f>IF(SER_hh_fec_in!W23=0,0,11630*1000*SER_hh_fec_in!W23/SER_hh_num_in!W23)</f>
        <v>18736.234369718208</v>
      </c>
      <c r="X23" s="132">
        <f>IF(SER_hh_fec_in!X23=0,0,11630*1000*SER_hh_fec_in!X23/SER_hh_num_in!X23)</f>
        <v>17432.588787196892</v>
      </c>
      <c r="Y23" s="132">
        <f>IF(SER_hh_fec_in!Y23=0,0,11630*1000*SER_hh_fec_in!Y23/SER_hh_num_in!Y23)</f>
        <v>16580.312603599508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15145.506888131842</v>
      </c>
      <c r="D24" s="132">
        <f>IF(SER_hh_fec_in!D24=0,0,11630*1000*SER_hh_fec_in!D24/SER_hh_num_in!D24)</f>
        <v>18464.227069616336</v>
      </c>
      <c r="E24" s="132">
        <f>IF(SER_hh_fec_in!E24=0,0,11630*1000*SER_hh_fec_in!E24/SER_hh_num_in!E24)</f>
        <v>19009.902499543161</v>
      </c>
      <c r="F24" s="132">
        <f>IF(SER_hh_fec_in!F24=0,0,11630*1000*SER_hh_fec_in!F24/SER_hh_num_in!F24)</f>
        <v>19275.800826967719</v>
      </c>
      <c r="G24" s="132">
        <f>IF(SER_hh_fec_in!G24=0,0,11630*1000*SER_hh_fec_in!G24/SER_hh_num_in!G24)</f>
        <v>18694.323239028086</v>
      </c>
      <c r="H24" s="132">
        <f>IF(SER_hh_fec_in!H24=0,0,11630*1000*SER_hh_fec_in!H24/SER_hh_num_in!H24)</f>
        <v>19898.381994335239</v>
      </c>
      <c r="I24" s="132">
        <f>IF(SER_hh_fec_in!I24=0,0,11630*1000*SER_hh_fec_in!I24/SER_hh_num_in!I24)</f>
        <v>21844.185754960166</v>
      </c>
      <c r="J24" s="132">
        <f>IF(SER_hh_fec_in!J24=0,0,11630*1000*SER_hh_fec_in!J24/SER_hh_num_in!J24)</f>
        <v>21993.011302515864</v>
      </c>
      <c r="K24" s="132">
        <f>IF(SER_hh_fec_in!K24=0,0,11630*1000*SER_hh_fec_in!K24/SER_hh_num_in!K24)</f>
        <v>21369.403438735124</v>
      </c>
      <c r="L24" s="132">
        <f>IF(SER_hh_fec_in!L24=0,0,11630*1000*SER_hh_fec_in!L24/SER_hh_num_in!L24)</f>
        <v>20320.369785681502</v>
      </c>
      <c r="M24" s="132">
        <f>IF(SER_hh_fec_in!M24=0,0,11630*1000*SER_hh_fec_in!M24/SER_hh_num_in!M24)</f>
        <v>20522.738469608805</v>
      </c>
      <c r="N24" s="132">
        <f>IF(SER_hh_fec_in!N24=0,0,11630*1000*SER_hh_fec_in!N24/SER_hh_num_in!N24)</f>
        <v>20621.298212793037</v>
      </c>
      <c r="O24" s="132">
        <f>IF(SER_hh_fec_in!O24=0,0,11630*1000*SER_hh_fec_in!O24/SER_hh_num_in!O24)</f>
        <v>20620.008004941417</v>
      </c>
      <c r="P24" s="132">
        <f>IF(SER_hh_fec_in!P24=0,0,11630*1000*SER_hh_fec_in!P24/SER_hh_num_in!P24)</f>
        <v>19882.507459143329</v>
      </c>
      <c r="Q24" s="132">
        <f>IF(SER_hh_fec_in!Q24=0,0,11630*1000*SER_hh_fec_in!Q24/SER_hh_num_in!Q24)</f>
        <v>19980.534149348005</v>
      </c>
      <c r="R24" s="132">
        <f>IF(SER_hh_fec_in!R24=0,0,11630*1000*SER_hh_fec_in!R24/SER_hh_num_in!R24)</f>
        <v>21127.388162803738</v>
      </c>
      <c r="S24" s="132">
        <f>IF(SER_hh_fec_in!S24=0,0,11630*1000*SER_hh_fec_in!S24/SER_hh_num_in!S24)</f>
        <v>20718.766839647469</v>
      </c>
      <c r="T24" s="132">
        <f>IF(SER_hh_fec_in!T24=0,0,11630*1000*SER_hh_fec_in!T24/SER_hh_num_in!T24)</f>
        <v>17619.353642703689</v>
      </c>
      <c r="U24" s="132">
        <f>IF(SER_hh_fec_in!U24=0,0,11630*1000*SER_hh_fec_in!U24/SER_hh_num_in!U24)</f>
        <v>16564.907493673229</v>
      </c>
      <c r="V24" s="132">
        <f>IF(SER_hh_fec_in!V24=0,0,11630*1000*SER_hh_fec_in!V24/SER_hh_num_in!V24)</f>
        <v>17874.904471518847</v>
      </c>
      <c r="W24" s="132">
        <f>IF(SER_hh_fec_in!W24=0,0,11630*1000*SER_hh_fec_in!W24/SER_hh_num_in!W24)</f>
        <v>20441.341126005736</v>
      </c>
      <c r="X24" s="132">
        <f>IF(SER_hh_fec_in!X24=0,0,11630*1000*SER_hh_fec_in!X24/SER_hh_num_in!X24)</f>
        <v>15640.552812522848</v>
      </c>
      <c r="Y24" s="132">
        <f>IF(SER_hh_fec_in!Y24=0,0,11630*1000*SER_hh_fec_in!Y24/SER_hh_num_in!Y24)</f>
        <v>17129.90364921447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10908.745529269112</v>
      </c>
      <c r="D25" s="132">
        <f>IF(SER_hh_fec_in!D25=0,0,11630*1000*SER_hh_fec_in!D25/SER_hh_num_in!D25)</f>
        <v>12686.202896429035</v>
      </c>
      <c r="E25" s="132">
        <f>IF(SER_hh_fec_in!E25=0,0,11630*1000*SER_hh_fec_in!E25/SER_hh_num_in!E25)</f>
        <v>13236.287182600705</v>
      </c>
      <c r="F25" s="132">
        <f>IF(SER_hh_fec_in!F25=0,0,11630*1000*SER_hh_fec_in!F25/SER_hh_num_in!F25)</f>
        <v>15389.27945494483</v>
      </c>
      <c r="G25" s="132">
        <f>IF(SER_hh_fec_in!G25=0,0,11630*1000*SER_hh_fec_in!G25/SER_hh_num_in!G25)</f>
        <v>15358.733660065467</v>
      </c>
      <c r="H25" s="132">
        <f>IF(SER_hh_fec_in!H25=0,0,11630*1000*SER_hh_fec_in!H25/SER_hh_num_in!H25)</f>
        <v>15833.982752423977</v>
      </c>
      <c r="I25" s="132">
        <f>IF(SER_hh_fec_in!I25=0,0,11630*1000*SER_hh_fec_in!I25/SER_hh_num_in!I25)</f>
        <v>16521.671332627306</v>
      </c>
      <c r="J25" s="132">
        <f>IF(SER_hh_fec_in!J25=0,0,11630*1000*SER_hh_fec_in!J25/SER_hh_num_in!J25)</f>
        <v>16922.415958434573</v>
      </c>
      <c r="K25" s="132">
        <f>IF(SER_hh_fec_in!K25=0,0,11630*1000*SER_hh_fec_in!K25/SER_hh_num_in!K25)</f>
        <v>17079.81370888076</v>
      </c>
      <c r="L25" s="132">
        <f>IF(SER_hh_fec_in!L25=0,0,11630*1000*SER_hh_fec_in!L25/SER_hh_num_in!L25)</f>
        <v>16456.399645622107</v>
      </c>
      <c r="M25" s="132">
        <f>IF(SER_hh_fec_in!M25=0,0,11630*1000*SER_hh_fec_in!M25/SER_hh_num_in!M25)</f>
        <v>16787.356343045605</v>
      </c>
      <c r="N25" s="132">
        <f>IF(SER_hh_fec_in!N25=0,0,11630*1000*SER_hh_fec_in!N25/SER_hh_num_in!N25)</f>
        <v>16946.28643544787</v>
      </c>
      <c r="O25" s="132">
        <f>IF(SER_hh_fec_in!O25=0,0,11630*1000*SER_hh_fec_in!O25/SER_hh_num_in!O25)</f>
        <v>17528.394933515861</v>
      </c>
      <c r="P25" s="132">
        <f>IF(SER_hh_fec_in!P25=0,0,11630*1000*SER_hh_fec_in!P25/SER_hh_num_in!P25)</f>
        <v>16970.109712920272</v>
      </c>
      <c r="Q25" s="132">
        <f>IF(SER_hh_fec_in!Q25=0,0,11630*1000*SER_hh_fec_in!Q25/SER_hh_num_in!Q25)</f>
        <v>16452.187475339892</v>
      </c>
      <c r="R25" s="132">
        <f>IF(SER_hh_fec_in!R25=0,0,11630*1000*SER_hh_fec_in!R25/SER_hh_num_in!R25)</f>
        <v>16728.75071986004</v>
      </c>
      <c r="S25" s="132">
        <f>IF(SER_hh_fec_in!S25=0,0,11630*1000*SER_hh_fec_in!S25/SER_hh_num_in!S25)</f>
        <v>19029.014527746131</v>
      </c>
      <c r="T25" s="132">
        <f>IF(SER_hh_fec_in!T25=0,0,11630*1000*SER_hh_fec_in!T25/SER_hh_num_in!T25)</f>
        <v>15569.341109461939</v>
      </c>
      <c r="U25" s="132">
        <f>IF(SER_hh_fec_in!U25=0,0,11630*1000*SER_hh_fec_in!U25/SER_hh_num_in!U25)</f>
        <v>15641.554720887883</v>
      </c>
      <c r="V25" s="132">
        <f>IF(SER_hh_fec_in!V25=0,0,11630*1000*SER_hh_fec_in!V25/SER_hh_num_in!V25)</f>
        <v>15892.270945605276</v>
      </c>
      <c r="W25" s="132">
        <f>IF(SER_hh_fec_in!W25=0,0,11630*1000*SER_hh_fec_in!W25/SER_hh_num_in!W25)</f>
        <v>13423.673304370419</v>
      </c>
      <c r="X25" s="132">
        <f>IF(SER_hh_fec_in!X25=0,0,11630*1000*SER_hh_fec_in!X25/SER_hh_num_in!X25)</f>
        <v>16140.00794284828</v>
      </c>
      <c r="Y25" s="132">
        <f>IF(SER_hh_fec_in!Y25=0,0,11630*1000*SER_hh_fec_in!Y25/SER_hh_num_in!Y25)</f>
        <v>14512.60403322361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12565.719748002532</v>
      </c>
      <c r="D26" s="65">
        <f>IF(SER_hh_fec_in!D26=0,0,11630*1000*SER_hh_fec_in!D26/SER_hh_num_in!D26)</f>
        <v>14969.154658427729</v>
      </c>
      <c r="E26" s="65">
        <f>IF(SER_hh_fec_in!E26=0,0,11630*1000*SER_hh_fec_in!E26/SER_hh_num_in!E26)</f>
        <v>15338.203187407395</v>
      </c>
      <c r="F26" s="65">
        <f>IF(SER_hh_fec_in!F26=0,0,11630*1000*SER_hh_fec_in!F26/SER_hh_num_in!F26)</f>
        <v>17228.585394084617</v>
      </c>
      <c r="G26" s="65">
        <f>IF(SER_hh_fec_in!G26=0,0,11630*1000*SER_hh_fec_in!G26/SER_hh_num_in!G26)</f>
        <v>17914.932045696507</v>
      </c>
      <c r="H26" s="65">
        <f>IF(SER_hh_fec_in!H26=0,0,11630*1000*SER_hh_fec_in!H26/SER_hh_num_in!H26)</f>
        <v>18579.087401028155</v>
      </c>
      <c r="I26" s="65">
        <f>IF(SER_hh_fec_in!I26=0,0,11630*1000*SER_hh_fec_in!I26/SER_hh_num_in!I26)</f>
        <v>19998.919761647932</v>
      </c>
      <c r="J26" s="65">
        <f>IF(SER_hh_fec_in!J26=0,0,11630*1000*SER_hh_fec_in!J26/SER_hh_num_in!J26)</f>
        <v>18888.478377099142</v>
      </c>
      <c r="K26" s="65">
        <f>IF(SER_hh_fec_in!K26=0,0,11630*1000*SER_hh_fec_in!K26/SER_hh_num_in!K26)</f>
        <v>19122.857578102303</v>
      </c>
      <c r="L26" s="65">
        <f>IF(SER_hh_fec_in!L26=0,0,11630*1000*SER_hh_fec_in!L26/SER_hh_num_in!L26)</f>
        <v>11716.131888352646</v>
      </c>
      <c r="M26" s="65">
        <f>IF(SER_hh_fec_in!M26=0,0,11630*1000*SER_hh_fec_in!M26/SER_hh_num_in!M26)</f>
        <v>18457.624631519215</v>
      </c>
      <c r="N26" s="65">
        <f>IF(SER_hh_fec_in!N26=0,0,11630*1000*SER_hh_fec_in!N26/SER_hh_num_in!N26)</f>
        <v>17805.455286538843</v>
      </c>
      <c r="O26" s="65">
        <f>IF(SER_hh_fec_in!O26=0,0,11630*1000*SER_hh_fec_in!O26/SER_hh_num_in!O26)</f>
        <v>18073.588558014493</v>
      </c>
      <c r="P26" s="65">
        <f>IF(SER_hh_fec_in!P26=0,0,11630*1000*SER_hh_fec_in!P26/SER_hh_num_in!P26)</f>
        <v>18075.019941420811</v>
      </c>
      <c r="Q26" s="65">
        <f>IF(SER_hh_fec_in!Q26=0,0,11630*1000*SER_hh_fec_in!Q26/SER_hh_num_in!Q26)</f>
        <v>16134.076547623592</v>
      </c>
      <c r="R26" s="65">
        <f>IF(SER_hh_fec_in!R26=0,0,11630*1000*SER_hh_fec_in!R26/SER_hh_num_in!R26)</f>
        <v>17133.466726432518</v>
      </c>
      <c r="S26" s="65">
        <f>IF(SER_hh_fec_in!S26=0,0,11630*1000*SER_hh_fec_in!S26/SER_hh_num_in!S26)</f>
        <v>16468.047228180989</v>
      </c>
      <c r="T26" s="65">
        <f>IF(SER_hh_fec_in!T26=0,0,11630*1000*SER_hh_fec_in!T26/SER_hh_num_in!T26)</f>
        <v>15223.480938811681</v>
      </c>
      <c r="U26" s="65">
        <f>IF(SER_hh_fec_in!U26=0,0,11630*1000*SER_hh_fec_in!U26/SER_hh_num_in!U26)</f>
        <v>16621.262317766814</v>
      </c>
      <c r="V26" s="65">
        <f>IF(SER_hh_fec_in!V26=0,0,11630*1000*SER_hh_fec_in!V26/SER_hh_num_in!V26)</f>
        <v>14289.361635633513</v>
      </c>
      <c r="W26" s="65">
        <f>IF(SER_hh_fec_in!W26=0,0,11630*1000*SER_hh_fec_in!W26/SER_hh_num_in!W26)</f>
        <v>15286.011814065881</v>
      </c>
      <c r="X26" s="65">
        <f>IF(SER_hh_fec_in!X26=0,0,11630*1000*SER_hh_fec_in!X26/SER_hh_num_in!X26)</f>
        <v>14964.793044477108</v>
      </c>
      <c r="Y26" s="65">
        <f>IF(SER_hh_fec_in!Y26=0,0,11630*1000*SER_hh_fec_in!Y26/SER_hh_num_in!Y26)</f>
        <v>14929.861719311595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105.8914298880789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74.505005251816641</v>
      </c>
      <c r="G27" s="145">
        <f>IF(SER_hh_fec_in!G27=0,0,11630*1000*SER_hh_fec_in!G27/SER_hh_num_in!G19)</f>
        <v>58.917020263502131</v>
      </c>
      <c r="H27" s="145">
        <f>IF(SER_hh_fec_in!H27=0,0,11630*1000*SER_hh_fec_in!H27/SER_hh_num_in!H19)</f>
        <v>86.735803577845189</v>
      </c>
      <c r="I27" s="145">
        <f>IF(SER_hh_fec_in!I27=0,0,11630*1000*SER_hh_fec_in!I27/SER_hh_num_in!I19)</f>
        <v>55.762655145474682</v>
      </c>
      <c r="J27" s="145">
        <f>IF(SER_hh_fec_in!J27=0,0,11630*1000*SER_hh_fec_in!J27/SER_hh_num_in!J19)</f>
        <v>668.24327273962103</v>
      </c>
      <c r="K27" s="145">
        <f>IF(SER_hh_fec_in!K27=0,0,11630*1000*SER_hh_fec_in!K27/SER_hh_num_in!K19)</f>
        <v>576.33359593626301</v>
      </c>
      <c r="L27" s="145">
        <f>IF(SER_hh_fec_in!L27=0,0,11630*1000*SER_hh_fec_in!L27/SER_hh_num_in!L19)</f>
        <v>2061.8973160558462</v>
      </c>
      <c r="M27" s="145">
        <f>IF(SER_hh_fec_in!M27=0,0,11630*1000*SER_hh_fec_in!M27/SER_hh_num_in!M19)</f>
        <v>666.43516064190135</v>
      </c>
      <c r="N27" s="145">
        <f>IF(SER_hh_fec_in!N27=0,0,11630*1000*SER_hh_fec_in!N27/SER_hh_num_in!N19)</f>
        <v>630.91572366183027</v>
      </c>
      <c r="O27" s="145">
        <f>IF(SER_hh_fec_in!O27=0,0,11630*1000*SER_hh_fec_in!O27/SER_hh_num_in!O19)</f>
        <v>923.87947502265069</v>
      </c>
      <c r="P27" s="145">
        <f>IF(SER_hh_fec_in!P27=0,0,11630*1000*SER_hh_fec_in!P27/SER_hh_num_in!P19)</f>
        <v>494.89027932390104</v>
      </c>
      <c r="Q27" s="145">
        <f>IF(SER_hh_fec_in!Q27=0,0,11630*1000*SER_hh_fec_in!Q27/SER_hh_num_in!Q19)</f>
        <v>1215.1730658695103</v>
      </c>
      <c r="R27" s="145">
        <f>IF(SER_hh_fec_in!R27=0,0,11630*1000*SER_hh_fec_in!R27/SER_hh_num_in!R19)</f>
        <v>450.40478109135245</v>
      </c>
      <c r="S27" s="145">
        <f>IF(SER_hh_fec_in!S27=0,0,11630*1000*SER_hh_fec_in!S27/SER_hh_num_in!S19)</f>
        <v>203.72638731689847</v>
      </c>
      <c r="T27" s="145">
        <f>IF(SER_hh_fec_in!T27=0,0,11630*1000*SER_hh_fec_in!T27/SER_hh_num_in!T19)</f>
        <v>1261.3829295355472</v>
      </c>
      <c r="U27" s="145">
        <f>IF(SER_hh_fec_in!U27=0,0,11630*1000*SER_hh_fec_in!U27/SER_hh_num_in!U19)</f>
        <v>1.229730875265388E-12</v>
      </c>
      <c r="V27" s="145">
        <f>IF(SER_hh_fec_in!V27=0,0,11630*1000*SER_hh_fec_in!V27/SER_hh_num_in!V19)</f>
        <v>169.67719992880041</v>
      </c>
      <c r="W27" s="145">
        <f>IF(SER_hh_fec_in!W27=0,0,11630*1000*SER_hh_fec_in!W27/SER_hh_num_in!W19)</f>
        <v>2.0096370896409636E-2</v>
      </c>
      <c r="X27" s="145">
        <f>IF(SER_hh_fec_in!X27=0,0,11630*1000*SER_hh_fec_in!X27/SER_hh_num_in!X19)</f>
        <v>6.6464684840300001E-3</v>
      </c>
      <c r="Y27" s="145">
        <f>IF(SER_hh_fec_in!Y27=0,0,11630*1000*SER_hh_fec_in!Y27/SER_hh_num_in!Y19)</f>
        <v>1.0031950137486289E-12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5500.1408151035475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6308.4106077263004</v>
      </c>
      <c r="G28" s="146">
        <f>IF(SER_hh_fec_in!G27=0,0,11630*1000*SER_hh_fec_in!G27/SER_hh_num_in!G27)</f>
        <v>6381.5398738324584</v>
      </c>
      <c r="H28" s="146">
        <f>IF(SER_hh_fec_in!H27=0,0,11630*1000*SER_hh_fec_in!H27/SER_hh_num_in!H27)</f>
        <v>6735.7688504841162</v>
      </c>
      <c r="I28" s="146">
        <f>IF(SER_hh_fec_in!I27=0,0,11630*1000*SER_hh_fec_in!I27/SER_hh_num_in!I27)</f>
        <v>7158.3398193271232</v>
      </c>
      <c r="J28" s="146">
        <f>IF(SER_hh_fec_in!J27=0,0,11630*1000*SER_hh_fec_in!J27/SER_hh_num_in!J27)</f>
        <v>7400.4368555348683</v>
      </c>
      <c r="K28" s="146">
        <f>IF(SER_hh_fec_in!K27=0,0,11630*1000*SER_hh_fec_in!K27/SER_hh_num_in!K27)</f>
        <v>7510.0514720705951</v>
      </c>
      <c r="L28" s="146">
        <f>IF(SER_hh_fec_in!L27=0,0,11630*1000*SER_hh_fec_in!L27/SER_hh_num_in!L27)</f>
        <v>7211.6455603286977</v>
      </c>
      <c r="M28" s="146">
        <f>IF(SER_hh_fec_in!M27=0,0,11630*1000*SER_hh_fec_in!M27/SER_hh_num_in!M27)</f>
        <v>7528.4013816123634</v>
      </c>
      <c r="N28" s="146">
        <f>IF(SER_hh_fec_in!N27=0,0,11630*1000*SER_hh_fec_in!N27/SER_hh_num_in!N27)</f>
        <v>7962.3005331971217</v>
      </c>
      <c r="O28" s="146">
        <f>IF(SER_hh_fec_in!O27=0,0,11630*1000*SER_hh_fec_in!O27/SER_hh_num_in!O27)</f>
        <v>7928.7826148218737</v>
      </c>
      <c r="P28" s="146">
        <f>IF(SER_hh_fec_in!P27=0,0,11630*1000*SER_hh_fec_in!P27/SER_hh_num_in!P27)</f>
        <v>8025.2813127972086</v>
      </c>
      <c r="Q28" s="146">
        <f>IF(SER_hh_fec_in!Q27=0,0,11630*1000*SER_hh_fec_in!Q27/SER_hh_num_in!Q27)</f>
        <v>8054.5147479708194</v>
      </c>
      <c r="R28" s="146">
        <f>IF(SER_hh_fec_in!R27=0,0,11630*1000*SER_hh_fec_in!R27/SER_hh_num_in!R27)</f>
        <v>8209.3277560722945</v>
      </c>
      <c r="S28" s="146">
        <f>IF(SER_hh_fec_in!S27=0,0,11630*1000*SER_hh_fec_in!S27/SER_hh_num_in!S27)</f>
        <v>8360.8908850407261</v>
      </c>
      <c r="T28" s="146">
        <f>IF(SER_hh_fec_in!T27=0,0,11630*1000*SER_hh_fec_in!T27/SER_hh_num_in!T27)</f>
        <v>6905.5779997117943</v>
      </c>
      <c r="U28" s="146">
        <f>IF(SER_hh_fec_in!U27=0,0,11630*1000*SER_hh_fec_in!U27/SER_hh_num_in!U27)</f>
        <v>7517.8926886777781</v>
      </c>
      <c r="V28" s="146">
        <f>IF(SER_hh_fec_in!V27=0,0,11630*1000*SER_hh_fec_in!V27/SER_hh_num_in!V27)</f>
        <v>7024.9111469171585</v>
      </c>
      <c r="W28" s="146">
        <f>IF(SER_hh_fec_in!W27=0,0,11630*1000*SER_hh_fec_in!W27/SER_hh_num_in!W27)</f>
        <v>7314.5451135801477</v>
      </c>
      <c r="X28" s="146">
        <f>IF(SER_hh_fec_in!X27=0,0,11630*1000*SER_hh_fec_in!X27/SER_hh_num_in!X27)</f>
        <v>9083.758361877246</v>
      </c>
      <c r="Y28" s="146">
        <f>IF(SER_hh_fec_in!Y27=0,0,11630*1000*SER_hh_fec_in!Y27/SER_hh_num_in!Y27)</f>
        <v>10467.056476421014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17844.050399439053</v>
      </c>
      <c r="D29" s="130">
        <f>IF(SER_hh_fec_in!D29=0,0,11630*1000*SER_hh_fec_in!D29/SER_hh_num_in!D29)</f>
        <v>19681.335466596625</v>
      </c>
      <c r="E29" s="130">
        <f>IF(SER_hh_fec_in!E29=0,0,11630*1000*SER_hh_fec_in!E29/SER_hh_num_in!E29)</f>
        <v>22198.634387108985</v>
      </c>
      <c r="F29" s="130">
        <f>IF(SER_hh_fec_in!F29=0,0,11630*1000*SER_hh_fec_in!F29/SER_hh_num_in!F29)</f>
        <v>21807.424368720636</v>
      </c>
      <c r="G29" s="130">
        <f>IF(SER_hh_fec_in!G29=0,0,11630*1000*SER_hh_fec_in!G29/SER_hh_num_in!G29)</f>
        <v>22289.211009299597</v>
      </c>
      <c r="H29" s="130">
        <f>IF(SER_hh_fec_in!H29=0,0,11630*1000*SER_hh_fec_in!H29/SER_hh_num_in!H29)</f>
        <v>22295.788136262418</v>
      </c>
      <c r="I29" s="130">
        <f>IF(SER_hh_fec_in!I29=0,0,11630*1000*SER_hh_fec_in!I29/SER_hh_num_in!I29)</f>
        <v>22731.479938314591</v>
      </c>
      <c r="J29" s="130">
        <f>IF(SER_hh_fec_in!J29=0,0,11630*1000*SER_hh_fec_in!J29/SER_hh_num_in!J29)</f>
        <v>23100.014019226732</v>
      </c>
      <c r="K29" s="130">
        <f>IF(SER_hh_fec_in!K29=0,0,11630*1000*SER_hh_fec_in!K29/SER_hh_num_in!K29)</f>
        <v>22888.037707996857</v>
      </c>
      <c r="L29" s="130">
        <f>IF(SER_hh_fec_in!L29=0,0,11630*1000*SER_hh_fec_in!L29/SER_hh_num_in!L29)</f>
        <v>23661.101133030501</v>
      </c>
      <c r="M29" s="130">
        <f>IF(SER_hh_fec_in!M29=0,0,11630*1000*SER_hh_fec_in!M29/SER_hh_num_in!M29)</f>
        <v>24429.134252272892</v>
      </c>
      <c r="N29" s="130">
        <f>IF(SER_hh_fec_in!N29=0,0,11630*1000*SER_hh_fec_in!N29/SER_hh_num_in!N29)</f>
        <v>24281.666249410937</v>
      </c>
      <c r="O29" s="130">
        <f>IF(SER_hh_fec_in!O29=0,0,11630*1000*SER_hh_fec_in!O29/SER_hh_num_in!O29)</f>
        <v>23952.846588988086</v>
      </c>
      <c r="P29" s="130">
        <f>IF(SER_hh_fec_in!P29=0,0,11630*1000*SER_hh_fec_in!P29/SER_hh_num_in!P29)</f>
        <v>22929.833310456033</v>
      </c>
      <c r="Q29" s="130">
        <f>IF(SER_hh_fec_in!Q29=0,0,11630*1000*SER_hh_fec_in!Q29/SER_hh_num_in!Q29)</f>
        <v>22852.900042199959</v>
      </c>
      <c r="R29" s="130">
        <f>IF(SER_hh_fec_in!R29=0,0,11630*1000*SER_hh_fec_in!R29/SER_hh_num_in!R29)</f>
        <v>22024.760774150058</v>
      </c>
      <c r="S29" s="130">
        <f>IF(SER_hh_fec_in!S29=0,0,11630*1000*SER_hh_fec_in!S29/SER_hh_num_in!S29)</f>
        <v>21069.761648675525</v>
      </c>
      <c r="T29" s="130">
        <f>IF(SER_hh_fec_in!T29=0,0,11630*1000*SER_hh_fec_in!T29/SER_hh_num_in!T29)</f>
        <v>20593.622549384403</v>
      </c>
      <c r="U29" s="130">
        <f>IF(SER_hh_fec_in!U29=0,0,11630*1000*SER_hh_fec_in!U29/SER_hh_num_in!U29)</f>
        <v>20648.674090801149</v>
      </c>
      <c r="V29" s="130">
        <f>IF(SER_hh_fec_in!V29=0,0,11630*1000*SER_hh_fec_in!V29/SER_hh_num_in!V29)</f>
        <v>19118.321591101649</v>
      </c>
      <c r="W29" s="130">
        <f>IF(SER_hh_fec_in!W29=0,0,11630*1000*SER_hh_fec_in!W29/SER_hh_num_in!W29)</f>
        <v>21366.070642856164</v>
      </c>
      <c r="X29" s="130">
        <f>IF(SER_hh_fec_in!X29=0,0,11630*1000*SER_hh_fec_in!X29/SER_hh_num_in!X29)</f>
        <v>20663.360939727572</v>
      </c>
      <c r="Y29" s="130">
        <f>IF(SER_hh_fec_in!Y29=0,0,11630*1000*SER_hh_fec_in!Y29/SER_hh_num_in!Y29)</f>
        <v>19847.711427228354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25472.889117520877</v>
      </c>
      <c r="D30" s="132">
        <f>IF(SER_hh_fec_in!D30=0,0,11630*1000*SER_hh_fec_in!D30/SER_hh_num_in!D30)</f>
        <v>20842.741911301393</v>
      </c>
      <c r="E30" s="132">
        <f>IF(SER_hh_fec_in!E30=0,0,11630*1000*SER_hh_fec_in!E30/SER_hh_num_in!E30)</f>
        <v>30470.24470990476</v>
      </c>
      <c r="F30" s="132">
        <f>IF(SER_hh_fec_in!F30=0,0,11630*1000*SER_hh_fec_in!F30/SER_hh_num_in!F30)</f>
        <v>27465.09348687694</v>
      </c>
      <c r="G30" s="132">
        <f>IF(SER_hh_fec_in!G30=0,0,11630*1000*SER_hh_fec_in!G30/SER_hh_num_in!G30)</f>
        <v>26496.032313349973</v>
      </c>
      <c r="H30" s="132">
        <f>IF(SER_hh_fec_in!H30=0,0,11630*1000*SER_hh_fec_in!H30/SER_hh_num_in!H30)</f>
        <v>29627.736196532969</v>
      </c>
      <c r="I30" s="132">
        <f>IF(SER_hh_fec_in!I30=0,0,11630*1000*SER_hh_fec_in!I30/SER_hh_num_in!I30)</f>
        <v>31492.403469053475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28899.129419935412</v>
      </c>
      <c r="O30" s="132">
        <f>IF(SER_hh_fec_in!O30=0,0,11630*1000*SER_hh_fec_in!O30/SER_hh_num_in!O30)</f>
        <v>29779.039662703257</v>
      </c>
      <c r="P30" s="132">
        <f>IF(SER_hh_fec_in!P30=0,0,11630*1000*SER_hh_fec_in!P30/SER_hh_num_in!P30)</f>
        <v>25877.609716188832</v>
      </c>
      <c r="Q30" s="132">
        <f>IF(SER_hh_fec_in!Q30=0,0,11630*1000*SER_hh_fec_in!Q30/SER_hh_num_in!Q30)</f>
        <v>28685.923720124461</v>
      </c>
      <c r="R30" s="132">
        <f>IF(SER_hh_fec_in!R30=0,0,11630*1000*SER_hh_fec_in!R30/SER_hh_num_in!R30)</f>
        <v>29443.150325338967</v>
      </c>
      <c r="S30" s="132">
        <f>IF(SER_hh_fec_in!S30=0,0,11630*1000*SER_hh_fec_in!S30/SER_hh_num_in!S30)</f>
        <v>28334.226575383804</v>
      </c>
      <c r="T30" s="132">
        <f>IF(SER_hh_fec_in!T30=0,0,11630*1000*SER_hh_fec_in!T30/SER_hh_num_in!T30)</f>
        <v>26760.905068326229</v>
      </c>
      <c r="U30" s="132">
        <f>IF(SER_hh_fec_in!U30=0,0,11630*1000*SER_hh_fec_in!U30/SER_hh_num_in!U30)</f>
        <v>30949.841593066885</v>
      </c>
      <c r="V30" s="132">
        <f>IF(SER_hh_fec_in!V30=0,0,11630*1000*SER_hh_fec_in!V30/SER_hh_num_in!V30)</f>
        <v>21805.134892783335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21023.503789393802</v>
      </c>
      <c r="D31" s="132">
        <f>IF(SER_hh_fec_in!D31=0,0,11630*1000*SER_hh_fec_in!D31/SER_hh_num_in!D31)</f>
        <v>23749.915929233543</v>
      </c>
      <c r="E31" s="132">
        <f>IF(SER_hh_fec_in!E31=0,0,11630*1000*SER_hh_fec_in!E31/SER_hh_num_in!E31)</f>
        <v>26028.601352385249</v>
      </c>
      <c r="F31" s="132">
        <f>IF(SER_hh_fec_in!F31=0,0,11630*1000*SER_hh_fec_in!F31/SER_hh_num_in!F31)</f>
        <v>25985.001734165842</v>
      </c>
      <c r="G31" s="132">
        <f>IF(SER_hh_fec_in!G31=0,0,11630*1000*SER_hh_fec_in!G31/SER_hh_num_in!G31)</f>
        <v>27226.344010281235</v>
      </c>
      <c r="H31" s="132">
        <f>IF(SER_hh_fec_in!H31=0,0,11630*1000*SER_hh_fec_in!H31/SER_hh_num_in!H31)</f>
        <v>28016.063200198383</v>
      </c>
      <c r="I31" s="132">
        <f>IF(SER_hh_fec_in!I31=0,0,11630*1000*SER_hh_fec_in!I31/SER_hh_num_in!I31)</f>
        <v>28448.370432917691</v>
      </c>
      <c r="J31" s="132">
        <f>IF(SER_hh_fec_in!J31=0,0,11630*1000*SER_hh_fec_in!J31/SER_hh_num_in!J31)</f>
        <v>28699.212528645123</v>
      </c>
      <c r="K31" s="132">
        <f>IF(SER_hh_fec_in!K31=0,0,11630*1000*SER_hh_fec_in!K31/SER_hh_num_in!K31)</f>
        <v>28501.129776347778</v>
      </c>
      <c r="L31" s="132">
        <f>IF(SER_hh_fec_in!L31=0,0,11630*1000*SER_hh_fec_in!L31/SER_hh_num_in!L31)</f>
        <v>27223.051362493694</v>
      </c>
      <c r="M31" s="132">
        <f>IF(SER_hh_fec_in!M31=0,0,11630*1000*SER_hh_fec_in!M31/SER_hh_num_in!M31)</f>
        <v>28813.53296754757</v>
      </c>
      <c r="N31" s="132">
        <f>IF(SER_hh_fec_in!N31=0,0,11630*1000*SER_hh_fec_in!N31/SER_hh_num_in!N31)</f>
        <v>29587.639976676222</v>
      </c>
      <c r="O31" s="132">
        <f>IF(SER_hh_fec_in!O31=0,0,11630*1000*SER_hh_fec_in!O31/SER_hh_num_in!O31)</f>
        <v>28887.460075275081</v>
      </c>
      <c r="P31" s="132">
        <f>IF(SER_hh_fec_in!P31=0,0,11630*1000*SER_hh_fec_in!P31/SER_hh_num_in!P31)</f>
        <v>28412.74717198178</v>
      </c>
      <c r="Q31" s="132">
        <f>IF(SER_hh_fec_in!Q31=0,0,11630*1000*SER_hh_fec_in!Q31/SER_hh_num_in!Q31)</f>
        <v>29161.778154345535</v>
      </c>
      <c r="R31" s="132">
        <f>IF(SER_hh_fec_in!R31=0,0,11630*1000*SER_hh_fec_in!R31/SER_hh_num_in!R31)</f>
        <v>28191.933029039996</v>
      </c>
      <c r="S31" s="132">
        <f>IF(SER_hh_fec_in!S31=0,0,11630*1000*SER_hh_fec_in!S31/SER_hh_num_in!S31)</f>
        <v>26870.873936223576</v>
      </c>
      <c r="T31" s="132">
        <f>IF(SER_hh_fec_in!T31=0,0,11630*1000*SER_hh_fec_in!T31/SER_hh_num_in!T31)</f>
        <v>26469.484818275399</v>
      </c>
      <c r="U31" s="132">
        <f>IF(SER_hh_fec_in!U31=0,0,11630*1000*SER_hh_fec_in!U31/SER_hh_num_in!U31)</f>
        <v>26530.015508504024</v>
      </c>
      <c r="V31" s="132">
        <f>IF(SER_hh_fec_in!V31=0,0,11630*1000*SER_hh_fec_in!V31/SER_hh_num_in!V31)</f>
        <v>21503.932183321082</v>
      </c>
      <c r="W31" s="132">
        <f>IF(SER_hh_fec_in!W31=0,0,11630*1000*SER_hh_fec_in!W31/SER_hh_num_in!W31)</f>
        <v>26737.727735789147</v>
      </c>
      <c r="X31" s="132">
        <f>IF(SER_hh_fec_in!X31=0,0,11630*1000*SER_hh_fec_in!X31/SER_hh_num_in!X31)</f>
        <v>25519.321022021417</v>
      </c>
      <c r="Y31" s="132">
        <f>IF(SER_hh_fec_in!Y31=0,0,11630*1000*SER_hh_fec_in!Y31/SER_hh_num_in!Y31)</f>
        <v>25433.26368478217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15780.372997817216</v>
      </c>
      <c r="D33" s="68">
        <f>IF(SER_hh_fec_in!D33=0,0,11630*1000*SER_hh_fec_in!D33/SER_hh_num_in!D33)</f>
        <v>18206.022170174856</v>
      </c>
      <c r="E33" s="68">
        <f>IF(SER_hh_fec_in!E33=0,0,11630*1000*SER_hh_fec_in!E33/SER_hh_num_in!E33)</f>
        <v>19822.333854323599</v>
      </c>
      <c r="F33" s="68">
        <f>IF(SER_hh_fec_in!F33=0,0,11630*1000*SER_hh_fec_in!F33/SER_hh_num_in!F33)</f>
        <v>20245.637286864894</v>
      </c>
      <c r="G33" s="68">
        <f>IF(SER_hh_fec_in!G33=0,0,11630*1000*SER_hh_fec_in!G33/SER_hh_num_in!G33)</f>
        <v>20427.266528001037</v>
      </c>
      <c r="H33" s="68">
        <f>IF(SER_hh_fec_in!H33=0,0,11630*1000*SER_hh_fec_in!H33/SER_hh_num_in!H33)</f>
        <v>20611.332469979545</v>
      </c>
      <c r="I33" s="68">
        <f>IF(SER_hh_fec_in!I33=0,0,11630*1000*SER_hh_fec_in!I33/SER_hh_num_in!I33)</f>
        <v>21516.938838811366</v>
      </c>
      <c r="J33" s="68">
        <f>IF(SER_hh_fec_in!J33=0,0,11630*1000*SER_hh_fec_in!J33/SER_hh_num_in!J33)</f>
        <v>22046.530258047977</v>
      </c>
      <c r="K33" s="68">
        <f>IF(SER_hh_fec_in!K33=0,0,11630*1000*SER_hh_fec_in!K33/SER_hh_num_in!K33)</f>
        <v>21553.567617916819</v>
      </c>
      <c r="L33" s="68">
        <f>IF(SER_hh_fec_in!L33=0,0,11630*1000*SER_hh_fec_in!L33/SER_hh_num_in!L33)</f>
        <v>22178.715932920779</v>
      </c>
      <c r="M33" s="68">
        <f>IF(SER_hh_fec_in!M33=0,0,11630*1000*SER_hh_fec_in!M33/SER_hh_num_in!M33)</f>
        <v>21774.489023592607</v>
      </c>
      <c r="N33" s="68">
        <f>IF(SER_hh_fec_in!N33=0,0,11630*1000*SER_hh_fec_in!N33/SER_hh_num_in!N33)</f>
        <v>21129.746480782087</v>
      </c>
      <c r="O33" s="68">
        <f>IF(SER_hh_fec_in!O33=0,0,11630*1000*SER_hh_fec_in!O33/SER_hh_num_in!O33)</f>
        <v>21138.341044963552</v>
      </c>
      <c r="P33" s="68">
        <f>IF(SER_hh_fec_in!P33=0,0,11630*1000*SER_hh_fec_in!P33/SER_hh_num_in!P33)</f>
        <v>21297.675531404289</v>
      </c>
      <c r="Q33" s="68">
        <f>IF(SER_hh_fec_in!Q33=0,0,11630*1000*SER_hh_fec_in!Q33/SER_hh_num_in!Q33)</f>
        <v>20838.588709709598</v>
      </c>
      <c r="R33" s="68">
        <f>IF(SER_hh_fec_in!R33=0,0,11630*1000*SER_hh_fec_in!R33/SER_hh_num_in!R33)</f>
        <v>20546.550175240376</v>
      </c>
      <c r="S33" s="68">
        <f>IF(SER_hh_fec_in!S33=0,0,11630*1000*SER_hh_fec_in!S33/SER_hh_num_in!S33)</f>
        <v>19775.693258466468</v>
      </c>
      <c r="T33" s="68">
        <f>IF(SER_hh_fec_in!T33=0,0,11630*1000*SER_hh_fec_in!T33/SER_hh_num_in!T33)</f>
        <v>19602.562676669801</v>
      </c>
      <c r="U33" s="68">
        <f>IF(SER_hh_fec_in!U33=0,0,11630*1000*SER_hh_fec_in!U33/SER_hh_num_in!U33)</f>
        <v>18906.857534734219</v>
      </c>
      <c r="V33" s="68">
        <f>IF(SER_hh_fec_in!V33=0,0,11630*1000*SER_hh_fec_in!V33/SER_hh_num_in!V33)</f>
        <v>18320.19185107042</v>
      </c>
      <c r="W33" s="68">
        <f>IF(SER_hh_fec_in!W33=0,0,11630*1000*SER_hh_fec_in!W33/SER_hh_num_in!W33)</f>
        <v>17187.371598321777</v>
      </c>
      <c r="X33" s="68">
        <f>IF(SER_hh_fec_in!X33=0,0,11630*1000*SER_hh_fec_in!X33/SER_hh_num_in!X33)</f>
        <v>17889.790400367114</v>
      </c>
      <c r="Y33" s="68">
        <f>IF(SER_hh_fec_in!Y33=0,0,11630*1000*SER_hh_fec_in!Y33/SER_hh_num_in!Y33)</f>
        <v>17754.589499269361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116293.72788143164</v>
      </c>
      <c r="D3" s="125">
        <f>IF(SER_hh_tes_in!D3=0,0,11630*1000*SER_hh_tes_in!D3/SER_hh_num_in!D3)</f>
        <v>133331.89236798673</v>
      </c>
      <c r="E3" s="125">
        <f>IF(SER_hh_tes_in!E3=0,0,11630*1000*SER_hh_tes_in!E3/SER_hh_num_in!E3)</f>
        <v>119471.52096553806</v>
      </c>
      <c r="F3" s="125">
        <f>IF(SER_hh_tes_in!F3=0,0,11630*1000*SER_hh_tes_in!F3/SER_hh_num_in!F3)</f>
        <v>127118.20181429926</v>
      </c>
      <c r="G3" s="125">
        <f>IF(SER_hh_tes_in!G3=0,0,11630*1000*SER_hh_tes_in!G3/SER_hh_num_in!G3)</f>
        <v>121070.60582203136</v>
      </c>
      <c r="H3" s="125">
        <f>IF(SER_hh_tes_in!H3=0,0,11630*1000*SER_hh_tes_in!H3/SER_hh_num_in!H3)</f>
        <v>131288.74028809665</v>
      </c>
      <c r="I3" s="125">
        <f>IF(SER_hh_tes_in!I3=0,0,11630*1000*SER_hh_tes_in!I3/SER_hh_num_in!I3)</f>
        <v>116276.22406431791</v>
      </c>
      <c r="J3" s="125">
        <f>IF(SER_hh_tes_in!J3=0,0,11630*1000*SER_hh_tes_in!J3/SER_hh_num_in!J3)</f>
        <v>126056.33024948137</v>
      </c>
      <c r="K3" s="125">
        <f>IF(SER_hh_tes_in!K3=0,0,11630*1000*SER_hh_tes_in!K3/SER_hh_num_in!K3)</f>
        <v>121475.15343723402</v>
      </c>
      <c r="L3" s="125">
        <f>IF(SER_hh_tes_in!L3=0,0,11630*1000*SER_hh_tes_in!L3/SER_hh_num_in!L3)</f>
        <v>147295.71822684404</v>
      </c>
      <c r="M3" s="125">
        <f>IF(SER_hh_tes_in!M3=0,0,11630*1000*SER_hh_tes_in!M3/SER_hh_num_in!M3)</f>
        <v>124769.46096828747</v>
      </c>
      <c r="N3" s="125">
        <f>IF(SER_hh_tes_in!N3=0,0,11630*1000*SER_hh_tes_in!N3/SER_hh_num_in!N3)</f>
        <v>125103.73166322481</v>
      </c>
      <c r="O3" s="125">
        <f>IF(SER_hh_tes_in!O3=0,0,11630*1000*SER_hh_tes_in!O3/SER_hh_num_in!O3)</f>
        <v>124020.9266295991</v>
      </c>
      <c r="P3" s="125">
        <f>IF(SER_hh_tes_in!P3=0,0,11630*1000*SER_hh_tes_in!P3/SER_hh_num_in!P3)</f>
        <v>108393.85954915863</v>
      </c>
      <c r="Q3" s="125">
        <f>IF(SER_hh_tes_in!Q3=0,0,11630*1000*SER_hh_tes_in!Q3/SER_hh_num_in!Q3)</f>
        <v>113832.49822364934</v>
      </c>
      <c r="R3" s="125">
        <f>IF(SER_hh_tes_in!R3=0,0,11630*1000*SER_hh_tes_in!R3/SER_hh_num_in!R3)</f>
        <v>113341.58539851062</v>
      </c>
      <c r="S3" s="125">
        <f>IF(SER_hh_tes_in!S3=0,0,11630*1000*SER_hh_tes_in!S3/SER_hh_num_in!S3)</f>
        <v>103047.40029784528</v>
      </c>
      <c r="T3" s="125">
        <f>IF(SER_hh_tes_in!T3=0,0,11630*1000*SER_hh_tes_in!T3/SER_hh_num_in!T3)</f>
        <v>99654.958722906042</v>
      </c>
      <c r="U3" s="125">
        <f>IF(SER_hh_tes_in!U3=0,0,11630*1000*SER_hh_tes_in!U3/SER_hh_num_in!U3)</f>
        <v>97720.498516705644</v>
      </c>
      <c r="V3" s="125">
        <f>IF(SER_hh_tes_in!V3=0,0,11630*1000*SER_hh_tes_in!V3/SER_hh_num_in!V3)</f>
        <v>89390.566554869423</v>
      </c>
      <c r="W3" s="125">
        <f>IF(SER_hh_tes_in!W3=0,0,11630*1000*SER_hh_tes_in!W3/SER_hh_num_in!W3)</f>
        <v>90118.23821345935</v>
      </c>
      <c r="X3" s="125">
        <f>IF(SER_hh_tes_in!X3=0,0,11630*1000*SER_hh_tes_in!X3/SER_hh_num_in!X3)</f>
        <v>84313.767576061233</v>
      </c>
      <c r="Y3" s="125">
        <f>IF(SER_hh_tes_in!Y3=0,0,11630*1000*SER_hh_tes_in!Y3/SER_hh_num_in!Y3)</f>
        <v>87495.574090573587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69488.116099334598</v>
      </c>
      <c r="D4" s="130">
        <f>IF(SER_hh_tes_in!D4=0,0,11630*1000*SER_hh_tes_in!D4/SER_hh_num_in!D4)</f>
        <v>83656.732708857337</v>
      </c>
      <c r="E4" s="130">
        <f>IF(SER_hh_tes_in!E4=0,0,11630*1000*SER_hh_tes_in!E4/SER_hh_num_in!E4)</f>
        <v>79128.989090328003</v>
      </c>
      <c r="F4" s="130">
        <f>IF(SER_hh_tes_in!F4=0,0,11630*1000*SER_hh_tes_in!F4/SER_hh_num_in!F4)</f>
        <v>88313.674232178717</v>
      </c>
      <c r="G4" s="130">
        <f>IF(SER_hh_tes_in!G4=0,0,11630*1000*SER_hh_tes_in!G4/SER_hh_num_in!G4)</f>
        <v>78147.183340462609</v>
      </c>
      <c r="H4" s="130">
        <f>IF(SER_hh_tes_in!H4=0,0,11630*1000*SER_hh_tes_in!H4/SER_hh_num_in!H4)</f>
        <v>90559.545726788187</v>
      </c>
      <c r="I4" s="130">
        <f>IF(SER_hh_tes_in!I4=0,0,11630*1000*SER_hh_tes_in!I4/SER_hh_num_in!I4)</f>
        <v>72884.462069181041</v>
      </c>
      <c r="J4" s="130">
        <f>IF(SER_hh_tes_in!J4=0,0,11630*1000*SER_hh_tes_in!J4/SER_hh_num_in!J4)</f>
        <v>82022.556821924882</v>
      </c>
      <c r="K4" s="130">
        <f>IF(SER_hh_tes_in!K4=0,0,11630*1000*SER_hh_tes_in!K4/SER_hh_num_in!K4)</f>
        <v>78116.968880735687</v>
      </c>
      <c r="L4" s="130">
        <f>IF(SER_hh_tes_in!L4=0,0,11630*1000*SER_hh_tes_in!L4/SER_hh_num_in!L4)</f>
        <v>88550.297574074983</v>
      </c>
      <c r="M4" s="130">
        <f>IF(SER_hh_tes_in!M4=0,0,11630*1000*SER_hh_tes_in!M4/SER_hh_num_in!M4)</f>
        <v>77625.103666775656</v>
      </c>
      <c r="N4" s="130">
        <f>IF(SER_hh_tes_in!N4=0,0,11630*1000*SER_hh_tes_in!N4/SER_hh_num_in!N4)</f>
        <v>73616.510398825121</v>
      </c>
      <c r="O4" s="130">
        <f>IF(SER_hh_tes_in!O4=0,0,11630*1000*SER_hh_tes_in!O4/SER_hh_num_in!O4)</f>
        <v>67411.798677590268</v>
      </c>
      <c r="P4" s="130">
        <f>IF(SER_hh_tes_in!P4=0,0,11630*1000*SER_hh_tes_in!P4/SER_hh_num_in!P4)</f>
        <v>58017.081668100327</v>
      </c>
      <c r="Q4" s="130">
        <f>IF(SER_hh_tes_in!Q4=0,0,11630*1000*SER_hh_tes_in!Q4/SER_hh_num_in!Q4)</f>
        <v>54519.931846212712</v>
      </c>
      <c r="R4" s="130">
        <f>IF(SER_hh_tes_in!R4=0,0,11630*1000*SER_hh_tes_in!R4/SER_hh_num_in!R4)</f>
        <v>59349.816930039007</v>
      </c>
      <c r="S4" s="130">
        <f>IF(SER_hh_tes_in!S4=0,0,11630*1000*SER_hh_tes_in!S4/SER_hh_num_in!S4)</f>
        <v>52873.453697402227</v>
      </c>
      <c r="T4" s="130">
        <f>IF(SER_hh_tes_in!T4=0,0,11630*1000*SER_hh_tes_in!T4/SER_hh_num_in!T4)</f>
        <v>48128.498934451709</v>
      </c>
      <c r="U4" s="130">
        <f>IF(SER_hh_tes_in!U4=0,0,11630*1000*SER_hh_tes_in!U4/SER_hh_num_in!U4)</f>
        <v>44080.359693662525</v>
      </c>
      <c r="V4" s="130">
        <f>IF(SER_hh_tes_in!V4=0,0,11630*1000*SER_hh_tes_in!V4/SER_hh_num_in!V4)</f>
        <v>39654.385984447959</v>
      </c>
      <c r="W4" s="130">
        <f>IF(SER_hh_tes_in!W4=0,0,11630*1000*SER_hh_tes_in!W4/SER_hh_num_in!W4)</f>
        <v>39024.054320534473</v>
      </c>
      <c r="X4" s="130">
        <f>IF(SER_hh_tes_in!X4=0,0,11630*1000*SER_hh_tes_in!X4/SER_hh_num_in!X4)</f>
        <v>33606.678932827454</v>
      </c>
      <c r="Y4" s="130">
        <f>IF(SER_hh_tes_in!Y4=0,0,11630*1000*SER_hh_tes_in!Y4/SER_hh_num_in!Y4)</f>
        <v>35602.882848057598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52633.304765219254</v>
      </c>
      <c r="D5" s="132">
        <f>IF(SER_hh_tes_in!D5=0,0,11630*1000*SER_hh_tes_in!D5/SER_hh_num_in!D5)</f>
        <v>86926.254604920498</v>
      </c>
      <c r="E5" s="132">
        <f>IF(SER_hh_tes_in!E5=0,0,11630*1000*SER_hh_tes_in!E5/SER_hh_num_in!E5)</f>
        <v>83928.561098950551</v>
      </c>
      <c r="F5" s="132">
        <f>IF(SER_hh_tes_in!F5=0,0,11630*1000*SER_hh_tes_in!F5/SER_hh_num_in!F5)</f>
        <v>78895.083556872502</v>
      </c>
      <c r="G5" s="132">
        <f>IF(SER_hh_tes_in!G5=0,0,11630*1000*SER_hh_tes_in!G5/SER_hh_num_in!G5)</f>
        <v>77279.841872379257</v>
      </c>
      <c r="H5" s="132">
        <f>IF(SER_hh_tes_in!H5=0,0,11630*1000*SER_hh_tes_in!H5/SER_hh_num_in!H5)</f>
        <v>87648.587548400305</v>
      </c>
      <c r="I5" s="132">
        <f>IF(SER_hh_tes_in!I5=0,0,11630*1000*SER_hh_tes_in!I5/SER_hh_num_in!I5)</f>
        <v>72021.374420862194</v>
      </c>
      <c r="J5" s="132">
        <f>IF(SER_hh_tes_in!J5=0,0,11630*1000*SER_hh_tes_in!J5/SER_hh_num_in!J5)</f>
        <v>77719.448086529053</v>
      </c>
      <c r="K5" s="132">
        <f>IF(SER_hh_tes_in!K5=0,0,11630*1000*SER_hh_tes_in!K5/SER_hh_num_in!K5)</f>
        <v>80290.81718588504</v>
      </c>
      <c r="L5" s="132">
        <f>IF(SER_hh_tes_in!L5=0,0,11630*1000*SER_hh_tes_in!L5/SER_hh_num_in!L5)</f>
        <v>88314.794655930673</v>
      </c>
      <c r="M5" s="132">
        <f>IF(SER_hh_tes_in!M5=0,0,11630*1000*SER_hh_tes_in!M5/SER_hh_num_in!M5)</f>
        <v>75124.222494507863</v>
      </c>
      <c r="N5" s="132">
        <f>IF(SER_hh_tes_in!N5=0,0,11630*1000*SER_hh_tes_in!N5/SER_hh_num_in!N5)</f>
        <v>73977.114487986255</v>
      </c>
      <c r="O5" s="132">
        <f>IF(SER_hh_tes_in!O5=0,0,11630*1000*SER_hh_tes_in!O5/SER_hh_num_in!O5)</f>
        <v>66759.666028991312</v>
      </c>
      <c r="P5" s="132">
        <f>IF(SER_hh_tes_in!P5=0,0,11630*1000*SER_hh_tes_in!P5/SER_hh_num_in!P5)</f>
        <v>57525.547187278258</v>
      </c>
      <c r="Q5" s="132">
        <f>IF(SER_hh_tes_in!Q5=0,0,11630*1000*SER_hh_tes_in!Q5/SER_hh_num_in!Q5)</f>
        <v>54304.936158008648</v>
      </c>
      <c r="R5" s="132">
        <f>IF(SER_hh_tes_in!R5=0,0,11630*1000*SER_hh_tes_in!R5/SER_hh_num_in!R5)</f>
        <v>55812.455028635843</v>
      </c>
      <c r="S5" s="132">
        <f>IF(SER_hh_tes_in!S5=0,0,11630*1000*SER_hh_tes_in!S5/SER_hh_num_in!S5)</f>
        <v>53682.574946808476</v>
      </c>
      <c r="T5" s="132">
        <f>IF(SER_hh_tes_in!T5=0,0,11630*1000*SER_hh_tes_in!T5/SER_hh_num_in!T5)</f>
        <v>48923.73598083762</v>
      </c>
      <c r="U5" s="132">
        <f>IF(SER_hh_tes_in!U5=0,0,11630*1000*SER_hh_tes_in!U5/SER_hh_num_in!U5)</f>
        <v>38880.087804730538</v>
      </c>
      <c r="V5" s="132">
        <f>IF(SER_hh_tes_in!V5=0,0,11630*1000*SER_hh_tes_in!V5/SER_hh_num_in!V5)</f>
        <v>39211.390538735359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75696.060476377606</v>
      </c>
      <c r="D7" s="132">
        <f>IF(SER_hh_tes_in!D7=0,0,11630*1000*SER_hh_tes_in!D7/SER_hh_num_in!D7)</f>
        <v>81244.478662996291</v>
      </c>
      <c r="E7" s="132">
        <f>IF(SER_hh_tes_in!E7=0,0,11630*1000*SER_hh_tes_in!E7/SER_hh_num_in!E7)</f>
        <v>81392.672393298824</v>
      </c>
      <c r="F7" s="132">
        <f>IF(SER_hh_tes_in!F7=0,0,11630*1000*SER_hh_tes_in!F7/SER_hh_num_in!F7)</f>
        <v>75625.601331214333</v>
      </c>
      <c r="G7" s="132">
        <f>IF(SER_hh_tes_in!G7=0,0,11630*1000*SER_hh_tes_in!G7/SER_hh_num_in!G7)</f>
        <v>58919.098918843323</v>
      </c>
      <c r="H7" s="132">
        <f>IF(SER_hh_tes_in!H7=0,0,11630*1000*SER_hh_tes_in!H7/SER_hh_num_in!H7)</f>
        <v>92513.919803524215</v>
      </c>
      <c r="I7" s="132">
        <f>IF(SER_hh_tes_in!I7=0,0,11630*1000*SER_hh_tes_in!I7/SER_hh_num_in!I7)</f>
        <v>80902.197411436704</v>
      </c>
      <c r="J7" s="132">
        <f>IF(SER_hh_tes_in!J7=0,0,11630*1000*SER_hh_tes_in!J7/SER_hh_num_in!J7)</f>
        <v>78286.326666346329</v>
      </c>
      <c r="K7" s="132">
        <f>IF(SER_hh_tes_in!K7=0,0,11630*1000*SER_hh_tes_in!K7/SER_hh_num_in!K7)</f>
        <v>72897.109896914262</v>
      </c>
      <c r="L7" s="132">
        <f>IF(SER_hh_tes_in!L7=0,0,11630*1000*SER_hh_tes_in!L7/SER_hh_num_in!L7)</f>
        <v>91248.287114547158</v>
      </c>
      <c r="M7" s="132">
        <f>IF(SER_hh_tes_in!M7=0,0,11630*1000*SER_hh_tes_in!M7/SER_hh_num_in!M7)</f>
        <v>86197.564923698432</v>
      </c>
      <c r="N7" s="132">
        <f>IF(SER_hh_tes_in!N7=0,0,11630*1000*SER_hh_tes_in!N7/SER_hh_num_in!N7)</f>
        <v>0</v>
      </c>
      <c r="O7" s="132">
        <f>IF(SER_hh_tes_in!O7=0,0,11630*1000*SER_hh_tes_in!O7/SER_hh_num_in!O7)</f>
        <v>0</v>
      </c>
      <c r="P7" s="132">
        <f>IF(SER_hh_tes_in!P7=0,0,11630*1000*SER_hh_tes_in!P7/SER_hh_num_in!P7)</f>
        <v>0</v>
      </c>
      <c r="Q7" s="132">
        <f>IF(SER_hh_tes_in!Q7=0,0,11630*1000*SER_hh_tes_in!Q7/SER_hh_num_in!Q7)</f>
        <v>54715.36531828688</v>
      </c>
      <c r="R7" s="132">
        <f>IF(SER_hh_tes_in!R7=0,0,11630*1000*SER_hh_tes_in!R7/SER_hh_num_in!R7)</f>
        <v>52905.584348894714</v>
      </c>
      <c r="S7" s="132">
        <f>IF(SER_hh_tes_in!S7=0,0,11630*1000*SER_hh_tes_in!S7/SER_hh_num_in!S7)</f>
        <v>51183.523612517594</v>
      </c>
      <c r="T7" s="132">
        <f>IF(SER_hh_tes_in!T7=0,0,11630*1000*SER_hh_tes_in!T7/SER_hh_num_in!T7)</f>
        <v>49969.386250954762</v>
      </c>
      <c r="U7" s="132">
        <f>IF(SER_hh_tes_in!U7=0,0,11630*1000*SER_hh_tes_in!U7/SER_hh_num_in!U7)</f>
        <v>41522.436361713262</v>
      </c>
      <c r="V7" s="132">
        <f>IF(SER_hh_tes_in!V7=0,0,11630*1000*SER_hh_tes_in!V7/SER_hh_num_in!V7)</f>
        <v>39994.513664434147</v>
      </c>
      <c r="W7" s="132">
        <f>IF(SER_hh_tes_in!W7=0,0,11630*1000*SER_hh_tes_in!W7/SER_hh_num_in!W7)</f>
        <v>40805.785932196086</v>
      </c>
      <c r="X7" s="132">
        <f>IF(SER_hh_tes_in!X7=0,0,11630*1000*SER_hh_tes_in!X7/SER_hh_num_in!X7)</f>
        <v>35407.122615781023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72734.568639329795</v>
      </c>
      <c r="D8" s="132">
        <f>IF(SER_hh_tes_in!D8=0,0,11630*1000*SER_hh_tes_in!D8/SER_hh_num_in!D8)</f>
        <v>76834.692332654668</v>
      </c>
      <c r="E8" s="132">
        <f>IF(SER_hh_tes_in!E8=0,0,11630*1000*SER_hh_tes_in!E8/SER_hh_num_in!E8)</f>
        <v>81758.630496331083</v>
      </c>
      <c r="F8" s="132">
        <f>IF(SER_hh_tes_in!F8=0,0,11630*1000*SER_hh_tes_in!F8/SER_hh_num_in!F8)</f>
        <v>81346.73354186416</v>
      </c>
      <c r="G8" s="132">
        <f>IF(SER_hh_tes_in!G8=0,0,11630*1000*SER_hh_tes_in!G8/SER_hh_num_in!G8)</f>
        <v>80776.770779898055</v>
      </c>
      <c r="H8" s="132">
        <f>IF(SER_hh_tes_in!H8=0,0,11630*1000*SER_hh_tes_in!H8/SER_hh_num_in!H8)</f>
        <v>79576.398921933491</v>
      </c>
      <c r="I8" s="132">
        <f>IF(SER_hh_tes_in!I8=0,0,11630*1000*SER_hh_tes_in!I8/SER_hh_num_in!I8)</f>
        <v>77795.569957355503</v>
      </c>
      <c r="J8" s="132">
        <f>IF(SER_hh_tes_in!J8=0,0,11630*1000*SER_hh_tes_in!J8/SER_hh_num_in!J8)</f>
        <v>80773.51040265894</v>
      </c>
      <c r="K8" s="132">
        <f>IF(SER_hh_tes_in!K8=0,0,11630*1000*SER_hh_tes_in!K8/SER_hh_num_in!K8)</f>
        <v>84505.476389230855</v>
      </c>
      <c r="L8" s="132">
        <f>IF(SER_hh_tes_in!L8=0,0,11630*1000*SER_hh_tes_in!L8/SER_hh_num_in!L8)</f>
        <v>83605.018112535559</v>
      </c>
      <c r="M8" s="132">
        <f>IF(SER_hh_tes_in!M8=0,0,11630*1000*SER_hh_tes_in!M8/SER_hh_num_in!M8)</f>
        <v>71295.699995618299</v>
      </c>
      <c r="N8" s="132">
        <f>IF(SER_hh_tes_in!N8=0,0,11630*1000*SER_hh_tes_in!N8/SER_hh_num_in!N8)</f>
        <v>69940.981159719566</v>
      </c>
      <c r="O8" s="132">
        <f>IF(SER_hh_tes_in!O8=0,0,11630*1000*SER_hh_tes_in!O8/SER_hh_num_in!O8)</f>
        <v>58402.128907950886</v>
      </c>
      <c r="P8" s="132">
        <f>IF(SER_hh_tes_in!P8=0,0,11630*1000*SER_hh_tes_in!P8/SER_hh_num_in!P8)</f>
        <v>64572.375646115186</v>
      </c>
      <c r="Q8" s="132">
        <f>IF(SER_hh_tes_in!Q8=0,0,11630*1000*SER_hh_tes_in!Q8/SER_hh_num_in!Q8)</f>
        <v>59835.033391726858</v>
      </c>
      <c r="R8" s="132">
        <f>IF(SER_hh_tes_in!R8=0,0,11630*1000*SER_hh_tes_in!R8/SER_hh_num_in!R8)</f>
        <v>58275.672294189906</v>
      </c>
      <c r="S8" s="132">
        <f>IF(SER_hh_tes_in!S8=0,0,11630*1000*SER_hh_tes_in!S8/SER_hh_num_in!S8)</f>
        <v>50941.853877760703</v>
      </c>
      <c r="T8" s="132">
        <f>IF(SER_hh_tes_in!T8=0,0,11630*1000*SER_hh_tes_in!T8/SER_hh_num_in!T8)</f>
        <v>46328.081863786501</v>
      </c>
      <c r="U8" s="132">
        <f>IF(SER_hh_tes_in!U8=0,0,11630*1000*SER_hh_tes_in!U8/SER_hh_num_in!U8)</f>
        <v>42886.974335616935</v>
      </c>
      <c r="V8" s="132">
        <f>IF(SER_hh_tes_in!V8=0,0,11630*1000*SER_hh_tes_in!V8/SER_hh_num_in!V8)</f>
        <v>40295.542789163519</v>
      </c>
      <c r="W8" s="132">
        <f>IF(SER_hh_tes_in!W8=0,0,11630*1000*SER_hh_tes_in!W8/SER_hh_num_in!W8)</f>
        <v>38737.890544307367</v>
      </c>
      <c r="X8" s="132">
        <f>IF(SER_hh_tes_in!X8=0,0,11630*1000*SER_hh_tes_in!X8/SER_hh_num_in!X8)</f>
        <v>33059.065939418775</v>
      </c>
      <c r="Y8" s="132">
        <f>IF(SER_hh_tes_in!Y8=0,0,11630*1000*SER_hh_tes_in!Y8/SER_hh_num_in!Y8)</f>
        <v>36835.004835706466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72984.724945817405</v>
      </c>
      <c r="D9" s="132">
        <f>IF(SER_hh_tes_in!D9=0,0,11630*1000*SER_hh_tes_in!D9/SER_hh_num_in!D9)</f>
        <v>81482.962795776053</v>
      </c>
      <c r="E9" s="132">
        <f>IF(SER_hh_tes_in!E9=0,0,11630*1000*SER_hh_tes_in!E9/SER_hh_num_in!E9)</f>
        <v>82072.715347716556</v>
      </c>
      <c r="F9" s="132">
        <f>IF(SER_hh_tes_in!F9=0,0,11630*1000*SER_hh_tes_in!F9/SER_hh_num_in!F9)</f>
        <v>84014.262537740156</v>
      </c>
      <c r="G9" s="132">
        <f>IF(SER_hh_tes_in!G9=0,0,11630*1000*SER_hh_tes_in!G9/SER_hh_num_in!G9)</f>
        <v>82966.16334593705</v>
      </c>
      <c r="H9" s="132">
        <f>IF(SER_hh_tes_in!H9=0,0,11630*1000*SER_hh_tes_in!H9/SER_hh_num_in!H9)</f>
        <v>76190.496516424391</v>
      </c>
      <c r="I9" s="132">
        <f>IF(SER_hh_tes_in!I9=0,0,11630*1000*SER_hh_tes_in!I9/SER_hh_num_in!I9)</f>
        <v>75457.305827705175</v>
      </c>
      <c r="J9" s="132">
        <f>IF(SER_hh_tes_in!J9=0,0,11630*1000*SER_hh_tes_in!J9/SER_hh_num_in!J9)</f>
        <v>77252.405617291181</v>
      </c>
      <c r="K9" s="132">
        <f>IF(SER_hh_tes_in!K9=0,0,11630*1000*SER_hh_tes_in!K9/SER_hh_num_in!K9)</f>
        <v>76851.950874714399</v>
      </c>
      <c r="L9" s="132">
        <f>IF(SER_hh_tes_in!L9=0,0,11630*1000*SER_hh_tes_in!L9/SER_hh_num_in!L9)</f>
        <v>87340.32871201761</v>
      </c>
      <c r="M9" s="132">
        <f>IF(SER_hh_tes_in!M9=0,0,11630*1000*SER_hh_tes_in!M9/SER_hh_num_in!M9)</f>
        <v>74532.426318659709</v>
      </c>
      <c r="N9" s="132">
        <f>IF(SER_hh_tes_in!N9=0,0,11630*1000*SER_hh_tes_in!N9/SER_hh_num_in!N9)</f>
        <v>73052.589337833284</v>
      </c>
      <c r="O9" s="132">
        <f>IF(SER_hh_tes_in!O9=0,0,11630*1000*SER_hh_tes_in!O9/SER_hh_num_in!O9)</f>
        <v>67001.527778962714</v>
      </c>
      <c r="P9" s="132">
        <f>IF(SER_hh_tes_in!P9=0,0,11630*1000*SER_hh_tes_in!P9/SER_hh_num_in!P9)</f>
        <v>54000.785359025766</v>
      </c>
      <c r="Q9" s="132">
        <f>IF(SER_hh_tes_in!Q9=0,0,11630*1000*SER_hh_tes_in!Q9/SER_hh_num_in!Q9)</f>
        <v>56049.260358431929</v>
      </c>
      <c r="R9" s="132">
        <f>IF(SER_hh_tes_in!R9=0,0,11630*1000*SER_hh_tes_in!R9/SER_hh_num_in!R9)</f>
        <v>64824.352802923509</v>
      </c>
      <c r="S9" s="132">
        <f>IF(SER_hh_tes_in!S9=0,0,11630*1000*SER_hh_tes_in!S9/SER_hh_num_in!S9)</f>
        <v>47998.153769354583</v>
      </c>
      <c r="T9" s="132">
        <f>IF(SER_hh_tes_in!T9=0,0,11630*1000*SER_hh_tes_in!T9/SER_hh_num_in!T9)</f>
        <v>44725.133417395999</v>
      </c>
      <c r="U9" s="132">
        <f>IF(SER_hh_tes_in!U9=0,0,11630*1000*SER_hh_tes_in!U9/SER_hh_num_in!U9)</f>
        <v>43974.668272115632</v>
      </c>
      <c r="V9" s="132">
        <f>IF(SER_hh_tes_in!V9=0,0,11630*1000*SER_hh_tes_in!V9/SER_hh_num_in!V9)</f>
        <v>35868.01385651889</v>
      </c>
      <c r="W9" s="132">
        <f>IF(SER_hh_tes_in!W9=0,0,11630*1000*SER_hh_tes_in!W9/SER_hh_num_in!W9)</f>
        <v>41022.437757230873</v>
      </c>
      <c r="X9" s="132">
        <f>IF(SER_hh_tes_in!X9=0,0,11630*1000*SER_hh_tes_in!X9/SER_hh_num_in!X9)</f>
        <v>35081.732257952113</v>
      </c>
      <c r="Y9" s="132">
        <f>IF(SER_hh_tes_in!Y9=0,0,11630*1000*SER_hh_tes_in!Y9/SER_hh_num_in!Y9)</f>
        <v>32336.572476934922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63715.705774703099</v>
      </c>
      <c r="I10" s="132">
        <f>IF(SER_hh_tes_in!I10=0,0,11630*1000*SER_hh_tes_in!I10/SER_hh_num_in!I10)</f>
        <v>76393.245313258405</v>
      </c>
      <c r="J10" s="132">
        <f>IF(SER_hh_tes_in!J10=0,0,11630*1000*SER_hh_tes_in!J10/SER_hh_num_in!J10)</f>
        <v>67391.767704319122</v>
      </c>
      <c r="K10" s="132">
        <f>IF(SER_hh_tes_in!K10=0,0,11630*1000*SER_hh_tes_in!K10/SER_hh_num_in!K10)</f>
        <v>85071.666659856564</v>
      </c>
      <c r="L10" s="132">
        <f>IF(SER_hh_tes_in!L10=0,0,11630*1000*SER_hh_tes_in!L10/SER_hh_num_in!L10)</f>
        <v>89171.651498494728</v>
      </c>
      <c r="M10" s="132">
        <f>IF(SER_hh_tes_in!M10=0,0,11630*1000*SER_hh_tes_in!M10/SER_hh_num_in!M10)</f>
        <v>80158.331287850116</v>
      </c>
      <c r="N10" s="132">
        <f>IF(SER_hh_tes_in!N10=0,0,11630*1000*SER_hh_tes_in!N10/SER_hh_num_in!N10)</f>
        <v>67298.572237255794</v>
      </c>
      <c r="O10" s="132">
        <f>IF(SER_hh_tes_in!O10=0,0,11630*1000*SER_hh_tes_in!O10/SER_hh_num_in!O10)</f>
        <v>70698.209164917731</v>
      </c>
      <c r="P10" s="132">
        <f>IF(SER_hh_tes_in!P10=0,0,11630*1000*SER_hh_tes_in!P10/SER_hh_num_in!P10)</f>
        <v>56637.359406203585</v>
      </c>
      <c r="Q10" s="132">
        <f>IF(SER_hh_tes_in!Q10=0,0,11630*1000*SER_hh_tes_in!Q10/SER_hh_num_in!Q10)</f>
        <v>54951.276557992482</v>
      </c>
      <c r="R10" s="132">
        <f>IF(SER_hh_tes_in!R10=0,0,11630*1000*SER_hh_tes_in!R10/SER_hh_num_in!R10)</f>
        <v>57872.427550469343</v>
      </c>
      <c r="S10" s="132">
        <f>IF(SER_hh_tes_in!S10=0,0,11630*1000*SER_hh_tes_in!S10/SER_hh_num_in!S10)</f>
        <v>53308.163241875249</v>
      </c>
      <c r="T10" s="132">
        <f>IF(SER_hh_tes_in!T10=0,0,11630*1000*SER_hh_tes_in!T10/SER_hh_num_in!T10)</f>
        <v>46849.912565275758</v>
      </c>
      <c r="U10" s="132">
        <f>IF(SER_hh_tes_in!U10=0,0,11630*1000*SER_hh_tes_in!U10/SER_hh_num_in!U10)</f>
        <v>41569.949845963762</v>
      </c>
      <c r="V10" s="132">
        <f>IF(SER_hh_tes_in!V10=0,0,11630*1000*SER_hh_tes_in!V10/SER_hh_num_in!V10)</f>
        <v>40771.28216266448</v>
      </c>
      <c r="W10" s="132">
        <f>IF(SER_hh_tes_in!W10=0,0,11630*1000*SER_hh_tes_in!W10/SER_hh_num_in!W10)</f>
        <v>39819.414778984588</v>
      </c>
      <c r="X10" s="132">
        <f>IF(SER_hh_tes_in!X10=0,0,11630*1000*SER_hh_tes_in!X10/SER_hh_num_in!X10)</f>
        <v>28844.492522896038</v>
      </c>
      <c r="Y10" s="132">
        <f>IF(SER_hh_tes_in!Y10=0,0,11630*1000*SER_hh_tes_in!Y10/SER_hh_num_in!Y10)</f>
        <v>34297.599782568614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50445.835010389288</v>
      </c>
      <c r="D11" s="132">
        <f>IF(SER_hh_tes_in!D11=0,0,11630*1000*SER_hh_tes_in!D11/SER_hh_num_in!D11)</f>
        <v>83747.729226957104</v>
      </c>
      <c r="E11" s="132">
        <f>IF(SER_hh_tes_in!E11=0,0,11630*1000*SER_hh_tes_in!E11/SER_hh_num_in!E11)</f>
        <v>88691.242807770133</v>
      </c>
      <c r="F11" s="132">
        <f>IF(SER_hh_tes_in!F11=0,0,11630*1000*SER_hh_tes_in!F11/SER_hh_num_in!F11)</f>
        <v>76537.457900840134</v>
      </c>
      <c r="G11" s="132">
        <f>IF(SER_hh_tes_in!G11=0,0,11630*1000*SER_hh_tes_in!G11/SER_hh_num_in!G11)</f>
        <v>85632.101846896636</v>
      </c>
      <c r="H11" s="132">
        <f>IF(SER_hh_tes_in!H11=0,0,11630*1000*SER_hh_tes_in!H11/SER_hh_num_in!H11)</f>
        <v>86882.87529999674</v>
      </c>
      <c r="I11" s="132">
        <f>IF(SER_hh_tes_in!I11=0,0,11630*1000*SER_hh_tes_in!I11/SER_hh_num_in!I11)</f>
        <v>63611.507295986019</v>
      </c>
      <c r="J11" s="132">
        <f>IF(SER_hh_tes_in!J11=0,0,11630*1000*SER_hh_tes_in!J11/SER_hh_num_in!J11)</f>
        <v>88234.85967472948</v>
      </c>
      <c r="K11" s="132">
        <f>IF(SER_hh_tes_in!K11=0,0,11630*1000*SER_hh_tes_in!K11/SER_hh_num_in!K11)</f>
        <v>90020.650156324642</v>
      </c>
      <c r="L11" s="132">
        <f>IF(SER_hh_tes_in!L11=0,0,11630*1000*SER_hh_tes_in!L11/SER_hh_num_in!L11)</f>
        <v>79543.756301645248</v>
      </c>
      <c r="M11" s="132">
        <f>IF(SER_hh_tes_in!M11=0,0,11630*1000*SER_hh_tes_in!M11/SER_hh_num_in!M11)</f>
        <v>58822.353893457308</v>
      </c>
      <c r="N11" s="132">
        <f>IF(SER_hh_tes_in!N11=0,0,11630*1000*SER_hh_tes_in!N11/SER_hh_num_in!N11)</f>
        <v>66695.962072684415</v>
      </c>
      <c r="O11" s="132">
        <f>IF(SER_hh_tes_in!O11=0,0,11630*1000*SER_hh_tes_in!O11/SER_hh_num_in!O11)</f>
        <v>70567.395077711728</v>
      </c>
      <c r="P11" s="132">
        <f>IF(SER_hh_tes_in!P11=0,0,11630*1000*SER_hh_tes_in!P11/SER_hh_num_in!P11)</f>
        <v>64879.841369500893</v>
      </c>
      <c r="Q11" s="132">
        <f>IF(SER_hh_tes_in!Q11=0,0,11630*1000*SER_hh_tes_in!Q11/SER_hh_num_in!Q11)</f>
        <v>58356.207825836274</v>
      </c>
      <c r="R11" s="132">
        <f>IF(SER_hh_tes_in!R11=0,0,11630*1000*SER_hh_tes_in!R11/SER_hh_num_in!R11)</f>
        <v>54057.064193654565</v>
      </c>
      <c r="S11" s="132">
        <f>IF(SER_hh_tes_in!S11=0,0,11630*1000*SER_hh_tes_in!S11/SER_hh_num_in!S11)</f>
        <v>51190.953932448312</v>
      </c>
      <c r="T11" s="132">
        <f>IF(SER_hh_tes_in!T11=0,0,11630*1000*SER_hh_tes_in!T11/SER_hh_num_in!T11)</f>
        <v>48198.363851255745</v>
      </c>
      <c r="U11" s="132">
        <f>IF(SER_hh_tes_in!U11=0,0,11630*1000*SER_hh_tes_in!U11/SER_hh_num_in!U11)</f>
        <v>44982.066084633945</v>
      </c>
      <c r="V11" s="132">
        <f>IF(SER_hh_tes_in!V11=0,0,11630*1000*SER_hh_tes_in!V11/SER_hh_num_in!V11)</f>
        <v>40531.683560896287</v>
      </c>
      <c r="W11" s="132">
        <f>IF(SER_hh_tes_in!W11=0,0,11630*1000*SER_hh_tes_in!W11/SER_hh_num_in!W11)</f>
        <v>35978.601231593275</v>
      </c>
      <c r="X11" s="132">
        <f>IF(SER_hh_tes_in!X11=0,0,11630*1000*SER_hh_tes_in!X11/SER_hh_num_in!X11)</f>
        <v>34448.419523041521</v>
      </c>
      <c r="Y11" s="132">
        <f>IF(SER_hh_tes_in!Y11=0,0,11630*1000*SER_hh_tes_in!Y11/SER_hh_num_in!Y11)</f>
        <v>34311.258713023992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69725.87028852907</v>
      </c>
      <c r="D12" s="132">
        <f>IF(SER_hh_tes_in!D12=0,0,11630*1000*SER_hh_tes_in!D12/SER_hh_num_in!D12)</f>
        <v>81733.374906633195</v>
      </c>
      <c r="E12" s="132">
        <f>IF(SER_hh_tes_in!E12=0,0,11630*1000*SER_hh_tes_in!E12/SER_hh_num_in!E12)</f>
        <v>69387.010503153113</v>
      </c>
      <c r="F12" s="132">
        <f>IF(SER_hh_tes_in!F12=0,0,11630*1000*SER_hh_tes_in!F12/SER_hh_num_in!F12)</f>
        <v>91575.442410322124</v>
      </c>
      <c r="G12" s="132">
        <f>IF(SER_hh_tes_in!G12=0,0,11630*1000*SER_hh_tes_in!G12/SER_hh_num_in!G12)</f>
        <v>78041.594977596702</v>
      </c>
      <c r="H12" s="132">
        <f>IF(SER_hh_tes_in!H12=0,0,11630*1000*SER_hh_tes_in!H12/SER_hh_num_in!H12)</f>
        <v>94663.884218045045</v>
      </c>
      <c r="I12" s="132">
        <f>IF(SER_hh_tes_in!I12=0,0,11630*1000*SER_hh_tes_in!I12/SER_hh_num_in!I12)</f>
        <v>62055.633418467216</v>
      </c>
      <c r="J12" s="132">
        <f>IF(SER_hh_tes_in!J12=0,0,11630*1000*SER_hh_tes_in!J12/SER_hh_num_in!J12)</f>
        <v>87168.513726869132</v>
      </c>
      <c r="K12" s="132">
        <f>IF(SER_hh_tes_in!K12=0,0,11630*1000*SER_hh_tes_in!K12/SER_hh_num_in!K12)</f>
        <v>80125.562216942184</v>
      </c>
      <c r="L12" s="132">
        <f>IF(SER_hh_tes_in!L12=0,0,11630*1000*SER_hh_tes_in!L12/SER_hh_num_in!L12)</f>
        <v>87045.321964639996</v>
      </c>
      <c r="M12" s="132">
        <f>IF(SER_hh_tes_in!M12=0,0,11630*1000*SER_hh_tes_in!M12/SER_hh_num_in!M12)</f>
        <v>72627.294663907014</v>
      </c>
      <c r="N12" s="132">
        <f>IF(SER_hh_tes_in!N12=0,0,11630*1000*SER_hh_tes_in!N12/SER_hh_num_in!N12)</f>
        <v>70266.203178732598</v>
      </c>
      <c r="O12" s="132">
        <f>IF(SER_hh_tes_in!O12=0,0,11630*1000*SER_hh_tes_in!O12/SER_hh_num_in!O12)</f>
        <v>70091.947420244542</v>
      </c>
      <c r="P12" s="132">
        <f>IF(SER_hh_tes_in!P12=0,0,11630*1000*SER_hh_tes_in!P12/SER_hh_num_in!P12)</f>
        <v>58277.369656142808</v>
      </c>
      <c r="Q12" s="132">
        <f>IF(SER_hh_tes_in!Q12=0,0,11630*1000*SER_hh_tes_in!Q12/SER_hh_num_in!Q12)</f>
        <v>51093.498908484202</v>
      </c>
      <c r="R12" s="132">
        <f>IF(SER_hh_tes_in!R12=0,0,11630*1000*SER_hh_tes_in!R12/SER_hh_num_in!R12)</f>
        <v>57770.089650673712</v>
      </c>
      <c r="S12" s="132">
        <f>IF(SER_hh_tes_in!S12=0,0,11630*1000*SER_hh_tes_in!S12/SER_hh_num_in!S12)</f>
        <v>55881.073112785016</v>
      </c>
      <c r="T12" s="132">
        <f>IF(SER_hh_tes_in!T12=0,0,11630*1000*SER_hh_tes_in!T12/SER_hh_num_in!T12)</f>
        <v>45161.80859308612</v>
      </c>
      <c r="U12" s="132">
        <f>IF(SER_hh_tes_in!U12=0,0,11630*1000*SER_hh_tes_in!U12/SER_hh_num_in!U12)</f>
        <v>44783.620396615093</v>
      </c>
      <c r="V12" s="132">
        <f>IF(SER_hh_tes_in!V12=0,0,11630*1000*SER_hh_tes_in!V12/SER_hh_num_in!V12)</f>
        <v>43030.905482471113</v>
      </c>
      <c r="W12" s="132">
        <f>IF(SER_hh_tes_in!W12=0,0,11630*1000*SER_hh_tes_in!W12/SER_hh_num_in!W12)</f>
        <v>33331.078834139043</v>
      </c>
      <c r="X12" s="132">
        <f>IF(SER_hh_tes_in!X12=0,0,11630*1000*SER_hh_tes_in!X12/SER_hh_num_in!X12)</f>
        <v>35325.963497733705</v>
      </c>
      <c r="Y12" s="132">
        <f>IF(SER_hh_tes_in!Y12=0,0,11630*1000*SER_hh_tes_in!Y12/SER_hh_num_in!Y12)</f>
        <v>31869.626758579605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75748.715981809772</v>
      </c>
      <c r="D13" s="132">
        <f>IF(SER_hh_tes_in!D13=0,0,11630*1000*SER_hh_tes_in!D13/SER_hh_num_in!D13)</f>
        <v>68936.700813226053</v>
      </c>
      <c r="E13" s="132">
        <f>IF(SER_hh_tes_in!E13=0,0,11630*1000*SER_hh_tes_in!E13/SER_hh_num_in!E13)</f>
        <v>77882.114910458011</v>
      </c>
      <c r="F13" s="132">
        <f>IF(SER_hh_tes_in!F13=0,0,11630*1000*SER_hh_tes_in!F13/SER_hh_num_in!F13)</f>
        <v>71568.340394056082</v>
      </c>
      <c r="G13" s="132">
        <f>IF(SER_hh_tes_in!G13=0,0,11630*1000*SER_hh_tes_in!G13/SER_hh_num_in!G13)</f>
        <v>79426.134695041488</v>
      </c>
      <c r="H13" s="132">
        <f>IF(SER_hh_tes_in!H13=0,0,11630*1000*SER_hh_tes_in!H13/SER_hh_num_in!H13)</f>
        <v>82448.831260060062</v>
      </c>
      <c r="I13" s="132">
        <f>IF(SER_hh_tes_in!I13=0,0,11630*1000*SER_hh_tes_in!I13/SER_hh_num_in!I13)</f>
        <v>80369.32363086546</v>
      </c>
      <c r="J13" s="132">
        <f>IF(SER_hh_tes_in!J13=0,0,11630*1000*SER_hh_tes_in!J13/SER_hh_num_in!J13)</f>
        <v>82828.077391850704</v>
      </c>
      <c r="K13" s="132">
        <f>IF(SER_hh_tes_in!K13=0,0,11630*1000*SER_hh_tes_in!K13/SER_hh_num_in!K13)</f>
        <v>84069.376252835194</v>
      </c>
      <c r="L13" s="132">
        <f>IF(SER_hh_tes_in!L13=0,0,11630*1000*SER_hh_tes_in!L13/SER_hh_num_in!L13)</f>
        <v>81474.34081265764</v>
      </c>
      <c r="M13" s="132">
        <f>IF(SER_hh_tes_in!M13=0,0,11630*1000*SER_hh_tes_in!M13/SER_hh_num_in!M13)</f>
        <v>75489.259974086439</v>
      </c>
      <c r="N13" s="132">
        <f>IF(SER_hh_tes_in!N13=0,0,11630*1000*SER_hh_tes_in!N13/SER_hh_num_in!N13)</f>
        <v>69718.109020377829</v>
      </c>
      <c r="O13" s="132">
        <f>IF(SER_hh_tes_in!O13=0,0,11630*1000*SER_hh_tes_in!O13/SER_hh_num_in!O13)</f>
        <v>57506.762626424366</v>
      </c>
      <c r="P13" s="132">
        <f>IF(SER_hh_tes_in!P13=0,0,11630*1000*SER_hh_tes_in!P13/SER_hh_num_in!P13)</f>
        <v>64146.561361676584</v>
      </c>
      <c r="Q13" s="132">
        <f>IF(SER_hh_tes_in!Q13=0,0,11630*1000*SER_hh_tes_in!Q13/SER_hh_num_in!Q13)</f>
        <v>59975.389867885671</v>
      </c>
      <c r="R13" s="132">
        <f>IF(SER_hh_tes_in!R13=0,0,11630*1000*SER_hh_tes_in!R13/SER_hh_num_in!R13)</f>
        <v>57028.647545180109</v>
      </c>
      <c r="S13" s="132">
        <f>IF(SER_hh_tes_in!S13=0,0,11630*1000*SER_hh_tes_in!S13/SER_hh_num_in!S13)</f>
        <v>52586.694366079726</v>
      </c>
      <c r="T13" s="132">
        <f>IF(SER_hh_tes_in!T13=0,0,11630*1000*SER_hh_tes_in!T13/SER_hh_num_in!T13)</f>
        <v>47699.51594947635</v>
      </c>
      <c r="U13" s="132">
        <f>IF(SER_hh_tes_in!U13=0,0,11630*1000*SER_hh_tes_in!U13/SER_hh_num_in!U13)</f>
        <v>44311.810146235206</v>
      </c>
      <c r="V13" s="132">
        <f>IF(SER_hh_tes_in!V13=0,0,11630*1000*SER_hh_tes_in!V13/SER_hh_num_in!V13)</f>
        <v>40712.589739058953</v>
      </c>
      <c r="W13" s="132">
        <f>IF(SER_hh_tes_in!W13=0,0,11630*1000*SER_hh_tes_in!W13/SER_hh_num_in!W13)</f>
        <v>38038.390489505386</v>
      </c>
      <c r="X13" s="132">
        <f>IF(SER_hh_tes_in!X13=0,0,11630*1000*SER_hh_tes_in!X13/SER_hh_num_in!X13)</f>
        <v>34035.861018545416</v>
      </c>
      <c r="Y13" s="132">
        <f>IF(SER_hh_tes_in!Y13=0,0,11630*1000*SER_hh_tes_in!Y13/SER_hh_num_in!Y13)</f>
        <v>35512.775301601738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80461.98811393643</v>
      </c>
      <c r="H14" s="65">
        <f>IF(SER_hh_tes_in!H14=0,0,11630*1000*SER_hh_tes_in!H14/SER_hh_num_in!H14)</f>
        <v>90836.493911646598</v>
      </c>
      <c r="I14" s="65">
        <f>IF(SER_hh_tes_in!I14=0,0,11630*1000*SER_hh_tes_in!I14/SER_hh_num_in!I14)</f>
        <v>71727.594295834424</v>
      </c>
      <c r="J14" s="65">
        <f>IF(SER_hh_tes_in!J14=0,0,11630*1000*SER_hh_tes_in!J14/SER_hh_num_in!J14)</f>
        <v>87678.741933165365</v>
      </c>
      <c r="K14" s="65">
        <f>IF(SER_hh_tes_in!K14=0,0,11630*1000*SER_hh_tes_in!K14/SER_hh_num_in!K14)</f>
        <v>71863.793562236591</v>
      </c>
      <c r="L14" s="65">
        <f>IF(SER_hh_tes_in!L14=0,0,11630*1000*SER_hh_tes_in!L14/SER_hh_num_in!L14)</f>
        <v>87467.080901804453</v>
      </c>
      <c r="M14" s="65">
        <f>IF(SER_hh_tes_in!M14=0,0,11630*1000*SER_hh_tes_in!M14/SER_hh_num_in!M14)</f>
        <v>81762.451518995586</v>
      </c>
      <c r="N14" s="65">
        <f>IF(SER_hh_tes_in!N14=0,0,11630*1000*SER_hh_tes_in!N14/SER_hh_num_in!N14)</f>
        <v>76239.935094076442</v>
      </c>
      <c r="O14" s="65">
        <f>IF(SER_hh_tes_in!O14=0,0,11630*1000*SER_hh_tes_in!O14/SER_hh_num_in!O14)</f>
        <v>60040.488047985578</v>
      </c>
      <c r="P14" s="65">
        <f>IF(SER_hh_tes_in!P14=0,0,11630*1000*SER_hh_tes_in!P14/SER_hh_num_in!P14)</f>
        <v>61811.912839818579</v>
      </c>
      <c r="Q14" s="65">
        <f>IF(SER_hh_tes_in!Q14=0,0,11630*1000*SER_hh_tes_in!Q14/SER_hh_num_in!Q14)</f>
        <v>54166.282109050073</v>
      </c>
      <c r="R14" s="65">
        <f>IF(SER_hh_tes_in!R14=0,0,11630*1000*SER_hh_tes_in!R14/SER_hh_num_in!R14)</f>
        <v>58493.099594709711</v>
      </c>
      <c r="S14" s="65">
        <f>IF(SER_hh_tes_in!S14=0,0,11630*1000*SER_hh_tes_in!S14/SER_hh_num_in!S14)</f>
        <v>48700.180029051873</v>
      </c>
      <c r="T14" s="65">
        <f>IF(SER_hh_tes_in!T14=0,0,11630*1000*SER_hh_tes_in!T14/SER_hh_num_in!T14)</f>
        <v>50219.547114589179</v>
      </c>
      <c r="U14" s="65">
        <f>IF(SER_hh_tes_in!U14=0,0,11630*1000*SER_hh_tes_in!U14/SER_hh_num_in!U14)</f>
        <v>44270.377808875703</v>
      </c>
      <c r="V14" s="65">
        <f>IF(SER_hh_tes_in!V14=0,0,11630*1000*SER_hh_tes_in!V14/SER_hh_num_in!V14)</f>
        <v>39278.487827659592</v>
      </c>
      <c r="W14" s="65">
        <f>IF(SER_hh_tes_in!W14=0,0,11630*1000*SER_hh_tes_in!W14/SER_hh_num_in!W14)</f>
        <v>38752.994662190176</v>
      </c>
      <c r="X14" s="65">
        <f>IF(SER_hh_tes_in!X14=0,0,11630*1000*SER_hh_tes_in!X14/SER_hh_num_in!X14)</f>
        <v>31589.522977800978</v>
      </c>
      <c r="Y14" s="65">
        <f>IF(SER_hh_tes_in!Y14=0,0,11630*1000*SER_hh_tes_in!Y14/SER_hh_num_in!Y14)</f>
        <v>37023.551249575343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925.63605756986237</v>
      </c>
      <c r="D15" s="134">
        <f>IF(SER_hh_tes_in!D15=0,0,11630*1000*SER_hh_tes_in!D15/SER_hh_num_in!D15)</f>
        <v>1059.7994012020099</v>
      </c>
      <c r="E15" s="134">
        <f>IF(SER_hh_tes_in!E15=0,0,11630*1000*SER_hh_tes_in!E15/SER_hh_num_in!E15)</f>
        <v>995.00973343981184</v>
      </c>
      <c r="F15" s="134">
        <f>IF(SER_hh_tes_in!F15=0,0,11630*1000*SER_hh_tes_in!F15/SER_hh_num_in!F15)</f>
        <v>785.83601248359253</v>
      </c>
      <c r="G15" s="134">
        <f>IF(SER_hh_tes_in!G15=0,0,11630*1000*SER_hh_tes_in!G15/SER_hh_num_in!G15)</f>
        <v>753.46031482157559</v>
      </c>
      <c r="H15" s="134">
        <f>IF(SER_hh_tes_in!H15=0,0,11630*1000*SER_hh_tes_in!H15/SER_hh_num_in!H15)</f>
        <v>971.85046634599485</v>
      </c>
      <c r="I15" s="134">
        <f>IF(SER_hh_tes_in!I15=0,0,11630*1000*SER_hh_tes_in!I15/SER_hh_num_in!I15)</f>
        <v>906.11094842178557</v>
      </c>
      <c r="J15" s="134">
        <f>IF(SER_hh_tes_in!J15=0,0,11630*1000*SER_hh_tes_in!J15/SER_hh_num_in!J15)</f>
        <v>964.41313523742156</v>
      </c>
      <c r="K15" s="134">
        <f>IF(SER_hh_tes_in!K15=0,0,11630*1000*SER_hh_tes_in!K15/SER_hh_num_in!K15)</f>
        <v>967.34367770690824</v>
      </c>
      <c r="L15" s="134">
        <f>IF(SER_hh_tes_in!L15=0,0,11630*1000*SER_hh_tes_in!L15/SER_hh_num_in!L15)</f>
        <v>912.85353771792768</v>
      </c>
      <c r="M15" s="134">
        <f>IF(SER_hh_tes_in!M15=0,0,11630*1000*SER_hh_tes_in!M15/SER_hh_num_in!M15)</f>
        <v>923.55785923739768</v>
      </c>
      <c r="N15" s="134">
        <f>IF(SER_hh_tes_in!N15=0,0,11630*1000*SER_hh_tes_in!N15/SER_hh_num_in!N15)</f>
        <v>768.39999303146089</v>
      </c>
      <c r="O15" s="134">
        <f>IF(SER_hh_tes_in!O15=0,0,11630*1000*SER_hh_tes_in!O15/SER_hh_num_in!O15)</f>
        <v>600.71888806492609</v>
      </c>
      <c r="P15" s="134">
        <f>IF(SER_hh_tes_in!P15=0,0,11630*1000*SER_hh_tes_in!P15/SER_hh_num_in!P15)</f>
        <v>617.05130875375596</v>
      </c>
      <c r="Q15" s="134">
        <f>IF(SER_hh_tes_in!Q15=0,0,11630*1000*SER_hh_tes_in!Q15/SER_hh_num_in!Q15)</f>
        <v>569.9206051619899</v>
      </c>
      <c r="R15" s="134">
        <f>IF(SER_hh_tes_in!R15=0,0,11630*1000*SER_hh_tes_in!R15/SER_hh_num_in!R15)</f>
        <v>550.07284798985631</v>
      </c>
      <c r="S15" s="134">
        <f>IF(SER_hh_tes_in!S15=0,0,11630*1000*SER_hh_tes_in!S15/SER_hh_num_in!S15)</f>
        <v>404.75025585110131</v>
      </c>
      <c r="T15" s="134">
        <f>IF(SER_hh_tes_in!T15=0,0,11630*1000*SER_hh_tes_in!T15/SER_hh_num_in!T15)</f>
        <v>402.27060026047866</v>
      </c>
      <c r="U15" s="134">
        <f>IF(SER_hh_tes_in!U15=0,0,11630*1000*SER_hh_tes_in!U15/SER_hh_num_in!U15)</f>
        <v>410.54503792287051</v>
      </c>
      <c r="V15" s="134">
        <f>IF(SER_hh_tes_in!V15=0,0,11630*1000*SER_hh_tes_in!V15/SER_hh_num_in!V15)</f>
        <v>403.24235382585073</v>
      </c>
      <c r="W15" s="134">
        <f>IF(SER_hh_tes_in!W15=0,0,11630*1000*SER_hh_tes_in!W15/SER_hh_num_in!W15)</f>
        <v>492.51652278144616</v>
      </c>
      <c r="X15" s="134">
        <f>IF(SER_hh_tes_in!X15=0,0,11630*1000*SER_hh_tes_in!X15/SER_hh_num_in!X15)</f>
        <v>444.43257346214256</v>
      </c>
      <c r="Y15" s="134">
        <f>IF(SER_hh_tes_in!Y15=0,0,11630*1000*SER_hh_tes_in!Y15/SER_hh_num_in!Y15)</f>
        <v>411.60920823750223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25208.667303107562</v>
      </c>
      <c r="D16" s="130">
        <f>IF(SER_hh_tes_in!D16=0,0,11630*1000*SER_hh_tes_in!D16/SER_hh_num_in!D16)</f>
        <v>25461.14505041658</v>
      </c>
      <c r="E16" s="130">
        <f>IF(SER_hh_tes_in!E16=0,0,11630*1000*SER_hh_tes_in!E16/SER_hh_num_in!E16)</f>
        <v>24867.475798180491</v>
      </c>
      <c r="F16" s="130">
        <f>IF(SER_hh_tes_in!F16=0,0,11630*1000*SER_hh_tes_in!F16/SER_hh_num_in!F16)</f>
        <v>24697.809408953137</v>
      </c>
      <c r="G16" s="130">
        <f>IF(SER_hh_tes_in!G16=0,0,11630*1000*SER_hh_tes_in!G16/SER_hh_num_in!G16)</f>
        <v>24808.102770028891</v>
      </c>
      <c r="H16" s="130">
        <f>IF(SER_hh_tes_in!H16=0,0,11630*1000*SER_hh_tes_in!H16/SER_hh_num_in!H16)</f>
        <v>26133.640570618511</v>
      </c>
      <c r="I16" s="130">
        <f>IF(SER_hh_tes_in!I16=0,0,11630*1000*SER_hh_tes_in!I16/SER_hh_num_in!I16)</f>
        <v>25082.866234146346</v>
      </c>
      <c r="J16" s="130">
        <f>IF(SER_hh_tes_in!J16=0,0,11630*1000*SER_hh_tes_in!J16/SER_hh_num_in!J16)</f>
        <v>24557.164859312656</v>
      </c>
      <c r="K16" s="130">
        <f>IF(SER_hh_tes_in!K16=0,0,11630*1000*SER_hh_tes_in!K16/SER_hh_num_in!K16)</f>
        <v>24395.116801033513</v>
      </c>
      <c r="L16" s="130">
        <f>IF(SER_hh_tes_in!L16=0,0,11630*1000*SER_hh_tes_in!L16/SER_hh_num_in!L16)</f>
        <v>27329.482616076399</v>
      </c>
      <c r="M16" s="130">
        <f>IF(SER_hh_tes_in!M16=0,0,11630*1000*SER_hh_tes_in!M16/SER_hh_num_in!M16)</f>
        <v>24024.98642284239</v>
      </c>
      <c r="N16" s="130">
        <f>IF(SER_hh_tes_in!N16=0,0,11630*1000*SER_hh_tes_in!N16/SER_hh_num_in!N16)</f>
        <v>25001.548220704997</v>
      </c>
      <c r="O16" s="130">
        <f>IF(SER_hh_tes_in!O16=0,0,11630*1000*SER_hh_tes_in!O16/SER_hh_num_in!O16)</f>
        <v>24665.967538586563</v>
      </c>
      <c r="P16" s="130">
        <f>IF(SER_hh_tes_in!P16=0,0,11630*1000*SER_hh_tes_in!P16/SER_hh_num_in!P16)</f>
        <v>24066.329115062086</v>
      </c>
      <c r="Q16" s="130">
        <f>IF(SER_hh_tes_in!Q16=0,0,11630*1000*SER_hh_tes_in!Q16/SER_hh_num_in!Q16)</f>
        <v>27309.82822954376</v>
      </c>
      <c r="R16" s="130">
        <f>IF(SER_hh_tes_in!R16=0,0,11630*1000*SER_hh_tes_in!R16/SER_hh_num_in!R16)</f>
        <v>23431.872477300982</v>
      </c>
      <c r="S16" s="130">
        <f>IF(SER_hh_tes_in!S16=0,0,11630*1000*SER_hh_tes_in!S16/SER_hh_num_in!S16)</f>
        <v>23349.96689512223</v>
      </c>
      <c r="T16" s="130">
        <f>IF(SER_hh_tes_in!T16=0,0,11630*1000*SER_hh_tes_in!T16/SER_hh_num_in!T16)</f>
        <v>23731.163610898682</v>
      </c>
      <c r="U16" s="130">
        <f>IF(SER_hh_tes_in!U16=0,0,11630*1000*SER_hh_tes_in!U16/SER_hh_num_in!U16)</f>
        <v>25305.356180434494</v>
      </c>
      <c r="V16" s="130">
        <f>IF(SER_hh_tes_in!V16=0,0,11630*1000*SER_hh_tes_in!V16/SER_hh_num_in!V16)</f>
        <v>21351.979114288246</v>
      </c>
      <c r="W16" s="130">
        <f>IF(SER_hh_tes_in!W16=0,0,11630*1000*SER_hh_tes_in!W16/SER_hh_num_in!W16)</f>
        <v>21192.59868483201</v>
      </c>
      <c r="X16" s="130">
        <f>IF(SER_hh_tes_in!X16=0,0,11630*1000*SER_hh_tes_in!X16/SER_hh_num_in!X16)</f>
        <v>22130.349716359498</v>
      </c>
      <c r="Y16" s="130">
        <f>IF(SER_hh_tes_in!Y16=0,0,11630*1000*SER_hh_tes_in!Y16/SER_hh_num_in!Y16)</f>
        <v>22264.383521578751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25214.206480358829</v>
      </c>
      <c r="D17" s="132">
        <f>IF(SER_hh_tes_in!D17=0,0,11630*1000*SER_hh_tes_in!D17/SER_hh_num_in!D17)</f>
        <v>25483.647593568312</v>
      </c>
      <c r="E17" s="132">
        <f>IF(SER_hh_tes_in!E17=0,0,11630*1000*SER_hh_tes_in!E17/SER_hh_num_in!E17)</f>
        <v>24911.165229736205</v>
      </c>
      <c r="F17" s="132">
        <f>IF(SER_hh_tes_in!F17=0,0,11630*1000*SER_hh_tes_in!F17/SER_hh_num_in!F17)</f>
        <v>24787.134342240926</v>
      </c>
      <c r="G17" s="132">
        <f>IF(SER_hh_tes_in!G17=0,0,11630*1000*SER_hh_tes_in!G17/SER_hh_num_in!G17)</f>
        <v>24911.533388534193</v>
      </c>
      <c r="H17" s="132">
        <f>IF(SER_hh_tes_in!H17=0,0,11630*1000*SER_hh_tes_in!H17/SER_hh_num_in!H17)</f>
        <v>26199.618990791143</v>
      </c>
      <c r="I17" s="132">
        <f>IF(SER_hh_tes_in!I17=0,0,11630*1000*SER_hh_tes_in!I17/SER_hh_num_in!I17)</f>
        <v>25151.268073911695</v>
      </c>
      <c r="J17" s="132">
        <f>IF(SER_hh_tes_in!J17=0,0,11630*1000*SER_hh_tes_in!J17/SER_hh_num_in!J17)</f>
        <v>24571.867284562115</v>
      </c>
      <c r="K17" s="132">
        <f>IF(SER_hh_tes_in!K17=0,0,11630*1000*SER_hh_tes_in!K17/SER_hh_num_in!K17)</f>
        <v>24426.534434783316</v>
      </c>
      <c r="L17" s="132">
        <f>IF(SER_hh_tes_in!L17=0,0,11630*1000*SER_hh_tes_in!L17/SER_hh_num_in!L17)</f>
        <v>27339.287243110841</v>
      </c>
      <c r="M17" s="132">
        <f>IF(SER_hh_tes_in!M17=0,0,11630*1000*SER_hh_tes_in!M17/SER_hh_num_in!M17)</f>
        <v>24166.360841735426</v>
      </c>
      <c r="N17" s="132">
        <f>IF(SER_hh_tes_in!N17=0,0,11630*1000*SER_hh_tes_in!N17/SER_hh_num_in!N17)</f>
        <v>25254.194248074324</v>
      </c>
      <c r="O17" s="132">
        <f>IF(SER_hh_tes_in!O17=0,0,11630*1000*SER_hh_tes_in!O17/SER_hh_num_in!O17)</f>
        <v>25133.415847313885</v>
      </c>
      <c r="P17" s="132">
        <f>IF(SER_hh_tes_in!P17=0,0,11630*1000*SER_hh_tes_in!P17/SER_hh_num_in!P17)</f>
        <v>24844.104624359235</v>
      </c>
      <c r="Q17" s="132">
        <f>IF(SER_hh_tes_in!Q17=0,0,11630*1000*SER_hh_tes_in!Q17/SER_hh_num_in!Q17)</f>
        <v>28206.906872002044</v>
      </c>
      <c r="R17" s="132">
        <f>IF(SER_hh_tes_in!R17=0,0,11630*1000*SER_hh_tes_in!R17/SER_hh_num_in!R17)</f>
        <v>24582.437959566629</v>
      </c>
      <c r="S17" s="132">
        <f>IF(SER_hh_tes_in!S17=0,0,11630*1000*SER_hh_tes_in!S17/SER_hh_num_in!S17)</f>
        <v>24398.175220066572</v>
      </c>
      <c r="T17" s="132">
        <f>IF(SER_hh_tes_in!T17=0,0,11630*1000*SER_hh_tes_in!T17/SER_hh_num_in!T17)</f>
        <v>24531.52587748694</v>
      </c>
      <c r="U17" s="132">
        <f>IF(SER_hh_tes_in!U17=0,0,11630*1000*SER_hh_tes_in!U17/SER_hh_num_in!U17)</f>
        <v>25843.444179719459</v>
      </c>
      <c r="V17" s="132">
        <f>IF(SER_hh_tes_in!V17=0,0,11630*1000*SER_hh_tes_in!V17/SER_hh_num_in!V17)</f>
        <v>20744.407611029539</v>
      </c>
      <c r="W17" s="132">
        <f>IF(SER_hh_tes_in!W17=0,0,11630*1000*SER_hh_tes_in!W17/SER_hh_num_in!W17)</f>
        <v>20008.182856238614</v>
      </c>
      <c r="X17" s="132">
        <f>IF(SER_hh_tes_in!X17=0,0,11630*1000*SER_hh_tes_in!X17/SER_hh_num_in!X17)</f>
        <v>22083.512597446261</v>
      </c>
      <c r="Y17" s="132">
        <f>IF(SER_hh_tes_in!Y17=0,0,11630*1000*SER_hh_tes_in!Y17/SER_hh_num_in!Y17)</f>
        <v>21976.779114565317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25208.656608235073</v>
      </c>
      <c r="D18" s="132">
        <f>IF(SER_hh_tes_in!D18=0,0,11630*1000*SER_hh_tes_in!D18/SER_hh_num_in!D18)</f>
        <v>25461.097556002547</v>
      </c>
      <c r="E18" s="132">
        <f>IF(SER_hh_tes_in!E18=0,0,11630*1000*SER_hh_tes_in!E18/SER_hh_num_in!E18)</f>
        <v>24867.386742542618</v>
      </c>
      <c r="F18" s="132">
        <f>IF(SER_hh_tes_in!F18=0,0,11630*1000*SER_hh_tes_in!F18/SER_hh_num_in!F18)</f>
        <v>24697.578924220419</v>
      </c>
      <c r="G18" s="132">
        <f>IF(SER_hh_tes_in!G18=0,0,11630*1000*SER_hh_tes_in!G18/SER_hh_num_in!G18)</f>
        <v>24807.844681250637</v>
      </c>
      <c r="H18" s="132">
        <f>IF(SER_hh_tes_in!H18=0,0,11630*1000*SER_hh_tes_in!H18/SER_hh_num_in!H18)</f>
        <v>26133.508642307886</v>
      </c>
      <c r="I18" s="132">
        <f>IF(SER_hh_tes_in!I18=0,0,11630*1000*SER_hh_tes_in!I18/SER_hh_num_in!I18)</f>
        <v>25082.687886715776</v>
      </c>
      <c r="J18" s="132">
        <f>IF(SER_hh_tes_in!J18=0,0,11630*1000*SER_hh_tes_in!J18/SER_hh_num_in!J18)</f>
        <v>24557.132929769741</v>
      </c>
      <c r="K18" s="132">
        <f>IF(SER_hh_tes_in!K18=0,0,11630*1000*SER_hh_tes_in!K18/SER_hh_num_in!K18)</f>
        <v>24395.034603790104</v>
      </c>
      <c r="L18" s="132">
        <f>IF(SER_hh_tes_in!L18=0,0,11630*1000*SER_hh_tes_in!L18/SER_hh_num_in!L18)</f>
        <v>27329.461960006945</v>
      </c>
      <c r="M18" s="132">
        <f>IF(SER_hh_tes_in!M18=0,0,11630*1000*SER_hh_tes_in!M18/SER_hh_num_in!M18)</f>
        <v>24024.431508328838</v>
      </c>
      <c r="N18" s="132">
        <f>IF(SER_hh_tes_in!N18=0,0,11630*1000*SER_hh_tes_in!N18/SER_hh_num_in!N18)</f>
        <v>25000.506908558677</v>
      </c>
      <c r="O18" s="132">
        <f>IF(SER_hh_tes_in!O18=0,0,11630*1000*SER_hh_tes_in!O18/SER_hh_num_in!O18)</f>
        <v>24662.478312159772</v>
      </c>
      <c r="P18" s="132">
        <f>IF(SER_hh_tes_in!P18=0,0,11630*1000*SER_hh_tes_in!P18/SER_hh_num_in!P18)</f>
        <v>24058.269534559895</v>
      </c>
      <c r="Q18" s="132">
        <f>IF(SER_hh_tes_in!Q18=0,0,11630*1000*SER_hh_tes_in!Q18/SER_hh_num_in!Q18)</f>
        <v>27302.333551922111</v>
      </c>
      <c r="R18" s="132">
        <f>IF(SER_hh_tes_in!R18=0,0,11630*1000*SER_hh_tes_in!R18/SER_hh_num_in!R18)</f>
        <v>23406.071105122519</v>
      </c>
      <c r="S18" s="132">
        <f>IF(SER_hh_tes_in!S18=0,0,11630*1000*SER_hh_tes_in!S18/SER_hh_num_in!S18)</f>
        <v>23335.097677756705</v>
      </c>
      <c r="T18" s="132">
        <f>IF(SER_hh_tes_in!T18=0,0,11630*1000*SER_hh_tes_in!T18/SER_hh_num_in!T18)</f>
        <v>23722.451368313643</v>
      </c>
      <c r="U18" s="132">
        <f>IF(SER_hh_tes_in!U18=0,0,11630*1000*SER_hh_tes_in!U18/SER_hh_num_in!U18)</f>
        <v>25300.083471842707</v>
      </c>
      <c r="V18" s="132">
        <f>IF(SER_hh_tes_in!V18=0,0,11630*1000*SER_hh_tes_in!V18/SER_hh_num_in!V18)</f>
        <v>21358.005950836705</v>
      </c>
      <c r="W18" s="132">
        <f>IF(SER_hh_tes_in!W18=0,0,11630*1000*SER_hh_tes_in!W18/SER_hh_num_in!W18)</f>
        <v>21202.742274326909</v>
      </c>
      <c r="X18" s="132">
        <f>IF(SER_hh_tes_in!X18=0,0,11630*1000*SER_hh_tes_in!X18/SER_hh_num_in!X18)</f>
        <v>22130.80593077507</v>
      </c>
      <c r="Y18" s="132">
        <f>IF(SER_hh_tes_in!Y18=0,0,11630*1000*SER_hh_tes_in!Y18/SER_hh_num_in!Y18)</f>
        <v>22268.420026130701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9021.9194985680388</v>
      </c>
      <c r="D19" s="130">
        <f>IF(SER_hh_tes_in!D19=0,0,11630*1000*SER_hh_tes_in!D19/SER_hh_num_in!D19)</f>
        <v>10256.862663171232</v>
      </c>
      <c r="E19" s="130">
        <f>IF(SER_hh_tes_in!E19=0,0,11630*1000*SER_hh_tes_in!E19/SER_hh_num_in!E19)</f>
        <v>11567.043473516047</v>
      </c>
      <c r="F19" s="130">
        <f>IF(SER_hh_tes_in!F19=0,0,11630*1000*SER_hh_tes_in!F19/SER_hh_num_in!F19)</f>
        <v>12168.38070755146</v>
      </c>
      <c r="G19" s="130">
        <f>IF(SER_hh_tes_in!G19=0,0,11630*1000*SER_hh_tes_in!G19/SER_hh_num_in!G19)</f>
        <v>12375.816110283262</v>
      </c>
      <c r="H19" s="130">
        <f>IF(SER_hh_tes_in!H19=0,0,11630*1000*SER_hh_tes_in!H19/SER_hh_num_in!H19)</f>
        <v>12864.528872634082</v>
      </c>
      <c r="I19" s="130">
        <f>IF(SER_hh_tes_in!I19=0,0,11630*1000*SER_hh_tes_in!I19/SER_hh_num_in!I19)</f>
        <v>13750.213456414949</v>
      </c>
      <c r="J19" s="130">
        <f>IF(SER_hh_tes_in!J19=0,0,11630*1000*SER_hh_tes_in!J19/SER_hh_num_in!J19)</f>
        <v>14113.335134938718</v>
      </c>
      <c r="K19" s="130">
        <f>IF(SER_hh_tes_in!K19=0,0,11630*1000*SER_hh_tes_in!K19/SER_hh_num_in!K19)</f>
        <v>14156.124148890925</v>
      </c>
      <c r="L19" s="130">
        <f>IF(SER_hh_tes_in!L19=0,0,11630*1000*SER_hh_tes_in!L19/SER_hh_num_in!L19)</f>
        <v>14249.274404808315</v>
      </c>
      <c r="M19" s="130">
        <f>IF(SER_hh_tes_in!M19=0,0,11630*1000*SER_hh_tes_in!M19/SER_hh_num_in!M19)</f>
        <v>14200.451651909898</v>
      </c>
      <c r="N19" s="130">
        <f>IF(SER_hh_tes_in!N19=0,0,11630*1000*SER_hh_tes_in!N19/SER_hh_num_in!N19)</f>
        <v>14468.231659693396</v>
      </c>
      <c r="O19" s="130">
        <f>IF(SER_hh_tes_in!O19=0,0,11630*1000*SER_hh_tes_in!O19/SER_hh_num_in!O19)</f>
        <v>14868.38771770625</v>
      </c>
      <c r="P19" s="130">
        <f>IF(SER_hh_tes_in!P19=0,0,11630*1000*SER_hh_tes_in!P19/SER_hh_num_in!P19)</f>
        <v>14726.836497143206</v>
      </c>
      <c r="Q19" s="130">
        <f>IF(SER_hh_tes_in!Q19=0,0,11630*1000*SER_hh_tes_in!Q19/SER_hh_num_in!Q19)</f>
        <v>14924.82663022602</v>
      </c>
      <c r="R19" s="130">
        <f>IF(SER_hh_tes_in!R19=0,0,11630*1000*SER_hh_tes_in!R19/SER_hh_num_in!R19)</f>
        <v>14961.498208239507</v>
      </c>
      <c r="S19" s="130">
        <f>IF(SER_hh_tes_in!S19=0,0,11630*1000*SER_hh_tes_in!S19/SER_hh_num_in!S19)</f>
        <v>14800.378996114123</v>
      </c>
      <c r="T19" s="130">
        <f>IF(SER_hh_tes_in!T19=0,0,11630*1000*SER_hh_tes_in!T19/SER_hh_num_in!T19)</f>
        <v>14523.553990700617</v>
      </c>
      <c r="U19" s="130">
        <f>IF(SER_hh_tes_in!U19=0,0,11630*1000*SER_hh_tes_in!U19/SER_hh_num_in!U19)</f>
        <v>14372.269582096178</v>
      </c>
      <c r="V19" s="130">
        <f>IF(SER_hh_tes_in!V19=0,0,11630*1000*SER_hh_tes_in!V19/SER_hh_num_in!V19)</f>
        <v>13071.04638220135</v>
      </c>
      <c r="W19" s="130">
        <f>IF(SER_hh_tes_in!W19=0,0,11630*1000*SER_hh_tes_in!W19/SER_hh_num_in!W19)</f>
        <v>13952.964299134137</v>
      </c>
      <c r="X19" s="130">
        <f>IF(SER_hh_tes_in!X19=0,0,11630*1000*SER_hh_tes_in!X19/SER_hh_num_in!X19)</f>
        <v>13954.193045295284</v>
      </c>
      <c r="Y19" s="130">
        <f>IF(SER_hh_tes_in!Y19=0,0,11630*1000*SER_hh_tes_in!Y19/SER_hh_num_in!Y19)</f>
        <v>13825.529888007755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9623.0534310318908</v>
      </c>
      <c r="D20" s="132">
        <f>IF(SER_hh_tes_in!D20=0,0,11630*1000*SER_hh_tes_in!D20/SER_hh_num_in!D20)</f>
        <v>11584.527875464206</v>
      </c>
      <c r="E20" s="132">
        <f>IF(SER_hh_tes_in!E20=0,0,11630*1000*SER_hh_tes_in!E20/SER_hh_num_in!E20)</f>
        <v>11646.365146370337</v>
      </c>
      <c r="F20" s="132">
        <f>IF(SER_hh_tes_in!F20=0,0,11630*1000*SER_hh_tes_in!F20/SER_hh_num_in!F20)</f>
        <v>12259.613169393091</v>
      </c>
      <c r="G20" s="132">
        <f>IF(SER_hh_tes_in!G20=0,0,11630*1000*SER_hh_tes_in!G20/SER_hh_num_in!G20)</f>
        <v>12471.791421615642</v>
      </c>
      <c r="H20" s="132">
        <f>IF(SER_hh_tes_in!H20=0,0,11630*1000*SER_hh_tes_in!H20/SER_hh_num_in!H20)</f>
        <v>11607.286060800816</v>
      </c>
      <c r="I20" s="132">
        <f>IF(SER_hh_tes_in!I20=0,0,11630*1000*SER_hh_tes_in!I20/SER_hh_num_in!I20)</f>
        <v>13915.304905746341</v>
      </c>
      <c r="J20" s="132">
        <f>IF(SER_hh_tes_in!J20=0,0,11630*1000*SER_hh_tes_in!J20/SER_hh_num_in!J20)</f>
        <v>13989.580311522619</v>
      </c>
      <c r="K20" s="132">
        <f>IF(SER_hh_tes_in!K20=0,0,11630*1000*SER_hh_tes_in!K20/SER_hh_num_in!K20)</f>
        <v>13946.424162870549</v>
      </c>
      <c r="L20" s="132">
        <f>IF(SER_hh_tes_in!L20=0,0,11630*1000*SER_hh_tes_in!L20/SER_hh_num_in!L20)</f>
        <v>14401.689270899047</v>
      </c>
      <c r="M20" s="132">
        <f>IF(SER_hh_tes_in!M20=0,0,11630*1000*SER_hh_tes_in!M20/SER_hh_num_in!M20)</f>
        <v>14285.113472471538</v>
      </c>
      <c r="N20" s="132">
        <f>IF(SER_hh_tes_in!N20=0,0,11630*1000*SER_hh_tes_in!N20/SER_hh_num_in!N20)</f>
        <v>14411.959120223548</v>
      </c>
      <c r="O20" s="132">
        <f>IF(SER_hh_tes_in!O20=0,0,11630*1000*SER_hh_tes_in!O20/SER_hh_num_in!O20)</f>
        <v>14752.819882282258</v>
      </c>
      <c r="P20" s="132">
        <f>IF(SER_hh_tes_in!P20=0,0,11630*1000*SER_hh_tes_in!P20/SER_hh_num_in!P20)</f>
        <v>14680.762446635303</v>
      </c>
      <c r="Q20" s="132">
        <f>IF(SER_hh_tes_in!Q20=0,0,11630*1000*SER_hh_tes_in!Q20/SER_hh_num_in!Q20)</f>
        <v>14783.27808842167</v>
      </c>
      <c r="R20" s="132">
        <f>IF(SER_hh_tes_in!R20=0,0,11630*1000*SER_hh_tes_in!R20/SER_hh_num_in!R20)</f>
        <v>16735.941466402244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10854.694706377259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9477.6977078407253</v>
      </c>
      <c r="D21" s="132">
        <f>IF(SER_hh_tes_in!D21=0,0,11630*1000*SER_hh_tes_in!D21/SER_hh_num_in!D21)</f>
        <v>9109.6589285459395</v>
      </c>
      <c r="E21" s="132">
        <f>IF(SER_hh_tes_in!E21=0,0,11630*1000*SER_hh_tes_in!E21/SER_hh_num_in!E21)</f>
        <v>13840.226395498639</v>
      </c>
      <c r="F21" s="132">
        <f>IF(SER_hh_tes_in!F21=0,0,11630*1000*SER_hh_tes_in!F21/SER_hh_num_in!F21)</f>
        <v>12167.455570066586</v>
      </c>
      <c r="G21" s="132">
        <f>IF(SER_hh_tes_in!G21=0,0,11630*1000*SER_hh_tes_in!G21/SER_hh_num_in!G21)</f>
        <v>10578.59528593904</v>
      </c>
      <c r="H21" s="132">
        <f>IF(SER_hh_tes_in!H21=0,0,11630*1000*SER_hh_tes_in!H21/SER_hh_num_in!H21)</f>
        <v>13405.82555883185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12731.151385184603</v>
      </c>
      <c r="K21" s="132">
        <f>IF(SER_hh_tes_in!K21=0,0,11630*1000*SER_hh_tes_in!K21/SER_hh_num_in!K21)</f>
        <v>13411.002519410971</v>
      </c>
      <c r="L21" s="132">
        <f>IF(SER_hh_tes_in!L21=0,0,11630*1000*SER_hh_tes_in!L21/SER_hh_num_in!L21)</f>
        <v>13243.552491453549</v>
      </c>
      <c r="M21" s="132">
        <f>IF(SER_hh_tes_in!M21=0,0,11630*1000*SER_hh_tes_in!M21/SER_hh_num_in!M21)</f>
        <v>13466.34193181408</v>
      </c>
      <c r="N21" s="132">
        <f>IF(SER_hh_tes_in!N21=0,0,11630*1000*SER_hh_tes_in!N21/SER_hh_num_in!N21)</f>
        <v>17913.091718986339</v>
      </c>
      <c r="O21" s="132">
        <f>IF(SER_hh_tes_in!O21=0,0,11630*1000*SER_hh_tes_in!O21/SER_hh_num_in!O21)</f>
        <v>12345.541543906502</v>
      </c>
      <c r="P21" s="132">
        <f>IF(SER_hh_tes_in!P21=0,0,11630*1000*SER_hh_tes_in!P21/SER_hh_num_in!P21)</f>
        <v>14707.949601513981</v>
      </c>
      <c r="Q21" s="132">
        <f>IF(SER_hh_tes_in!Q21=0,0,11630*1000*SER_hh_tes_in!Q21/SER_hh_num_in!Q21)</f>
        <v>14246.459355401503</v>
      </c>
      <c r="R21" s="132">
        <f>IF(SER_hh_tes_in!R21=0,0,11630*1000*SER_hh_tes_in!R21/SER_hh_num_in!R21)</f>
        <v>14984.76722390191</v>
      </c>
      <c r="S21" s="132">
        <f>IF(SER_hh_tes_in!S21=0,0,11630*1000*SER_hh_tes_in!S21/SER_hh_num_in!S21)</f>
        <v>15101.492779595834</v>
      </c>
      <c r="T21" s="132">
        <f>IF(SER_hh_tes_in!T21=0,0,11630*1000*SER_hh_tes_in!T21/SER_hh_num_in!T21)</f>
        <v>14130.470832728175</v>
      </c>
      <c r="U21" s="132">
        <f>IF(SER_hh_tes_in!U21=0,0,11630*1000*SER_hh_tes_in!U21/SER_hh_num_in!U21)</f>
        <v>16225.021609807232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13360.066652199206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8601.544330859213</v>
      </c>
      <c r="D22" s="132">
        <f>IF(SER_hh_tes_in!D22=0,0,11630*1000*SER_hh_tes_in!D22/SER_hh_num_in!D22)</f>
        <v>10472.335862767381</v>
      </c>
      <c r="E22" s="132">
        <f>IF(SER_hh_tes_in!E22=0,0,11630*1000*SER_hh_tes_in!E22/SER_hh_num_in!E22)</f>
        <v>11345.66558069225</v>
      </c>
      <c r="F22" s="132">
        <f>IF(SER_hh_tes_in!F22=0,0,11630*1000*SER_hh_tes_in!F22/SER_hh_num_in!F22)</f>
        <v>12103.352955049861</v>
      </c>
      <c r="G22" s="132">
        <f>IF(SER_hh_tes_in!G22=0,0,11630*1000*SER_hh_tes_in!G22/SER_hh_num_in!G22)</f>
        <v>11899.15479537355</v>
      </c>
      <c r="H22" s="132">
        <f>IF(SER_hh_tes_in!H22=0,0,11630*1000*SER_hh_tes_in!H22/SER_hh_num_in!H22)</f>
        <v>12774.958065611241</v>
      </c>
      <c r="I22" s="132">
        <f>IF(SER_hh_tes_in!I22=0,0,11630*1000*SER_hh_tes_in!I22/SER_hh_num_in!I22)</f>
        <v>13676.566557707292</v>
      </c>
      <c r="J22" s="132">
        <f>IF(SER_hh_tes_in!J22=0,0,11630*1000*SER_hh_tes_in!J22/SER_hh_num_in!J22)</f>
        <v>14003.646185707177</v>
      </c>
      <c r="K22" s="132">
        <f>IF(SER_hh_tes_in!K22=0,0,11630*1000*SER_hh_tes_in!K22/SER_hh_num_in!K22)</f>
        <v>13927.290150122833</v>
      </c>
      <c r="L22" s="132">
        <f>IF(SER_hh_tes_in!L22=0,0,11630*1000*SER_hh_tes_in!L22/SER_hh_num_in!L22)</f>
        <v>14120.778696641317</v>
      </c>
      <c r="M22" s="132">
        <f>IF(SER_hh_tes_in!M22=0,0,11630*1000*SER_hh_tes_in!M22/SER_hh_num_in!M22)</f>
        <v>14212.360111953349</v>
      </c>
      <c r="N22" s="132">
        <f>IF(SER_hh_tes_in!N22=0,0,11630*1000*SER_hh_tes_in!N22/SER_hh_num_in!N22)</f>
        <v>14274.912310701635</v>
      </c>
      <c r="O22" s="132">
        <f>IF(SER_hh_tes_in!O22=0,0,11630*1000*SER_hh_tes_in!O22/SER_hh_num_in!O22)</f>
        <v>14675.243414888513</v>
      </c>
      <c r="P22" s="132">
        <f>IF(SER_hh_tes_in!P22=0,0,11630*1000*SER_hh_tes_in!P22/SER_hh_num_in!P22)</f>
        <v>14524.365181328598</v>
      </c>
      <c r="Q22" s="132">
        <f>IF(SER_hh_tes_in!Q22=0,0,11630*1000*SER_hh_tes_in!Q22/SER_hh_num_in!Q22)</f>
        <v>14708.968598043328</v>
      </c>
      <c r="R22" s="132">
        <f>IF(SER_hh_tes_in!R22=0,0,11630*1000*SER_hh_tes_in!R22/SER_hh_num_in!R22)</f>
        <v>14563.26465980544</v>
      </c>
      <c r="S22" s="132">
        <f>IF(SER_hh_tes_in!S22=0,0,11630*1000*SER_hh_tes_in!S22/SER_hh_num_in!S22)</f>
        <v>15334.474148786412</v>
      </c>
      <c r="T22" s="132">
        <f>IF(SER_hh_tes_in!T22=0,0,11630*1000*SER_hh_tes_in!T22/SER_hh_num_in!T22)</f>
        <v>14709.356484256794</v>
      </c>
      <c r="U22" s="132">
        <f>IF(SER_hh_tes_in!U22=0,0,11630*1000*SER_hh_tes_in!U22/SER_hh_num_in!U22)</f>
        <v>12699.044969605548</v>
      </c>
      <c r="V22" s="132">
        <f>IF(SER_hh_tes_in!V22=0,0,11630*1000*SER_hh_tes_in!V22/SER_hh_num_in!V22)</f>
        <v>12680.751230590467</v>
      </c>
      <c r="W22" s="132">
        <f>IF(SER_hh_tes_in!W22=0,0,11630*1000*SER_hh_tes_in!W22/SER_hh_num_in!W22)</f>
        <v>14303.664640878294</v>
      </c>
      <c r="X22" s="132">
        <f>IF(SER_hh_tes_in!X22=0,0,11630*1000*SER_hh_tes_in!X22/SER_hh_num_in!X22)</f>
        <v>14758.104519390412</v>
      </c>
      <c r="Y22" s="132">
        <f>IF(SER_hh_tes_in!Y22=0,0,11630*1000*SER_hh_tes_in!Y22/SER_hh_num_in!Y22)</f>
        <v>13294.82493840729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8964.6965304500009</v>
      </c>
      <c r="D23" s="132">
        <f>IF(SER_hh_tes_in!D23=0,0,11630*1000*SER_hh_tes_in!D23/SER_hh_num_in!D23)</f>
        <v>10041.010220812268</v>
      </c>
      <c r="E23" s="132">
        <f>IF(SER_hh_tes_in!E23=0,0,11630*1000*SER_hh_tes_in!E23/SER_hh_num_in!E23)</f>
        <v>12083.876942634817</v>
      </c>
      <c r="F23" s="132">
        <f>IF(SER_hh_tes_in!F23=0,0,11630*1000*SER_hh_tes_in!F23/SER_hh_num_in!F23)</f>
        <v>12114.818940565583</v>
      </c>
      <c r="G23" s="132">
        <f>IF(SER_hh_tes_in!G23=0,0,11630*1000*SER_hh_tes_in!G23/SER_hh_num_in!G23)</f>
        <v>12397.665366395308</v>
      </c>
      <c r="H23" s="132">
        <f>IF(SER_hh_tes_in!H23=0,0,11630*1000*SER_hh_tes_in!H23/SER_hh_num_in!H23)</f>
        <v>12804.460771573642</v>
      </c>
      <c r="I23" s="132">
        <f>IF(SER_hh_tes_in!I23=0,0,11630*1000*SER_hh_tes_in!I23/SER_hh_num_in!I23)</f>
        <v>13455.550337555522</v>
      </c>
      <c r="J23" s="132">
        <f>IF(SER_hh_tes_in!J23=0,0,11630*1000*SER_hh_tes_in!J23/SER_hh_num_in!J23)</f>
        <v>13991.368406305126</v>
      </c>
      <c r="K23" s="132">
        <f>IF(SER_hh_tes_in!K23=0,0,11630*1000*SER_hh_tes_in!K23/SER_hh_num_in!K23)</f>
        <v>13740.285413711206</v>
      </c>
      <c r="L23" s="132">
        <f>IF(SER_hh_tes_in!L23=0,0,11630*1000*SER_hh_tes_in!L23/SER_hh_num_in!L23)</f>
        <v>14150.133904856641</v>
      </c>
      <c r="M23" s="132">
        <f>IF(SER_hh_tes_in!M23=0,0,11630*1000*SER_hh_tes_in!M23/SER_hh_num_in!M23)</f>
        <v>14315.282747217798</v>
      </c>
      <c r="N23" s="132">
        <f>IF(SER_hh_tes_in!N23=0,0,11630*1000*SER_hh_tes_in!N23/SER_hh_num_in!N23)</f>
        <v>14195.262087865898</v>
      </c>
      <c r="O23" s="132">
        <f>IF(SER_hh_tes_in!O23=0,0,11630*1000*SER_hh_tes_in!O23/SER_hh_num_in!O23)</f>
        <v>14588.317127556156</v>
      </c>
      <c r="P23" s="132">
        <f>IF(SER_hh_tes_in!P23=0,0,11630*1000*SER_hh_tes_in!P23/SER_hh_num_in!P23)</f>
        <v>14723.43229118278</v>
      </c>
      <c r="Q23" s="132">
        <f>IF(SER_hh_tes_in!Q23=0,0,11630*1000*SER_hh_tes_in!Q23/SER_hh_num_in!Q23)</f>
        <v>15072.631404783309</v>
      </c>
      <c r="R23" s="132">
        <f>IF(SER_hh_tes_in!R23=0,0,11630*1000*SER_hh_tes_in!R23/SER_hh_num_in!R23)</f>
        <v>15882.943917246699</v>
      </c>
      <c r="S23" s="132">
        <f>IF(SER_hh_tes_in!S23=0,0,11630*1000*SER_hh_tes_in!S23/SER_hh_num_in!S23)</f>
        <v>0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13352.050570210718</v>
      </c>
      <c r="V23" s="132">
        <f>IF(SER_hh_tes_in!V23=0,0,11630*1000*SER_hh_tes_in!V23/SER_hh_num_in!V23)</f>
        <v>11694.745800143042</v>
      </c>
      <c r="W23" s="132">
        <f>IF(SER_hh_tes_in!W23=0,0,11630*1000*SER_hh_tes_in!W23/SER_hh_num_in!W23)</f>
        <v>15332.093026022143</v>
      </c>
      <c r="X23" s="132">
        <f>IF(SER_hh_tes_in!X23=0,0,11630*1000*SER_hh_tes_in!X23/SER_hh_num_in!X23)</f>
        <v>14311.734942319194</v>
      </c>
      <c r="Y23" s="132">
        <f>IF(SER_hh_tes_in!Y23=0,0,11630*1000*SER_hh_tes_in!Y23/SER_hh_num_in!Y23)</f>
        <v>13637.929737110044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8592.894934363585</v>
      </c>
      <c r="D24" s="132">
        <f>IF(SER_hh_tes_in!D24=0,0,11630*1000*SER_hh_tes_in!D24/SER_hh_num_in!D24)</f>
        <v>10696.087642531937</v>
      </c>
      <c r="E24" s="132">
        <f>IF(SER_hh_tes_in!E24=0,0,11630*1000*SER_hh_tes_in!E24/SER_hh_num_in!E24)</f>
        <v>11241.15672708879</v>
      </c>
      <c r="F24" s="132">
        <f>IF(SER_hh_tes_in!F24=0,0,11630*1000*SER_hh_tes_in!F24/SER_hh_num_in!F24)</f>
        <v>11632.522134927995</v>
      </c>
      <c r="G24" s="132">
        <f>IF(SER_hh_tes_in!G24=0,0,11630*1000*SER_hh_tes_in!G24/SER_hh_num_in!G24)</f>
        <v>11510.360728197795</v>
      </c>
      <c r="H24" s="132">
        <f>IF(SER_hh_tes_in!H24=0,0,11630*1000*SER_hh_tes_in!H24/SER_hh_num_in!H24)</f>
        <v>12496.703863184412</v>
      </c>
      <c r="I24" s="132">
        <f>IF(SER_hh_tes_in!I24=0,0,11630*1000*SER_hh_tes_in!I24/SER_hh_num_in!I24)</f>
        <v>13988.910080475736</v>
      </c>
      <c r="J24" s="132">
        <f>IF(SER_hh_tes_in!J24=0,0,11630*1000*SER_hh_tes_in!J24/SER_hh_num_in!J24)</f>
        <v>14356.619735036191</v>
      </c>
      <c r="K24" s="132">
        <f>IF(SER_hh_tes_in!K24=0,0,11630*1000*SER_hh_tes_in!K24/SER_hh_num_in!K24)</f>
        <v>14213.443153871311</v>
      </c>
      <c r="L24" s="132">
        <f>IF(SER_hh_tes_in!L24=0,0,11630*1000*SER_hh_tes_in!L24/SER_hh_num_in!L24)</f>
        <v>13764.949723897791</v>
      </c>
      <c r="M24" s="132">
        <f>IF(SER_hh_tes_in!M24=0,0,11630*1000*SER_hh_tes_in!M24/SER_hh_num_in!M24)</f>
        <v>14133.271210281759</v>
      </c>
      <c r="N24" s="132">
        <f>IF(SER_hh_tes_in!N24=0,0,11630*1000*SER_hh_tes_in!N24/SER_hh_num_in!N24)</f>
        <v>14402.573476226187</v>
      </c>
      <c r="O24" s="132">
        <f>IF(SER_hh_tes_in!O24=0,0,11630*1000*SER_hh_tes_in!O24/SER_hh_num_in!O24)</f>
        <v>14566.205277081614</v>
      </c>
      <c r="P24" s="132">
        <f>IF(SER_hh_tes_in!P24=0,0,11630*1000*SER_hh_tes_in!P24/SER_hh_num_in!P24)</f>
        <v>14182.055458362483</v>
      </c>
      <c r="Q24" s="132">
        <f>IF(SER_hh_tes_in!Q24=0,0,11630*1000*SER_hh_tes_in!Q24/SER_hh_num_in!Q24)</f>
        <v>14416.044554280661</v>
      </c>
      <c r="R24" s="132">
        <f>IF(SER_hh_tes_in!R24=0,0,11630*1000*SER_hh_tes_in!R24/SER_hh_num_in!R24)</f>
        <v>15503.362282916307</v>
      </c>
      <c r="S24" s="132">
        <f>IF(SER_hh_tes_in!S24=0,0,11630*1000*SER_hh_tes_in!S24/SER_hh_num_in!S24)</f>
        <v>15490.324214293483</v>
      </c>
      <c r="T24" s="132">
        <f>IF(SER_hh_tes_in!T24=0,0,11630*1000*SER_hh_tes_in!T24/SER_hh_num_in!T24)</f>
        <v>13419.079108860176</v>
      </c>
      <c r="U24" s="132">
        <f>IF(SER_hh_tes_in!U24=0,0,11630*1000*SER_hh_tes_in!U24/SER_hh_num_in!U24)</f>
        <v>12829.663954648138</v>
      </c>
      <c r="V24" s="132">
        <f>IF(SER_hh_tes_in!V24=0,0,11630*1000*SER_hh_tes_in!V24/SER_hh_num_in!V24)</f>
        <v>14037.66573482903</v>
      </c>
      <c r="W24" s="132">
        <f>IF(SER_hh_tes_in!W24=0,0,11630*1000*SER_hh_tes_in!W24/SER_hh_num_in!W24)</f>
        <v>16230.828646546364</v>
      </c>
      <c r="X24" s="132">
        <f>IF(SER_hh_tes_in!X24=0,0,11630*1000*SER_hh_tes_in!X24/SER_hh_num_in!X24)</f>
        <v>12538.333037955599</v>
      </c>
      <c r="Y24" s="132">
        <f>IF(SER_hh_tes_in!Y24=0,0,11630*1000*SER_hh_tes_in!Y24/SER_hh_num_in!Y24)</f>
        <v>13855.542905931079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8818.3335430610423</v>
      </c>
      <c r="D25" s="132">
        <f>IF(SER_hh_tes_in!D25=0,0,11630*1000*SER_hh_tes_in!D25/SER_hh_num_in!D25)</f>
        <v>10283.675834807233</v>
      </c>
      <c r="E25" s="132">
        <f>IF(SER_hh_tes_in!E25=0,0,11630*1000*SER_hh_tes_in!E25/SER_hh_num_in!E25)</f>
        <v>10760.116741586573</v>
      </c>
      <c r="F25" s="132">
        <f>IF(SER_hh_tes_in!F25=0,0,11630*1000*SER_hh_tes_in!F25/SER_hh_num_in!F25)</f>
        <v>12545.965036540712</v>
      </c>
      <c r="G25" s="132">
        <f>IF(SER_hh_tes_in!G25=0,0,11630*1000*SER_hh_tes_in!G25/SER_hh_num_in!G25)</f>
        <v>12557.475598122204</v>
      </c>
      <c r="H25" s="132">
        <f>IF(SER_hh_tes_in!H25=0,0,11630*1000*SER_hh_tes_in!H25/SER_hh_num_in!H25)</f>
        <v>12984.376168222321</v>
      </c>
      <c r="I25" s="132">
        <f>IF(SER_hh_tes_in!I25=0,0,11630*1000*SER_hh_tes_in!I25/SER_hh_num_in!I25)</f>
        <v>13589.319360037078</v>
      </c>
      <c r="J25" s="132">
        <f>IF(SER_hh_tes_in!J25=0,0,11630*1000*SER_hh_tes_in!J25/SER_hh_num_in!J25)</f>
        <v>13962.80654442068</v>
      </c>
      <c r="K25" s="132">
        <f>IF(SER_hh_tes_in!K25=0,0,11630*1000*SER_hh_tes_in!K25/SER_hh_num_in!K25)</f>
        <v>14139.525583425915</v>
      </c>
      <c r="L25" s="132">
        <f>IF(SER_hh_tes_in!L25=0,0,11630*1000*SER_hh_tes_in!L25/SER_hh_num_in!L25)</f>
        <v>13671.229314674325</v>
      </c>
      <c r="M25" s="132">
        <f>IF(SER_hh_tes_in!M25=0,0,11630*1000*SER_hh_tes_in!M25/SER_hh_num_in!M25)</f>
        <v>14013.685174455319</v>
      </c>
      <c r="N25" s="132">
        <f>IF(SER_hh_tes_in!N25=0,0,11630*1000*SER_hh_tes_in!N25/SER_hh_num_in!N25)</f>
        <v>14238.558823136471</v>
      </c>
      <c r="O25" s="132">
        <f>IF(SER_hh_tes_in!O25=0,0,11630*1000*SER_hh_tes_in!O25/SER_hh_num_in!O25)</f>
        <v>14852.546224717305</v>
      </c>
      <c r="P25" s="132">
        <f>IF(SER_hh_tes_in!P25=0,0,11630*1000*SER_hh_tes_in!P25/SER_hh_num_in!P25)</f>
        <v>14520.428162801301</v>
      </c>
      <c r="Q25" s="132">
        <f>IF(SER_hh_tes_in!Q25=0,0,11630*1000*SER_hh_tes_in!Q25/SER_hh_num_in!Q25)</f>
        <v>14206.18519813578</v>
      </c>
      <c r="R25" s="132">
        <f>IF(SER_hh_tes_in!R25=0,0,11630*1000*SER_hh_tes_in!R25/SER_hh_num_in!R25)</f>
        <v>14545.437308937153</v>
      </c>
      <c r="S25" s="132">
        <f>IF(SER_hh_tes_in!S25=0,0,11630*1000*SER_hh_tes_in!S25/SER_hh_num_in!S25)</f>
        <v>16656.63951373595</v>
      </c>
      <c r="T25" s="132">
        <f>IF(SER_hh_tes_in!T25=0,0,11630*1000*SER_hh_tes_in!T25/SER_hh_num_in!T25)</f>
        <v>13716.084640379697</v>
      </c>
      <c r="U25" s="132">
        <f>IF(SER_hh_tes_in!U25=0,0,11630*1000*SER_hh_tes_in!U25/SER_hh_num_in!U25)</f>
        <v>13864.133342717481</v>
      </c>
      <c r="V25" s="132">
        <f>IF(SER_hh_tes_in!V25=0,0,11630*1000*SER_hh_tes_in!V25/SER_hh_num_in!V25)</f>
        <v>14167.690631411451</v>
      </c>
      <c r="W25" s="132">
        <f>IF(SER_hh_tes_in!W25=0,0,11630*1000*SER_hh_tes_in!W25/SER_hh_num_in!W25)</f>
        <v>12030.261404764149</v>
      </c>
      <c r="X25" s="132">
        <f>IF(SER_hh_tes_in!X25=0,0,11630*1000*SER_hh_tes_in!X25/SER_hh_num_in!X25)</f>
        <v>14541.625192255711</v>
      </c>
      <c r="Y25" s="132">
        <f>IF(SER_hh_tes_in!Y25=0,0,11630*1000*SER_hh_tes_in!Y25/SER_hh_num_in!Y25)</f>
        <v>13141.911793621459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8439.1079329823351</v>
      </c>
      <c r="D26" s="65">
        <f>IF(SER_hh_tes_in!D26=0,0,11630*1000*SER_hh_tes_in!D26/SER_hh_num_in!D26)</f>
        <v>10086.869080375707</v>
      </c>
      <c r="E26" s="65">
        <f>IF(SER_hh_tes_in!E26=0,0,11630*1000*SER_hh_tes_in!E26/SER_hh_num_in!E26)</f>
        <v>10373.262927149661</v>
      </c>
      <c r="F26" s="65">
        <f>IF(SER_hh_tes_in!F26=0,0,11630*1000*SER_hh_tes_in!F26/SER_hh_num_in!F26)</f>
        <v>11694.604808373346</v>
      </c>
      <c r="G26" s="65">
        <f>IF(SER_hh_tes_in!G26=0,0,11630*1000*SER_hh_tes_in!G26/SER_hh_num_in!G26)</f>
        <v>12208.611236074215</v>
      </c>
      <c r="H26" s="65">
        <f>IF(SER_hh_tes_in!H26=0,0,11630*1000*SER_hh_tes_in!H26/SER_hh_num_in!H26)</f>
        <v>12714.442120016465</v>
      </c>
      <c r="I26" s="65">
        <f>IF(SER_hh_tes_in!I26=0,0,11630*1000*SER_hh_tes_in!I26/SER_hh_num_in!I26)</f>
        <v>13747.829029342916</v>
      </c>
      <c r="J26" s="65">
        <f>IF(SER_hh_tes_in!J26=0,0,11630*1000*SER_hh_tes_in!J26/SER_hh_num_in!J26)</f>
        <v>13050.285949252522</v>
      </c>
      <c r="K26" s="65">
        <f>IF(SER_hh_tes_in!K26=0,0,11630*1000*SER_hh_tes_in!K26/SER_hh_num_in!K26)</f>
        <v>13289.385514856707</v>
      </c>
      <c r="L26" s="65">
        <f>IF(SER_hh_tes_in!L26=0,0,11630*1000*SER_hh_tes_in!L26/SER_hh_num_in!L26)</f>
        <v>8196.4554056070465</v>
      </c>
      <c r="M26" s="65">
        <f>IF(SER_hh_tes_in!M26=0,0,11630*1000*SER_hh_tes_in!M26/SER_hh_num_in!M26)</f>
        <v>13075.517186267574</v>
      </c>
      <c r="N26" s="65">
        <f>IF(SER_hh_tes_in!N26=0,0,11630*1000*SER_hh_tes_in!N26/SER_hh_num_in!N26)</f>
        <v>12872.473244733777</v>
      </c>
      <c r="O26" s="65">
        <f>IF(SER_hh_tes_in!O26=0,0,11630*1000*SER_hh_tes_in!O26/SER_hh_num_in!O26)</f>
        <v>13467.143668148115</v>
      </c>
      <c r="P26" s="65">
        <f>IF(SER_hh_tes_in!P26=0,0,11630*1000*SER_hh_tes_in!P26/SER_hh_num_in!P26)</f>
        <v>13988.037343509195</v>
      </c>
      <c r="Q26" s="65">
        <f>IF(SER_hh_tes_in!Q26=0,0,11630*1000*SER_hh_tes_in!Q26/SER_hh_num_in!Q26)</f>
        <v>12933.632684548436</v>
      </c>
      <c r="R26" s="65">
        <f>IF(SER_hh_tes_in!R26=0,0,11630*1000*SER_hh_tes_in!R26/SER_hh_num_in!R26)</f>
        <v>14056.498579386554</v>
      </c>
      <c r="S26" s="65">
        <f>IF(SER_hh_tes_in!S26=0,0,11630*1000*SER_hh_tes_in!S26/SER_hh_num_in!S26)</f>
        <v>13810.166718733444</v>
      </c>
      <c r="T26" s="65">
        <f>IF(SER_hh_tes_in!T26=0,0,11630*1000*SER_hh_tes_in!T26/SER_hh_num_in!T26)</f>
        <v>13041.26452889842</v>
      </c>
      <c r="U26" s="65">
        <f>IF(SER_hh_tes_in!U26=0,0,11630*1000*SER_hh_tes_in!U26/SER_hh_num_in!U26)</f>
        <v>14539.376707015024</v>
      </c>
      <c r="V26" s="65">
        <f>IF(SER_hh_tes_in!V26=0,0,11630*1000*SER_hh_tes_in!V26/SER_hh_num_in!V26)</f>
        <v>12753.512668768761</v>
      </c>
      <c r="W26" s="65">
        <f>IF(SER_hh_tes_in!W26=0,0,11630*1000*SER_hh_tes_in!W26/SER_hh_num_in!W26)</f>
        <v>13891.164604063724</v>
      </c>
      <c r="X26" s="65">
        <f>IF(SER_hh_tes_in!X26=0,0,11630*1000*SER_hh_tes_in!X26/SER_hh_num_in!X26)</f>
        <v>13798.430614845758</v>
      </c>
      <c r="Y26" s="65">
        <f>IF(SER_hh_tes_in!Y26=0,0,11630*1000*SER_hh_tes_in!Y26/SER_hh_num_in!Y26)</f>
        <v>13951.604971893665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105.8914298880789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74.505005251816641</v>
      </c>
      <c r="G27" s="145">
        <f>IF(SER_hh_tes_in!G27=0,0,11630*1000*SER_hh_tes_in!G27/SER_hh_num_in!G19)</f>
        <v>58.917020263502131</v>
      </c>
      <c r="H27" s="145">
        <f>IF(SER_hh_tes_in!H27=0,0,11630*1000*SER_hh_tes_in!H27/SER_hh_num_in!H19)</f>
        <v>86.735803577845189</v>
      </c>
      <c r="I27" s="145">
        <f>IF(SER_hh_tes_in!I27=0,0,11630*1000*SER_hh_tes_in!I27/SER_hh_num_in!I19)</f>
        <v>55.762655145474682</v>
      </c>
      <c r="J27" s="145">
        <f>IF(SER_hh_tes_in!J27=0,0,11630*1000*SER_hh_tes_in!J27/SER_hh_num_in!J19)</f>
        <v>668.24327273962103</v>
      </c>
      <c r="K27" s="145">
        <f>IF(SER_hh_tes_in!K27=0,0,11630*1000*SER_hh_tes_in!K27/SER_hh_num_in!K19)</f>
        <v>576.33359593626301</v>
      </c>
      <c r="L27" s="145">
        <f>IF(SER_hh_tes_in!L27=0,0,11630*1000*SER_hh_tes_in!L27/SER_hh_num_in!L19)</f>
        <v>2061.8973160558462</v>
      </c>
      <c r="M27" s="145">
        <f>IF(SER_hh_tes_in!M27=0,0,11630*1000*SER_hh_tes_in!M27/SER_hh_num_in!M19)</f>
        <v>666.43516064190135</v>
      </c>
      <c r="N27" s="145">
        <f>IF(SER_hh_tes_in!N27=0,0,11630*1000*SER_hh_tes_in!N27/SER_hh_num_in!N19)</f>
        <v>630.91572366183027</v>
      </c>
      <c r="O27" s="145">
        <f>IF(SER_hh_tes_in!O27=0,0,11630*1000*SER_hh_tes_in!O27/SER_hh_num_in!O19)</f>
        <v>923.87947502265069</v>
      </c>
      <c r="P27" s="145">
        <f>IF(SER_hh_tes_in!P27=0,0,11630*1000*SER_hh_tes_in!P27/SER_hh_num_in!P19)</f>
        <v>494.89027932390104</v>
      </c>
      <c r="Q27" s="145">
        <f>IF(SER_hh_tes_in!Q27=0,0,11630*1000*SER_hh_tes_in!Q27/SER_hh_num_in!Q19)</f>
        <v>1215.1730658695103</v>
      </c>
      <c r="R27" s="145">
        <f>IF(SER_hh_tes_in!R27=0,0,11630*1000*SER_hh_tes_in!R27/SER_hh_num_in!R19)</f>
        <v>450.40478109135245</v>
      </c>
      <c r="S27" s="145">
        <f>IF(SER_hh_tes_in!S27=0,0,11630*1000*SER_hh_tes_in!S27/SER_hh_num_in!S19)</f>
        <v>203.72638731689847</v>
      </c>
      <c r="T27" s="145">
        <f>IF(SER_hh_tes_in!T27=0,0,11630*1000*SER_hh_tes_in!T27/SER_hh_num_in!T19)</f>
        <v>1261.3829295355472</v>
      </c>
      <c r="U27" s="145">
        <f>IF(SER_hh_tes_in!U27=0,0,11630*1000*SER_hh_tes_in!U27/SER_hh_num_in!U19)</f>
        <v>1.229730875265388E-12</v>
      </c>
      <c r="V27" s="145">
        <f>IF(SER_hh_tes_in!V27=0,0,11630*1000*SER_hh_tes_in!V27/SER_hh_num_in!V19)</f>
        <v>169.67719992880041</v>
      </c>
      <c r="W27" s="145">
        <f>IF(SER_hh_tes_in!W27=0,0,11630*1000*SER_hh_tes_in!W27/SER_hh_num_in!W19)</f>
        <v>2.0096370896409636E-2</v>
      </c>
      <c r="X27" s="145">
        <f>IF(SER_hh_tes_in!X27=0,0,11630*1000*SER_hh_tes_in!X27/SER_hh_num_in!X19)</f>
        <v>6.6464684840300001E-3</v>
      </c>
      <c r="Y27" s="145">
        <f>IF(SER_hh_tes_in!Y27=0,0,11630*1000*SER_hh_tes_in!Y27/SER_hh_num_in!Y19)</f>
        <v>1.0031950137486289E-12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5500.1408151035475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6308.4106077263004</v>
      </c>
      <c r="G28" s="146">
        <f>IF(SER_hh_tes_in!G27=0,0,11630*1000*SER_hh_tes_in!G27/SER_hh_num_in!G27)</f>
        <v>6381.5398738324584</v>
      </c>
      <c r="H28" s="146">
        <f>IF(SER_hh_tes_in!H27=0,0,11630*1000*SER_hh_tes_in!H27/SER_hh_num_in!H27)</f>
        <v>6735.7688504841162</v>
      </c>
      <c r="I28" s="146">
        <f>IF(SER_hh_tes_in!I27=0,0,11630*1000*SER_hh_tes_in!I27/SER_hh_num_in!I27)</f>
        <v>7158.3398193271232</v>
      </c>
      <c r="J28" s="146">
        <f>IF(SER_hh_tes_in!J27=0,0,11630*1000*SER_hh_tes_in!J27/SER_hh_num_in!J27)</f>
        <v>7400.4368555348683</v>
      </c>
      <c r="K28" s="146">
        <f>IF(SER_hh_tes_in!K27=0,0,11630*1000*SER_hh_tes_in!K27/SER_hh_num_in!K27)</f>
        <v>7510.0514720705951</v>
      </c>
      <c r="L28" s="146">
        <f>IF(SER_hh_tes_in!L27=0,0,11630*1000*SER_hh_tes_in!L27/SER_hh_num_in!L27)</f>
        <v>7211.6455603286977</v>
      </c>
      <c r="M28" s="146">
        <f>IF(SER_hh_tes_in!M27=0,0,11630*1000*SER_hh_tes_in!M27/SER_hh_num_in!M27)</f>
        <v>7528.4013816123634</v>
      </c>
      <c r="N28" s="146">
        <f>IF(SER_hh_tes_in!N27=0,0,11630*1000*SER_hh_tes_in!N27/SER_hh_num_in!N27)</f>
        <v>7962.3005331971217</v>
      </c>
      <c r="O28" s="146">
        <f>IF(SER_hh_tes_in!O27=0,0,11630*1000*SER_hh_tes_in!O27/SER_hh_num_in!O27)</f>
        <v>7928.7826148218737</v>
      </c>
      <c r="P28" s="146">
        <f>IF(SER_hh_tes_in!P27=0,0,11630*1000*SER_hh_tes_in!P27/SER_hh_num_in!P27)</f>
        <v>8025.2813127972086</v>
      </c>
      <c r="Q28" s="146">
        <f>IF(SER_hh_tes_in!Q27=0,0,11630*1000*SER_hh_tes_in!Q27/SER_hh_num_in!Q27)</f>
        <v>8054.5147479708194</v>
      </c>
      <c r="R28" s="146">
        <f>IF(SER_hh_tes_in!R27=0,0,11630*1000*SER_hh_tes_in!R27/SER_hh_num_in!R27)</f>
        <v>8209.3277560722945</v>
      </c>
      <c r="S28" s="146">
        <f>IF(SER_hh_tes_in!S27=0,0,11630*1000*SER_hh_tes_in!S27/SER_hh_num_in!S27)</f>
        <v>8360.8908850407261</v>
      </c>
      <c r="T28" s="146">
        <f>IF(SER_hh_tes_in!T27=0,0,11630*1000*SER_hh_tes_in!T27/SER_hh_num_in!T27)</f>
        <v>6905.5779997117943</v>
      </c>
      <c r="U28" s="146">
        <f>IF(SER_hh_tes_in!U27=0,0,11630*1000*SER_hh_tes_in!U27/SER_hh_num_in!U27)</f>
        <v>7517.8926886777781</v>
      </c>
      <c r="V28" s="146">
        <f>IF(SER_hh_tes_in!V27=0,0,11630*1000*SER_hh_tes_in!V27/SER_hh_num_in!V27)</f>
        <v>7024.9111469171585</v>
      </c>
      <c r="W28" s="146">
        <f>IF(SER_hh_tes_in!W27=0,0,11630*1000*SER_hh_tes_in!W27/SER_hh_num_in!W27)</f>
        <v>7314.5451135801477</v>
      </c>
      <c r="X28" s="146">
        <f>IF(SER_hh_tes_in!X27=0,0,11630*1000*SER_hh_tes_in!X27/SER_hh_num_in!X27)</f>
        <v>9083.758361877246</v>
      </c>
      <c r="Y28" s="146">
        <f>IF(SER_hh_tes_in!Y27=0,0,11630*1000*SER_hh_tes_in!Y27/SER_hh_num_in!Y27)</f>
        <v>10467.056476421014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12575.024980421451</v>
      </c>
      <c r="D29" s="130">
        <f>IF(SER_hh_tes_in!D29=0,0,11630*1000*SER_hh_tes_in!D29/SER_hh_num_in!D29)</f>
        <v>13957.151945541573</v>
      </c>
      <c r="E29" s="130">
        <f>IF(SER_hh_tes_in!E29=0,0,11630*1000*SER_hh_tes_in!E29/SER_hh_num_in!E29)</f>
        <v>15731.105035561141</v>
      </c>
      <c r="F29" s="130">
        <f>IF(SER_hh_tes_in!F29=0,0,11630*1000*SER_hh_tes_in!F29/SER_hh_num_in!F29)</f>
        <v>15777.648528859245</v>
      </c>
      <c r="G29" s="130">
        <f>IF(SER_hh_tes_in!G29=0,0,11630*1000*SER_hh_tes_in!G29/SER_hh_num_in!G29)</f>
        <v>16027.743017034176</v>
      </c>
      <c r="H29" s="130">
        <f>IF(SER_hh_tes_in!H29=0,0,11630*1000*SER_hh_tes_in!H29/SER_hh_num_in!H29)</f>
        <v>16312.081206846386</v>
      </c>
      <c r="I29" s="130">
        <f>IF(SER_hh_tes_in!I29=0,0,11630*1000*SER_hh_tes_in!I29/SER_hh_num_in!I29)</f>
        <v>16932.588835260052</v>
      </c>
      <c r="J29" s="130">
        <f>IF(SER_hh_tes_in!J29=0,0,11630*1000*SER_hh_tes_in!J29/SER_hh_num_in!J29)</f>
        <v>17324.840859979005</v>
      </c>
      <c r="K29" s="130">
        <f>IF(SER_hh_tes_in!K29=0,0,11630*1000*SER_hh_tes_in!K29/SER_hh_num_in!K29)</f>
        <v>17010.218834920895</v>
      </c>
      <c r="L29" s="130">
        <f>IF(SER_hh_tes_in!L29=0,0,11630*1000*SER_hh_tes_in!L29/SER_hh_num_in!L29)</f>
        <v>17166.663631884341</v>
      </c>
      <c r="M29" s="130">
        <f>IF(SER_hh_tes_in!M29=0,0,11630*1000*SER_hh_tes_in!M29/SER_hh_num_in!M29)</f>
        <v>17258.351179090798</v>
      </c>
      <c r="N29" s="130">
        <f>IF(SER_hh_tes_in!N29=0,0,11630*1000*SER_hh_tes_in!N29/SER_hh_num_in!N29)</f>
        <v>17146.993652960879</v>
      </c>
      <c r="O29" s="130">
        <f>IF(SER_hh_tes_in!O29=0,0,11630*1000*SER_hh_tes_in!O29/SER_hh_num_in!O29)</f>
        <v>17074.772695716008</v>
      </c>
      <c r="P29" s="130">
        <f>IF(SER_hh_tes_in!P29=0,0,11630*1000*SER_hh_tes_in!P29/SER_hh_num_in!P29)</f>
        <v>17066.029825921345</v>
      </c>
      <c r="Q29" s="130">
        <f>IF(SER_hh_tes_in!Q29=0,0,11630*1000*SER_hh_tes_in!Q29/SER_hh_num_in!Q29)</f>
        <v>17077.911517666842</v>
      </c>
      <c r="R29" s="130">
        <f>IF(SER_hh_tes_in!R29=0,0,11630*1000*SER_hh_tes_in!R29/SER_hh_num_in!R29)</f>
        <v>16993.963257230993</v>
      </c>
      <c r="S29" s="130">
        <f>IF(SER_hh_tes_in!S29=0,0,11630*1000*SER_hh_tes_in!S29/SER_hh_num_in!S29)</f>
        <v>16572.456478075652</v>
      </c>
      <c r="T29" s="130">
        <f>IF(SER_hh_tes_in!T29=0,0,11630*1000*SER_hh_tes_in!T29/SER_hh_num_in!T29)</f>
        <v>16657.929443633817</v>
      </c>
      <c r="U29" s="130">
        <f>IF(SER_hh_tes_in!U29=0,0,11630*1000*SER_hh_tes_in!U29/SER_hh_num_in!U29)</f>
        <v>16437.331390770945</v>
      </c>
      <c r="V29" s="130">
        <f>IF(SER_hh_tes_in!V29=0,0,11630*1000*SER_hh_tes_in!V29/SER_hh_num_in!V29)</f>
        <v>15433.584469787678</v>
      </c>
      <c r="W29" s="130">
        <f>IF(SER_hh_tes_in!W29=0,0,11630*1000*SER_hh_tes_in!W29/SER_hh_num_in!W29)</f>
        <v>15948.620908958723</v>
      </c>
      <c r="X29" s="130">
        <f>IF(SER_hh_tes_in!X29=0,0,11630*1000*SER_hh_tes_in!X29/SER_hh_num_in!X29)</f>
        <v>16031.723692136635</v>
      </c>
      <c r="Y29" s="130">
        <f>IF(SER_hh_tes_in!Y29=0,0,11630*1000*SER_hh_tes_in!Y29/SER_hh_num_in!Y29)</f>
        <v>16002.725150931159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14908.566489895209</v>
      </c>
      <c r="D30" s="132">
        <f>IF(SER_hh_tes_in!D30=0,0,11630*1000*SER_hh_tes_in!D30/SER_hh_num_in!D30)</f>
        <v>12208.823713745744</v>
      </c>
      <c r="E30" s="132">
        <f>IF(SER_hh_tes_in!E30=0,0,11630*1000*SER_hh_tes_in!E30/SER_hh_num_in!E30)</f>
        <v>17863.063291520193</v>
      </c>
      <c r="F30" s="132">
        <f>IF(SER_hh_tes_in!F30=0,0,11630*1000*SER_hh_tes_in!F30/SER_hh_num_in!F30)</f>
        <v>16114.684381262316</v>
      </c>
      <c r="G30" s="132">
        <f>IF(SER_hh_tes_in!G30=0,0,11630*1000*SER_hh_tes_in!G30/SER_hh_num_in!G30)</f>
        <v>15559.012330239324</v>
      </c>
      <c r="H30" s="132">
        <f>IF(SER_hh_tes_in!H30=0,0,11630*1000*SER_hh_tes_in!H30/SER_hh_num_in!H30)</f>
        <v>17412.448102379964</v>
      </c>
      <c r="I30" s="132">
        <f>IF(SER_hh_tes_in!I30=0,0,11630*1000*SER_hh_tes_in!I30/SER_hh_num_in!I30)</f>
        <v>18523.672457492623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17057.264759516533</v>
      </c>
      <c r="O30" s="132">
        <f>IF(SER_hh_tes_in!O30=0,0,11630*1000*SER_hh_tes_in!O30/SER_hh_num_in!O30)</f>
        <v>17580.301857814215</v>
      </c>
      <c r="P30" s="132">
        <f>IF(SER_hh_tes_in!P30=0,0,11630*1000*SER_hh_tes_in!P30/SER_hh_num_in!P30)</f>
        <v>15285.992520283384</v>
      </c>
      <c r="Q30" s="132">
        <f>IF(SER_hh_tes_in!Q30=0,0,11630*1000*SER_hh_tes_in!Q30/SER_hh_num_in!Q30)</f>
        <v>16985.174066092597</v>
      </c>
      <c r="R30" s="132">
        <f>IF(SER_hh_tes_in!R30=0,0,11630*1000*SER_hh_tes_in!R30/SER_hh_num_in!R30)</f>
        <v>17542.188982818458</v>
      </c>
      <c r="S30" s="132">
        <f>IF(SER_hh_tes_in!S30=0,0,11630*1000*SER_hh_tes_in!S30/SER_hh_num_in!S30)</f>
        <v>17028.991012875475</v>
      </c>
      <c r="T30" s="132">
        <f>IF(SER_hh_tes_in!T30=0,0,11630*1000*SER_hh_tes_in!T30/SER_hh_num_in!T30)</f>
        <v>16236.265363682845</v>
      </c>
      <c r="U30" s="132">
        <f>IF(SER_hh_tes_in!U30=0,0,11630*1000*SER_hh_tes_in!U30/SER_hh_num_in!U30)</f>
        <v>18938.953196069906</v>
      </c>
      <c r="V30" s="132">
        <f>IF(SER_hh_tes_in!V30=0,0,11630*1000*SER_hh_tes_in!V30/SER_hh_num_in!V30)</f>
        <v>13423.668338605756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12458.659387854179</v>
      </c>
      <c r="D31" s="132">
        <f>IF(SER_hh_tes_in!D31=0,0,11630*1000*SER_hh_tes_in!D31/SER_hh_num_in!D31)</f>
        <v>14088.346301232685</v>
      </c>
      <c r="E31" s="132">
        <f>IF(SER_hh_tes_in!E31=0,0,11630*1000*SER_hh_tes_in!E31/SER_hh_num_in!E31)</f>
        <v>15455.395045736581</v>
      </c>
      <c r="F31" s="132">
        <f>IF(SER_hh_tes_in!F31=0,0,11630*1000*SER_hh_tes_in!F31/SER_hh_num_in!F31)</f>
        <v>15444.823244769519</v>
      </c>
      <c r="G31" s="132">
        <f>IF(SER_hh_tes_in!G31=0,0,11630*1000*SER_hh_tes_in!G31/SER_hh_num_in!G31)</f>
        <v>16198.695528087359</v>
      </c>
      <c r="H31" s="132">
        <f>IF(SER_hh_tes_in!H31=0,0,11630*1000*SER_hh_tes_in!H31/SER_hh_num_in!H31)</f>
        <v>16685.066863745611</v>
      </c>
      <c r="I31" s="132">
        <f>IF(SER_hh_tes_in!I31=0,0,11630*1000*SER_hh_tes_in!I31/SER_hh_num_in!I31)</f>
        <v>16959.302208502901</v>
      </c>
      <c r="J31" s="132">
        <f>IF(SER_hh_tes_in!J31=0,0,11630*1000*SER_hh_tes_in!J31/SER_hh_num_in!J31)</f>
        <v>17125.763892770316</v>
      </c>
      <c r="K31" s="132">
        <f>IF(SER_hh_tes_in!K31=0,0,11630*1000*SER_hh_tes_in!K31/SER_hh_num_in!K31)</f>
        <v>17024.372227473075</v>
      </c>
      <c r="L31" s="132">
        <f>IF(SER_hh_tes_in!L31=0,0,11630*1000*SER_hh_tes_in!L31/SER_hh_num_in!L31)</f>
        <v>16277.00778661796</v>
      </c>
      <c r="M31" s="132">
        <f>IF(SER_hh_tes_in!M31=0,0,11630*1000*SER_hh_tes_in!M31/SER_hh_num_in!M31)</f>
        <v>17240.886813511319</v>
      </c>
      <c r="N31" s="132">
        <f>IF(SER_hh_tes_in!N31=0,0,11630*1000*SER_hh_tes_in!N31/SER_hh_num_in!N31)</f>
        <v>17711.491945278187</v>
      </c>
      <c r="O31" s="132">
        <f>IF(SER_hh_tes_in!O31=0,0,11630*1000*SER_hh_tes_in!O31/SER_hh_num_in!O31)</f>
        <v>17296.680325581729</v>
      </c>
      <c r="P31" s="132">
        <f>IF(SER_hh_tes_in!P31=0,0,11630*1000*SER_hh_tes_in!P31/SER_hh_num_in!P31)</f>
        <v>17024.307664733384</v>
      </c>
      <c r="Q31" s="132">
        <f>IF(SER_hh_tes_in!Q31=0,0,11630*1000*SER_hh_tes_in!Q31/SER_hh_num_in!Q31)</f>
        <v>17522.685092357133</v>
      </c>
      <c r="R31" s="132">
        <f>IF(SER_hh_tes_in!R31=0,0,11630*1000*SER_hh_tes_in!R31/SER_hh_num_in!R31)</f>
        <v>17065.814240010423</v>
      </c>
      <c r="S31" s="132">
        <f>IF(SER_hh_tes_in!S31=0,0,11630*1000*SER_hh_tes_in!S31/SER_hh_num_in!S31)</f>
        <v>16435.377622218079</v>
      </c>
      <c r="T31" s="132">
        <f>IF(SER_hh_tes_in!T31=0,0,11630*1000*SER_hh_tes_in!T31/SER_hh_num_in!T31)</f>
        <v>16372.806445180369</v>
      </c>
      <c r="U31" s="132">
        <f>IF(SER_hh_tes_in!U31=0,0,11630*1000*SER_hh_tes_in!U31/SER_hh_num_in!U31)</f>
        <v>16577.442747882378</v>
      </c>
      <c r="V31" s="132">
        <f>IF(SER_hh_tes_in!V31=0,0,11630*1000*SER_hh_tes_in!V31/SER_hh_num_in!V31)</f>
        <v>13533.022658999767</v>
      </c>
      <c r="W31" s="132">
        <f>IF(SER_hh_tes_in!W31=0,0,11630*1000*SER_hh_tes_in!W31/SER_hh_num_in!W31)</f>
        <v>16884.258555865279</v>
      </c>
      <c r="X31" s="132">
        <f>IF(SER_hh_tes_in!X31=0,0,11630*1000*SER_hh_tes_in!X31/SER_hh_num_in!X31)</f>
        <v>16125.231774410377</v>
      </c>
      <c r="Y31" s="132">
        <f>IF(SER_hh_tes_in!Y31=0,0,11630*1000*SER_hh_tes_in!Y31/SER_hh_num_in!Y31)</f>
        <v>16071.886983363989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12292.713497487115</v>
      </c>
      <c r="D33" s="68">
        <f>IF(SER_hh_tes_in!D33=0,0,11630*1000*SER_hh_tes_in!D33/SER_hh_num_in!D33)</f>
        <v>14202.236047203536</v>
      </c>
      <c r="E33" s="68">
        <f>IF(SER_hh_tes_in!E33=0,0,11630*1000*SER_hh_tes_in!E33/SER_hh_num_in!E33)</f>
        <v>15485.866304843683</v>
      </c>
      <c r="F33" s="68">
        <f>IF(SER_hh_tes_in!F33=0,0,11630*1000*SER_hh_tes_in!F33/SER_hh_num_in!F33)</f>
        <v>15839.96461656551</v>
      </c>
      <c r="G33" s="68">
        <f>IF(SER_hh_tes_in!G33=0,0,11630*1000*SER_hh_tes_in!G33/SER_hh_num_in!G33)</f>
        <v>16006.651913396347</v>
      </c>
      <c r="H33" s="68">
        <f>IF(SER_hh_tes_in!H33=0,0,11630*1000*SER_hh_tes_in!H33/SER_hh_num_in!H33)</f>
        <v>16176.568124189331</v>
      </c>
      <c r="I33" s="68">
        <f>IF(SER_hh_tes_in!I33=0,0,11630*1000*SER_hh_tes_in!I33/SER_hh_num_in!I33)</f>
        <v>16915.268142787834</v>
      </c>
      <c r="J33" s="68">
        <f>IF(SER_hh_tes_in!J33=0,0,11630*1000*SER_hh_tes_in!J33/SER_hh_num_in!J33)</f>
        <v>17362.296998000598</v>
      </c>
      <c r="K33" s="68">
        <f>IF(SER_hh_tes_in!K33=0,0,11630*1000*SER_hh_tes_in!K33/SER_hh_num_in!K33)</f>
        <v>17006.853973129204</v>
      </c>
      <c r="L33" s="68">
        <f>IF(SER_hh_tes_in!L33=0,0,11630*1000*SER_hh_tes_in!L33/SER_hh_num_in!L33)</f>
        <v>17536.913796332239</v>
      </c>
      <c r="M33" s="68">
        <f>IF(SER_hh_tes_in!M33=0,0,11630*1000*SER_hh_tes_in!M33/SER_hh_num_in!M33)</f>
        <v>17268.925421482578</v>
      </c>
      <c r="N33" s="68">
        <f>IF(SER_hh_tes_in!N33=0,0,11630*1000*SER_hh_tes_in!N33/SER_hh_num_in!N33)</f>
        <v>16826.222609200318</v>
      </c>
      <c r="O33" s="68">
        <f>IF(SER_hh_tes_in!O33=0,0,11630*1000*SER_hh_tes_in!O33/SER_hh_num_in!O33)</f>
        <v>16928.460020869719</v>
      </c>
      <c r="P33" s="68">
        <f>IF(SER_hh_tes_in!P33=0,0,11630*1000*SER_hh_tes_in!P33/SER_hh_num_in!P33)</f>
        <v>17183.166286871412</v>
      </c>
      <c r="Q33" s="68">
        <f>IF(SER_hh_tes_in!Q33=0,0,11630*1000*SER_hh_tes_in!Q33/SER_hh_num_in!Q33)</f>
        <v>16973.699918207349</v>
      </c>
      <c r="R33" s="68">
        <f>IF(SER_hh_tes_in!R33=0,0,11630*1000*SER_hh_tes_in!R33/SER_hh_num_in!R33)</f>
        <v>16951.74241030297</v>
      </c>
      <c r="S33" s="68">
        <f>IF(SER_hh_tes_in!S33=0,0,11630*1000*SER_hh_tes_in!S33/SER_hh_num_in!S33)</f>
        <v>16575.800358614877</v>
      </c>
      <c r="T33" s="68">
        <f>IF(SER_hh_tes_in!T33=0,0,11630*1000*SER_hh_tes_in!T33/SER_hh_num_in!T33)</f>
        <v>16708.187202249308</v>
      </c>
      <c r="U33" s="68">
        <f>IF(SER_hh_tes_in!U33=0,0,11630*1000*SER_hh_tes_in!U33/SER_hh_num_in!U33)</f>
        <v>16370.990752525269</v>
      </c>
      <c r="V33" s="68">
        <f>IF(SER_hh_tes_in!V33=0,0,11630*1000*SER_hh_tes_in!V33/SER_hh_num_in!V33)</f>
        <v>16069.416569262306</v>
      </c>
      <c r="W33" s="68">
        <f>IF(SER_hh_tes_in!W33=0,0,11630*1000*SER_hh_tes_in!W33/SER_hh_num_in!W33)</f>
        <v>15220.773231134584</v>
      </c>
      <c r="X33" s="68">
        <f>IF(SER_hh_tes_in!X33=0,0,11630*1000*SER_hh_tes_in!X33/SER_hh_num_in!X33)</f>
        <v>15978.314838317547</v>
      </c>
      <c r="Y33" s="68">
        <f>IF(SER_hh_tes_in!Y33=0,0,11630*1000*SER_hh_tes_in!Y33/SER_hh_num_in!Y33)</f>
        <v>15976.807543975245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24025.717517240577</v>
      </c>
      <c r="D3" s="125">
        <f>IF(SER_hh_emi_in!D3=0,0,1000000*SER_hh_emi_in!D3/SER_hh_num_in!D3)</f>
        <v>29620.303450835429</v>
      </c>
      <c r="E3" s="125">
        <f>IF(SER_hh_emi_in!E3=0,0,1000000*SER_hh_emi_in!E3/SER_hh_num_in!E3)</f>
        <v>27342.752015218884</v>
      </c>
      <c r="F3" s="125">
        <f>IF(SER_hh_emi_in!F3=0,0,1000000*SER_hh_emi_in!F3/SER_hh_num_in!F3)</f>
        <v>17347.236409268073</v>
      </c>
      <c r="G3" s="125">
        <f>IF(SER_hh_emi_in!G3=0,0,1000000*SER_hh_emi_in!G3/SER_hh_num_in!G3)</f>
        <v>14383.252325732385</v>
      </c>
      <c r="H3" s="125">
        <f>IF(SER_hh_emi_in!H3=0,0,1000000*SER_hh_emi_in!H3/SER_hh_num_in!H3)</f>
        <v>19228.457316018546</v>
      </c>
      <c r="I3" s="125">
        <f>IF(SER_hh_emi_in!I3=0,0,1000000*SER_hh_emi_in!I3/SER_hh_num_in!I3)</f>
        <v>19370.546318163142</v>
      </c>
      <c r="J3" s="125">
        <f>IF(SER_hh_emi_in!J3=0,0,1000000*SER_hh_emi_in!J3/SER_hh_num_in!J3)</f>
        <v>19562.364879107019</v>
      </c>
      <c r="K3" s="125">
        <f>IF(SER_hh_emi_in!K3=0,0,1000000*SER_hh_emi_in!K3/SER_hh_num_in!K3)</f>
        <v>22248.297082756744</v>
      </c>
      <c r="L3" s="125">
        <f>IF(SER_hh_emi_in!L3=0,0,1000000*SER_hh_emi_in!L3/SER_hh_num_in!L3)</f>
        <v>20681.161260387045</v>
      </c>
      <c r="M3" s="125">
        <f>IF(SER_hh_emi_in!M3=0,0,1000000*SER_hh_emi_in!M3/SER_hh_num_in!M3)</f>
        <v>19883.455599246558</v>
      </c>
      <c r="N3" s="125">
        <f>IF(SER_hh_emi_in!N3=0,0,1000000*SER_hh_emi_in!N3/SER_hh_num_in!N3)</f>
        <v>16866.417193152385</v>
      </c>
      <c r="O3" s="125">
        <f>IF(SER_hh_emi_in!O3=0,0,1000000*SER_hh_emi_in!O3/SER_hh_num_in!O3)</f>
        <v>13458.002274509514</v>
      </c>
      <c r="P3" s="125">
        <f>IF(SER_hh_emi_in!P3=0,0,1000000*SER_hh_emi_in!P3/SER_hh_num_in!P3)</f>
        <v>10589.602042535773</v>
      </c>
      <c r="Q3" s="125">
        <f>IF(SER_hh_emi_in!Q3=0,0,1000000*SER_hh_emi_in!Q3/SER_hh_num_in!Q3)</f>
        <v>11072.760276608416</v>
      </c>
      <c r="R3" s="125">
        <f>IF(SER_hh_emi_in!R3=0,0,1000000*SER_hh_emi_in!R3/SER_hh_num_in!R3)</f>
        <v>9427.7897813867094</v>
      </c>
      <c r="S3" s="125">
        <f>IF(SER_hh_emi_in!S3=0,0,1000000*SER_hh_emi_in!S3/SER_hh_num_in!S3)</f>
        <v>7568.4771386376742</v>
      </c>
      <c r="T3" s="125">
        <f>IF(SER_hh_emi_in!T3=0,0,1000000*SER_hh_emi_in!T3/SER_hh_num_in!T3)</f>
        <v>5767.7154636576297</v>
      </c>
      <c r="U3" s="125">
        <f>IF(SER_hh_emi_in!U3=0,0,1000000*SER_hh_emi_in!U3/SER_hh_num_in!U3)</f>
        <v>5769.0208027341059</v>
      </c>
      <c r="V3" s="125">
        <f>IF(SER_hh_emi_in!V3=0,0,1000000*SER_hh_emi_in!V3/SER_hh_num_in!V3)</f>
        <v>5710.3209835022899</v>
      </c>
      <c r="W3" s="125">
        <f>IF(SER_hh_emi_in!W3=0,0,1000000*SER_hh_emi_in!W3/SER_hh_num_in!W3)</f>
        <v>6966.5772065837336</v>
      </c>
      <c r="X3" s="125">
        <f>IF(SER_hh_emi_in!X3=0,0,1000000*SER_hh_emi_in!X3/SER_hh_num_in!X3)</f>
        <v>5725.8790197659064</v>
      </c>
      <c r="Y3" s="125">
        <f>IF(SER_hh_emi_in!Y3=0,0,1000000*SER_hh_emi_in!Y3/SER_hh_num_in!Y3)</f>
        <v>3895.9252812665968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20162.715378718865</v>
      </c>
      <c r="D4" s="130">
        <f>IF(SER_hh_emi_in!D4=0,0,1000000*SER_hh_emi_in!D4/SER_hh_num_in!D4)</f>
        <v>25464.744210221124</v>
      </c>
      <c r="E4" s="130">
        <f>IF(SER_hh_emi_in!E4=0,0,1000000*SER_hh_emi_in!E4/SER_hh_num_in!E4)</f>
        <v>23056.836666502953</v>
      </c>
      <c r="F4" s="130">
        <f>IF(SER_hh_emi_in!F4=0,0,1000000*SER_hh_emi_in!F4/SER_hh_num_in!F4)</f>
        <v>14614.386262305065</v>
      </c>
      <c r="G4" s="130">
        <f>IF(SER_hh_emi_in!G4=0,0,1000000*SER_hh_emi_in!G4/SER_hh_num_in!G4)</f>
        <v>11869.854150733845</v>
      </c>
      <c r="H4" s="130">
        <f>IF(SER_hh_emi_in!H4=0,0,1000000*SER_hh_emi_in!H4/SER_hh_num_in!H4)</f>
        <v>17134.589315520061</v>
      </c>
      <c r="I4" s="130">
        <f>IF(SER_hh_emi_in!I4=0,0,1000000*SER_hh_emi_in!I4/SER_hh_num_in!I4)</f>
        <v>17284.489818307662</v>
      </c>
      <c r="J4" s="130">
        <f>IF(SER_hh_emi_in!J4=0,0,1000000*SER_hh_emi_in!J4/SER_hh_num_in!J4)</f>
        <v>17298.284515404361</v>
      </c>
      <c r="K4" s="130">
        <f>IF(SER_hh_emi_in!K4=0,0,1000000*SER_hh_emi_in!K4/SER_hh_num_in!K4)</f>
        <v>19592.784159204086</v>
      </c>
      <c r="L4" s="130">
        <f>IF(SER_hh_emi_in!L4=0,0,1000000*SER_hh_emi_in!L4/SER_hh_num_in!L4)</f>
        <v>16489.649570750844</v>
      </c>
      <c r="M4" s="130">
        <f>IF(SER_hh_emi_in!M4=0,0,1000000*SER_hh_emi_in!M4/SER_hh_num_in!M4)</f>
        <v>16061.086202423572</v>
      </c>
      <c r="N4" s="130">
        <f>IF(SER_hh_emi_in!N4=0,0,1000000*SER_hh_emi_in!N4/SER_hh_num_in!N4)</f>
        <v>12977.974790392165</v>
      </c>
      <c r="O4" s="130">
        <f>IF(SER_hh_emi_in!O4=0,0,1000000*SER_hh_emi_in!O4/SER_hh_num_in!O4)</f>
        <v>9978.0183578328724</v>
      </c>
      <c r="P4" s="130">
        <f>IF(SER_hh_emi_in!P4=0,0,1000000*SER_hh_emi_in!P4/SER_hh_num_in!P4)</f>
        <v>7940.1779518208614</v>
      </c>
      <c r="Q4" s="130">
        <f>IF(SER_hh_emi_in!Q4=0,0,1000000*SER_hh_emi_in!Q4/SER_hh_num_in!Q4)</f>
        <v>8457.8874176053741</v>
      </c>
      <c r="R4" s="130">
        <f>IF(SER_hh_emi_in!R4=0,0,1000000*SER_hh_emi_in!R4/SER_hh_num_in!R4)</f>
        <v>7204.5601297471903</v>
      </c>
      <c r="S4" s="130">
        <f>IF(SER_hh_emi_in!S4=0,0,1000000*SER_hh_emi_in!S4/SER_hh_num_in!S4)</f>
        <v>6057.6698910034611</v>
      </c>
      <c r="T4" s="130">
        <f>IF(SER_hh_emi_in!T4=0,0,1000000*SER_hh_emi_in!T4/SER_hh_num_in!T4)</f>
        <v>4664.2507930559514</v>
      </c>
      <c r="U4" s="130">
        <f>IF(SER_hh_emi_in!U4=0,0,1000000*SER_hh_emi_in!U4/SER_hh_num_in!U4)</f>
        <v>4288.6493058940905</v>
      </c>
      <c r="V4" s="130">
        <f>IF(SER_hh_emi_in!V4=0,0,1000000*SER_hh_emi_in!V4/SER_hh_num_in!V4)</f>
        <v>4252.1595696883815</v>
      </c>
      <c r="W4" s="130">
        <f>IF(SER_hh_emi_in!W4=0,0,1000000*SER_hh_emi_in!W4/SER_hh_num_in!W4)</f>
        <v>3990.435755256718</v>
      </c>
      <c r="X4" s="130">
        <f>IF(SER_hh_emi_in!X4=0,0,1000000*SER_hh_emi_in!X4/SER_hh_num_in!X4)</f>
        <v>3354.7234192247893</v>
      </c>
      <c r="Y4" s="130">
        <f>IF(SER_hh_emi_in!Y4=0,0,1000000*SER_hh_emi_in!Y4/SER_hh_num_in!Y4)</f>
        <v>1907.4500168569334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30620.130536822071</v>
      </c>
      <c r="D5" s="132">
        <f>IF(SER_hh_emi_in!D5=0,0,1000000*SER_hh_emi_in!D5/SER_hh_num_in!D5)</f>
        <v>50393.559353114237</v>
      </c>
      <c r="E5" s="132">
        <f>IF(SER_hh_emi_in!E5=0,0,1000000*SER_hh_emi_in!E5/SER_hh_num_in!E5)</f>
        <v>48177.988611183318</v>
      </c>
      <c r="F5" s="132">
        <f>IF(SER_hh_emi_in!F5=0,0,1000000*SER_hh_emi_in!F5/SER_hh_num_in!F5)</f>
        <v>44392.998985866965</v>
      </c>
      <c r="G5" s="132">
        <f>IF(SER_hh_emi_in!G5=0,0,1000000*SER_hh_emi_in!G5/SER_hh_num_in!G5)</f>
        <v>42365.337703335885</v>
      </c>
      <c r="H5" s="132">
        <f>IF(SER_hh_emi_in!H5=0,0,1000000*SER_hh_emi_in!H5/SER_hh_num_in!H5)</f>
        <v>47519.855115408245</v>
      </c>
      <c r="I5" s="132">
        <f>IF(SER_hh_emi_in!I5=0,0,1000000*SER_hh_emi_in!I5/SER_hh_num_in!I5)</f>
        <v>38727.326137552809</v>
      </c>
      <c r="J5" s="132">
        <f>IF(SER_hh_emi_in!J5=0,0,1000000*SER_hh_emi_in!J5/SER_hh_num_in!J5)</f>
        <v>41238.337628887741</v>
      </c>
      <c r="K5" s="132">
        <f>IF(SER_hh_emi_in!K5=0,0,1000000*SER_hh_emi_in!K5/SER_hh_num_in!K5)</f>
        <v>42164.715872681052</v>
      </c>
      <c r="L5" s="132">
        <f>IF(SER_hh_emi_in!L5=0,0,1000000*SER_hh_emi_in!L5/SER_hh_num_in!L5)</f>
        <v>46162.769695640243</v>
      </c>
      <c r="M5" s="132">
        <f>IF(SER_hh_emi_in!M5=0,0,1000000*SER_hh_emi_in!M5/SER_hh_num_in!M5)</f>
        <v>38871.517849742566</v>
      </c>
      <c r="N5" s="132">
        <f>IF(SER_hh_emi_in!N5=0,0,1000000*SER_hh_emi_in!N5/SER_hh_num_in!N5)</f>
        <v>37774.05836868097</v>
      </c>
      <c r="O5" s="132">
        <f>IF(SER_hh_emi_in!O5=0,0,1000000*SER_hh_emi_in!O5/SER_hh_num_in!O5)</f>
        <v>33941.606186986377</v>
      </c>
      <c r="P5" s="132">
        <f>IF(SER_hh_emi_in!P5=0,0,1000000*SER_hh_emi_in!P5/SER_hh_num_in!P5)</f>
        <v>28999.682181555771</v>
      </c>
      <c r="Q5" s="132">
        <f>IF(SER_hh_emi_in!Q5=0,0,1000000*SER_hh_emi_in!Q5/SER_hh_num_in!Q5)</f>
        <v>27175.617279387468</v>
      </c>
      <c r="R5" s="132">
        <f>IF(SER_hh_emi_in!R5=0,0,1000000*SER_hh_emi_in!R5/SER_hh_num_in!R5)</f>
        <v>27595.492533690307</v>
      </c>
      <c r="S5" s="132">
        <f>IF(SER_hh_emi_in!S5=0,0,1000000*SER_hh_emi_in!S5/SER_hh_num_in!S5)</f>
        <v>26147.696221405364</v>
      </c>
      <c r="T5" s="132">
        <f>IF(SER_hh_emi_in!T5=0,0,1000000*SER_hh_emi_in!T5/SER_hh_num_in!T5)</f>
        <v>23479.746755027623</v>
      </c>
      <c r="U5" s="132">
        <f>IF(SER_hh_emi_in!U5=0,0,1000000*SER_hh_emi_in!U5/SER_hh_num_in!U5)</f>
        <v>18393.378851950769</v>
      </c>
      <c r="V5" s="132">
        <f>IF(SER_hh_emi_in!V5=0,0,1000000*SER_hh_emi_in!V5/SER_hh_num_in!V5)</f>
        <v>18293.944930253903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39690.069867609614</v>
      </c>
      <c r="D7" s="132">
        <f>IF(SER_hh_emi_in!D7=0,0,1000000*SER_hh_emi_in!D7/SER_hh_num_in!D7)</f>
        <v>42261.399329391206</v>
      </c>
      <c r="E7" s="132">
        <f>IF(SER_hh_emi_in!E7=0,0,1000000*SER_hh_emi_in!E7/SER_hh_num_in!E7)</f>
        <v>41884.330545159042</v>
      </c>
      <c r="F7" s="132">
        <f>IF(SER_hh_emi_in!F7=0,0,1000000*SER_hh_emi_in!F7/SER_hh_num_in!F7)</f>
        <v>38523.668267292065</v>
      </c>
      <c r="G7" s="132">
        <f>IF(SER_hh_emi_in!G7=0,0,1000000*SER_hh_emi_in!G7/SER_hh_num_in!G7)</f>
        <v>29749.428821461301</v>
      </c>
      <c r="H7" s="132">
        <f>IF(SER_hh_emi_in!H7=0,0,1000000*SER_hh_emi_in!H7/SER_hh_num_in!H7)</f>
        <v>46227.720673921503</v>
      </c>
      <c r="I7" s="132">
        <f>IF(SER_hh_emi_in!I7=0,0,1000000*SER_hh_emi_in!I7/SER_hh_num_in!I7)</f>
        <v>39991.814651778863</v>
      </c>
      <c r="J7" s="132">
        <f>IF(SER_hh_emi_in!J7=0,0,1000000*SER_hh_emi_in!J7/SER_hh_num_in!J7)</f>
        <v>38252.437447371078</v>
      </c>
      <c r="K7" s="132">
        <f>IF(SER_hh_emi_in!K7=0,0,1000000*SER_hh_emi_in!K7/SER_hh_num_in!K7)</f>
        <v>35167.429316896458</v>
      </c>
      <c r="L7" s="132">
        <f>IF(SER_hh_emi_in!L7=0,0,1000000*SER_hh_emi_in!L7/SER_hh_num_in!L7)</f>
        <v>43414.598087893115</v>
      </c>
      <c r="M7" s="132">
        <f>IF(SER_hh_emi_in!M7=0,0,1000000*SER_hh_emi_in!M7/SER_hh_num_in!M7)</f>
        <v>40006.148647880509</v>
      </c>
      <c r="N7" s="132">
        <f>IF(SER_hh_emi_in!N7=0,0,1000000*SER_hh_emi_in!N7/SER_hh_num_in!N7)</f>
        <v>0</v>
      </c>
      <c r="O7" s="132">
        <f>IF(SER_hh_emi_in!O7=0,0,1000000*SER_hh_emi_in!O7/SER_hh_num_in!O7)</f>
        <v>0</v>
      </c>
      <c r="P7" s="132">
        <f>IF(SER_hh_emi_in!P7=0,0,1000000*SER_hh_emi_in!P7/SER_hh_num_in!P7)</f>
        <v>0</v>
      </c>
      <c r="Q7" s="132">
        <f>IF(SER_hh_emi_in!Q7=0,0,1000000*SER_hh_emi_in!Q7/SER_hh_num_in!Q7)</f>
        <v>21107.607445377776</v>
      </c>
      <c r="R7" s="132">
        <f>IF(SER_hh_emi_in!R7=0,0,1000000*SER_hh_emi_in!R7/SER_hh_num_in!R7)</f>
        <v>20073.92668393147</v>
      </c>
      <c r="S7" s="132">
        <f>IF(SER_hh_emi_in!S7=0,0,1000000*SER_hh_emi_in!S7/SER_hh_num_in!S7)</f>
        <v>19277.169965469828</v>
      </c>
      <c r="T7" s="132">
        <f>IF(SER_hh_emi_in!T7=0,0,1000000*SER_hh_emi_in!T7/SER_hh_num_in!T7)</f>
        <v>18770.056639011331</v>
      </c>
      <c r="U7" s="132">
        <f>IF(SER_hh_emi_in!U7=0,0,1000000*SER_hh_emi_in!U7/SER_hh_num_in!U7)</f>
        <v>15559.66896083171</v>
      </c>
      <c r="V7" s="132">
        <f>IF(SER_hh_emi_in!V7=0,0,1000000*SER_hh_emi_in!V7/SER_hh_num_in!V7)</f>
        <v>14960.472073848368</v>
      </c>
      <c r="W7" s="132">
        <f>IF(SER_hh_emi_in!W7=0,0,1000000*SER_hh_emi_in!W7/SER_hh_num_in!W7)</f>
        <v>15220.982456142998</v>
      </c>
      <c r="X7" s="132">
        <f>IF(SER_hh_emi_in!X7=0,0,1000000*SER_hh_emi_in!X7/SER_hh_num_in!X7)</f>
        <v>13180.618954658394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12537.659881197938</v>
      </c>
      <c r="D8" s="132">
        <f>IF(SER_hh_emi_in!D8=0,0,1000000*SER_hh_emi_in!D8/SER_hh_num_in!D8)</f>
        <v>12639.032247124749</v>
      </c>
      <c r="E8" s="132">
        <f>IF(SER_hh_emi_in!E8=0,0,1000000*SER_hh_emi_in!E8/SER_hh_num_in!E8)</f>
        <v>12793.191056855327</v>
      </c>
      <c r="F8" s="132">
        <f>IF(SER_hh_emi_in!F8=0,0,1000000*SER_hh_emi_in!F8/SER_hh_num_in!F8)</f>
        <v>12024.584331504018</v>
      </c>
      <c r="G8" s="132">
        <f>IF(SER_hh_emi_in!G8=0,0,1000000*SER_hh_emi_in!G8/SER_hh_num_in!G8)</f>
        <v>11346.135666046581</v>
      </c>
      <c r="H8" s="132">
        <f>IF(SER_hh_emi_in!H8=0,0,1000000*SER_hh_emi_in!H8/SER_hh_num_in!H8)</f>
        <v>10668.193455763352</v>
      </c>
      <c r="I8" s="132">
        <f>IF(SER_hh_emi_in!I8=0,0,1000000*SER_hh_emi_in!I8/SER_hh_num_in!I8)</f>
        <v>10010.831213866299</v>
      </c>
      <c r="J8" s="132">
        <f>IF(SER_hh_emi_in!J8=0,0,1000000*SER_hh_emi_in!J8/SER_hh_num_in!J8)</f>
        <v>9925.754789483115</v>
      </c>
      <c r="K8" s="132">
        <f>IF(SER_hh_emi_in!K8=0,0,1000000*SER_hh_emi_in!K8/SER_hh_num_in!K8)</f>
        <v>9983.2781247945204</v>
      </c>
      <c r="L8" s="132">
        <f>IF(SER_hh_emi_in!L8=0,0,1000000*SER_hh_emi_in!L8/SER_hh_num_in!L8)</f>
        <v>9472.8890968027736</v>
      </c>
      <c r="M8" s="132">
        <f>IF(SER_hh_emi_in!M8=0,0,1000000*SER_hh_emi_in!M8/SER_hh_num_in!M8)</f>
        <v>7662.9288436796423</v>
      </c>
      <c r="N8" s="132">
        <f>IF(SER_hh_emi_in!N8=0,0,1000000*SER_hh_emi_in!N8/SER_hh_num_in!N8)</f>
        <v>7065.9212608223861</v>
      </c>
      <c r="O8" s="132">
        <f>IF(SER_hh_emi_in!O8=0,0,1000000*SER_hh_emi_in!O8/SER_hh_num_in!O8)</f>
        <v>5518.0156183995459</v>
      </c>
      <c r="P8" s="132">
        <f>IF(SER_hh_emi_in!P8=0,0,1000000*SER_hh_emi_in!P8/SER_hh_num_in!P8)</f>
        <v>5680.437413780588</v>
      </c>
      <c r="Q8" s="132">
        <f>IF(SER_hh_emi_in!Q8=0,0,1000000*SER_hh_emi_in!Q8/SER_hh_num_in!Q8)</f>
        <v>4999.3944239083194</v>
      </c>
      <c r="R8" s="132">
        <f>IF(SER_hh_emi_in!R8=0,0,1000000*SER_hh_emi_in!R8/SER_hh_num_in!R8)</f>
        <v>4659.0443909464047</v>
      </c>
      <c r="S8" s="132">
        <f>IF(SER_hh_emi_in!S8=0,0,1000000*SER_hh_emi_in!S8/SER_hh_num_in!S8)</f>
        <v>3932.5883471648835</v>
      </c>
      <c r="T8" s="132">
        <f>IF(SER_hh_emi_in!T8=0,0,1000000*SER_hh_emi_in!T8/SER_hh_num_in!T8)</f>
        <v>3500.9590455687644</v>
      </c>
      <c r="U8" s="132">
        <f>IF(SER_hh_emi_in!U8=0,0,1000000*SER_hh_emi_in!U8/SER_hh_num_in!U8)</f>
        <v>3191.6134579677005</v>
      </c>
      <c r="V8" s="132">
        <f>IF(SER_hh_emi_in!V8=0,0,1000000*SER_hh_emi_in!V8/SER_hh_num_in!V8)</f>
        <v>2940.2964948405538</v>
      </c>
      <c r="W8" s="132">
        <f>IF(SER_hh_emi_in!W8=0,0,1000000*SER_hh_emi_in!W8/SER_hh_num_in!W8)</f>
        <v>2852.9746118084072</v>
      </c>
      <c r="X8" s="132">
        <f>IF(SER_hh_emi_in!X8=0,0,1000000*SER_hh_emi_in!X8/SER_hh_num_in!X8)</f>
        <v>2396.4658728237332</v>
      </c>
      <c r="Y8" s="132">
        <f>IF(SER_hh_emi_in!Y8=0,0,1000000*SER_hh_emi_in!Y8/SER_hh_num_in!Y8)</f>
        <v>2643.6879286541998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26698.4934397623</v>
      </c>
      <c r="D9" s="132">
        <f>IF(SER_hh_emi_in!D9=0,0,1000000*SER_hh_emi_in!D9/SER_hh_num_in!D9)</f>
        <v>29734.172717610472</v>
      </c>
      <c r="E9" s="132">
        <f>IF(SER_hh_emi_in!E9=0,0,1000000*SER_hh_emi_in!E9/SER_hh_num_in!E9)</f>
        <v>29708.009248519469</v>
      </c>
      <c r="F9" s="132">
        <f>IF(SER_hh_emi_in!F9=0,0,1000000*SER_hh_emi_in!F9/SER_hh_num_in!F9)</f>
        <v>29891.891122207726</v>
      </c>
      <c r="G9" s="132">
        <f>IF(SER_hh_emi_in!G9=0,0,1000000*SER_hh_emi_in!G9/SER_hh_num_in!G9)</f>
        <v>29126.286898571725</v>
      </c>
      <c r="H9" s="132">
        <f>IF(SER_hh_emi_in!H9=0,0,1000000*SER_hh_emi_in!H9/SER_hh_num_in!H9)</f>
        <v>26458.17404472534</v>
      </c>
      <c r="I9" s="132">
        <f>IF(SER_hh_emi_in!I9=0,0,1000000*SER_hh_emi_in!I9/SER_hh_num_in!I9)</f>
        <v>26021.092355633467</v>
      </c>
      <c r="J9" s="132">
        <f>IF(SER_hh_emi_in!J9=0,0,1000000*SER_hh_emi_in!J9/SER_hh_num_in!J9)</f>
        <v>26272.79639691834</v>
      </c>
      <c r="K9" s="132">
        <f>IF(SER_hh_emi_in!K9=0,0,1000000*SER_hh_emi_in!K9/SER_hh_num_in!K9)</f>
        <v>25903.725158825178</v>
      </c>
      <c r="L9" s="132">
        <f>IF(SER_hh_emi_in!L9=0,0,1000000*SER_hh_emi_in!L9/SER_hh_num_in!L9)</f>
        <v>29056.565867798174</v>
      </c>
      <c r="M9" s="132">
        <f>IF(SER_hh_emi_in!M9=0,0,1000000*SER_hh_emi_in!M9/SER_hh_num_in!M9)</f>
        <v>24131.623235933985</v>
      </c>
      <c r="N9" s="132">
        <f>IF(SER_hh_emi_in!N9=0,0,1000000*SER_hh_emi_in!N9/SER_hh_num_in!N9)</f>
        <v>22725.32354854943</v>
      </c>
      <c r="O9" s="132">
        <f>IF(SER_hh_emi_in!O9=0,0,1000000*SER_hh_emi_in!O9/SER_hh_num_in!O9)</f>
        <v>19829.310657645827</v>
      </c>
      <c r="P9" s="132">
        <f>IF(SER_hh_emi_in!P9=0,0,1000000*SER_hh_emi_in!P9/SER_hh_num_in!P9)</f>
        <v>15055.692109629135</v>
      </c>
      <c r="Q9" s="132">
        <f>IF(SER_hh_emi_in!Q9=0,0,1000000*SER_hh_emi_in!Q9/SER_hh_num_in!Q9)</f>
        <v>14918.267700924653</v>
      </c>
      <c r="R9" s="132">
        <f>IF(SER_hh_emi_in!R9=0,0,1000000*SER_hh_emi_in!R9/SER_hh_num_in!R9)</f>
        <v>16869.697255552834</v>
      </c>
      <c r="S9" s="132">
        <f>IF(SER_hh_emi_in!S9=0,0,1000000*SER_hh_emi_in!S9/SER_hh_num_in!S9)</f>
        <v>12194.102368052283</v>
      </c>
      <c r="T9" s="132">
        <f>IF(SER_hh_emi_in!T9=0,0,1000000*SER_hh_emi_in!T9/SER_hh_num_in!T9)</f>
        <v>11165.793666986981</v>
      </c>
      <c r="U9" s="132">
        <f>IF(SER_hh_emi_in!U9=0,0,1000000*SER_hh_emi_in!U9/SER_hh_num_in!U9)</f>
        <v>10813.974009734746</v>
      </c>
      <c r="V9" s="132">
        <f>IF(SER_hh_emi_in!V9=0,0,1000000*SER_hh_emi_in!V9/SER_hh_num_in!V9)</f>
        <v>8651.4526005588705</v>
      </c>
      <c r="W9" s="132">
        <f>IF(SER_hh_emi_in!W9=0,0,1000000*SER_hh_emi_in!W9/SER_hh_num_in!W9)</f>
        <v>10013.459249868334</v>
      </c>
      <c r="X9" s="132">
        <f>IF(SER_hh_emi_in!X9=0,0,1000000*SER_hh_emi_in!X9/SER_hh_num_in!X9)</f>
        <v>8459.186053195619</v>
      </c>
      <c r="Y9" s="132">
        <f>IF(SER_hh_emi_in!Y9=0,0,1000000*SER_hh_emi_in!Y9/SER_hh_num_in!Y9)</f>
        <v>7749.1574725968585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446.02517944190458</v>
      </c>
      <c r="K10" s="132">
        <f>IF(SER_hh_emi_in!K10=0,0,1000000*SER_hh_emi_in!K10/SER_hh_num_in!K10)</f>
        <v>1310.0799490542631</v>
      </c>
      <c r="L10" s="132">
        <f>IF(SER_hh_emi_in!L10=0,0,1000000*SER_hh_emi_in!L10/SER_hh_num_in!L10)</f>
        <v>262.6927767564365</v>
      </c>
      <c r="M10" s="132">
        <f>IF(SER_hh_emi_in!M10=0,0,1000000*SER_hh_emi_in!M10/SER_hh_num_in!M10)</f>
        <v>401.35195140225289</v>
      </c>
      <c r="N10" s="132">
        <f>IF(SER_hh_emi_in!N10=0,0,1000000*SER_hh_emi_in!N10/SER_hh_num_in!N10)</f>
        <v>314.86654940806244</v>
      </c>
      <c r="O10" s="132">
        <f>IF(SER_hh_emi_in!O10=0,0,1000000*SER_hh_emi_in!O10/SER_hh_num_in!O10)</f>
        <v>3504.3441166809403</v>
      </c>
      <c r="P10" s="132">
        <f>IF(SER_hh_emi_in!P10=0,0,1000000*SER_hh_emi_in!P10/SER_hh_num_in!P10)</f>
        <v>1703.5537174767981</v>
      </c>
      <c r="Q10" s="132">
        <f>IF(SER_hh_emi_in!Q10=0,0,1000000*SER_hh_emi_in!Q10/SER_hh_num_in!Q10)</f>
        <v>1348.1499701522937</v>
      </c>
      <c r="R10" s="132">
        <f>IF(SER_hh_emi_in!R10=0,0,1000000*SER_hh_emi_in!R10/SER_hh_num_in!R10)</f>
        <v>2106.2673580243058</v>
      </c>
      <c r="S10" s="132">
        <f>IF(SER_hh_emi_in!S10=0,0,1000000*SER_hh_emi_in!S10/SER_hh_num_in!S10)</f>
        <v>1383.8504633592172</v>
      </c>
      <c r="T10" s="132">
        <f>IF(SER_hh_emi_in!T10=0,0,1000000*SER_hh_emi_in!T10/SER_hh_num_in!T10)</f>
        <v>1152.7733930530349</v>
      </c>
      <c r="U10" s="132">
        <f>IF(SER_hh_emi_in!U10=0,0,1000000*SER_hh_emi_in!U10/SER_hh_num_in!U10)</f>
        <v>964.08501073968807</v>
      </c>
      <c r="V10" s="132">
        <f>IF(SER_hh_emi_in!V10=0,0,1000000*SER_hh_emi_in!V10/SER_hh_num_in!V10)</f>
        <v>2504.0119976880501</v>
      </c>
      <c r="W10" s="132">
        <f>IF(SER_hh_emi_in!W10=0,0,1000000*SER_hh_emi_in!W10/SER_hh_num_in!W10)</f>
        <v>2661.844685468745</v>
      </c>
      <c r="X10" s="132">
        <f>IF(SER_hh_emi_in!X10=0,0,1000000*SER_hh_emi_in!X10/SER_hh_num_in!X10)</f>
        <v>801.18586862617883</v>
      </c>
      <c r="Y10" s="132">
        <f>IF(SER_hh_emi_in!Y10=0,0,1000000*SER_hh_emi_in!Y10/SER_hh_num_in!Y10)</f>
        <v>3834.7689449590657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8.2036106060456966</v>
      </c>
      <c r="D16" s="130">
        <f>IF(SER_hh_emi_in!D16=0,0,1000000*SER_hh_emi_in!D16/SER_hh_num_in!D16)</f>
        <v>8.9766973719885108</v>
      </c>
      <c r="E16" s="130">
        <f>IF(SER_hh_emi_in!E16=0,0,1000000*SER_hh_emi_in!E16/SER_hh_num_in!E16)</f>
        <v>8.3558743560293358</v>
      </c>
      <c r="F16" s="130">
        <f>IF(SER_hh_emi_in!F16=0,0,1000000*SER_hh_emi_in!F16/SER_hh_num_in!F16)</f>
        <v>10.28111346318463</v>
      </c>
      <c r="G16" s="130">
        <f>IF(SER_hh_emi_in!G16=0,0,1000000*SER_hh_emi_in!G16/SER_hh_num_in!G16)</f>
        <v>9.8121693678010455</v>
      </c>
      <c r="H16" s="130">
        <f>IF(SER_hh_emi_in!H16=0,0,1000000*SER_hh_emi_in!H16/SER_hh_num_in!H16)</f>
        <v>8.1497719248211382</v>
      </c>
      <c r="I16" s="130">
        <f>IF(SER_hh_emi_in!I16=0,0,1000000*SER_hh_emi_in!I16/SER_hh_num_in!I16)</f>
        <v>10.089752575059565</v>
      </c>
      <c r="J16" s="130">
        <f>IF(SER_hh_emi_in!J16=0,0,1000000*SER_hh_emi_in!J16/SER_hh_num_in!J16)</f>
        <v>8.08172659163281</v>
      </c>
      <c r="K16" s="130">
        <f>IF(SER_hh_emi_in!K16=0,0,1000000*SER_hh_emi_in!K16/SER_hh_num_in!K16)</f>
        <v>9.5787275821001483</v>
      </c>
      <c r="L16" s="130">
        <f>IF(SER_hh_emi_in!L16=0,0,1000000*SER_hh_emi_in!L16/SER_hh_num_in!L16)</f>
        <v>8.5290061459629047</v>
      </c>
      <c r="M16" s="130">
        <f>IF(SER_hh_emi_in!M16=0,0,1000000*SER_hh_emi_in!M16/SER_hh_num_in!M16)</f>
        <v>13.773459575900963</v>
      </c>
      <c r="N16" s="130">
        <f>IF(SER_hh_emi_in!N16=0,0,1000000*SER_hh_emi_in!N16/SER_hh_num_in!N16)</f>
        <v>14.818371830797531</v>
      </c>
      <c r="O16" s="130">
        <f>IF(SER_hh_emi_in!O16=0,0,1000000*SER_hh_emi_in!O16/SER_hh_num_in!O16)</f>
        <v>26.157899033702208</v>
      </c>
      <c r="P16" s="130">
        <f>IF(SER_hh_emi_in!P16=0,0,1000000*SER_hh_emi_in!P16/SER_hh_num_in!P16)</f>
        <v>35.048952027093812</v>
      </c>
      <c r="Q16" s="130">
        <f>IF(SER_hh_emi_in!Q16=0,0,1000000*SER_hh_emi_in!Q16/SER_hh_num_in!Q16)</f>
        <v>31.687300169297352</v>
      </c>
      <c r="R16" s="130">
        <f>IF(SER_hh_emi_in!R16=0,0,1000000*SER_hh_emi_in!R16/SER_hh_num_in!R16)</f>
        <v>71.898374836583713</v>
      </c>
      <c r="S16" s="130">
        <f>IF(SER_hh_emi_in!S16=0,0,1000000*SER_hh_emi_in!S16/SER_hh_num_in!S16)</f>
        <v>44.2798525768861</v>
      </c>
      <c r="T16" s="130">
        <f>IF(SER_hh_emi_in!T16=0,0,1000000*SER_hh_emi_in!T16/SER_hh_num_in!T16)</f>
        <v>33.431224414484767</v>
      </c>
      <c r="U16" s="130">
        <f>IF(SER_hh_emi_in!U16=0,0,1000000*SER_hh_emi_in!U16/SER_hh_num_in!U16)</f>
        <v>31.037644426237634</v>
      </c>
      <c r="V16" s="130">
        <f>IF(SER_hh_emi_in!V16=0,0,1000000*SER_hh_emi_in!V16/SER_hh_num_in!V16)</f>
        <v>24.578019344477227</v>
      </c>
      <c r="W16" s="130">
        <f>IF(SER_hh_emi_in!W16=0,0,1000000*SER_hh_emi_in!W16/SER_hh_num_in!W16)</f>
        <v>20.6369080021197</v>
      </c>
      <c r="X16" s="130">
        <f>IF(SER_hh_emi_in!X16=0,0,1000000*SER_hh_emi_in!X16/SER_hh_num_in!X16)</f>
        <v>25.55769962776278</v>
      </c>
      <c r="Y16" s="130">
        <f>IF(SER_hh_emi_in!Y16=0,0,1000000*SER_hh_emi_in!Y16/SER_hh_num_in!Y16)</f>
        <v>36.354532726519821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4257.085799939935</v>
      </c>
      <c r="D17" s="132">
        <f>IF(SER_hh_emi_in!D17=0,0,1000000*SER_hh_emi_in!D17/SER_hh_num_in!D17)</f>
        <v>4262.0772794398217</v>
      </c>
      <c r="E17" s="132">
        <f>IF(SER_hh_emi_in!E17=0,0,1000000*SER_hh_emi_in!E17/SER_hh_num_in!E17)</f>
        <v>4107.6291993177665</v>
      </c>
      <c r="F17" s="132">
        <f>IF(SER_hh_emi_in!F17=0,0,1000000*SER_hh_emi_in!F17/SER_hh_num_in!F17)</f>
        <v>3994.7522903175673</v>
      </c>
      <c r="G17" s="132">
        <f>IF(SER_hh_emi_in!G17=0,0,1000000*SER_hh_emi_in!G17/SER_hh_num_in!G17)</f>
        <v>3942.097615686333</v>
      </c>
      <c r="H17" s="132">
        <f>IF(SER_hh_emi_in!H17=0,0,1000000*SER_hh_emi_in!H17/SER_hh_num_in!H17)</f>
        <v>4083.9169354567061</v>
      </c>
      <c r="I17" s="132">
        <f>IF(SER_hh_emi_in!I17=0,0,1000000*SER_hh_emi_in!I17/SER_hh_num_in!I17)</f>
        <v>3879.8266851490425</v>
      </c>
      <c r="J17" s="132">
        <f>IF(SER_hh_emi_in!J17=0,0,1000000*SER_hh_emi_in!J17/SER_hh_num_in!J17)</f>
        <v>3729.4309926058359</v>
      </c>
      <c r="K17" s="132">
        <f>IF(SER_hh_emi_in!K17=0,0,1000000*SER_hh_emi_in!K17/SER_hh_num_in!K17)</f>
        <v>3670.7836837684213</v>
      </c>
      <c r="L17" s="132">
        <f>IF(SER_hh_emi_in!L17=0,0,1000000*SER_hh_emi_in!L17/SER_hh_num_in!L17)</f>
        <v>4056.9141268386757</v>
      </c>
      <c r="M17" s="132">
        <f>IF(SER_hh_emi_in!M17=0,0,1000000*SER_hh_emi_in!M17/SER_hh_num_in!M17)</f>
        <v>3522.8091689023199</v>
      </c>
      <c r="N17" s="132">
        <f>IF(SER_hh_emi_in!N17=0,0,1000000*SER_hh_emi_in!N17/SER_hh_num_in!N17)</f>
        <v>3610.0926499168932</v>
      </c>
      <c r="O17" s="132">
        <f>IF(SER_hh_emi_in!O17=0,0,1000000*SER_hh_emi_in!O17/SER_hh_num_in!O17)</f>
        <v>3530.5064759247653</v>
      </c>
      <c r="P17" s="132">
        <f>IF(SER_hh_emi_in!P17=0,0,1000000*SER_hh_emi_in!P17/SER_hh_num_in!P17)</f>
        <v>3417.3858498084942</v>
      </c>
      <c r="Q17" s="132">
        <f>IF(SER_hh_emi_in!Q17=0,0,1000000*SER_hh_emi_in!Q17/SER_hh_num_in!Q17)</f>
        <v>3824.5122426238031</v>
      </c>
      <c r="R17" s="132">
        <f>IF(SER_hh_emi_in!R17=0,0,1000000*SER_hh_emi_in!R17/SER_hh_num_in!R17)</f>
        <v>3278.0762380053761</v>
      </c>
      <c r="S17" s="132">
        <f>IF(SER_hh_emi_in!S17=0,0,1000000*SER_hh_emi_in!S17/SER_hh_num_in!S17)</f>
        <v>3165.7965375111362</v>
      </c>
      <c r="T17" s="132">
        <f>IF(SER_hh_emi_in!T17=0,0,1000000*SER_hh_emi_in!T17/SER_hh_num_in!T17)</f>
        <v>3104.637092023836</v>
      </c>
      <c r="U17" s="132">
        <f>IF(SER_hh_emi_in!U17=0,0,1000000*SER_hh_emi_in!U17/SER_hh_num_in!U17)</f>
        <v>3198.476864913624</v>
      </c>
      <c r="V17" s="132">
        <f>IF(SER_hh_emi_in!V17=0,0,1000000*SER_hh_emi_in!V17/SER_hh_num_in!V17)</f>
        <v>2502.3130699275744</v>
      </c>
      <c r="W17" s="132">
        <f>IF(SER_hh_emi_in!W17=0,0,1000000*SER_hh_emi_in!W17/SER_hh_num_in!W17)</f>
        <v>2430.3046595643509</v>
      </c>
      <c r="X17" s="132">
        <f>IF(SER_hh_emi_in!X17=0,0,1000000*SER_hh_emi_in!X17/SER_hh_num_in!X17)</f>
        <v>2649.431421651092</v>
      </c>
      <c r="Y17" s="132">
        <f>IF(SER_hh_emi_in!Y17=0,0,1000000*SER_hh_emi_in!Y17/SER_hh_num_in!Y17)</f>
        <v>2626.6461309390329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2393.2662765202444</v>
      </c>
      <c r="D19" s="130">
        <f>IF(SER_hh_emi_in!D19=0,0,1000000*SER_hh_emi_in!D19/SER_hh_num_in!D19)</f>
        <v>2609.7810395475312</v>
      </c>
      <c r="E19" s="130">
        <f>IF(SER_hh_emi_in!E19=0,0,1000000*SER_hh_emi_in!E19/SER_hh_num_in!E19)</f>
        <v>2501.5170538563448</v>
      </c>
      <c r="F19" s="130">
        <f>IF(SER_hh_emi_in!F19=0,0,1000000*SER_hh_emi_in!F19/SER_hh_num_in!F19)</f>
        <v>1340.9673295137036</v>
      </c>
      <c r="G19" s="130">
        <f>IF(SER_hh_emi_in!G19=0,0,1000000*SER_hh_emi_in!G19/SER_hh_num_in!G19)</f>
        <v>974.06654937689552</v>
      </c>
      <c r="H19" s="130">
        <f>IF(SER_hh_emi_in!H19=0,0,1000000*SER_hh_emi_in!H19/SER_hh_num_in!H19)</f>
        <v>834.16623673484116</v>
      </c>
      <c r="I19" s="130">
        <f>IF(SER_hh_emi_in!I19=0,0,1000000*SER_hh_emi_in!I19/SER_hh_num_in!I19)</f>
        <v>1101.7116372108235</v>
      </c>
      <c r="J19" s="130">
        <f>IF(SER_hh_emi_in!J19=0,0,1000000*SER_hh_emi_in!J19/SER_hh_num_in!J19)</f>
        <v>1364.6948420761621</v>
      </c>
      <c r="K19" s="130">
        <f>IF(SER_hh_emi_in!K19=0,0,1000000*SER_hh_emi_in!K19/SER_hh_num_in!K19)</f>
        <v>1569.0814510696418</v>
      </c>
      <c r="L19" s="130">
        <f>IF(SER_hh_emi_in!L19=0,0,1000000*SER_hh_emi_in!L19/SER_hh_num_in!L19)</f>
        <v>2602.0286973712323</v>
      </c>
      <c r="M19" s="130">
        <f>IF(SER_hh_emi_in!M19=0,0,1000000*SER_hh_emi_in!M19/SER_hh_num_in!M19)</f>
        <v>1672.5659587977902</v>
      </c>
      <c r="N19" s="130">
        <f>IF(SER_hh_emi_in!N19=0,0,1000000*SER_hh_emi_in!N19/SER_hh_num_in!N19)</f>
        <v>1691.7070815182403</v>
      </c>
      <c r="O19" s="130">
        <f>IF(SER_hh_emi_in!O19=0,0,1000000*SER_hh_emi_in!O19/SER_hh_num_in!O19)</f>
        <v>1369.448479140882</v>
      </c>
      <c r="P19" s="130">
        <f>IF(SER_hh_emi_in!P19=0,0,1000000*SER_hh_emi_in!P19/SER_hh_num_in!P19)</f>
        <v>1242.8603739296157</v>
      </c>
      <c r="Q19" s="130">
        <f>IF(SER_hh_emi_in!Q19=0,0,1000000*SER_hh_emi_in!Q19/SER_hh_num_in!Q19)</f>
        <v>1138.6720560831591</v>
      </c>
      <c r="R19" s="130">
        <f>IF(SER_hh_emi_in!R19=0,0,1000000*SER_hh_emi_in!R19/SER_hh_num_in!R19)</f>
        <v>1078.1007059436101</v>
      </c>
      <c r="S19" s="130">
        <f>IF(SER_hh_emi_in!S19=0,0,1000000*SER_hh_emi_in!S19/SER_hh_num_in!S19)</f>
        <v>519.15349584011119</v>
      </c>
      <c r="T19" s="130">
        <f>IF(SER_hh_emi_in!T19=0,0,1000000*SER_hh_emi_in!T19/SER_hh_num_in!T19)</f>
        <v>325.56194418325811</v>
      </c>
      <c r="U19" s="130">
        <f>IF(SER_hh_emi_in!U19=0,0,1000000*SER_hh_emi_in!U19/SER_hh_num_in!U19)</f>
        <v>294.74387145982331</v>
      </c>
      <c r="V19" s="130">
        <f>IF(SER_hh_emi_in!V19=0,0,1000000*SER_hh_emi_in!V19/SER_hh_num_in!V19)</f>
        <v>405.80444193163987</v>
      </c>
      <c r="W19" s="130">
        <f>IF(SER_hh_emi_in!W19=0,0,1000000*SER_hh_emi_in!W19/SER_hh_num_in!W19)</f>
        <v>681.1197188695694</v>
      </c>
      <c r="X19" s="130">
        <f>IF(SER_hh_emi_in!X19=0,0,1000000*SER_hh_emi_in!X19/SER_hh_num_in!X19)</f>
        <v>557.28518088419253</v>
      </c>
      <c r="Y19" s="130">
        <f>IF(SER_hh_emi_in!Y19=0,0,1000000*SER_hh_emi_in!Y19/SER_hh_num_in!Y19)</f>
        <v>618.83873084903519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5443.776211555125</v>
      </c>
      <c r="D20" s="132">
        <f>IF(SER_hh_emi_in!D20=0,0,1000000*SER_hh_emi_in!D20/SER_hh_num_in!D20)</f>
        <v>6529.1495312908191</v>
      </c>
      <c r="E20" s="132">
        <f>IF(SER_hh_emi_in!E20=0,0,1000000*SER_hh_emi_in!E20/SER_hh_num_in!E20)</f>
        <v>6498.2848636616964</v>
      </c>
      <c r="F20" s="132">
        <f>IF(SER_hh_emi_in!F20=0,0,1000000*SER_hh_emi_in!F20/SER_hh_num_in!F20)</f>
        <v>6703.9033433983568</v>
      </c>
      <c r="G20" s="132">
        <f>IF(SER_hh_emi_in!G20=0,0,1000000*SER_hh_emi_in!G20/SER_hh_num_in!G20)</f>
        <v>6643.2188276877678</v>
      </c>
      <c r="H20" s="132">
        <f>IF(SER_hh_emi_in!H20=0,0,1000000*SER_hh_emi_in!H20/SER_hh_num_in!H20)</f>
        <v>6113.455608137393</v>
      </c>
      <c r="I20" s="132">
        <f>IF(SER_hh_emi_in!I20=0,0,1000000*SER_hh_emi_in!I20/SER_hh_num_in!I20)</f>
        <v>7267.7019335757368</v>
      </c>
      <c r="J20" s="132">
        <f>IF(SER_hh_emi_in!J20=0,0,1000000*SER_hh_emi_in!J20/SER_hh_num_in!J20)</f>
        <v>7208.5625032075322</v>
      </c>
      <c r="K20" s="132">
        <f>IF(SER_hh_emi_in!K20=0,0,1000000*SER_hh_emi_in!K20/SER_hh_num_in!K20)</f>
        <v>7111.2335846114711</v>
      </c>
      <c r="L20" s="132">
        <f>IF(SER_hh_emi_in!L20=0,0,1000000*SER_hh_emi_in!L20/SER_hh_num_in!L20)</f>
        <v>7308.0039725508941</v>
      </c>
      <c r="M20" s="132">
        <f>IF(SER_hh_emi_in!M20=0,0,1000000*SER_hh_emi_in!M20/SER_hh_num_in!M20)</f>
        <v>7174.5872484518322</v>
      </c>
      <c r="N20" s="132">
        <f>IF(SER_hh_emi_in!N20=0,0,1000000*SER_hh_emi_in!N20/SER_hh_num_in!N20)</f>
        <v>7142.0627295654585</v>
      </c>
      <c r="O20" s="132">
        <f>IF(SER_hh_emi_in!O20=0,0,1000000*SER_hh_emi_in!O20/SER_hh_num_in!O20)</f>
        <v>7278.5996367365024</v>
      </c>
      <c r="P20" s="132">
        <f>IF(SER_hh_emi_in!P20=0,0,1000000*SER_hh_emi_in!P20/SER_hh_num_in!P20)</f>
        <v>7181.048291277606</v>
      </c>
      <c r="Q20" s="132">
        <f>IF(SER_hh_emi_in!Q20=0,0,1000000*SER_hh_emi_in!Q20/SER_hh_num_in!Q20)</f>
        <v>7177.2283717699374</v>
      </c>
      <c r="R20" s="132">
        <f>IF(SER_hh_emi_in!R20=0,0,1000000*SER_hh_emi_in!R20/SER_hh_num_in!R20)</f>
        <v>8026.2308252748662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4977.2535118961796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3806.7568342398599</v>
      </c>
      <c r="D21" s="132">
        <f>IF(SER_hh_emi_in!D21=0,0,1000000*SER_hh_emi_in!D21/SER_hh_num_in!D21)</f>
        <v>3643.4136044525872</v>
      </c>
      <c r="E21" s="132">
        <f>IF(SER_hh_emi_in!E21=0,0,1000000*SER_hh_emi_in!E21/SER_hh_num_in!E21)</f>
        <v>5508.7942230239832</v>
      </c>
      <c r="F21" s="132">
        <f>IF(SER_hh_emi_in!F21=0,0,1000000*SER_hh_emi_in!F21/SER_hh_num_in!F21)</f>
        <v>4819.4289288715372</v>
      </c>
      <c r="G21" s="132">
        <f>IF(SER_hh_emi_in!G21=0,0,1000000*SER_hh_emi_in!G21/SER_hh_num_in!G21)</f>
        <v>4167.582510854907</v>
      </c>
      <c r="H21" s="132">
        <f>IF(SER_hh_emi_in!H21=0,0,1000000*SER_hh_emi_in!H21/SER_hh_num_in!H21)</f>
        <v>5250.6830431834032</v>
      </c>
      <c r="I21" s="132">
        <f>IF(SER_hh_emi_in!I21=0,0,1000000*SER_hh_emi_in!I21/SER_hh_num_in!I21)</f>
        <v>0</v>
      </c>
      <c r="J21" s="132">
        <f>IF(SER_hh_emi_in!J21=0,0,1000000*SER_hh_emi_in!J21/SER_hh_num_in!J21)</f>
        <v>4918.2829846700697</v>
      </c>
      <c r="K21" s="132">
        <f>IF(SER_hh_emi_in!K21=0,0,1000000*SER_hh_emi_in!K21/SER_hh_num_in!K21)</f>
        <v>5135.9150002674851</v>
      </c>
      <c r="L21" s="132">
        <f>IF(SER_hh_emi_in!L21=0,0,1000000*SER_hh_emi_in!L21/SER_hh_num_in!L21)</f>
        <v>5020.6233663229141</v>
      </c>
      <c r="M21" s="132">
        <f>IF(SER_hh_emi_in!M21=0,0,1000000*SER_hh_emi_in!M21/SER_hh_num_in!M21)</f>
        <v>5002.211483584806</v>
      </c>
      <c r="N21" s="132">
        <f>IF(SER_hh_emi_in!N21=0,0,1000000*SER_hh_emi_in!N21/SER_hh_num_in!N21)</f>
        <v>6440.0870114433374</v>
      </c>
      <c r="O21" s="132">
        <f>IF(SER_hh_emi_in!O21=0,0,1000000*SER_hh_emi_in!O21/SER_hh_num_in!O21)</f>
        <v>4239.2110697492681</v>
      </c>
      <c r="P21" s="132">
        <f>IF(SER_hh_emi_in!P21=0,0,1000000*SER_hh_emi_in!P21/SER_hh_num_in!P21)</f>
        <v>4789.6964366081147</v>
      </c>
      <c r="Q21" s="132">
        <f>IF(SER_hh_emi_in!Q21=0,0,1000000*SER_hh_emi_in!Q21/SER_hh_num_in!Q21)</f>
        <v>4433.3507038723992</v>
      </c>
      <c r="R21" s="132">
        <f>IF(SER_hh_emi_in!R21=0,0,1000000*SER_hh_emi_in!R21/SER_hh_num_in!R21)</f>
        <v>4532.498166106684</v>
      </c>
      <c r="S21" s="132">
        <f>IF(SER_hh_emi_in!S21=0,0,1000000*SER_hh_emi_in!S21/SER_hh_num_in!S21)</f>
        <v>4451.7105049471074</v>
      </c>
      <c r="T21" s="132">
        <f>IF(SER_hh_emi_in!T21=0,0,1000000*SER_hh_emi_in!T21/SER_hh_num_in!T21)</f>
        <v>4072.6690666166896</v>
      </c>
      <c r="U21" s="132">
        <f>IF(SER_hh_emi_in!U21=0,0,1000000*SER_hh_emi_in!U21/SER_hh_num_in!U21)</f>
        <v>4589.2835795929159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3668.7055473214682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4295.8176901959869</v>
      </c>
      <c r="D22" s="132">
        <f>IF(SER_hh_emi_in!D22=0,0,1000000*SER_hh_emi_in!D22/SER_hh_num_in!D22)</f>
        <v>5214.4236773304156</v>
      </c>
      <c r="E22" s="132">
        <f>IF(SER_hh_emi_in!E22=0,0,1000000*SER_hh_emi_in!E22/SER_hh_num_in!E22)</f>
        <v>5615.2915162405352</v>
      </c>
      <c r="F22" s="132">
        <f>IF(SER_hh_emi_in!F22=0,0,1000000*SER_hh_emi_in!F22/SER_hh_num_in!F22)</f>
        <v>5956.786782801777</v>
      </c>
      <c r="G22" s="132">
        <f>IF(SER_hh_emi_in!G22=0,0,1000000*SER_hh_emi_in!G22/SER_hh_num_in!G22)</f>
        <v>5829.9465456988974</v>
      </c>
      <c r="H22" s="132">
        <f>IF(SER_hh_emi_in!H22=0,0,1000000*SER_hh_emi_in!H22/SER_hh_num_in!H22)</f>
        <v>6219.6101365495188</v>
      </c>
      <c r="I22" s="132">
        <f>IF(SER_hh_emi_in!I22=0,0,1000000*SER_hh_emi_in!I22/SER_hh_num_in!I22)</f>
        <v>6612.6958114029976</v>
      </c>
      <c r="J22" s="132">
        <f>IF(SER_hh_emi_in!J22=0,0,1000000*SER_hh_emi_in!J22/SER_hh_num_in!J22)</f>
        <v>6717.0168197633066</v>
      </c>
      <c r="K22" s="132">
        <f>IF(SER_hh_emi_in!K22=0,0,1000000*SER_hh_emi_in!K22/SER_hh_num_in!K22)</f>
        <v>6617.6612513568389</v>
      </c>
      <c r="L22" s="132">
        <f>IF(SER_hh_emi_in!L22=0,0,1000000*SER_hh_emi_in!L22/SER_hh_num_in!L22)</f>
        <v>6637.1953897829189</v>
      </c>
      <c r="M22" s="132">
        <f>IF(SER_hh_emi_in!M22=0,0,1000000*SER_hh_emi_in!M22/SER_hh_num_in!M22)</f>
        <v>6534.849066750875</v>
      </c>
      <c r="N22" s="132">
        <f>IF(SER_hh_emi_in!N22=0,0,1000000*SER_hh_emi_in!N22/SER_hh_num_in!N22)</f>
        <v>6336.2070596899512</v>
      </c>
      <c r="O22" s="132">
        <f>IF(SER_hh_emi_in!O22=0,0,1000000*SER_hh_emi_in!O22/SER_hh_num_in!O22)</f>
        <v>6200.4528400179288</v>
      </c>
      <c r="P22" s="132">
        <f>IF(SER_hh_emi_in!P22=0,0,1000000*SER_hh_emi_in!P22/SER_hh_num_in!P22)</f>
        <v>5798.3661547110041</v>
      </c>
      <c r="Q22" s="132">
        <f>IF(SER_hh_emi_in!Q22=0,0,1000000*SER_hh_emi_in!Q22/SER_hh_num_in!Q22)</f>
        <v>5594.3577262560002</v>
      </c>
      <c r="R22" s="132">
        <f>IF(SER_hh_emi_in!R22=0,0,1000000*SER_hh_emi_in!R22/SER_hh_num_in!R22)</f>
        <v>5368.2775093417958</v>
      </c>
      <c r="S22" s="132">
        <f>IF(SER_hh_emi_in!S22=0,0,1000000*SER_hh_emi_in!S22/SER_hh_num_in!S22)</f>
        <v>5499.0342137341559</v>
      </c>
      <c r="T22" s="132">
        <f>IF(SER_hh_emi_in!T22=0,0,1000000*SER_hh_emi_in!T22/SER_hh_num_in!T22)</f>
        <v>5148.9510169399682</v>
      </c>
      <c r="U22" s="132">
        <f>IF(SER_hh_emi_in!U22=0,0,1000000*SER_hh_emi_in!U22/SER_hh_num_in!U22)</f>
        <v>4350.2022021754901</v>
      </c>
      <c r="V22" s="132">
        <f>IF(SER_hh_emi_in!V22=0,0,1000000*SER_hh_emi_in!V22/SER_hh_num_in!V22)</f>
        <v>4278.5085204563584</v>
      </c>
      <c r="W22" s="132">
        <f>IF(SER_hh_emi_in!W22=0,0,1000000*SER_hh_emi_in!W22/SER_hh_num_in!W22)</f>
        <v>4780.9063280121154</v>
      </c>
      <c r="X22" s="132">
        <f>IF(SER_hh_emi_in!X22=0,0,1000000*SER_hh_emi_in!X22/SER_hh_num_in!X22)</f>
        <v>4909.4271731367089</v>
      </c>
      <c r="Y22" s="132">
        <f>IF(SER_hh_emi_in!Y22=0,0,1000000*SER_hh_emi_in!Y22/SER_hh_num_in!Y22)</f>
        <v>4426.3096911596449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3080.0708288210963</v>
      </c>
      <c r="D23" s="132">
        <f>IF(SER_hh_emi_in!D23=0,0,1000000*SER_hh_emi_in!D23/SER_hh_num_in!D23)</f>
        <v>3435.7370432803441</v>
      </c>
      <c r="E23" s="132">
        <f>IF(SER_hh_emi_in!E23=0,0,1000000*SER_hh_emi_in!E23/SER_hh_num_in!E23)</f>
        <v>4095.0804743403901</v>
      </c>
      <c r="F23" s="132">
        <f>IF(SER_hh_emi_in!F23=0,0,1000000*SER_hh_emi_in!F23/SER_hh_num_in!F23)</f>
        <v>4028.944250514513</v>
      </c>
      <c r="G23" s="132">
        <f>IF(SER_hh_emi_in!G23=0,0,1000000*SER_hh_emi_in!G23/SER_hh_num_in!G23)</f>
        <v>4061.8967068707252</v>
      </c>
      <c r="H23" s="132">
        <f>IF(SER_hh_emi_in!H23=0,0,1000000*SER_hh_emi_in!H23/SER_hh_num_in!H23)</f>
        <v>4143.6744954491169</v>
      </c>
      <c r="I23" s="132">
        <f>IF(SER_hh_emi_in!I23=0,0,1000000*SER_hh_emi_in!I23/SER_hh_num_in!I23)</f>
        <v>4318.1593822682362</v>
      </c>
      <c r="J23" s="132">
        <f>IF(SER_hh_emi_in!J23=0,0,1000000*SER_hh_emi_in!J23/SER_hh_num_in!J23)</f>
        <v>4423.37665303226</v>
      </c>
      <c r="K23" s="132">
        <f>IF(SER_hh_emi_in!K23=0,0,1000000*SER_hh_emi_in!K23/SER_hh_num_in!K23)</f>
        <v>4302.3513861887423</v>
      </c>
      <c r="L23" s="132">
        <f>IF(SER_hh_emi_in!L23=0,0,1000000*SER_hh_emi_in!L23/SER_hh_num_in!L23)</f>
        <v>4372.0386320761327</v>
      </c>
      <c r="M23" s="132">
        <f>IF(SER_hh_emi_in!M23=0,0,1000000*SER_hh_emi_in!M23/SER_hh_num_in!M23)</f>
        <v>4320.0570594341552</v>
      </c>
      <c r="N23" s="132">
        <f>IF(SER_hh_emi_in!N23=0,0,1000000*SER_hh_emi_in!N23/SER_hh_num_in!N23)</f>
        <v>4149.3224598096804</v>
      </c>
      <c r="O23" s="132">
        <f>IF(SER_hh_emi_in!O23=0,0,1000000*SER_hh_emi_in!O23/SER_hh_num_in!O23)</f>
        <v>4107.6757286650673</v>
      </c>
      <c r="P23" s="132">
        <f>IF(SER_hh_emi_in!P23=0,0,1000000*SER_hh_emi_in!P23/SER_hh_num_in!P23)</f>
        <v>3960.1211791036721</v>
      </c>
      <c r="Q23" s="132">
        <f>IF(SER_hh_emi_in!Q23=0,0,1000000*SER_hh_emi_in!Q23/SER_hh_num_in!Q23)</f>
        <v>3906.793516694976</v>
      </c>
      <c r="R23" s="132">
        <f>IF(SER_hh_emi_in!R23=0,0,1000000*SER_hh_emi_in!R23/SER_hh_num_in!R23)</f>
        <v>4028.8249671072163</v>
      </c>
      <c r="S23" s="132">
        <f>IF(SER_hh_emi_in!S23=0,0,1000000*SER_hh_emi_in!S23/SER_hh_num_in!S23)</f>
        <v>0</v>
      </c>
      <c r="T23" s="132">
        <f>IF(SER_hh_emi_in!T23=0,0,1000000*SER_hh_emi_in!T23/SER_hh_num_in!T23)</f>
        <v>0</v>
      </c>
      <c r="U23" s="132">
        <f>IF(SER_hh_emi_in!U23=0,0,1000000*SER_hh_emi_in!U23/SER_hh_num_in!U23)</f>
        <v>3190.23950867236</v>
      </c>
      <c r="V23" s="132">
        <f>IF(SER_hh_emi_in!V23=0,0,1000000*SER_hh_emi_in!V23/SER_hh_num_in!V23)</f>
        <v>2742.1982920801479</v>
      </c>
      <c r="W23" s="132">
        <f>IF(SER_hh_emi_in!W23=0,0,1000000*SER_hh_emi_in!W23/SER_hh_num_in!W23)</f>
        <v>3642.5056635901005</v>
      </c>
      <c r="X23" s="132">
        <f>IF(SER_hh_emi_in!X23=0,0,1000000*SER_hh_emi_in!X23/SER_hh_num_in!X23)</f>
        <v>3363.4879990949589</v>
      </c>
      <c r="Y23" s="132">
        <f>IF(SER_hh_emi_in!Y23=0,0,1000000*SER_hh_emi_in!Y23/SER_hh_num_in!Y23)</f>
        <v>3189.4124395292165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121.76502802788789</v>
      </c>
      <c r="D24" s="132">
        <f>IF(SER_hh_emi_in!D24=0,0,1000000*SER_hh_emi_in!D24/SER_hh_num_in!D24)</f>
        <v>163.87908972468833</v>
      </c>
      <c r="E24" s="132">
        <f>IF(SER_hh_emi_in!E24=0,0,1000000*SER_hh_emi_in!E24/SER_hh_num_in!E24)</f>
        <v>119.02613936344565</v>
      </c>
      <c r="F24" s="132">
        <f>IF(SER_hh_emi_in!F24=0,0,1000000*SER_hh_emi_in!F24/SER_hh_num_in!F24)</f>
        <v>3.2868182918746398</v>
      </c>
      <c r="G24" s="132">
        <f>IF(SER_hh_emi_in!G24=0,0,1000000*SER_hh_emi_in!G24/SER_hh_num_in!G24)</f>
        <v>34.022270825936602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80.355409623559524</v>
      </c>
      <c r="K24" s="132">
        <f>IF(SER_hh_emi_in!K24=0,0,1000000*SER_hh_emi_in!K24/SER_hh_num_in!K24)</f>
        <v>181.76460960783825</v>
      </c>
      <c r="L24" s="132">
        <f>IF(SER_hh_emi_in!L24=0,0,1000000*SER_hh_emi_in!L24/SER_hh_num_in!L24)</f>
        <v>33.081221040665099</v>
      </c>
      <c r="M24" s="132">
        <f>IF(SER_hh_emi_in!M24=0,0,1000000*SER_hh_emi_in!M24/SER_hh_num_in!M24)</f>
        <v>56.812875888280765</v>
      </c>
      <c r="N24" s="132">
        <f>IF(SER_hh_emi_in!N24=0,0,1000000*SER_hh_emi_in!N24/SER_hh_num_in!N24)</f>
        <v>53.364207557773504</v>
      </c>
      <c r="O24" s="132">
        <f>IF(SER_hh_emi_in!O24=0,0,1000000*SER_hh_emi_in!O24/SER_hh_num_in!O24)</f>
        <v>565.51798431956581</v>
      </c>
      <c r="P24" s="132">
        <f>IF(SER_hh_emi_in!P24=0,0,1000000*SER_hh_emi_in!P24/SER_hh_num_in!P24)</f>
        <v>330.98553670363253</v>
      </c>
      <c r="Q24" s="132">
        <f>IF(SER_hh_emi_in!Q24=0,0,1000000*SER_hh_emi_in!Q24/SER_hh_num_in!Q24)</f>
        <v>271.39544864849142</v>
      </c>
      <c r="R24" s="132">
        <f>IF(SER_hh_emi_in!R24=0,0,1000000*SER_hh_emi_in!R24/SER_hh_num_in!R24)</f>
        <v>425.93886112149249</v>
      </c>
      <c r="S24" s="132">
        <f>IF(SER_hh_emi_in!S24=0,0,1000000*SER_hh_emi_in!S24/SER_hh_num_in!S24)</f>
        <v>298.10664878232234</v>
      </c>
      <c r="T24" s="132">
        <f>IF(SER_hh_emi_in!T24=0,0,1000000*SER_hh_emi_in!T24/SER_hh_num_in!T24)</f>
        <v>240.43193366242051</v>
      </c>
      <c r="U24" s="132">
        <f>IF(SER_hh_emi_in!U24=0,0,1000000*SER_hh_emi_in!U24/SER_hh_num_in!U24)</f>
        <v>213.17045447267577</v>
      </c>
      <c r="V24" s="132">
        <f>IF(SER_hh_emi_in!V24=0,0,1000000*SER_hh_emi_in!V24/SER_hh_num_in!V24)</f>
        <v>609.43175746788336</v>
      </c>
      <c r="W24" s="132">
        <f>IF(SER_hh_emi_in!W24=0,0,1000000*SER_hh_emi_in!W24/SER_hh_num_in!W24)</f>
        <v>758.84809980938064</v>
      </c>
      <c r="X24" s="132">
        <f>IF(SER_hh_emi_in!X24=0,0,1000000*SER_hh_emi_in!X24/SER_hh_num_in!X24)</f>
        <v>243.57712431813977</v>
      </c>
      <c r="Y24" s="132">
        <f>IF(SER_hh_emi_in!Y24=0,0,1000000*SER_hh_emi_in!Y24/SER_hh_num_in!Y24)</f>
        <v>1083.4910808369521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1461.5322513954202</v>
      </c>
      <c r="D29" s="130">
        <f>IF(SER_hh_emi_in!D29=0,0,1000000*SER_hh_emi_in!D29/SER_hh_num_in!D29)</f>
        <v>1536.8015036947811</v>
      </c>
      <c r="E29" s="130">
        <f>IF(SER_hh_emi_in!E29=0,0,1000000*SER_hh_emi_in!E29/SER_hh_num_in!E29)</f>
        <v>1780.0151709211639</v>
      </c>
      <c r="F29" s="130">
        <f>IF(SER_hh_emi_in!F29=0,0,1000000*SER_hh_emi_in!F29/SER_hh_num_in!F29)</f>
        <v>1387.3626816071524</v>
      </c>
      <c r="G29" s="130">
        <f>IF(SER_hh_emi_in!G29=0,0,1000000*SER_hh_emi_in!G29/SER_hh_num_in!G29)</f>
        <v>1533.5886891403688</v>
      </c>
      <c r="H29" s="130">
        <f>IF(SER_hh_emi_in!H29=0,0,1000000*SER_hh_emi_in!H29/SER_hh_num_in!H29)</f>
        <v>1256.0990920113218</v>
      </c>
      <c r="I29" s="130">
        <f>IF(SER_hh_emi_in!I29=0,0,1000000*SER_hh_emi_in!I29/SER_hh_num_in!I29)</f>
        <v>979.2325976547861</v>
      </c>
      <c r="J29" s="130">
        <f>IF(SER_hh_emi_in!J29=0,0,1000000*SER_hh_emi_in!J29/SER_hh_num_in!J29)</f>
        <v>895.24032916262263</v>
      </c>
      <c r="K29" s="130">
        <f>IF(SER_hh_emi_in!K29=0,0,1000000*SER_hh_emi_in!K29/SER_hh_num_in!K29)</f>
        <v>1081.6443534008959</v>
      </c>
      <c r="L29" s="130">
        <f>IF(SER_hh_emi_in!L29=0,0,1000000*SER_hh_emi_in!L29/SER_hh_num_in!L29)</f>
        <v>1580.9539861190044</v>
      </c>
      <c r="M29" s="130">
        <f>IF(SER_hh_emi_in!M29=0,0,1000000*SER_hh_emi_in!M29/SER_hh_num_in!M29)</f>
        <v>2140.8109521763913</v>
      </c>
      <c r="N29" s="130">
        <f>IF(SER_hh_emi_in!N29=0,0,1000000*SER_hh_emi_in!N29/SER_hh_num_in!N29)</f>
        <v>2184.9572256443166</v>
      </c>
      <c r="O29" s="130">
        <f>IF(SER_hh_emi_in!O29=0,0,1000000*SER_hh_emi_in!O29/SER_hh_num_in!O29)</f>
        <v>2084.3775385020554</v>
      </c>
      <c r="P29" s="130">
        <f>IF(SER_hh_emi_in!P29=0,0,1000000*SER_hh_emi_in!P29/SER_hh_num_in!P29)</f>
        <v>1379.4990730019522</v>
      </c>
      <c r="Q29" s="130">
        <f>IF(SER_hh_emi_in!Q29=0,0,1000000*SER_hh_emi_in!Q29/SER_hh_num_in!Q29)</f>
        <v>1444.5135027505871</v>
      </c>
      <c r="R29" s="130">
        <f>IF(SER_hh_emi_in!R29=0,0,1000000*SER_hh_emi_in!R29/SER_hh_num_in!R29)</f>
        <v>1077.5127249926486</v>
      </c>
      <c r="S29" s="130">
        <f>IF(SER_hh_emi_in!S29=0,0,1000000*SER_hh_emi_in!S29/SER_hh_num_in!S29)</f>
        <v>956.00014968445169</v>
      </c>
      <c r="T29" s="130">
        <f>IF(SER_hh_emi_in!T29=0,0,1000000*SER_hh_emi_in!T29/SER_hh_num_in!T29)</f>
        <v>749.24178583607102</v>
      </c>
      <c r="U29" s="130">
        <f>IF(SER_hh_emi_in!U29=0,0,1000000*SER_hh_emi_in!U29/SER_hh_num_in!U29)</f>
        <v>1157.6254067668299</v>
      </c>
      <c r="V29" s="130">
        <f>IF(SER_hh_emi_in!V29=0,0,1000000*SER_hh_emi_in!V29/SER_hh_num_in!V29)</f>
        <v>1027.9175774402026</v>
      </c>
      <c r="W29" s="130">
        <f>IF(SER_hh_emi_in!W29=0,0,1000000*SER_hh_emi_in!W29/SER_hh_num_in!W29)</f>
        <v>2274.3848244553274</v>
      </c>
      <c r="X29" s="130">
        <f>IF(SER_hh_emi_in!X29=0,0,1000000*SER_hh_emi_in!X29/SER_hh_num_in!X29)</f>
        <v>1789.9401386495606</v>
      </c>
      <c r="Y29" s="130">
        <f>IF(SER_hh_emi_in!Y29=0,0,1000000*SER_hh_emi_in!Y29/SER_hh_num_in!Y29)</f>
        <v>1333.6084860165442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5786.4214919360429</v>
      </c>
      <c r="D30" s="132">
        <f>IF(SER_hh_emi_in!D30=0,0,1000000*SER_hh_emi_in!D30/SER_hh_num_in!D30)</f>
        <v>4734.637252571225</v>
      </c>
      <c r="E30" s="132">
        <f>IF(SER_hh_emi_in!E30=0,0,1000000*SER_hh_emi_in!E30/SER_hh_num_in!E30)</f>
        <v>6921.620788301967</v>
      </c>
      <c r="F30" s="132">
        <f>IF(SER_hh_emi_in!F30=0,0,1000000*SER_hh_emi_in!F30/SER_hh_num_in!F30)</f>
        <v>6238.9706364789663</v>
      </c>
      <c r="G30" s="132">
        <f>IF(SER_hh_emi_in!G30=0,0,1000000*SER_hh_emi_in!G30/SER_hh_num_in!G30)</f>
        <v>6018.838700300581</v>
      </c>
      <c r="H30" s="132">
        <f>IF(SER_hh_emi_in!H30=0,0,1000000*SER_hh_emi_in!H30/SER_hh_num_in!H30)</f>
        <v>6730.2365544044305</v>
      </c>
      <c r="I30" s="132">
        <f>IF(SER_hh_emi_in!I30=0,0,1000000*SER_hh_emi_in!I30/SER_hh_num_in!I30)</f>
        <v>7153.8143720301878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6564.7262390325295</v>
      </c>
      <c r="O30" s="132">
        <f>IF(SER_hh_emi_in!O30=0,0,1000000*SER_hh_emi_in!O30/SER_hh_num_in!O30)</f>
        <v>6764.6066497796728</v>
      </c>
      <c r="P30" s="132">
        <f>IF(SER_hh_emi_in!P30=0,0,1000000*SER_hh_emi_in!P30/SER_hh_num_in!P30)</f>
        <v>5878.357823129455</v>
      </c>
      <c r="Q30" s="132">
        <f>IF(SER_hh_emi_in!Q30=0,0,1000000*SER_hh_emi_in!Q30/SER_hh_num_in!Q30)</f>
        <v>6516.2944322634748</v>
      </c>
      <c r="R30" s="132">
        <f>IF(SER_hh_emi_in!R30=0,0,1000000*SER_hh_emi_in!R30/SER_hh_num_in!R30)</f>
        <v>6688.3060279040019</v>
      </c>
      <c r="S30" s="132">
        <f>IF(SER_hh_emi_in!S30=0,0,1000000*SER_hh_emi_in!S30/SER_hh_num_in!S30)</f>
        <v>6436.4029088641855</v>
      </c>
      <c r="T30" s="132">
        <f>IF(SER_hh_emi_in!T30=0,0,1000000*SER_hh_emi_in!T30/SER_hh_num_in!T30)</f>
        <v>6079.0071953209872</v>
      </c>
      <c r="U30" s="132">
        <f>IF(SER_hh_emi_in!U30=0,0,1000000*SER_hh_emi_in!U30/SER_hh_num_in!U30)</f>
        <v>7030.5660162810755</v>
      </c>
      <c r="V30" s="132">
        <f>IF(SER_hh_emi_in!V30=0,0,1000000*SER_hh_emi_in!V30/SER_hh_num_in!V30)</f>
        <v>4953.2544422446626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4174.0130572144499</v>
      </c>
      <c r="D31" s="132">
        <f>IF(SER_hh_emi_in!D31=0,0,1000000*SER_hh_emi_in!D31/SER_hh_num_in!D31)</f>
        <v>4743.3817926994871</v>
      </c>
      <c r="E31" s="132">
        <f>IF(SER_hh_emi_in!E31=0,0,1000000*SER_hh_emi_in!E31/SER_hh_num_in!E31)</f>
        <v>5202.3737201344466</v>
      </c>
      <c r="F31" s="132">
        <f>IF(SER_hh_emi_in!F31=0,0,1000000*SER_hh_emi_in!F31/SER_hh_num_in!F31)</f>
        <v>5149.8023779782543</v>
      </c>
      <c r="G31" s="132">
        <f>IF(SER_hh_emi_in!G31=0,0,1000000*SER_hh_emi_in!G31/SER_hh_num_in!G31)</f>
        <v>5372.7743231267914</v>
      </c>
      <c r="H31" s="132">
        <f>IF(SER_hh_emi_in!H31=0,0,1000000*SER_hh_emi_in!H31/SER_hh_num_in!H31)</f>
        <v>5520.5651525897474</v>
      </c>
      <c r="I31" s="132">
        <f>IF(SER_hh_emi_in!I31=0,0,1000000*SER_hh_emi_in!I31/SER_hh_num_in!I31)</f>
        <v>5621.753972300533</v>
      </c>
      <c r="J31" s="132">
        <f>IF(SER_hh_emi_in!J31=0,0,1000000*SER_hh_emi_in!J31/SER_hh_num_in!J31)</f>
        <v>5653.3851637919661</v>
      </c>
      <c r="K31" s="132">
        <f>IF(SER_hh_emi_in!K31=0,0,1000000*SER_hh_emi_in!K31/SER_hh_num_in!K31)</f>
        <v>5631.2924766398137</v>
      </c>
      <c r="L31" s="132">
        <f>IF(SER_hh_emi_in!L31=0,0,1000000*SER_hh_emi_in!L31/SER_hh_num_in!L31)</f>
        <v>5379.7502863050358</v>
      </c>
      <c r="M31" s="132">
        <f>IF(SER_hh_emi_in!M31=0,0,1000000*SER_hh_emi_in!M31/SER_hh_num_in!M31)</f>
        <v>5676.5635593277075</v>
      </c>
      <c r="N31" s="132">
        <f>IF(SER_hh_emi_in!N31=0,0,1000000*SER_hh_emi_in!N31/SER_hh_num_in!N31)</f>
        <v>5811.509097165771</v>
      </c>
      <c r="O31" s="132">
        <f>IF(SER_hh_emi_in!O31=0,0,1000000*SER_hh_emi_in!O31/SER_hh_num_in!O31)</f>
        <v>5676.4439848972488</v>
      </c>
      <c r="P31" s="132">
        <f>IF(SER_hh_emi_in!P31=0,0,1000000*SER_hh_emi_in!P31/SER_hh_num_in!P31)</f>
        <v>5563.4415273264394</v>
      </c>
      <c r="Q31" s="132">
        <f>IF(SER_hh_emi_in!Q31=0,0,1000000*SER_hh_emi_in!Q31/SER_hh_num_in!Q31)</f>
        <v>5702.078333566149</v>
      </c>
      <c r="R31" s="132">
        <f>IF(SER_hh_emi_in!R31=0,0,1000000*SER_hh_emi_in!R31/SER_hh_num_in!R31)</f>
        <v>5509.9096713798681</v>
      </c>
      <c r="S31" s="132">
        <f>IF(SER_hh_emi_in!S31=0,0,1000000*SER_hh_emi_in!S31/SER_hh_num_in!S31)</f>
        <v>5212.3883279781321</v>
      </c>
      <c r="T31" s="132">
        <f>IF(SER_hh_emi_in!T31=0,0,1000000*SER_hh_emi_in!T31/SER_hh_num_in!T31)</f>
        <v>5112.6760392324077</v>
      </c>
      <c r="U31" s="132">
        <f>IF(SER_hh_emi_in!U31=0,0,1000000*SER_hh_emi_in!U31/SER_hh_num_in!U31)</f>
        <v>5105.1232050330291</v>
      </c>
      <c r="V31" s="132">
        <f>IF(SER_hh_emi_in!V31=0,0,1000000*SER_hh_emi_in!V31/SER_hh_num_in!V31)</f>
        <v>4100.1539930015742</v>
      </c>
      <c r="W31" s="132">
        <f>IF(SER_hh_emi_in!W31=0,0,1000000*SER_hh_emi_in!W31/SER_hh_num_in!W31)</f>
        <v>5198.0735716323597</v>
      </c>
      <c r="X31" s="132">
        <f>IF(SER_hh_emi_in!X31=0,0,1000000*SER_hh_emi_in!X31/SER_hh_num_in!X31)</f>
        <v>4923.762675206347</v>
      </c>
      <c r="Y31" s="132">
        <f>IF(SER_hh_emi_in!Y31=0,0,1000000*SER_hh_emi_in!Y31/SER_hh_num_in!Y31)</f>
        <v>4892.3786609705276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173.18303797095405</v>
      </c>
      <c r="D3" s="125">
        <f>IF(SER_hh_fech_in!D3=0,0,SER_hh_fech_in!D3/SER_summary!D$27)</f>
        <v>200.6265232559949</v>
      </c>
      <c r="E3" s="125">
        <f>IF(SER_hh_fech_in!E3=0,0,SER_hh_fech_in!E3/SER_summary!E$27)</f>
        <v>189.99834978974062</v>
      </c>
      <c r="F3" s="125">
        <f>IF(SER_hh_fech_in!F3=0,0,SER_hh_fech_in!F3/SER_summary!F$27)</f>
        <v>188.32143616137191</v>
      </c>
      <c r="G3" s="125">
        <f>IF(SER_hh_fech_in!G3=0,0,SER_hh_fech_in!G3/SER_summary!G$27)</f>
        <v>174.55172607189766</v>
      </c>
      <c r="H3" s="125">
        <f>IF(SER_hh_fech_in!H3=0,0,SER_hh_fech_in!H3/SER_summary!H$27)</f>
        <v>197.79171283334861</v>
      </c>
      <c r="I3" s="125">
        <f>IF(SER_hh_fech_in!I3=0,0,SER_hh_fech_in!I3/SER_summary!I$27)</f>
        <v>176.37627642993385</v>
      </c>
      <c r="J3" s="125">
        <f>IF(SER_hh_fech_in!J3=0,0,SER_hh_fech_in!J3/SER_summary!J$27)</f>
        <v>189.92131657405682</v>
      </c>
      <c r="K3" s="125">
        <f>IF(SER_hh_fech_in!K3=0,0,SER_hh_fech_in!K3/SER_summary!K$27)</f>
        <v>186.40032703504448</v>
      </c>
      <c r="L3" s="125">
        <f>IF(SER_hh_fech_in!L3=0,0,SER_hh_fech_in!L3/SER_summary!L$27)</f>
        <v>200.69283913217794</v>
      </c>
      <c r="M3" s="125">
        <f>IF(SER_hh_fech_in!M3=0,0,SER_hh_fech_in!M3/SER_summary!M$27)</f>
        <v>182.03631517056832</v>
      </c>
      <c r="N3" s="125">
        <f>IF(SER_hh_fech_in!N3=0,0,SER_hh_fech_in!N3/SER_summary!N$27)</f>
        <v>170.39740913896352</v>
      </c>
      <c r="O3" s="125">
        <f>IF(SER_hh_fech_in!O3=0,0,SER_hh_fech_in!O3/SER_summary!O$27)</f>
        <v>157.09759214597776</v>
      </c>
      <c r="P3" s="125">
        <f>IF(SER_hh_fech_in!P3=0,0,SER_hh_fech_in!P3/SER_summary!P$27)</f>
        <v>136.34936002353979</v>
      </c>
      <c r="Q3" s="125">
        <f>IF(SER_hh_fech_in!Q3=0,0,SER_hh_fech_in!Q3/SER_summary!Q$27)</f>
        <v>132.10446799363984</v>
      </c>
      <c r="R3" s="125">
        <f>IF(SER_hh_fech_in!R3=0,0,SER_hh_fech_in!R3/SER_summary!R$27)</f>
        <v>134.51235434552092</v>
      </c>
      <c r="S3" s="125">
        <f>IF(SER_hh_fech_in!S3=0,0,SER_hh_fech_in!S3/SER_summary!S$27)</f>
        <v>121.35088826487376</v>
      </c>
      <c r="T3" s="125">
        <f>IF(SER_hh_fech_in!T3=0,0,SER_hh_fech_in!T3/SER_summary!T$27)</f>
        <v>112.61880053026482</v>
      </c>
      <c r="U3" s="125">
        <f>IF(SER_hh_fech_in!U3=0,0,SER_hh_fech_in!U3/SER_summary!U$27)</f>
        <v>106.50544087852768</v>
      </c>
      <c r="V3" s="125">
        <f>IF(SER_hh_fech_in!V3=0,0,SER_hh_fech_in!V3/SER_summary!V$27)</f>
        <v>96.233890273672301</v>
      </c>
      <c r="W3" s="125">
        <f>IF(SER_hh_fech_in!W3=0,0,SER_hh_fech_in!W3/SER_summary!W$27)</f>
        <v>98.000363389879666</v>
      </c>
      <c r="X3" s="125">
        <f>IF(SER_hh_fech_in!X3=0,0,SER_hh_fech_in!X3/SER_summary!X$27)</f>
        <v>89.06221689250718</v>
      </c>
      <c r="Y3" s="125">
        <f>IF(SER_hh_fech_in!Y3=0,0,SER_hh_fech_in!Y3/SER_summary!Y$27)</f>
        <v>89.159078620405978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125.51664521650054</v>
      </c>
      <c r="D4" s="130">
        <f>IF(SER_hh_fech_in!D4=0,0,SER_hh_fech_in!D4/SER_summary!D$27)</f>
        <v>149.31879196114056</v>
      </c>
      <c r="E4" s="130">
        <f>IF(SER_hh_fech_in!E4=0,0,SER_hh_fech_in!E4/SER_summary!E$27)</f>
        <v>139.73266129848156</v>
      </c>
      <c r="F4" s="130">
        <f>IF(SER_hh_fech_in!F4=0,0,SER_hh_fech_in!F4/SER_summary!F$27)</f>
        <v>139.69253433405413</v>
      </c>
      <c r="G4" s="130">
        <f>IF(SER_hh_fech_in!G4=0,0,SER_hh_fech_in!G4/SER_summary!G$27)</f>
        <v>123.91108978819148</v>
      </c>
      <c r="H4" s="130">
        <f>IF(SER_hh_fech_in!H4=0,0,SER_hh_fech_in!H4/SER_summary!H$27)</f>
        <v>147.64859457346552</v>
      </c>
      <c r="I4" s="130">
        <f>IF(SER_hh_fech_in!I4=0,0,SER_hh_fech_in!I4/SER_summary!I$27)</f>
        <v>123.93930977777541</v>
      </c>
      <c r="J4" s="130">
        <f>IF(SER_hh_fech_in!J4=0,0,SER_hh_fech_in!J4/SER_summary!J$27)</f>
        <v>137.01992508576816</v>
      </c>
      <c r="K4" s="130">
        <f>IF(SER_hh_fech_in!K4=0,0,SER_hh_fech_in!K4/SER_summary!K$27)</f>
        <v>133.99494893298225</v>
      </c>
      <c r="L4" s="130">
        <f>IF(SER_hh_fech_in!L4=0,0,SER_hh_fech_in!L4/SER_summary!L$27)</f>
        <v>142.58996131516787</v>
      </c>
      <c r="M4" s="130">
        <f>IF(SER_hh_fech_in!M4=0,0,SER_hh_fech_in!M4/SER_summary!M$27)</f>
        <v>127.314426041562</v>
      </c>
      <c r="N4" s="130">
        <f>IF(SER_hh_fech_in!N4=0,0,SER_hh_fech_in!N4/SER_summary!N$27)</f>
        <v>114.70749229579957</v>
      </c>
      <c r="O4" s="130">
        <f>IF(SER_hh_fech_in!O4=0,0,SER_hh_fech_in!O4/SER_summary!O$27)</f>
        <v>100.94694704818173</v>
      </c>
      <c r="P4" s="130">
        <f>IF(SER_hh_fech_in!P4=0,0,SER_hh_fech_in!P4/SER_summary!P$27)</f>
        <v>84.147890656193198</v>
      </c>
      <c r="Q4" s="130">
        <f>IF(SER_hh_fech_in!Q4=0,0,SER_hh_fech_in!Q4/SER_summary!Q$27)</f>
        <v>78.372581251527436</v>
      </c>
      <c r="R4" s="130">
        <f>IF(SER_hh_fech_in!R4=0,0,SER_hh_fech_in!R4/SER_summary!R$27)</f>
        <v>83.391363325503306</v>
      </c>
      <c r="S4" s="130">
        <f>IF(SER_hh_fech_in!S4=0,0,SER_hh_fech_in!S4/SER_summary!S$27)</f>
        <v>73.1142275717161</v>
      </c>
      <c r="T4" s="130">
        <f>IF(SER_hh_fech_in!T4=0,0,SER_hh_fech_in!T4/SER_summary!T$27)</f>
        <v>65.517767223533909</v>
      </c>
      <c r="U4" s="130">
        <f>IF(SER_hh_fech_in!U4=0,0,SER_hh_fech_in!U4/SER_summary!U$27)</f>
        <v>58.998868625617803</v>
      </c>
      <c r="V4" s="130">
        <f>IF(SER_hh_fech_in!V4=0,0,SER_hh_fech_in!V4/SER_summary!V$27)</f>
        <v>52.784980154929677</v>
      </c>
      <c r="W4" s="130">
        <f>IF(SER_hh_fech_in!W4=0,0,SER_hh_fech_in!W4/SER_summary!W$27)</f>
        <v>51.129943364156716</v>
      </c>
      <c r="X4" s="130">
        <f>IF(SER_hh_fech_in!X4=0,0,SER_hh_fech_in!X4/SER_summary!X$27)</f>
        <v>43.433477127309494</v>
      </c>
      <c r="Y4" s="130">
        <f>IF(SER_hh_fech_in!Y4=0,0,SER_hh_fech_in!Y4/SER_summary!Y$27)</f>
        <v>44.36979167751393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96.586319782641226</v>
      </c>
      <c r="D5" s="132">
        <f>IF(SER_hh_fech_in!D5=0,0,SER_hh_fech_in!D5/SER_summary!D$27)</f>
        <v>157.89772790139486</v>
      </c>
      <c r="E5" s="132">
        <f>IF(SER_hh_fech_in!E5=0,0,SER_hh_fech_in!E5/SER_summary!E$27)</f>
        <v>150.92530519409877</v>
      </c>
      <c r="F5" s="132">
        <f>IF(SER_hh_fech_in!F5=0,0,SER_hh_fech_in!F5/SER_summary!F$27)</f>
        <v>140.46719168177964</v>
      </c>
      <c r="G5" s="132">
        <f>IF(SER_hh_fech_in!G5=0,0,SER_hh_fech_in!G5/SER_summary!G$27)</f>
        <v>136.24419947079565</v>
      </c>
      <c r="H5" s="132">
        <f>IF(SER_hh_fech_in!H5=0,0,SER_hh_fech_in!H5/SER_summary!H$27)</f>
        <v>153.02957318567925</v>
      </c>
      <c r="I5" s="132">
        <f>IF(SER_hh_fech_in!I5=0,0,SER_hh_fech_in!I5/SER_summary!I$27)</f>
        <v>124.54421951398902</v>
      </c>
      <c r="J5" s="132">
        <f>IF(SER_hh_fech_in!J5=0,0,SER_hh_fech_in!J5/SER_summary!J$27)</f>
        <v>133.13282172321337</v>
      </c>
      <c r="K5" s="132">
        <f>IF(SER_hh_fech_in!K5=0,0,SER_hh_fech_in!K5/SER_summary!K$27)</f>
        <v>136.26452727866879</v>
      </c>
      <c r="L5" s="132">
        <f>IF(SER_hh_fech_in!L5=0,0,SER_hh_fech_in!L5/SER_summary!L$27)</f>
        <v>148.51857081435006</v>
      </c>
      <c r="M5" s="132">
        <f>IF(SER_hh_fech_in!M5=0,0,SER_hh_fech_in!M5/SER_summary!M$27)</f>
        <v>125.2824869606702</v>
      </c>
      <c r="N5" s="132">
        <f>IF(SER_hh_fech_in!N5=0,0,SER_hh_fech_in!N5/SER_summary!N$27)</f>
        <v>122.4573411088284</v>
      </c>
      <c r="O5" s="132">
        <f>IF(SER_hh_fech_in!O5=0,0,SER_hh_fech_in!O5/SER_summary!O$27)</f>
        <v>109.79466108605503</v>
      </c>
      <c r="P5" s="132">
        <f>IF(SER_hh_fech_in!P5=0,0,SER_hh_fech_in!P5/SER_summary!P$27)</f>
        <v>94.016546044962254</v>
      </c>
      <c r="Q5" s="132">
        <f>IF(SER_hh_fech_in!Q5=0,0,SER_hh_fech_in!Q5/SER_summary!Q$27)</f>
        <v>88.042140617585801</v>
      </c>
      <c r="R5" s="132">
        <f>IF(SER_hh_fech_in!R5=0,0,SER_hh_fech_in!R5/SER_summary!R$27)</f>
        <v>89.388227569015797</v>
      </c>
      <c r="S5" s="132">
        <f>IF(SER_hh_fech_in!S5=0,0,SER_hh_fech_in!S5/SER_summary!S$27)</f>
        <v>84.749244718685006</v>
      </c>
      <c r="T5" s="132">
        <f>IF(SER_hh_fech_in!T5=0,0,SER_hh_fech_in!T5/SER_summary!T$27)</f>
        <v>76.087323139003004</v>
      </c>
      <c r="U5" s="132">
        <f>IF(SER_hh_fech_in!U5=0,0,SER_hh_fech_in!U5/SER_summary!U$27)</f>
        <v>59.61992771981253</v>
      </c>
      <c r="V5" s="132">
        <f>IF(SER_hh_fech_in!V5=0,0,SER_hh_fech_in!V5/SER_summary!V$27)</f>
        <v>59.420826045522126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165.61584661604681</v>
      </c>
      <c r="D7" s="132">
        <f>IF(SER_hh_fech_in!D7=0,0,SER_hh_fech_in!D7/SER_summary!D$27)</f>
        <v>176.06282741209009</v>
      </c>
      <c r="E7" s="132">
        <f>IF(SER_hh_fech_in!E7=0,0,SER_hh_fech_in!E7/SER_summary!E$27)</f>
        <v>174.63275410914864</v>
      </c>
      <c r="F7" s="132">
        <f>IF(SER_hh_fech_in!F7=0,0,SER_hh_fech_in!F7/SER_summary!F$27)</f>
        <v>160.67264936556387</v>
      </c>
      <c r="G7" s="132">
        <f>IF(SER_hh_fech_in!G7=0,0,SER_hh_fech_in!G7/SER_summary!G$27)</f>
        <v>123.91258401834898</v>
      </c>
      <c r="H7" s="132">
        <f>IF(SER_hh_fech_in!H7=0,0,SER_hh_fech_in!H7/SER_summary!H$27)</f>
        <v>192.54811096916706</v>
      </c>
      <c r="I7" s="132">
        <f>IF(SER_hh_fech_in!I7=0,0,SER_hh_fech_in!I7/SER_summary!I$27)</f>
        <v>166.57426005805831</v>
      </c>
      <c r="J7" s="132">
        <f>IF(SER_hh_fech_in!J7=0,0,SER_hh_fech_in!J7/SER_summary!J$27)</f>
        <v>159.32939074395244</v>
      </c>
      <c r="K7" s="132">
        <f>IF(SER_hh_fech_in!K7=0,0,SER_hh_fech_in!K7/SER_summary!K$27)</f>
        <v>146.47968759640983</v>
      </c>
      <c r="L7" s="132">
        <f>IF(SER_hh_fech_in!L7=0,0,SER_hh_fech_in!L7/SER_summary!L$27)</f>
        <v>180.81173632312749</v>
      </c>
      <c r="M7" s="132">
        <f>IF(SER_hh_fech_in!M7=0,0,SER_hh_fech_in!M7/SER_summary!M$27)</f>
        <v>166.62240307521142</v>
      </c>
      <c r="N7" s="132">
        <f>IF(SER_hh_fech_in!N7=0,0,SER_hh_fech_in!N7/SER_summary!N$27)</f>
        <v>0</v>
      </c>
      <c r="O7" s="132">
        <f>IF(SER_hh_fech_in!O7=0,0,SER_hh_fech_in!O7/SER_summary!O$27)</f>
        <v>0</v>
      </c>
      <c r="P7" s="132">
        <f>IF(SER_hh_fech_in!P7=0,0,SER_hh_fech_in!P7/SER_summary!P$27)</f>
        <v>0</v>
      </c>
      <c r="Q7" s="132">
        <f>IF(SER_hh_fech_in!Q7=0,0,SER_hh_fech_in!Q7/SER_summary!Q$27)</f>
        <v>87.917593198121381</v>
      </c>
      <c r="R7" s="132">
        <f>IF(SER_hh_fech_in!R7=0,0,SER_hh_fech_in!R7/SER_summary!R$27)</f>
        <v>83.702041801553705</v>
      </c>
      <c r="S7" s="132">
        <f>IF(SER_hh_fech_in!S7=0,0,SER_hh_fech_in!S7/SER_summary!S$27)</f>
        <v>80.395511571827157</v>
      </c>
      <c r="T7" s="132">
        <f>IF(SER_hh_fech_in!T7=0,0,SER_hh_fech_in!T7/SER_summary!T$27)</f>
        <v>78.301602516095244</v>
      </c>
      <c r="U7" s="132">
        <f>IF(SER_hh_fech_in!U7=0,0,SER_hh_fech_in!U7/SER_summary!U$27)</f>
        <v>65.019943197944457</v>
      </c>
      <c r="V7" s="132">
        <f>IF(SER_hh_fech_in!V7=0,0,SER_hh_fech_in!V7/SER_summary!V$27)</f>
        <v>62.502235891331743</v>
      </c>
      <c r="W7" s="132">
        <f>IF(SER_hh_fech_in!W7=0,0,SER_hh_fech_in!W7/SER_summary!W$27)</f>
        <v>63.5942441383282</v>
      </c>
      <c r="X7" s="132">
        <f>IF(SER_hh_fech_in!X7=0,0,SER_hh_fech_in!X7/SER_summary!X$27)</f>
        <v>55.091986540143424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70.165765711012796</v>
      </c>
      <c r="D8" s="132">
        <f>IF(SER_hh_fech_in!D8=0,0,SER_hh_fech_in!D8/SER_summary!D$27)</f>
        <v>70.314567026626818</v>
      </c>
      <c r="E8" s="132">
        <f>IF(SER_hh_fech_in!E8=0,0,SER_hh_fech_in!E8/SER_summary!E$27)</f>
        <v>71.119003225401556</v>
      </c>
      <c r="F8" s="132">
        <f>IF(SER_hh_fech_in!F8=0,0,SER_hh_fech_in!F8/SER_summary!F$27)</f>
        <v>67.415498428293859</v>
      </c>
      <c r="G8" s="132">
        <f>IF(SER_hh_fech_in!G8=0,0,SER_hh_fech_in!G8/SER_summary!G$27)</f>
        <v>63.884601687562316</v>
      </c>
      <c r="H8" s="132">
        <f>IF(SER_hh_fech_in!H8=0,0,SER_hh_fech_in!H8/SER_summary!H$27)</f>
        <v>60.155029185815465</v>
      </c>
      <c r="I8" s="132">
        <f>IF(SER_hh_fech_in!I8=0,0,SER_hh_fech_in!I8/SER_summary!I$27)</f>
        <v>56.287659236424929</v>
      </c>
      <c r="J8" s="132">
        <f>IF(SER_hh_fech_in!J8=0,0,SER_hh_fech_in!J8/SER_summary!J$27)</f>
        <v>55.986386515430787</v>
      </c>
      <c r="K8" s="132">
        <f>IF(SER_hh_fech_in!K8=0,0,SER_hh_fech_in!K8/SER_summary!K$27)</f>
        <v>56.141582773300101</v>
      </c>
      <c r="L8" s="132">
        <f>IF(SER_hh_fech_in!L8=0,0,SER_hh_fech_in!L8/SER_summary!L$27)</f>
        <v>53.261651503693841</v>
      </c>
      <c r="M8" s="132">
        <f>IF(SER_hh_fech_in!M8=0,0,SER_hh_fech_in!M8/SER_summary!M$27)</f>
        <v>43.217863248448246</v>
      </c>
      <c r="N8" s="132">
        <f>IF(SER_hh_fech_in!N8=0,0,SER_hh_fech_in!N8/SER_summary!N$27)</f>
        <v>39.97124611282382</v>
      </c>
      <c r="O8" s="132">
        <f>IF(SER_hh_fech_in!O8=0,0,SER_hh_fech_in!O8/SER_summary!O$27)</f>
        <v>31.201352328512723</v>
      </c>
      <c r="P8" s="132">
        <f>IF(SER_hh_fech_in!P8=0,0,SER_hh_fech_in!P8/SER_summary!P$27)</f>
        <v>32.233611609581956</v>
      </c>
      <c r="Q8" s="132">
        <f>IF(SER_hh_fech_in!Q8=0,0,SER_hh_fech_in!Q8/SER_summary!Q$27)</f>
        <v>28.408984811704403</v>
      </c>
      <c r="R8" s="132">
        <f>IF(SER_hh_fech_in!R8=0,0,SER_hh_fech_in!R8/SER_summary!R$27)</f>
        <v>26.487118519714858</v>
      </c>
      <c r="S8" s="132">
        <f>IF(SER_hh_fech_in!S8=0,0,SER_hh_fech_in!S8/SER_summary!S$27)</f>
        <v>22.525840591585659</v>
      </c>
      <c r="T8" s="132">
        <f>IF(SER_hh_fech_in!T8=0,0,SER_hh_fech_in!T8/SER_summary!T$27)</f>
        <v>20.139177734145218</v>
      </c>
      <c r="U8" s="132">
        <f>IF(SER_hh_fech_in!U8=0,0,SER_hh_fech_in!U8/SER_summary!U$27)</f>
        <v>18.428884766310276</v>
      </c>
      <c r="V8" s="132">
        <f>IF(SER_hh_fech_in!V8=0,0,SER_hh_fech_in!V8/SER_summary!V$27)</f>
        <v>17.134298568576739</v>
      </c>
      <c r="W8" s="132">
        <f>IF(SER_hh_fech_in!W8=0,0,SER_hh_fech_in!W8/SER_summary!W$27)</f>
        <v>16.305625826021572</v>
      </c>
      <c r="X8" s="132">
        <f>IF(SER_hh_fech_in!X8=0,0,SER_hh_fech_in!X8/SER_summary!X$27)</f>
        <v>13.800688159542911</v>
      </c>
      <c r="Y8" s="132">
        <f>IF(SER_hh_fech_in!Y8=0,0,SER_hh_fech_in!Y8/SER_summary!Y$27)</f>
        <v>15.270375243967171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149.41546136059188</v>
      </c>
      <c r="D9" s="132">
        <f>IF(SER_hh_fech_in!D9=0,0,SER_hh_fech_in!D9/SER_summary!D$27)</f>
        <v>165.4197441429381</v>
      </c>
      <c r="E9" s="132">
        <f>IF(SER_hh_fech_in!E9=0,0,SER_hh_fech_in!E9/SER_summary!E$27)</f>
        <v>165.1506646133885</v>
      </c>
      <c r="F9" s="132">
        <f>IF(SER_hh_fech_in!F9=0,0,SER_hh_fech_in!F9/SER_summary!F$27)</f>
        <v>167.58805821571963</v>
      </c>
      <c r="G9" s="132">
        <f>IF(SER_hh_fech_in!G9=0,0,SER_hh_fech_in!G9/SER_summary!G$27)</f>
        <v>163.99603282738332</v>
      </c>
      <c r="H9" s="132">
        <f>IF(SER_hh_fech_in!H9=0,0,SER_hh_fech_in!H9/SER_summary!H$27)</f>
        <v>149.19041714640082</v>
      </c>
      <c r="I9" s="132">
        <f>IF(SER_hh_fech_in!I9=0,0,SER_hh_fech_in!I9/SER_summary!I$27)</f>
        <v>146.30816844106664</v>
      </c>
      <c r="J9" s="132">
        <f>IF(SER_hh_fech_in!J9=0,0,SER_hh_fech_in!J9/SER_summary!J$27)</f>
        <v>148.19214912276567</v>
      </c>
      <c r="K9" s="132">
        <f>IF(SER_hh_fech_in!K9=0,0,SER_hh_fech_in!K9/SER_summary!K$27)</f>
        <v>145.67120258115941</v>
      </c>
      <c r="L9" s="132">
        <f>IF(SER_hh_fech_in!L9=0,0,SER_hh_fech_in!L9/SER_summary!L$27)</f>
        <v>163.37156165663629</v>
      </c>
      <c r="M9" s="132">
        <f>IF(SER_hh_fech_in!M9=0,0,SER_hh_fech_in!M9/SER_summary!M$27)</f>
        <v>136.0990313558589</v>
      </c>
      <c r="N9" s="132">
        <f>IF(SER_hh_fech_in!N9=0,0,SER_hh_fech_in!N9/SER_summary!N$27)</f>
        <v>128.5549989905914</v>
      </c>
      <c r="O9" s="132">
        <f>IF(SER_hh_fech_in!O9=0,0,SER_hh_fech_in!O9/SER_summary!O$27)</f>
        <v>112.12387768488934</v>
      </c>
      <c r="P9" s="132">
        <f>IF(SER_hh_fech_in!P9=0,0,SER_hh_fech_in!P9/SER_summary!P$27)</f>
        <v>85.433444050965178</v>
      </c>
      <c r="Q9" s="132">
        <f>IF(SER_hh_fech_in!Q9=0,0,SER_hh_fech_in!Q9/SER_summary!Q$27)</f>
        <v>84.772835386968623</v>
      </c>
      <c r="R9" s="132">
        <f>IF(SER_hh_fech_in!R9=0,0,SER_hh_fech_in!R9/SER_summary!R$27)</f>
        <v>95.905862469958251</v>
      </c>
      <c r="S9" s="132">
        <f>IF(SER_hh_fech_in!S9=0,0,SER_hh_fech_in!S9/SER_summary!S$27)</f>
        <v>69.847739415250388</v>
      </c>
      <c r="T9" s="132">
        <f>IF(SER_hh_fech_in!T9=0,0,SER_hh_fech_in!T9/SER_summary!T$27)</f>
        <v>64.230943657243401</v>
      </c>
      <c r="U9" s="132">
        <f>IF(SER_hh_fech_in!U9=0,0,SER_hh_fech_in!U9/SER_summary!U$27)</f>
        <v>62.441609397829772</v>
      </c>
      <c r="V9" s="132">
        <f>IF(SER_hh_fech_in!V9=0,0,SER_hh_fech_in!V9/SER_summary!V$27)</f>
        <v>50.415518356730871</v>
      </c>
      <c r="W9" s="132">
        <f>IF(SER_hh_fech_in!W9=0,0,SER_hh_fech_in!W9/SER_summary!W$27)</f>
        <v>57.229993942698492</v>
      </c>
      <c r="X9" s="132">
        <f>IF(SER_hh_fech_in!X9=0,0,SER_hh_fech_in!X9/SER_summary!X$27)</f>
        <v>48.714479988046151</v>
      </c>
      <c r="Y9" s="132">
        <f>IF(SER_hh_fech_in!Y9=0,0,SER_hh_fech_in!Y9/SER_summary!Y$27)</f>
        <v>44.760405019281094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128.37481374498932</v>
      </c>
      <c r="I10" s="132">
        <f>IF(SER_hh_fech_in!I10=0,0,SER_hh_fech_in!I10/SER_summary!I$27)</f>
        <v>153.83725362975704</v>
      </c>
      <c r="J10" s="132">
        <f>IF(SER_hh_fech_in!J10=0,0,SER_hh_fech_in!J10/SER_summary!J$27)</f>
        <v>135.63958279054242</v>
      </c>
      <c r="K10" s="132">
        <f>IF(SER_hh_fech_in!K10=0,0,SER_hh_fech_in!K10/SER_summary!K$27)</f>
        <v>171.13481141436094</v>
      </c>
      <c r="L10" s="132">
        <f>IF(SER_hh_fech_in!L10=0,0,SER_hh_fech_in!L10/SER_summary!L$27)</f>
        <v>179.28984735802942</v>
      </c>
      <c r="M10" s="132">
        <f>IF(SER_hh_fech_in!M10=0,0,SER_hh_fech_in!M10/SER_summary!M$27)</f>
        <v>161.09104776202986</v>
      </c>
      <c r="N10" s="132">
        <f>IF(SER_hh_fech_in!N10=0,0,SER_hh_fech_in!N10/SER_summary!N$27)</f>
        <v>135.19167642151115</v>
      </c>
      <c r="O10" s="132">
        <f>IF(SER_hh_fech_in!O10=0,0,SER_hh_fech_in!O10/SER_summary!O$27)</f>
        <v>141.97328966366115</v>
      </c>
      <c r="P10" s="132">
        <f>IF(SER_hh_fech_in!P10=0,0,SER_hh_fech_in!P10/SER_summary!P$27)</f>
        <v>113.70392606581581</v>
      </c>
      <c r="Q10" s="132">
        <f>IF(SER_hh_fech_in!Q10=0,0,SER_hh_fech_in!Q10/SER_summary!Q$27)</f>
        <v>110.28088205773943</v>
      </c>
      <c r="R10" s="132">
        <f>IF(SER_hh_fech_in!R10=0,0,SER_hh_fech_in!R10/SER_summary!R$27)</f>
        <v>116.08324341942404</v>
      </c>
      <c r="S10" s="132">
        <f>IF(SER_hh_fech_in!S10=0,0,SER_hh_fech_in!S10/SER_summary!S$27)</f>
        <v>106.86583777387899</v>
      </c>
      <c r="T10" s="132">
        <f>IF(SER_hh_fech_in!T10=0,0,SER_hh_fech_in!T10/SER_summary!T$27)</f>
        <v>93.864043269073889</v>
      </c>
      <c r="U10" s="132">
        <f>IF(SER_hh_fech_in!U10=0,0,SER_hh_fech_in!U10/SER_summary!U$27)</f>
        <v>83.240527755359878</v>
      </c>
      <c r="V10" s="132">
        <f>IF(SER_hh_fech_in!V10=0,0,SER_hh_fech_in!V10/SER_summary!V$27)</f>
        <v>81.604206078023353</v>
      </c>
      <c r="W10" s="132">
        <f>IF(SER_hh_fech_in!W10=0,0,SER_hh_fech_in!W10/SER_summary!W$27)</f>
        <v>79.669985269310786</v>
      </c>
      <c r="X10" s="132">
        <f>IF(SER_hh_fech_in!X10=0,0,SER_hh_fech_in!X10/SER_summary!X$27)</f>
        <v>57.161862551627372</v>
      </c>
      <c r="Y10" s="132">
        <f>IF(SER_hh_fech_in!Y10=0,0,SER_hh_fech_in!Y10/SER_summary!Y$27)</f>
        <v>67.363752540236689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69.875138387024464</v>
      </c>
      <c r="D11" s="132">
        <f>IF(SER_hh_fech_in!D11=0,0,SER_hh_fech_in!D11/SER_summary!D$27)</f>
        <v>115.43045304084357</v>
      </c>
      <c r="E11" s="132">
        <f>IF(SER_hh_fech_in!E11=0,0,SER_hh_fech_in!E11/SER_summary!E$27)</f>
        <v>121.64334696627131</v>
      </c>
      <c r="F11" s="132">
        <f>IF(SER_hh_fech_in!F11=0,0,SER_hh_fech_in!F11/SER_summary!F$27)</f>
        <v>104.46056274891305</v>
      </c>
      <c r="G11" s="132">
        <f>IF(SER_hh_fech_in!G11=0,0,SER_hh_fech_in!G11/SER_summary!G$27)</f>
        <v>116.30428909799494</v>
      </c>
      <c r="H11" s="132">
        <f>IF(SER_hh_fech_in!H11=0,0,SER_hh_fech_in!H11/SER_summary!H$27)</f>
        <v>117.43137288490189</v>
      </c>
      <c r="I11" s="132">
        <f>IF(SER_hh_fech_in!I11=0,0,SER_hh_fech_in!I11/SER_summary!I$27)</f>
        <v>85.563065367053852</v>
      </c>
      <c r="J11" s="132">
        <f>IF(SER_hh_fech_in!J11=0,0,SER_hh_fech_in!J11/SER_summary!J$27)</f>
        <v>118.11391593500855</v>
      </c>
      <c r="K11" s="132">
        <f>IF(SER_hh_fech_in!K11=0,0,SER_hh_fech_in!K11/SER_summary!K$27)</f>
        <v>119.928515589165</v>
      </c>
      <c r="L11" s="132">
        <f>IF(SER_hh_fech_in!L11=0,0,SER_hh_fech_in!L11/SER_summary!L$27)</f>
        <v>105.46659766533401</v>
      </c>
      <c r="M11" s="132">
        <f>IF(SER_hh_fech_in!M11=0,0,SER_hh_fech_in!M11/SER_summary!M$27)</f>
        <v>77.618924721116201</v>
      </c>
      <c r="N11" s="132">
        <f>IF(SER_hh_fech_in!N11=0,0,SER_hh_fech_in!N11/SER_summary!N$27)</f>
        <v>87.583309638777294</v>
      </c>
      <c r="O11" s="132">
        <f>IF(SER_hh_fech_in!O11=0,0,SER_hh_fech_in!O11/SER_summary!O$27)</f>
        <v>92.217328063065636</v>
      </c>
      <c r="P11" s="132">
        <f>IF(SER_hh_fech_in!P11=0,0,SER_hh_fech_in!P11/SER_summary!P$27)</f>
        <v>84.379891592498936</v>
      </c>
      <c r="Q11" s="132">
        <f>IF(SER_hh_fech_in!Q11=0,0,SER_hh_fech_in!Q11/SER_summary!Q$27)</f>
        <v>75.560024798125113</v>
      </c>
      <c r="R11" s="132">
        <f>IF(SER_hh_fech_in!R11=0,0,SER_hh_fech_in!R11/SER_summary!R$27)</f>
        <v>69.724549991582791</v>
      </c>
      <c r="S11" s="132">
        <f>IF(SER_hh_fech_in!S11=0,0,SER_hh_fech_in!S11/SER_summary!S$27)</f>
        <v>65.794965979974336</v>
      </c>
      <c r="T11" s="132">
        <f>IF(SER_hh_fech_in!T11=0,0,SER_hh_fech_in!T11/SER_summary!T$27)</f>
        <v>61.745834756216055</v>
      </c>
      <c r="U11" s="132">
        <f>IF(SER_hh_fech_in!U11=0,0,SER_hh_fech_in!U11/SER_summary!U$27)</f>
        <v>57.447707497298047</v>
      </c>
      <c r="V11" s="132">
        <f>IF(SER_hh_fech_in!V11=0,0,SER_hh_fech_in!V11/SER_summary!V$27)</f>
        <v>51.610793894611554</v>
      </c>
      <c r="W11" s="132">
        <f>IF(SER_hh_fech_in!W11=0,0,SER_hh_fech_in!W11/SER_summary!W$27)</f>
        <v>45.686713642576684</v>
      </c>
      <c r="X11" s="132">
        <f>IF(SER_hh_fech_in!X11=0,0,SER_hh_fech_in!X11/SER_summary!X$27)</f>
        <v>43.612808033598483</v>
      </c>
      <c r="Y11" s="132">
        <f>IF(SER_hh_fech_in!Y11=0,0,SER_hh_fech_in!Y11/SER_summary!Y$27)</f>
        <v>43.314955200899689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96.075274010903442</v>
      </c>
      <c r="D12" s="132">
        <f>IF(SER_hh_fech_in!D12=0,0,SER_hh_fech_in!D12/SER_summary!D$27)</f>
        <v>112.32204992513229</v>
      </c>
      <c r="E12" s="132">
        <f>IF(SER_hh_fech_in!E12=0,0,SER_hh_fech_in!E12/SER_summary!E$27)</f>
        <v>95.096325271978486</v>
      </c>
      <c r="F12" s="132">
        <f>IF(SER_hh_fech_in!F12=0,0,SER_hh_fech_in!F12/SER_summary!F$27)</f>
        <v>125.16518296001175</v>
      </c>
      <c r="G12" s="132">
        <f>IF(SER_hh_fech_in!G12=0,0,SER_hh_fech_in!G12/SER_summary!G$27)</f>
        <v>106.3712918698502</v>
      </c>
      <c r="H12" s="132">
        <f>IF(SER_hh_fech_in!H12=0,0,SER_hh_fech_in!H12/SER_summary!H$27)</f>
        <v>128.66321488247405</v>
      </c>
      <c r="I12" s="132">
        <f>IF(SER_hh_fech_in!I12=0,0,SER_hh_fech_in!I12/SER_summary!I$27)</f>
        <v>84.09987381345293</v>
      </c>
      <c r="J12" s="132">
        <f>IF(SER_hh_fech_in!J12=0,0,SER_hh_fech_in!J12/SER_summary!J$27)</f>
        <v>117.7785378755454</v>
      </c>
      <c r="K12" s="132">
        <f>IF(SER_hh_fech_in!K12=0,0,SER_hh_fech_in!K12/SER_summary!K$27)</f>
        <v>107.91909705952213</v>
      </c>
      <c r="L12" s="132">
        <f>IF(SER_hh_fech_in!L12=0,0,SER_hh_fech_in!L12/SER_summary!L$27)</f>
        <v>116.84681567664902</v>
      </c>
      <c r="M12" s="132">
        <f>IF(SER_hh_fech_in!M12=0,0,SER_hh_fech_in!M12/SER_summary!M$27)</f>
        <v>97.042872377823429</v>
      </c>
      <c r="N12" s="132">
        <f>IF(SER_hh_fech_in!N12=0,0,SER_hh_fech_in!N12/SER_summary!N$27)</f>
        <v>93.305823631579358</v>
      </c>
      <c r="O12" s="132">
        <f>IF(SER_hh_fech_in!O12=0,0,SER_hh_fech_in!O12/SER_summary!O$27)</f>
        <v>92.324697358274932</v>
      </c>
      <c r="P12" s="132">
        <f>IF(SER_hh_fech_in!P12=0,0,SER_hh_fech_in!P12/SER_summary!P$27)</f>
        <v>76.048547656740709</v>
      </c>
      <c r="Q12" s="132">
        <f>IF(SER_hh_fech_in!Q12=0,0,SER_hh_fech_in!Q12/SER_summary!Q$27)</f>
        <v>66.09395267030105</v>
      </c>
      <c r="R12" s="132">
        <f>IF(SER_hh_fech_in!R12=0,0,SER_hh_fech_in!R12/SER_summary!R$27)</f>
        <v>74.235816771169638</v>
      </c>
      <c r="S12" s="132">
        <f>IF(SER_hh_fech_in!S12=0,0,SER_hh_fech_in!S12/SER_summary!S$27)</f>
        <v>71.348727256072763</v>
      </c>
      <c r="T12" s="132">
        <f>IF(SER_hh_fech_in!T12=0,0,SER_hh_fech_in!T12/SER_summary!T$27)</f>
        <v>57.308265701549928</v>
      </c>
      <c r="U12" s="132">
        <f>IF(SER_hh_fech_in!U12=0,0,SER_hh_fech_in!U12/SER_summary!U$27)</f>
        <v>56.496216826374713</v>
      </c>
      <c r="V12" s="132">
        <f>IF(SER_hh_fech_in!V12=0,0,SER_hh_fech_in!V12/SER_summary!V$27)</f>
        <v>53.985948322946818</v>
      </c>
      <c r="W12" s="132">
        <f>IF(SER_hh_fech_in!W12=0,0,SER_hh_fech_in!W12/SER_summary!W$27)</f>
        <v>41.605477285755619</v>
      </c>
      <c r="X12" s="132">
        <f>IF(SER_hh_fech_in!X12=0,0,SER_hh_fech_in!X12/SER_summary!X$27)</f>
        <v>43.862122267657348</v>
      </c>
      <c r="Y12" s="132">
        <f>IF(SER_hh_fech_in!Y12=0,0,SER_hh_fech_in!Y12/SER_summary!Y$27)</f>
        <v>39.3702890309522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54.010458064118247</v>
      </c>
      <c r="D13" s="132">
        <f>IF(SER_hh_fech_in!D13=0,0,SER_hh_fech_in!D13/SER_summary!D$27)</f>
        <v>46.405463185258668</v>
      </c>
      <c r="E13" s="132">
        <f>IF(SER_hh_fech_in!E13=0,0,SER_hh_fech_in!E13/SER_summary!E$27)</f>
        <v>49.607215741145311</v>
      </c>
      <c r="F13" s="132">
        <f>IF(SER_hh_fech_in!F13=0,0,SER_hh_fech_in!F13/SER_summary!F$27)</f>
        <v>43.243571541001153</v>
      </c>
      <c r="G13" s="132">
        <f>IF(SER_hh_fech_in!G13=0,0,SER_hh_fech_in!G13/SER_summary!G$27)</f>
        <v>45.611528726014619</v>
      </c>
      <c r="H13" s="132">
        <f>IF(SER_hh_fech_in!H13=0,0,SER_hh_fech_in!H13/SER_summary!H$27)</f>
        <v>45.079792592388245</v>
      </c>
      <c r="I13" s="132">
        <f>IF(SER_hh_fech_in!I13=0,0,SER_hh_fech_in!I13/SER_summary!I$27)</f>
        <v>41.903403380341373</v>
      </c>
      <c r="J13" s="132">
        <f>IF(SER_hh_fech_in!J13=0,0,SER_hh_fech_in!J13/SER_summary!J$27)</f>
        <v>41.225378988288348</v>
      </c>
      <c r="K13" s="132">
        <f>IF(SER_hh_fech_in!K13=0,0,SER_hh_fech_in!K13/SER_summary!K$27)</f>
        <v>39.973018117483861</v>
      </c>
      <c r="L13" s="132">
        <f>IF(SER_hh_fech_in!L13=0,0,SER_hh_fech_in!L13/SER_summary!L$27)</f>
        <v>37.031370554809619</v>
      </c>
      <c r="M13" s="132">
        <f>IF(SER_hh_fech_in!M13=0,0,SER_hh_fech_in!M13/SER_summary!M$27)</f>
        <v>32.556107716700552</v>
      </c>
      <c r="N13" s="132">
        <f>IF(SER_hh_fech_in!N13=0,0,SER_hh_fech_in!N13/SER_summary!N$27)</f>
        <v>28.278937679087754</v>
      </c>
      <c r="O13" s="132">
        <f>IF(SER_hh_fech_in!O13=0,0,SER_hh_fech_in!O13/SER_summary!O$27)</f>
        <v>21.764429136423249</v>
      </c>
      <c r="P13" s="132">
        <f>IF(SER_hh_fech_in!P13=0,0,SER_hh_fech_in!P13/SER_summary!P$27)</f>
        <v>22.654607985681686</v>
      </c>
      <c r="Q13" s="132">
        <f>IF(SER_hh_fech_in!Q13=0,0,SER_hh_fech_in!Q13/SER_summary!Q$27)</f>
        <v>20.134838200989314</v>
      </c>
      <c r="R13" s="132">
        <f>IF(SER_hh_fech_in!R13=0,0,SER_hh_fech_in!R13/SER_summary!R$27)</f>
        <v>18.284636328782703</v>
      </c>
      <c r="S13" s="132">
        <f>IF(SER_hh_fech_in!S13=0,0,SER_hh_fech_in!S13/SER_summary!S$27)</f>
        <v>16.383325514405879</v>
      </c>
      <c r="T13" s="132">
        <f>IF(SER_hh_fech_in!T13=0,0,SER_hh_fech_in!T13/SER_summary!T$27)</f>
        <v>14.603123164650711</v>
      </c>
      <c r="U13" s="132">
        <f>IF(SER_hh_fech_in!U13=0,0,SER_hh_fech_in!U13/SER_summary!U$27)</f>
        <v>13.409608458386662</v>
      </c>
      <c r="V13" s="132">
        <f>IF(SER_hh_fech_in!V13=0,0,SER_hh_fech_in!V13/SER_summary!V$27)</f>
        <v>12.191141614962753</v>
      </c>
      <c r="W13" s="132">
        <f>IF(SER_hh_fech_in!W13=0,0,SER_hh_fech_in!W13/SER_summary!W$27)</f>
        <v>11.272027142120759</v>
      </c>
      <c r="X13" s="132">
        <f>IF(SER_hh_fech_in!X13=0,0,SER_hh_fech_in!X13/SER_summary!X$27)</f>
        <v>9.9988862181413509</v>
      </c>
      <c r="Y13" s="132">
        <f>IF(SER_hh_fech_in!Y13=0,0,SER_hh_fech_in!Y13/SER_summary!Y$27)</f>
        <v>10.356094642575858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119.95065721943786</v>
      </c>
      <c r="H14" s="65">
        <f>IF(SER_hh_fech_in!H14=0,0,SER_hh_fech_in!H14/SER_summary!H$27)</f>
        <v>134.76783053846469</v>
      </c>
      <c r="I14" s="65">
        <f>IF(SER_hh_fech_in!I14=0,0,SER_hh_fech_in!I14/SER_summary!I$27)</f>
        <v>105.91121996282965</v>
      </c>
      <c r="J14" s="65">
        <f>IF(SER_hh_fech_in!J14=0,0,SER_hh_fech_in!J14/SER_summary!J$27)</f>
        <v>128.85457425003929</v>
      </c>
      <c r="K14" s="65">
        <f>IF(SER_hh_fech_in!K14=0,0,SER_hh_fech_in!K14/SER_summary!K$27)</f>
        <v>105.12085856477574</v>
      </c>
      <c r="L14" s="65">
        <f>IF(SER_hh_fech_in!L14=0,0,SER_hh_fech_in!L14/SER_summary!L$27)</f>
        <v>127.35636748682408</v>
      </c>
      <c r="M14" s="65">
        <f>IF(SER_hh_fech_in!M14=0,0,SER_hh_fech_in!M14/SER_summary!M$27)</f>
        <v>118.6088383333921</v>
      </c>
      <c r="N14" s="65">
        <f>IF(SER_hh_fech_in!N14=0,0,SER_hh_fech_in!N14/SER_summary!N$27)</f>
        <v>110.3189968219996</v>
      </c>
      <c r="O14" s="65">
        <f>IF(SER_hh_fech_in!O14=0,0,SER_hh_fech_in!O14/SER_summary!O$27)</f>
        <v>86.727330256355259</v>
      </c>
      <c r="P14" s="65">
        <f>IF(SER_hh_fech_in!P14=0,0,SER_hh_fech_in!P14/SER_summary!P$27)</f>
        <v>89.043573992780807</v>
      </c>
      <c r="Q14" s="65">
        <f>IF(SER_hh_fech_in!Q14=0,0,SER_hh_fech_in!Q14/SER_summary!Q$27)</f>
        <v>77.374561712675089</v>
      </c>
      <c r="R14" s="65">
        <f>IF(SER_hh_fech_in!R14=0,0,SER_hh_fech_in!R14/SER_summary!R$27)</f>
        <v>81.944106043775832</v>
      </c>
      <c r="S14" s="65">
        <f>IF(SER_hh_fech_in!S14=0,0,SER_hh_fech_in!S14/SER_summary!S$27)</f>
        <v>66.497590059344475</v>
      </c>
      <c r="T14" s="65">
        <f>IF(SER_hh_fech_in!T14=0,0,SER_hh_fech_in!T14/SER_summary!T$27)</f>
        <v>66.680767254517136</v>
      </c>
      <c r="U14" s="65">
        <f>IF(SER_hh_fech_in!U14=0,0,SER_hh_fech_in!U14/SER_summary!U$27)</f>
        <v>57.225415718354668</v>
      </c>
      <c r="V14" s="65">
        <f>IF(SER_hh_fech_in!V14=0,0,SER_hh_fech_in!V14/SER_summary!V$27)</f>
        <v>49.639619115404635</v>
      </c>
      <c r="W14" s="65">
        <f>IF(SER_hh_fech_in!W14=0,0,SER_hh_fech_in!W14/SER_summary!W$27)</f>
        <v>48.10384316322137</v>
      </c>
      <c r="X14" s="65">
        <f>IF(SER_hh_fech_in!X14=0,0,SER_hh_fech_in!X14/SER_summary!X$27)</f>
        <v>38.572724822570144</v>
      </c>
      <c r="Y14" s="65">
        <f>IF(SER_hh_fech_in!Y14=0,0,SER_hh_fech_in!Y14/SER_summary!Y$27)</f>
        <v>44.523478908253466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1.0284845084109582</v>
      </c>
      <c r="D15" s="134">
        <f>IF(SER_hh_fech_in!D15=0,0,SER_hh_fech_in!D15/SER_summary!D$27)</f>
        <v>1.1775548902244553</v>
      </c>
      <c r="E15" s="134">
        <f>IF(SER_hh_fech_in!E15=0,0,SER_hh_fech_in!E15/SER_summary!E$27)</f>
        <v>1.1055663704886798</v>
      </c>
      <c r="F15" s="134">
        <f>IF(SER_hh_fech_in!F15=0,0,SER_hh_fech_in!F15/SER_summary!F$27)</f>
        <v>0.87315112498176939</v>
      </c>
      <c r="G15" s="134">
        <f>IF(SER_hh_fech_in!G15=0,0,SER_hh_fech_in!G15/SER_summary!G$27)</f>
        <v>0.83717812757952836</v>
      </c>
      <c r="H15" s="134">
        <f>IF(SER_hh_fech_in!H15=0,0,SER_hh_fech_in!H15/SER_summary!H$27)</f>
        <v>1.0798338514955499</v>
      </c>
      <c r="I15" s="134">
        <f>IF(SER_hh_fech_in!I15=0,0,SER_hh_fech_in!I15/SER_summary!I$27)</f>
        <v>1.0067899426908731</v>
      </c>
      <c r="J15" s="134">
        <f>IF(SER_hh_fech_in!J15=0,0,SER_hh_fech_in!J15/SER_summary!J$27)</f>
        <v>1.0715701502638018</v>
      </c>
      <c r="K15" s="134">
        <f>IF(SER_hh_fech_in!K15=0,0,SER_hh_fech_in!K15/SER_summary!K$27)</f>
        <v>1.0748263085632315</v>
      </c>
      <c r="L15" s="134">
        <f>IF(SER_hh_fech_in!L15=0,0,SER_hh_fech_in!L15/SER_summary!L$27)</f>
        <v>1.0142817085754752</v>
      </c>
      <c r="M15" s="134">
        <f>IF(SER_hh_fech_in!M15=0,0,SER_hh_fech_in!M15/SER_summary!M$27)</f>
        <v>1.0261753991526641</v>
      </c>
      <c r="N15" s="134">
        <f>IF(SER_hh_fech_in!N15=0,0,SER_hh_fech_in!N15/SER_summary!N$27)</f>
        <v>0.85377777003495647</v>
      </c>
      <c r="O15" s="134">
        <f>IF(SER_hh_fech_in!O15=0,0,SER_hh_fech_in!O15/SER_summary!O$27)</f>
        <v>0.66746543118325119</v>
      </c>
      <c r="P15" s="134">
        <f>IF(SER_hh_fech_in!P15=0,0,SER_hh_fech_in!P15/SER_summary!P$27)</f>
        <v>0.68561256528195103</v>
      </c>
      <c r="Q15" s="134">
        <f>IF(SER_hh_fech_in!Q15=0,0,SER_hh_fech_in!Q15/SER_summary!Q$27)</f>
        <v>0.63324511684665541</v>
      </c>
      <c r="R15" s="134">
        <f>IF(SER_hh_fech_in!R15=0,0,SER_hh_fech_in!R15/SER_summary!R$27)</f>
        <v>0.61119205332206261</v>
      </c>
      <c r="S15" s="134">
        <f>IF(SER_hh_fech_in!S15=0,0,SER_hh_fech_in!S15/SER_summary!S$27)</f>
        <v>0.44972250650122375</v>
      </c>
      <c r="T15" s="134">
        <f>IF(SER_hh_fech_in!T15=0,0,SER_hh_fech_in!T15/SER_summary!T$27)</f>
        <v>0.44696733362275415</v>
      </c>
      <c r="U15" s="134">
        <f>IF(SER_hh_fech_in!U15=0,0,SER_hh_fech_in!U15/SER_summary!U$27)</f>
        <v>0.45616115324763395</v>
      </c>
      <c r="V15" s="134">
        <f>IF(SER_hh_fech_in!V15=0,0,SER_hh_fech_in!V15/SER_summary!V$27)</f>
        <v>0.44804705980650089</v>
      </c>
      <c r="W15" s="134">
        <f>IF(SER_hh_fech_in!W15=0,0,SER_hh_fech_in!W15/SER_summary!W$27)</f>
        <v>0.54724058086827343</v>
      </c>
      <c r="X15" s="134">
        <f>IF(SER_hh_fech_in!X15=0,0,SER_hh_fech_in!X15/SER_summary!X$27)</f>
        <v>0.49381397051349174</v>
      </c>
      <c r="Y15" s="134">
        <f>IF(SER_hh_fech_in!Y15=0,0,SER_hh_fech_in!Y15/SER_summary!Y$27)</f>
        <v>0.45734356470833576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12.146109644907533</v>
      </c>
      <c r="D16" s="130">
        <f>IF(SER_hh_fech_in!D16=0,0,SER_hh_fech_in!D16/SER_summary!D$27)</f>
        <v>11.785732909212079</v>
      </c>
      <c r="E16" s="130">
        <f>IF(SER_hh_fech_in!E16=0,0,SER_hh_fech_in!E16/SER_summary!E$27)</f>
        <v>11.06675820200577</v>
      </c>
      <c r="F16" s="130">
        <f>IF(SER_hh_fech_in!F16=0,0,SER_hh_fech_in!F16/SER_summary!F$27)</f>
        <v>10.586781987878076</v>
      </c>
      <c r="G16" s="130">
        <f>IF(SER_hh_fech_in!G16=0,0,SER_hh_fech_in!G16/SER_summary!G$27)</f>
        <v>10.24502588155287</v>
      </c>
      <c r="H16" s="130">
        <f>IF(SER_hh_fech_in!H16=0,0,SER_hh_fech_in!H16/SER_summary!H$27)</f>
        <v>10.401503709947827</v>
      </c>
      <c r="I16" s="130">
        <f>IF(SER_hh_fech_in!I16=0,0,SER_hh_fech_in!I16/SER_summary!I$27)</f>
        <v>9.642312731102848</v>
      </c>
      <c r="J16" s="130">
        <f>IF(SER_hh_fech_in!J16=0,0,SER_hh_fech_in!J16/SER_summary!J$27)</f>
        <v>9.1112098927851726</v>
      </c>
      <c r="K16" s="130">
        <f>IF(SER_hh_fech_in!K16=0,0,SER_hh_fech_in!K16/SER_summary!K$27)</f>
        <v>8.7495659867765525</v>
      </c>
      <c r="L16" s="130">
        <f>IF(SER_hh_fech_in!L16=0,0,SER_hh_fech_in!L16/SER_summary!L$27)</f>
        <v>9.4670739092366745</v>
      </c>
      <c r="M16" s="130">
        <f>IF(SER_hh_fech_in!M16=0,0,SER_hh_fech_in!M16/SER_summary!M$27)</f>
        <v>8.0363436990400636</v>
      </c>
      <c r="N16" s="130">
        <f>IF(SER_hh_fech_in!N16=0,0,SER_hh_fech_in!N16/SER_summary!N$27)</f>
        <v>8.0230660641633893</v>
      </c>
      <c r="O16" s="130">
        <f>IF(SER_hh_fech_in!O16=0,0,SER_hh_fech_in!O16/SER_summary!O$27)</f>
        <v>7.6049295060442583</v>
      </c>
      <c r="P16" s="130">
        <f>IF(SER_hh_fech_in!P16=0,0,SER_hh_fech_in!P16/SER_summary!P$27)</f>
        <v>7.135434320524884</v>
      </c>
      <c r="Q16" s="130">
        <f>IF(SER_hh_fech_in!Q16=0,0,SER_hh_fech_in!Q16/SER_summary!Q$27)</f>
        <v>7.8116666670275823</v>
      </c>
      <c r="R16" s="130">
        <f>IF(SER_hh_fech_in!R16=0,0,SER_hh_fech_in!R16/SER_summary!R$27)</f>
        <v>6.6709294443088227</v>
      </c>
      <c r="S16" s="130">
        <f>IF(SER_hh_fech_in!S16=0,0,SER_hh_fech_in!S16/SER_summary!S$27)</f>
        <v>6.4530984210098223</v>
      </c>
      <c r="T16" s="130">
        <f>IF(SER_hh_fech_in!T16=0,0,SER_hh_fech_in!T16/SER_summary!T$27)</f>
        <v>6.4548805232088817</v>
      </c>
      <c r="U16" s="130">
        <f>IF(SER_hh_fech_in!U16=0,0,SER_hh_fech_in!U16/SER_summary!U$27)</f>
        <v>6.8205261915691882</v>
      </c>
      <c r="V16" s="130">
        <f>IF(SER_hh_fech_in!V16=0,0,SER_hh_fech_in!V16/SER_summary!V$27)</f>
        <v>5.712475228547877</v>
      </c>
      <c r="W16" s="130">
        <f>IF(SER_hh_fech_in!W16=0,0,SER_hh_fech_in!W16/SER_summary!W$27)</f>
        <v>5.6186930825470762</v>
      </c>
      <c r="X16" s="130">
        <f>IF(SER_hh_fech_in!X16=0,0,SER_hh_fech_in!X16/SER_summary!X$27)</f>
        <v>5.8536857641590343</v>
      </c>
      <c r="Y16" s="130">
        <f>IF(SER_hh_fech_in!Y16=0,0,SER_hh_fech_in!Y16/SER_summary!Y$27)</f>
        <v>5.9031965855693205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23.824356991707198</v>
      </c>
      <c r="D17" s="132">
        <f>IF(SER_hh_fech_in!D17=0,0,SER_hh_fech_in!D17/SER_summary!D$27)</f>
        <v>23.711160212128593</v>
      </c>
      <c r="E17" s="132">
        <f>IF(SER_hh_fech_in!E17=0,0,SER_hh_fech_in!E17/SER_summary!E$27)</f>
        <v>22.83484182927867</v>
      </c>
      <c r="F17" s="132">
        <f>IF(SER_hh_fech_in!F17=0,0,SER_hh_fech_in!F17/SER_summary!F$27)</f>
        <v>22.396467879870784</v>
      </c>
      <c r="G17" s="132">
        <f>IF(SER_hh_fech_in!G17=0,0,SER_hh_fech_in!G17/SER_summary!G$27)</f>
        <v>22.196044838882202</v>
      </c>
      <c r="H17" s="132">
        <f>IF(SER_hh_fech_in!H17=0,0,SER_hh_fech_in!H17/SER_summary!H$27)</f>
        <v>23.028092194196685</v>
      </c>
      <c r="I17" s="132">
        <f>IF(SER_hh_fech_in!I17=0,0,SER_hh_fech_in!I17/SER_summary!I$27)</f>
        <v>21.81500793336361</v>
      </c>
      <c r="J17" s="132">
        <f>IF(SER_hh_fech_in!J17=0,0,SER_hh_fech_in!J17/SER_summary!J$27)</f>
        <v>21.03591812039215</v>
      </c>
      <c r="K17" s="132">
        <f>IF(SER_hh_fech_in!K17=0,0,SER_hh_fech_in!K17/SER_summary!K$27)</f>
        <v>20.642879367783408</v>
      </c>
      <c r="L17" s="132">
        <f>IF(SER_hh_fech_in!L17=0,0,SER_hh_fech_in!L17/SER_summary!L$27)</f>
        <v>22.810142100895398</v>
      </c>
      <c r="M17" s="132">
        <f>IF(SER_hh_fech_in!M17=0,0,SER_hh_fech_in!M17/SER_summary!M$27)</f>
        <v>19.868158509337324</v>
      </c>
      <c r="N17" s="132">
        <f>IF(SER_hh_fech_in!N17=0,0,SER_hh_fech_in!N17/SER_summary!N$27)</f>
        <v>20.421951571977996</v>
      </c>
      <c r="O17" s="132">
        <f>IF(SER_hh_fech_in!O17=0,0,SER_hh_fech_in!O17/SER_summary!O$27)</f>
        <v>19.963078046773347</v>
      </c>
      <c r="P17" s="132">
        <f>IF(SER_hh_fech_in!P17=0,0,SER_hh_fech_in!P17/SER_summary!P$27)</f>
        <v>19.391937658810551</v>
      </c>
      <c r="Q17" s="132">
        <f>IF(SER_hh_fech_in!Q17=0,0,SER_hh_fech_in!Q17/SER_summary!Q$27)</f>
        <v>21.732734207424006</v>
      </c>
      <c r="R17" s="132">
        <f>IF(SER_hh_fech_in!R17=0,0,SER_hh_fech_in!R17/SER_summary!R$27)</f>
        <v>18.636180844602777</v>
      </c>
      <c r="S17" s="132">
        <f>IF(SER_hh_fech_in!S17=0,0,SER_hh_fech_in!S17/SER_summary!S$27)</f>
        <v>18.133662070371727</v>
      </c>
      <c r="T17" s="132">
        <f>IF(SER_hh_fech_in!T17=0,0,SER_hh_fech_in!T17/SER_summary!T$27)</f>
        <v>17.859345791384442</v>
      </c>
      <c r="U17" s="132">
        <f>IF(SER_hh_fech_in!U17=0,0,SER_hh_fech_in!U17/SER_summary!U$27)</f>
        <v>18.468515171864233</v>
      </c>
      <c r="V17" s="132">
        <f>IF(SER_hh_fech_in!V17=0,0,SER_hh_fech_in!V17/SER_summary!V$27)</f>
        <v>14.581991757438717</v>
      </c>
      <c r="W17" s="132">
        <f>IF(SER_hh_fech_in!W17=0,0,SER_hh_fech_in!W17/SER_summary!W$27)</f>
        <v>13.889937280926027</v>
      </c>
      <c r="X17" s="132">
        <f>IF(SER_hh_fech_in!X17=0,0,SER_hh_fech_in!X17/SER_summary!X$27)</f>
        <v>15.257457769351905</v>
      </c>
      <c r="Y17" s="132">
        <f>IF(SER_hh_fech_in!Y17=0,0,SER_hh_fech_in!Y17/SER_summary!Y$27)</f>
        <v>15.171939024199412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12.123561645333734</v>
      </c>
      <c r="D18" s="132">
        <f>IF(SER_hh_fech_in!D18=0,0,SER_hh_fech_in!D18/SER_summary!D$27)</f>
        <v>11.760562812746155</v>
      </c>
      <c r="E18" s="132">
        <f>IF(SER_hh_fech_in!E18=0,0,SER_hh_fech_in!E18/SER_summary!E$27)</f>
        <v>11.042770382603253</v>
      </c>
      <c r="F18" s="132">
        <f>IF(SER_hh_fech_in!F18=0,0,SER_hh_fech_in!F18/SER_summary!F$27)</f>
        <v>10.556309507282545</v>
      </c>
      <c r="G18" s="132">
        <f>IF(SER_hh_fech_in!G18=0,0,SER_hh_fech_in!G18/SER_summary!G$27)</f>
        <v>10.215204693918361</v>
      </c>
      <c r="H18" s="132">
        <f>IF(SER_hh_fech_in!H18=0,0,SER_hh_fech_in!H18/SER_summary!H$27)</f>
        <v>10.376255992841722</v>
      </c>
      <c r="I18" s="132">
        <f>IF(SER_hh_fech_in!I18=0,0,SER_hh_fech_in!I18/SER_summary!I$27)</f>
        <v>9.6105742731915171</v>
      </c>
      <c r="J18" s="132">
        <f>IF(SER_hh_fech_in!J18=0,0,SER_hh_fech_in!J18/SER_summary!J$27)</f>
        <v>9.0853127719584208</v>
      </c>
      <c r="K18" s="132">
        <f>IF(SER_hh_fech_in!K18=0,0,SER_hh_fech_in!K18/SER_summary!K$27)</f>
        <v>8.7184497804213965</v>
      </c>
      <c r="L18" s="132">
        <f>IF(SER_hh_fech_in!L18=0,0,SER_hh_fech_in!L18/SER_summary!L$27)</f>
        <v>9.438963166997512</v>
      </c>
      <c r="M18" s="132">
        <f>IF(SER_hh_fech_in!M18=0,0,SER_hh_fech_in!M18/SER_summary!M$27)</f>
        <v>7.9899021588283077</v>
      </c>
      <c r="N18" s="132">
        <f>IF(SER_hh_fech_in!N18=0,0,SER_hh_fech_in!N18/SER_summary!N$27)</f>
        <v>7.9719625094604378</v>
      </c>
      <c r="O18" s="132">
        <f>IF(SER_hh_fech_in!O18=0,0,SER_hh_fech_in!O18/SER_summary!O$27)</f>
        <v>7.5126832027216945</v>
      </c>
      <c r="P18" s="132">
        <f>IF(SER_hh_fech_in!P18=0,0,SER_hh_fech_in!P18/SER_summary!P$27)</f>
        <v>7.0084281675289297</v>
      </c>
      <c r="Q18" s="132">
        <f>IF(SER_hh_fech_in!Q18=0,0,SER_hh_fech_in!Q18/SER_summary!Q$27)</f>
        <v>7.6953625790397675</v>
      </c>
      <c r="R18" s="132">
        <f>IF(SER_hh_fech_in!R18=0,0,SER_hh_fech_in!R18/SER_summary!R$27)</f>
        <v>6.4026092927430449</v>
      </c>
      <c r="S18" s="132">
        <f>IF(SER_hh_fech_in!S18=0,0,SER_hh_fech_in!S18/SER_summary!S$27)</f>
        <v>6.287405365802087</v>
      </c>
      <c r="T18" s="132">
        <f>IF(SER_hh_fech_in!T18=0,0,SER_hh_fech_in!T18/SER_summary!T$27)</f>
        <v>6.3307386538120394</v>
      </c>
      <c r="U18" s="132">
        <f>IF(SER_hh_fech_in!U18=0,0,SER_hh_fech_in!U18/SER_summary!U$27)</f>
        <v>6.7063878876949614</v>
      </c>
      <c r="V18" s="132">
        <f>IF(SER_hh_fech_in!V18=0,0,SER_hh_fech_in!V18/SER_summary!V$27)</f>
        <v>5.624493606472531</v>
      </c>
      <c r="W18" s="132">
        <f>IF(SER_hh_fech_in!W18=0,0,SER_hh_fech_in!W18/SER_summary!W$27)</f>
        <v>5.5478563850503564</v>
      </c>
      <c r="X18" s="132">
        <f>IF(SER_hh_fech_in!X18=0,0,SER_hh_fech_in!X18/SER_summary!X$27)</f>
        <v>5.7620888331560618</v>
      </c>
      <c r="Y18" s="132">
        <f>IF(SER_hh_fech_in!Y18=0,0,SER_hh_fech_in!Y18/SER_summary!Y$27)</f>
        <v>5.7731105363571826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15.693560443502593</v>
      </c>
      <c r="D19" s="130">
        <f>IF(SER_hh_fech_in!D19=0,0,SER_hh_fech_in!D19/SER_summary!D$27)</f>
        <v>17.653847867201581</v>
      </c>
      <c r="E19" s="130">
        <f>IF(SER_hh_fech_in!E19=0,0,SER_hh_fech_in!E19/SER_summary!E$27)</f>
        <v>19.795404876398234</v>
      </c>
      <c r="F19" s="130">
        <f>IF(SER_hh_fech_in!F19=0,0,SER_hh_fech_in!F19/SER_summary!F$27)</f>
        <v>19.743905980157479</v>
      </c>
      <c r="G19" s="130">
        <f>IF(SER_hh_fech_in!G19=0,0,SER_hh_fech_in!G19/SER_summary!G$27)</f>
        <v>19.878564444009434</v>
      </c>
      <c r="H19" s="130">
        <f>IF(SER_hh_fech_in!H19=0,0,SER_hh_fech_in!H19/SER_summary!H$27)</f>
        <v>20.771952563507661</v>
      </c>
      <c r="I19" s="130">
        <f>IF(SER_hh_fech_in!I19=0,0,SER_hh_fech_in!I19/SER_summary!I$27)</f>
        <v>22.294210070041203</v>
      </c>
      <c r="J19" s="130">
        <f>IF(SER_hh_fech_in!J19=0,0,SER_hh_fech_in!J19/SER_summary!J$27)</f>
        <v>22.561485255237987</v>
      </c>
      <c r="K19" s="130">
        <f>IF(SER_hh_fech_in!K19=0,0,SER_hh_fech_in!K19/SER_summary!K$27)</f>
        <v>22.601492500397185</v>
      </c>
      <c r="L19" s="130">
        <f>IF(SER_hh_fech_in!L19=0,0,SER_hh_fech_in!L19/SER_summary!L$27)</f>
        <v>22.345691537739505</v>
      </c>
      <c r="M19" s="130">
        <f>IF(SER_hh_fech_in!M19=0,0,SER_hh_fech_in!M19/SER_summary!M$27)</f>
        <v>22.331597965844455</v>
      </c>
      <c r="N19" s="130">
        <f>IF(SER_hh_fech_in!N19=0,0,SER_hh_fech_in!N19/SER_summary!N$27)</f>
        <v>22.333309142054301</v>
      </c>
      <c r="O19" s="130">
        <f>IF(SER_hh_fech_in!O19=0,0,SER_hh_fech_in!O19/SER_summary!O$27)</f>
        <v>21.931441603987231</v>
      </c>
      <c r="P19" s="130">
        <f>IF(SER_hh_fech_in!P19=0,0,SER_hh_fech_in!P19/SER_summary!P$27)</f>
        <v>21.213926374974566</v>
      </c>
      <c r="Q19" s="130">
        <f>IF(SER_hh_fech_in!Q19=0,0,SER_hh_fech_in!Q19/SER_summary!Q$27)</f>
        <v>20.528108917084875</v>
      </c>
      <c r="R19" s="130">
        <f>IF(SER_hh_fech_in!R19=0,0,SER_hh_fech_in!R19/SER_summary!R$27)</f>
        <v>20.375415226562982</v>
      </c>
      <c r="S19" s="130">
        <f>IF(SER_hh_fech_in!S19=0,0,SER_hh_fech_in!S19/SER_summary!S$27)</f>
        <v>19.629857563165373</v>
      </c>
      <c r="T19" s="130">
        <f>IF(SER_hh_fech_in!T19=0,0,SER_hh_fech_in!T19/SER_summary!T$27)</f>
        <v>18.685393458477233</v>
      </c>
      <c r="U19" s="130">
        <f>IF(SER_hh_fech_in!U19=0,0,SER_hh_fech_in!U19/SER_summary!U$27)</f>
        <v>18.410110046178659</v>
      </c>
      <c r="V19" s="130">
        <f>IF(SER_hh_fech_in!V19=0,0,SER_hh_fech_in!V19/SER_summary!V$27)</f>
        <v>16.526074837479722</v>
      </c>
      <c r="W19" s="130">
        <f>IF(SER_hh_fech_in!W19=0,0,SER_hh_fech_in!W19/SER_summary!W$27)</f>
        <v>17.511648451113462</v>
      </c>
      <c r="X19" s="130">
        <f>IF(SER_hh_fech_in!X19=0,0,SER_hh_fech_in!X19/SER_summary!X$27)</f>
        <v>17.188504860383858</v>
      </c>
      <c r="Y19" s="130">
        <f>IF(SER_hh_fech_in!Y19=0,0,SER_hh_fech_in!Y19/SER_summary!Y$27)</f>
        <v>16.886091853397051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17.171524117511755</v>
      </c>
      <c r="D20" s="132">
        <f>IF(SER_hh_fech_in!D20=0,0,SER_hh_fech_in!D20/SER_summary!D$27)</f>
        <v>20.457730895636125</v>
      </c>
      <c r="E20" s="132">
        <f>IF(SER_hh_fech_in!E20=0,0,SER_hh_fech_in!E20/SER_summary!E$27)</f>
        <v>20.356923453186173</v>
      </c>
      <c r="F20" s="132">
        <f>IF(SER_hh_fech_in!F20=0,0,SER_hh_fech_in!F20/SER_summary!F$27)</f>
        <v>21.212319452737468</v>
      </c>
      <c r="G20" s="132">
        <f>IF(SER_hh_fech_in!G20=0,0,SER_hh_fech_in!G20/SER_summary!G$27)</f>
        <v>21.364164200120825</v>
      </c>
      <c r="H20" s="132">
        <f>IF(SER_hh_fech_in!H20=0,0,SER_hh_fech_in!H20/SER_summary!H$27)</f>
        <v>19.687339116055409</v>
      </c>
      <c r="I20" s="132">
        <f>IF(SER_hh_fech_in!I20=0,0,SER_hh_fech_in!I20/SER_summary!I$27)</f>
        <v>23.372392448746933</v>
      </c>
      <c r="J20" s="132">
        <f>IF(SER_hh_fech_in!J20=0,0,SER_hh_fech_in!J20/SER_summary!J$27)</f>
        <v>23.271943579701794</v>
      </c>
      <c r="K20" s="132">
        <f>IF(SER_hh_fech_in!K20=0,0,SER_hh_fech_in!K20/SER_summary!K$27)</f>
        <v>22.981511026927286</v>
      </c>
      <c r="L20" s="132">
        <f>IF(SER_hh_fech_in!L20=0,0,SER_hh_fech_in!L20/SER_summary!L$27)</f>
        <v>23.511897415708091</v>
      </c>
      <c r="M20" s="132">
        <f>IF(SER_hh_fech_in!M20=0,0,SER_hh_fech_in!M20/SER_summary!M$27)</f>
        <v>23.123618091705417</v>
      </c>
      <c r="N20" s="132">
        <f>IF(SER_hh_fech_in!N20=0,0,SER_hh_fech_in!N20/SER_summary!N$27)</f>
        <v>23.153403411378999</v>
      </c>
      <c r="O20" s="132">
        <f>IF(SER_hh_fech_in!O20=0,0,SER_hh_fech_in!O20/SER_summary!O$27)</f>
        <v>23.544889888062276</v>
      </c>
      <c r="P20" s="132">
        <f>IF(SER_hh_fech_in!P20=0,0,SER_hh_fech_in!P20/SER_summary!P$27)</f>
        <v>23.280853669403182</v>
      </c>
      <c r="Q20" s="132">
        <f>IF(SER_hh_fech_in!Q20=0,0,SER_hh_fech_in!Q20/SER_summary!Q$27)</f>
        <v>23.252408328225396</v>
      </c>
      <c r="R20" s="132">
        <f>IF(SER_hh_fech_in!R20=0,0,SER_hh_fech_in!R20/SER_summary!R$27)</f>
        <v>25.998831028480854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16.133169278517915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18.620046732796553</v>
      </c>
      <c r="D21" s="132">
        <f>IF(SER_hh_fech_in!D21=0,0,SER_hh_fech_in!D21/SER_summary!D$27)</f>
        <v>17.82108354587362</v>
      </c>
      <c r="E21" s="132">
        <f>IF(SER_hh_fech_in!E21=0,0,SER_hh_fech_in!E21/SER_summary!E$27)</f>
        <v>26.945247710981892</v>
      </c>
      <c r="F21" s="132">
        <f>IF(SER_hh_fech_in!F21=0,0,SER_hh_fech_in!F21/SER_summary!F$27)</f>
        <v>23.573344920230166</v>
      </c>
      <c r="G21" s="132">
        <f>IF(SER_hh_fech_in!G21=0,0,SER_hh_fech_in!G21/SER_summary!G$27)</f>
        <v>20.384958770396327</v>
      </c>
      <c r="H21" s="132">
        <f>IF(SER_hh_fech_in!H21=0,0,SER_hh_fech_in!H21/SER_summary!H$27)</f>
        <v>25.682744630233227</v>
      </c>
      <c r="I21" s="132">
        <f>IF(SER_hh_fech_in!I21=0,0,SER_hh_fech_in!I21/SER_summary!I$27)</f>
        <v>0</v>
      </c>
      <c r="J21" s="132">
        <f>IF(SER_hh_fech_in!J21=0,0,SER_hh_fech_in!J21/SER_summary!J$27)</f>
        <v>24.056871244301956</v>
      </c>
      <c r="K21" s="132">
        <f>IF(SER_hh_fech_in!K21=0,0,SER_hh_fech_in!K21/SER_summary!K$27)</f>
        <v>25.12137798256483</v>
      </c>
      <c r="L21" s="132">
        <f>IF(SER_hh_fech_in!L21=0,0,SER_hh_fech_in!L21/SER_summary!L$27)</f>
        <v>24.557450286253996</v>
      </c>
      <c r="M21" s="132">
        <f>IF(SER_hh_fech_in!M21=0,0,SER_hh_fech_in!M21/SER_summary!M$27)</f>
        <v>24.467391968386476</v>
      </c>
      <c r="N21" s="132">
        <f>IF(SER_hh_fech_in!N21=0,0,SER_hh_fech_in!N21/SER_summary!N$27)</f>
        <v>31.500494078786044</v>
      </c>
      <c r="O21" s="132">
        <f>IF(SER_hh_fech_in!O21=0,0,SER_hh_fech_in!O21/SER_summary!O$27)</f>
        <v>20.735316613592317</v>
      </c>
      <c r="P21" s="132">
        <f>IF(SER_hh_fech_in!P21=0,0,SER_hh_fech_in!P21/SER_summary!P$27)</f>
        <v>23.427913935396067</v>
      </c>
      <c r="Q21" s="132">
        <f>IF(SER_hh_fech_in!Q21=0,0,SER_hh_fech_in!Q21/SER_summary!Q$27)</f>
        <v>21.684914714407849</v>
      </c>
      <c r="R21" s="132">
        <f>IF(SER_hh_fech_in!R21=0,0,SER_hh_fech_in!R21/SER_summary!R$27)</f>
        <v>22.169876181774395</v>
      </c>
      <c r="S21" s="132">
        <f>IF(SER_hh_fech_in!S21=0,0,SER_hh_fech_in!S21/SER_summary!S$27)</f>
        <v>21.774718284454945</v>
      </c>
      <c r="T21" s="132">
        <f>IF(SER_hh_fech_in!T21=0,0,SER_hh_fech_in!T21/SER_summary!T$27)</f>
        <v>19.920707218684289</v>
      </c>
      <c r="U21" s="132">
        <f>IF(SER_hh_fech_in!U21=0,0,SER_hh_fech_in!U21/SER_summary!U$27)</f>
        <v>22.447631525468669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17.944794404929794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17.925276676083797</v>
      </c>
      <c r="D22" s="132">
        <f>IF(SER_hh_fech_in!D22=0,0,SER_hh_fech_in!D22/SER_summary!D$27)</f>
        <v>21.72351579747291</v>
      </c>
      <c r="E22" s="132">
        <f>IF(SER_hh_fech_in!E22=0,0,SER_hh_fech_in!E22/SER_summary!E$27)</f>
        <v>23.412426791674253</v>
      </c>
      <c r="F22" s="132">
        <f>IF(SER_hh_fech_in!F22=0,0,SER_hh_fech_in!F22/SER_summary!F$27)</f>
        <v>24.844277742655677</v>
      </c>
      <c r="G22" s="132">
        <f>IF(SER_hh_fech_in!G22=0,0,SER_hh_fech_in!G22/SER_summary!G$27)</f>
        <v>24.282944909693672</v>
      </c>
      <c r="H22" s="132">
        <f>IF(SER_hh_fech_in!H22=0,0,SER_hh_fech_in!H22/SER_summary!H$27)</f>
        <v>25.905975144322483</v>
      </c>
      <c r="I22" s="132">
        <f>IF(SER_hh_fech_in!I22=0,0,SER_hh_fech_in!I22/SER_summary!I$27)</f>
        <v>27.543259073503439</v>
      </c>
      <c r="J22" s="132">
        <f>IF(SER_hh_fech_in!J22=0,0,SER_hh_fech_in!J22/SER_summary!J$27)</f>
        <v>27.977777860096069</v>
      </c>
      <c r="K22" s="132">
        <f>IF(SER_hh_fech_in!K22=0,0,SER_hh_fech_in!K22/SER_summary!K$27)</f>
        <v>27.563941167911395</v>
      </c>
      <c r="L22" s="132">
        <f>IF(SER_hh_fech_in!L22=0,0,SER_hh_fech_in!L22/SER_summary!L$27)</f>
        <v>27.642380111706473</v>
      </c>
      <c r="M22" s="132">
        <f>IF(SER_hh_fech_in!M22=0,0,SER_hh_fech_in!M22/SER_summary!M$27)</f>
        <v>27.217122668305645</v>
      </c>
      <c r="N22" s="132">
        <f>IF(SER_hh_fech_in!N22=0,0,SER_hh_fech_in!N22/SER_summary!N$27)</f>
        <v>26.391625679720221</v>
      </c>
      <c r="O22" s="132">
        <f>IF(SER_hh_fech_in!O22=0,0,SER_hh_fech_in!O22/SER_summary!O$27)</f>
        <v>25.826181003390186</v>
      </c>
      <c r="P22" s="132">
        <f>IF(SER_hh_fech_in!P22=0,0,SER_hh_fech_in!P22/SER_summary!P$27)</f>
        <v>24.15140598586747</v>
      </c>
      <c r="Q22" s="132">
        <f>IF(SER_hh_fech_in!Q22=0,0,SER_hh_fech_in!Q22/SER_summary!Q$27)</f>
        <v>23.301668275503573</v>
      </c>
      <c r="R22" s="132">
        <f>IF(SER_hh_fech_in!R22=0,0,SER_hh_fech_in!R22/SER_summary!R$27)</f>
        <v>22.384050493167663</v>
      </c>
      <c r="S22" s="132">
        <f>IF(SER_hh_fech_in!S22=0,0,SER_hh_fech_in!S22/SER_summary!S$27)</f>
        <v>22.933743363576912</v>
      </c>
      <c r="T22" s="132">
        <f>IF(SER_hh_fech_in!T22=0,0,SER_hh_fech_in!T22/SER_summary!T$27)</f>
        <v>21.479483182023781</v>
      </c>
      <c r="U22" s="132">
        <f>IF(SER_hh_fech_in!U22=0,0,SER_hh_fech_in!U22/SER_summary!U$27)</f>
        <v>18.178400889957242</v>
      </c>
      <c r="V22" s="132">
        <f>IF(SER_hh_fech_in!V22=0,0,SER_hh_fech_in!V22/SER_summary!V$27)</f>
        <v>17.874860331185193</v>
      </c>
      <c r="W22" s="132">
        <f>IF(SER_hh_fech_in!W22=0,0,SER_hh_fech_in!W22/SER_summary!W$27)</f>
        <v>19.974934279184762</v>
      </c>
      <c r="X22" s="132">
        <f>IF(SER_hh_fech_in!X22=0,0,SER_hh_fech_in!X22/SER_summary!X$27)</f>
        <v>20.520287907015959</v>
      </c>
      <c r="Y22" s="132">
        <f>IF(SER_hh_fech_in!Y22=0,0,SER_hh_fech_in!Y22/SER_summary!Y$27)</f>
        <v>18.445226737813243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17.237309848585298</v>
      </c>
      <c r="D23" s="132">
        <f>IF(SER_hh_fech_in!D23=0,0,SER_hh_fech_in!D23/SER_summary!D$27)</f>
        <v>19.113992107311692</v>
      </c>
      <c r="E23" s="132">
        <f>IF(SER_hh_fech_in!E23=0,0,SER_hh_fech_in!E23/SER_summary!E$27)</f>
        <v>22.765081844598193</v>
      </c>
      <c r="F23" s="132">
        <f>IF(SER_hh_fech_in!F23=0,0,SER_hh_fech_in!F23/SER_summary!F$27)</f>
        <v>22.588164156047107</v>
      </c>
      <c r="G23" s="132">
        <f>IF(SER_hh_fech_in!G23=0,0,SER_hh_fech_in!G23/SER_summary!G$27)</f>
        <v>22.870575573231651</v>
      </c>
      <c r="H23" s="132">
        <f>IF(SER_hh_fech_in!H23=0,0,SER_hh_fech_in!H23/SER_summary!H$27)</f>
        <v>23.365048753929351</v>
      </c>
      <c r="I23" s="132">
        <f>IF(SER_hh_fech_in!I23=0,0,SER_hh_fech_in!I23/SER_summary!I$27)</f>
        <v>24.279610618248888</v>
      </c>
      <c r="J23" s="132">
        <f>IF(SER_hh_fech_in!J23=0,0,SER_hh_fech_in!J23/SER_summary!J$27)</f>
        <v>24.950130267412444</v>
      </c>
      <c r="K23" s="132">
        <f>IF(SER_hh_fech_in!K23=0,0,SER_hh_fech_in!K23/SER_summary!K$27)</f>
        <v>24.194539453693643</v>
      </c>
      <c r="L23" s="132">
        <f>IF(SER_hh_fech_in!L23=0,0,SER_hh_fech_in!L23/SER_summary!L$27)</f>
        <v>24.581940694409617</v>
      </c>
      <c r="M23" s="132">
        <f>IF(SER_hh_fech_in!M23=0,0,SER_hh_fech_in!M23/SER_summary!M$27)</f>
        <v>24.364526805453938</v>
      </c>
      <c r="N23" s="132">
        <f>IF(SER_hh_fech_in!N23=0,0,SER_hh_fech_in!N23/SER_summary!N$27)</f>
        <v>23.472323440979999</v>
      </c>
      <c r="O23" s="132">
        <f>IF(SER_hh_fech_in!O23=0,0,SER_hh_fech_in!O23/SER_summary!O$27)</f>
        <v>23.226653660420805</v>
      </c>
      <c r="P23" s="132">
        <f>IF(SER_hh_fech_in!P23=0,0,SER_hh_fech_in!P23/SER_summary!P$27)</f>
        <v>22.471686371270366</v>
      </c>
      <c r="Q23" s="132">
        <f>IF(SER_hh_fech_in!Q23=0,0,SER_hh_fech_in!Q23/SER_summary!Q$27)</f>
        <v>22.200296329387623</v>
      </c>
      <c r="R23" s="132">
        <f>IF(SER_hh_fech_in!R23=0,0,SER_hh_fech_in!R23/SER_summary!R$27)</f>
        <v>22.904260068077701</v>
      </c>
      <c r="S23" s="132">
        <f>IF(SER_hh_fech_in!S23=0,0,SER_hh_fech_in!S23/SER_summary!S$27)</f>
        <v>0</v>
      </c>
      <c r="T23" s="132">
        <f>IF(SER_hh_fech_in!T23=0,0,SER_hh_fech_in!T23/SER_summary!T$27)</f>
        <v>0</v>
      </c>
      <c r="U23" s="132">
        <f>IF(SER_hh_fech_in!U23=0,0,SER_hh_fech_in!U23/SER_summary!U$27)</f>
        <v>18.420951364107271</v>
      </c>
      <c r="V23" s="132">
        <f>IF(SER_hh_fech_in!V23=0,0,SER_hh_fech_in!V23/SER_summary!V$27)</f>
        <v>15.979900106397393</v>
      </c>
      <c r="W23" s="132">
        <f>IF(SER_hh_fech_in!W23=0,0,SER_hh_fech_in!W23/SER_summary!W$27)</f>
        <v>20.818038188575784</v>
      </c>
      <c r="X23" s="132">
        <f>IF(SER_hh_fech_in!X23=0,0,SER_hh_fech_in!X23/SER_summary!X$27)</f>
        <v>19.369543096885437</v>
      </c>
      <c r="Y23" s="132">
        <f>IF(SER_hh_fech_in!Y23=0,0,SER_hh_fech_in!Y23/SER_summary!Y$27)</f>
        <v>18.422569559555008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16.828340986813156</v>
      </c>
      <c r="D24" s="132">
        <f>IF(SER_hh_fech_in!D24=0,0,SER_hh_fech_in!D24/SER_summary!D$27)</f>
        <v>20.51580785512926</v>
      </c>
      <c r="E24" s="132">
        <f>IF(SER_hh_fech_in!E24=0,0,SER_hh_fech_in!E24/SER_summary!E$27)</f>
        <v>21.122113888381289</v>
      </c>
      <c r="F24" s="132">
        <f>IF(SER_hh_fech_in!F24=0,0,SER_hh_fech_in!F24/SER_summary!F$27)</f>
        <v>21.417556474408574</v>
      </c>
      <c r="G24" s="132">
        <f>IF(SER_hh_fech_in!G24=0,0,SER_hh_fech_in!G24/SER_summary!G$27)</f>
        <v>20.77147026558676</v>
      </c>
      <c r="H24" s="132">
        <f>IF(SER_hh_fech_in!H24=0,0,SER_hh_fech_in!H24/SER_summary!H$27)</f>
        <v>22.109313327039153</v>
      </c>
      <c r="I24" s="132">
        <f>IF(SER_hh_fech_in!I24=0,0,SER_hh_fech_in!I24/SER_summary!I$27)</f>
        <v>24.271317505511298</v>
      </c>
      <c r="J24" s="132">
        <f>IF(SER_hh_fech_in!J24=0,0,SER_hh_fech_in!J24/SER_summary!J$27)</f>
        <v>24.436679225017627</v>
      </c>
      <c r="K24" s="132">
        <f>IF(SER_hh_fech_in!K24=0,0,SER_hh_fech_in!K24/SER_summary!K$27)</f>
        <v>23.74378159859458</v>
      </c>
      <c r="L24" s="132">
        <f>IF(SER_hh_fech_in!L24=0,0,SER_hh_fech_in!L24/SER_summary!L$27)</f>
        <v>22.57818865075722</v>
      </c>
      <c r="M24" s="132">
        <f>IF(SER_hh_fech_in!M24=0,0,SER_hh_fech_in!M24/SER_summary!M$27)</f>
        <v>22.803042744009783</v>
      </c>
      <c r="N24" s="132">
        <f>IF(SER_hh_fech_in!N24=0,0,SER_hh_fech_in!N24/SER_summary!N$27)</f>
        <v>22.91255356977004</v>
      </c>
      <c r="O24" s="132">
        <f>IF(SER_hh_fech_in!O24=0,0,SER_hh_fech_in!O24/SER_summary!O$27)</f>
        <v>22.911120005490464</v>
      </c>
      <c r="P24" s="132">
        <f>IF(SER_hh_fech_in!P24=0,0,SER_hh_fech_in!P24/SER_summary!P$27)</f>
        <v>22.0916749546037</v>
      </c>
      <c r="Q24" s="132">
        <f>IF(SER_hh_fech_in!Q24=0,0,SER_hh_fech_in!Q24/SER_summary!Q$27)</f>
        <v>22.200593499275559</v>
      </c>
      <c r="R24" s="132">
        <f>IF(SER_hh_fech_in!R24=0,0,SER_hh_fech_in!R24/SER_summary!R$27)</f>
        <v>23.474875736448599</v>
      </c>
      <c r="S24" s="132">
        <f>IF(SER_hh_fech_in!S24=0,0,SER_hh_fech_in!S24/SER_summary!S$27)</f>
        <v>23.020852044052745</v>
      </c>
      <c r="T24" s="132">
        <f>IF(SER_hh_fech_in!T24=0,0,SER_hh_fech_in!T24/SER_summary!T$27)</f>
        <v>19.577059603004102</v>
      </c>
      <c r="U24" s="132">
        <f>IF(SER_hh_fech_in!U24=0,0,SER_hh_fech_in!U24/SER_summary!U$27)</f>
        <v>18.405452770748035</v>
      </c>
      <c r="V24" s="132">
        <f>IF(SER_hh_fech_in!V24=0,0,SER_hh_fech_in!V24/SER_summary!V$27)</f>
        <v>19.861004968354276</v>
      </c>
      <c r="W24" s="132">
        <f>IF(SER_hh_fech_in!W24=0,0,SER_hh_fech_in!W24/SER_summary!W$27)</f>
        <v>22.712601251117484</v>
      </c>
      <c r="X24" s="132">
        <f>IF(SER_hh_fech_in!X24=0,0,SER_hh_fech_in!X24/SER_summary!X$27)</f>
        <v>17.378392013914276</v>
      </c>
      <c r="Y24" s="132">
        <f>IF(SER_hh_fech_in!Y24=0,0,SER_hh_fech_in!Y24/SER_summary!Y$27)</f>
        <v>19.033226276904966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12.120828365854569</v>
      </c>
      <c r="D25" s="132">
        <f>IF(SER_hh_fech_in!D25=0,0,SER_hh_fech_in!D25/SER_summary!D$27)</f>
        <v>14.095780996032259</v>
      </c>
      <c r="E25" s="132">
        <f>IF(SER_hh_fech_in!E25=0,0,SER_hh_fech_in!E25/SER_summary!E$27)</f>
        <v>14.706985758445228</v>
      </c>
      <c r="F25" s="132">
        <f>IF(SER_hh_fech_in!F25=0,0,SER_hh_fech_in!F25/SER_summary!F$27)</f>
        <v>17.099199394383142</v>
      </c>
      <c r="G25" s="132">
        <f>IF(SER_hh_fech_in!G25=0,0,SER_hh_fech_in!G25/SER_summary!G$27)</f>
        <v>17.06525962229496</v>
      </c>
      <c r="H25" s="132">
        <f>IF(SER_hh_fech_in!H25=0,0,SER_hh_fech_in!H25/SER_summary!H$27)</f>
        <v>17.593314169359974</v>
      </c>
      <c r="I25" s="132">
        <f>IF(SER_hh_fech_in!I25=0,0,SER_hh_fech_in!I25/SER_summary!I$27)</f>
        <v>18.357412591808121</v>
      </c>
      <c r="J25" s="132">
        <f>IF(SER_hh_fech_in!J25=0,0,SER_hh_fech_in!J25/SER_summary!J$27)</f>
        <v>18.802684398260634</v>
      </c>
      <c r="K25" s="132">
        <f>IF(SER_hh_fech_in!K25=0,0,SER_hh_fech_in!K25/SER_summary!K$27)</f>
        <v>18.977570787645288</v>
      </c>
      <c r="L25" s="132">
        <f>IF(SER_hh_fech_in!L25=0,0,SER_hh_fech_in!L25/SER_summary!L$27)</f>
        <v>18.284888495135672</v>
      </c>
      <c r="M25" s="132">
        <f>IF(SER_hh_fech_in!M25=0,0,SER_hh_fech_in!M25/SER_summary!M$27)</f>
        <v>18.652618158939561</v>
      </c>
      <c r="N25" s="132">
        <f>IF(SER_hh_fech_in!N25=0,0,SER_hh_fech_in!N25/SER_summary!N$27)</f>
        <v>18.829207150497631</v>
      </c>
      <c r="O25" s="132">
        <f>IF(SER_hh_fech_in!O25=0,0,SER_hh_fech_in!O25/SER_summary!O$27)</f>
        <v>19.475994370573179</v>
      </c>
      <c r="P25" s="132">
        <f>IF(SER_hh_fech_in!P25=0,0,SER_hh_fech_in!P25/SER_summary!P$27)</f>
        <v>18.855677458800301</v>
      </c>
      <c r="Q25" s="132">
        <f>IF(SER_hh_fech_in!Q25=0,0,SER_hh_fech_in!Q25/SER_summary!Q$27)</f>
        <v>18.280208305933211</v>
      </c>
      <c r="R25" s="132">
        <f>IF(SER_hh_fech_in!R25=0,0,SER_hh_fech_in!R25/SER_summary!R$27)</f>
        <v>18.587500799844491</v>
      </c>
      <c r="S25" s="132">
        <f>IF(SER_hh_fech_in!S25=0,0,SER_hh_fech_in!S25/SER_summary!S$27)</f>
        <v>21.143349475273482</v>
      </c>
      <c r="T25" s="132">
        <f>IF(SER_hh_fech_in!T25=0,0,SER_hh_fech_in!T25/SER_summary!T$27)</f>
        <v>17.299267899402157</v>
      </c>
      <c r="U25" s="132">
        <f>IF(SER_hh_fech_in!U25=0,0,SER_hh_fech_in!U25/SER_summary!U$27)</f>
        <v>17.379505245430984</v>
      </c>
      <c r="V25" s="132">
        <f>IF(SER_hh_fech_in!V25=0,0,SER_hh_fech_in!V25/SER_summary!V$27)</f>
        <v>17.658078828450311</v>
      </c>
      <c r="W25" s="132">
        <f>IF(SER_hh_fech_in!W25=0,0,SER_hh_fech_in!W25/SER_summary!W$27)</f>
        <v>14.915192560411574</v>
      </c>
      <c r="X25" s="132">
        <f>IF(SER_hh_fech_in!X25=0,0,SER_hh_fech_in!X25/SER_summary!X$27)</f>
        <v>17.933342158720311</v>
      </c>
      <c r="Y25" s="132">
        <f>IF(SER_hh_fech_in!Y25=0,0,SER_hh_fech_in!Y25/SER_summary!Y$27)</f>
        <v>16.125115592470674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13.961910831113924</v>
      </c>
      <c r="D26" s="65">
        <f>IF(SER_hh_fech_in!D26=0,0,SER_hh_fech_in!D26/SER_summary!D$27)</f>
        <v>16.632394064919698</v>
      </c>
      <c r="E26" s="65">
        <f>IF(SER_hh_fech_in!E26=0,0,SER_hh_fech_in!E26/SER_summary!E$27)</f>
        <v>17.042447986008217</v>
      </c>
      <c r="F26" s="65">
        <f>IF(SER_hh_fech_in!F26=0,0,SER_hh_fech_in!F26/SER_summary!F$27)</f>
        <v>19.142872660094017</v>
      </c>
      <c r="G26" s="65">
        <f>IF(SER_hh_fech_in!G26=0,0,SER_hh_fech_in!G26/SER_summary!G$27)</f>
        <v>19.905480050773892</v>
      </c>
      <c r="H26" s="65">
        <f>IF(SER_hh_fech_in!H26=0,0,SER_hh_fech_in!H26/SER_summary!H$27)</f>
        <v>20.643430445586837</v>
      </c>
      <c r="I26" s="65">
        <f>IF(SER_hh_fech_in!I26=0,0,SER_hh_fech_in!I26/SER_summary!I$27)</f>
        <v>22.221021957386593</v>
      </c>
      <c r="J26" s="65">
        <f>IF(SER_hh_fech_in!J26=0,0,SER_hh_fech_in!J26/SER_summary!J$27)</f>
        <v>20.987198196776824</v>
      </c>
      <c r="K26" s="65">
        <f>IF(SER_hh_fech_in!K26=0,0,SER_hh_fech_in!K26/SER_summary!K$27)</f>
        <v>21.247619531224782</v>
      </c>
      <c r="L26" s="65">
        <f>IF(SER_hh_fech_in!L26=0,0,SER_hh_fech_in!L26/SER_summary!L$27)</f>
        <v>13.017924320391828</v>
      </c>
      <c r="M26" s="65">
        <f>IF(SER_hh_fech_in!M26=0,0,SER_hh_fech_in!M26/SER_summary!M$27)</f>
        <v>20.508471812799126</v>
      </c>
      <c r="N26" s="65">
        <f>IF(SER_hh_fech_in!N26=0,0,SER_hh_fech_in!N26/SER_summary!N$27)</f>
        <v>19.78383920726538</v>
      </c>
      <c r="O26" s="65">
        <f>IF(SER_hh_fech_in!O26=0,0,SER_hh_fech_in!O26/SER_summary!O$27)</f>
        <v>20.081765064460548</v>
      </c>
      <c r="P26" s="65">
        <f>IF(SER_hh_fech_in!P26=0,0,SER_hh_fech_in!P26/SER_summary!P$27)</f>
        <v>20.083355490467568</v>
      </c>
      <c r="Q26" s="65">
        <f>IF(SER_hh_fech_in!Q26=0,0,SER_hh_fech_in!Q26/SER_summary!Q$27)</f>
        <v>17.92675171958177</v>
      </c>
      <c r="R26" s="65">
        <f>IF(SER_hh_fech_in!R26=0,0,SER_hh_fech_in!R26/SER_summary!R$27)</f>
        <v>19.037185251591691</v>
      </c>
      <c r="S26" s="65">
        <f>IF(SER_hh_fech_in!S26=0,0,SER_hh_fech_in!S26/SER_summary!S$27)</f>
        <v>18.297830253534435</v>
      </c>
      <c r="T26" s="65">
        <f>IF(SER_hh_fech_in!T26=0,0,SER_hh_fech_in!T26/SER_summary!T$27)</f>
        <v>16.914978820901869</v>
      </c>
      <c r="U26" s="65">
        <f>IF(SER_hh_fech_in!U26=0,0,SER_hh_fech_in!U26/SER_summary!U$27)</f>
        <v>18.468069241963128</v>
      </c>
      <c r="V26" s="65">
        <f>IF(SER_hh_fech_in!V26=0,0,SER_hh_fech_in!V26/SER_summary!V$27)</f>
        <v>15.877068484037238</v>
      </c>
      <c r="W26" s="65">
        <f>IF(SER_hh_fech_in!W26=0,0,SER_hh_fech_in!W26/SER_summary!W$27)</f>
        <v>16.984457571184311</v>
      </c>
      <c r="X26" s="65">
        <f>IF(SER_hh_fech_in!X26=0,0,SER_hh_fech_in!X26/SER_summary!X$27)</f>
        <v>16.627547827196786</v>
      </c>
      <c r="Y26" s="65">
        <f>IF(SER_hh_fech_in!Y26=0,0,SER_hh_fech_in!Y26/SER_summary!Y$27)</f>
        <v>16.588735243679547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0.11765714432008766</v>
      </c>
      <c r="E27" s="145">
        <f>IF(SER_hh_fech_in!E27=0,0,SER_hh_fech_in!E27/SER_summary!E$27)</f>
        <v>0</v>
      </c>
      <c r="F27" s="145">
        <f>IF(SER_hh_fech_in!F27=0,0,SER_hh_fech_in!F27/SER_summary!F$27)</f>
        <v>8.2783339168685147E-2</v>
      </c>
      <c r="G27" s="145">
        <f>IF(SER_hh_fech_in!G27=0,0,SER_hh_fech_in!G27/SER_summary!G$27)</f>
        <v>6.5463355848335694E-2</v>
      </c>
      <c r="H27" s="145">
        <f>IF(SER_hh_fech_in!H27=0,0,SER_hh_fech_in!H27/SER_summary!H$27)</f>
        <v>9.6373115086494654E-2</v>
      </c>
      <c r="I27" s="145">
        <f>IF(SER_hh_fech_in!I27=0,0,SER_hh_fech_in!I27/SER_summary!I$27)</f>
        <v>6.19585057171941E-2</v>
      </c>
      <c r="J27" s="145">
        <f>IF(SER_hh_fech_in!J27=0,0,SER_hh_fech_in!J27/SER_summary!J$27)</f>
        <v>0.74249252526624554</v>
      </c>
      <c r="K27" s="145">
        <f>IF(SER_hh_fech_in!K27=0,0,SER_hh_fech_in!K27/SER_summary!K$27)</f>
        <v>0.64037066215140337</v>
      </c>
      <c r="L27" s="145">
        <f>IF(SER_hh_fech_in!L27=0,0,SER_hh_fech_in!L27/SER_summary!L$27)</f>
        <v>2.2909970178398287</v>
      </c>
      <c r="M27" s="145">
        <f>IF(SER_hh_fech_in!M27=0,0,SER_hh_fech_in!M27/SER_summary!M$27)</f>
        <v>0.74048351182433481</v>
      </c>
      <c r="N27" s="145">
        <f>IF(SER_hh_fech_in!N27=0,0,SER_hh_fech_in!N27/SER_summary!N$27)</f>
        <v>0.70101747073536691</v>
      </c>
      <c r="O27" s="145">
        <f>IF(SER_hh_fech_in!O27=0,0,SER_hh_fech_in!O27/SER_summary!O$27)</f>
        <v>1.0265327500251675</v>
      </c>
      <c r="P27" s="145">
        <f>IF(SER_hh_fech_in!P27=0,0,SER_hh_fech_in!P27/SER_summary!P$27)</f>
        <v>0.54987808813766781</v>
      </c>
      <c r="Q27" s="145">
        <f>IF(SER_hh_fech_in!Q27=0,0,SER_hh_fech_in!Q27/SER_summary!Q$27)</f>
        <v>1.350192295410567</v>
      </c>
      <c r="R27" s="145">
        <f>IF(SER_hh_fech_in!R27=0,0,SER_hh_fech_in!R27/SER_summary!R$27)</f>
        <v>0.5004497567681695</v>
      </c>
      <c r="S27" s="145">
        <f>IF(SER_hh_fech_in!S27=0,0,SER_hh_fech_in!S27/SER_summary!S$27)</f>
        <v>0.22636265257433166</v>
      </c>
      <c r="T27" s="145">
        <f>IF(SER_hh_fech_in!T27=0,0,SER_hh_fech_in!T27/SER_summary!T$27)</f>
        <v>1.4015365883728303</v>
      </c>
      <c r="U27" s="145">
        <f>IF(SER_hh_fech_in!U27=0,0,SER_hh_fech_in!U27/SER_summary!U$27)</f>
        <v>1.3663676391837646E-15</v>
      </c>
      <c r="V27" s="145">
        <f>IF(SER_hh_fech_in!V27=0,0,SER_hh_fech_in!V27/SER_summary!V$27)</f>
        <v>0.18853022214311158</v>
      </c>
      <c r="W27" s="145">
        <f>IF(SER_hh_fech_in!W27=0,0,SER_hh_fech_in!W27/SER_summary!W$27)</f>
        <v>2.2329300996010704E-5</v>
      </c>
      <c r="X27" s="145">
        <f>IF(SER_hh_fech_in!X27=0,0,SER_hh_fech_in!X27/SER_summary!X$27)</f>
        <v>7.3849649822555556E-6</v>
      </c>
      <c r="Y27" s="145">
        <f>IF(SER_hh_fech_in!Y27=0,0,SER_hh_fech_in!Y27/SER_summary!Y$27)</f>
        <v>1.1146611263873654E-15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6.1112675723372742</v>
      </c>
      <c r="E28" s="146">
        <f>IF(SER_hh_fech_in!E28=0,0,SER_hh_fech_in!E28/SER_summary!E$27)</f>
        <v>0</v>
      </c>
      <c r="F28" s="146">
        <f>IF(SER_hh_fech_in!F28=0,0,SER_hh_fech_in!F28/SER_summary!F$27)</f>
        <v>7.0093451196958885</v>
      </c>
      <c r="G28" s="146">
        <f>IF(SER_hh_fech_in!G28=0,0,SER_hh_fech_in!G28/SER_summary!G$27)</f>
        <v>7.0905998598138416</v>
      </c>
      <c r="H28" s="146">
        <f>IF(SER_hh_fech_in!H28=0,0,SER_hh_fech_in!H28/SER_summary!H$27)</f>
        <v>7.484187611649018</v>
      </c>
      <c r="I28" s="146">
        <f>IF(SER_hh_fech_in!I28=0,0,SER_hh_fech_in!I28/SER_summary!I$27)</f>
        <v>7.9537109103634709</v>
      </c>
      <c r="J28" s="146">
        <f>IF(SER_hh_fech_in!J28=0,0,SER_hh_fech_in!J28/SER_summary!J$27)</f>
        <v>8.2227076172609657</v>
      </c>
      <c r="K28" s="146">
        <f>IF(SER_hh_fech_in!K28=0,0,SER_hh_fech_in!K28/SER_summary!K$27)</f>
        <v>8.3445016356339945</v>
      </c>
      <c r="L28" s="146">
        <f>IF(SER_hh_fech_in!L28=0,0,SER_hh_fech_in!L28/SER_summary!L$27)</f>
        <v>8.0129395114763291</v>
      </c>
      <c r="M28" s="146">
        <f>IF(SER_hh_fech_in!M28=0,0,SER_hh_fech_in!M28/SER_summary!M$27)</f>
        <v>8.3648904240137369</v>
      </c>
      <c r="N28" s="146">
        <f>IF(SER_hh_fech_in!N28=0,0,SER_hh_fech_in!N28/SER_summary!N$27)</f>
        <v>8.8470005924412458</v>
      </c>
      <c r="O28" s="146">
        <f>IF(SER_hh_fech_in!O28=0,0,SER_hh_fech_in!O28/SER_summary!O$27)</f>
        <v>8.8097584609131925</v>
      </c>
      <c r="P28" s="146">
        <f>IF(SER_hh_fech_in!P28=0,0,SER_hh_fech_in!P28/SER_summary!P$27)</f>
        <v>8.9169792364413425</v>
      </c>
      <c r="Q28" s="146">
        <f>IF(SER_hh_fech_in!Q28=0,0,SER_hh_fech_in!Q28/SER_summary!Q$27)</f>
        <v>8.9494608310786887</v>
      </c>
      <c r="R28" s="146">
        <f>IF(SER_hh_fech_in!R28=0,0,SER_hh_fech_in!R28/SER_summary!R$27)</f>
        <v>9.121475284524772</v>
      </c>
      <c r="S28" s="146">
        <f>IF(SER_hh_fech_in!S28=0,0,SER_hh_fech_in!S28/SER_summary!S$27)</f>
        <v>9.2898787611563627</v>
      </c>
      <c r="T28" s="146">
        <f>IF(SER_hh_fech_in!T28=0,0,SER_hh_fech_in!T28/SER_summary!T$27)</f>
        <v>7.6728644441242171</v>
      </c>
      <c r="U28" s="146">
        <f>IF(SER_hh_fech_in!U28=0,0,SER_hh_fech_in!U28/SER_summary!U$27)</f>
        <v>8.3532140985308665</v>
      </c>
      <c r="V28" s="146">
        <f>IF(SER_hh_fech_in!V28=0,0,SER_hh_fech_in!V28/SER_summary!V$27)</f>
        <v>7.8054568299079552</v>
      </c>
      <c r="W28" s="146">
        <f>IF(SER_hh_fech_in!W28=0,0,SER_hh_fech_in!W28/SER_summary!W$27)</f>
        <v>8.1272723484223857</v>
      </c>
      <c r="X28" s="146">
        <f>IF(SER_hh_fech_in!X28=0,0,SER_hh_fech_in!X28/SER_summary!X$27)</f>
        <v>10.093064846530273</v>
      </c>
      <c r="Y28" s="146">
        <f>IF(SER_hh_fech_in!Y28=0,0,SER_hh_fech_in!Y28/SER_summary!Y$27)</f>
        <v>11.630062751578903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19.826722666043391</v>
      </c>
      <c r="D29" s="130">
        <f>IF(SER_hh_fech_in!D29=0,0,SER_hh_fech_in!D29/SER_summary!D$27)</f>
        <v>21.868150518440693</v>
      </c>
      <c r="E29" s="130">
        <f>IF(SER_hh_fech_in!E29=0,0,SER_hh_fech_in!E29/SER_summary!E$27)</f>
        <v>24.665149319009984</v>
      </c>
      <c r="F29" s="130">
        <f>IF(SER_hh_fech_in!F29=0,0,SER_hh_fech_in!F29/SER_summary!F$27)</f>
        <v>24.230471520800705</v>
      </c>
      <c r="G29" s="130">
        <f>IF(SER_hh_fech_in!G29=0,0,SER_hh_fech_in!G29/SER_summary!G$27)</f>
        <v>24.765790010332882</v>
      </c>
      <c r="H29" s="130">
        <f>IF(SER_hh_fech_in!H29=0,0,SER_hh_fech_in!H29/SER_summary!H$27)</f>
        <v>24.773097929180462</v>
      </c>
      <c r="I29" s="130">
        <f>IF(SER_hh_fech_in!I29=0,0,SER_hh_fech_in!I29/SER_summary!I$27)</f>
        <v>25.257199931460661</v>
      </c>
      <c r="J29" s="130">
        <f>IF(SER_hh_fech_in!J29=0,0,SER_hh_fech_in!J29/SER_summary!J$27)</f>
        <v>25.666682243585257</v>
      </c>
      <c r="K29" s="130">
        <f>IF(SER_hh_fech_in!K29=0,0,SER_hh_fech_in!K29/SER_summary!K$27)</f>
        <v>25.431153008885396</v>
      </c>
      <c r="L29" s="130">
        <f>IF(SER_hh_fech_in!L29=0,0,SER_hh_fech_in!L29/SER_summary!L$27)</f>
        <v>26.290112370033885</v>
      </c>
      <c r="M29" s="130">
        <f>IF(SER_hh_fech_in!M29=0,0,SER_hh_fech_in!M29/SER_summary!M$27)</f>
        <v>27.143482502525437</v>
      </c>
      <c r="N29" s="130">
        <f>IF(SER_hh_fech_in!N29=0,0,SER_hh_fech_in!N29/SER_summary!N$27)</f>
        <v>26.979629166012149</v>
      </c>
      <c r="O29" s="130">
        <f>IF(SER_hh_fech_in!O29=0,0,SER_hh_fech_in!O29/SER_summary!O$27)</f>
        <v>26.614273987764541</v>
      </c>
      <c r="P29" s="130">
        <f>IF(SER_hh_fech_in!P29=0,0,SER_hh_fech_in!P29/SER_summary!P$27)</f>
        <v>25.477592567173371</v>
      </c>
      <c r="Q29" s="130">
        <f>IF(SER_hh_fech_in!Q29=0,0,SER_hh_fech_in!Q29/SER_summary!Q$27)</f>
        <v>25.392111157999956</v>
      </c>
      <c r="R29" s="130">
        <f>IF(SER_hh_fech_in!R29=0,0,SER_hh_fech_in!R29/SER_summary!R$27)</f>
        <v>24.471956415722289</v>
      </c>
      <c r="S29" s="130">
        <f>IF(SER_hh_fech_in!S29=0,0,SER_hh_fech_in!S29/SER_summary!S$27)</f>
        <v>23.410846276306142</v>
      </c>
      <c r="T29" s="130">
        <f>IF(SER_hh_fech_in!T29=0,0,SER_hh_fech_in!T29/SER_summary!T$27)</f>
        <v>22.881802832649338</v>
      </c>
      <c r="U29" s="130">
        <f>IF(SER_hh_fech_in!U29=0,0,SER_hh_fech_in!U29/SER_summary!U$27)</f>
        <v>22.942971212001279</v>
      </c>
      <c r="V29" s="130">
        <f>IF(SER_hh_fech_in!V29=0,0,SER_hh_fech_in!V29/SER_summary!V$27)</f>
        <v>21.242579545668502</v>
      </c>
      <c r="W29" s="130">
        <f>IF(SER_hh_fech_in!W29=0,0,SER_hh_fech_in!W29/SER_summary!W$27)</f>
        <v>23.740078492062402</v>
      </c>
      <c r="X29" s="130">
        <f>IF(SER_hh_fech_in!X29=0,0,SER_hh_fech_in!X29/SER_summary!X$27)</f>
        <v>22.959289933030636</v>
      </c>
      <c r="Y29" s="130">
        <f>IF(SER_hh_fech_in!Y29=0,0,SER_hh_fech_in!Y29/SER_summary!Y$27)</f>
        <v>22.053012696920391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28.303210130578751</v>
      </c>
      <c r="D30" s="132">
        <f>IF(SER_hh_fech_in!D30=0,0,SER_hh_fech_in!D30/SER_summary!D$27)</f>
        <v>23.15860212366821</v>
      </c>
      <c r="E30" s="132">
        <f>IF(SER_hh_fech_in!E30=0,0,SER_hh_fech_in!E30/SER_summary!E$27)</f>
        <v>33.855827455449734</v>
      </c>
      <c r="F30" s="132">
        <f>IF(SER_hh_fech_in!F30=0,0,SER_hh_fech_in!F30/SER_summary!F$27)</f>
        <v>30.516770540974374</v>
      </c>
      <c r="G30" s="132">
        <f>IF(SER_hh_fech_in!G30=0,0,SER_hh_fech_in!G30/SER_summary!G$27)</f>
        <v>29.44003590372219</v>
      </c>
      <c r="H30" s="132">
        <f>IF(SER_hh_fech_in!H30=0,0,SER_hh_fech_in!H30/SER_summary!H$27)</f>
        <v>32.919706885036632</v>
      </c>
      <c r="I30" s="132">
        <f>IF(SER_hh_fech_in!I30=0,0,SER_hh_fech_in!I30/SER_summary!I$27)</f>
        <v>34.991559410059423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32.110143799928231</v>
      </c>
      <c r="O30" s="132">
        <f>IF(SER_hh_fech_in!O30=0,0,SER_hh_fech_in!O30/SER_summary!O$27)</f>
        <v>33.087821847448062</v>
      </c>
      <c r="P30" s="132">
        <f>IF(SER_hh_fech_in!P30=0,0,SER_hh_fech_in!P30/SER_summary!P$27)</f>
        <v>28.752899684654256</v>
      </c>
      <c r="Q30" s="132">
        <f>IF(SER_hh_fech_in!Q30=0,0,SER_hh_fech_in!Q30/SER_summary!Q$27)</f>
        <v>31.873248577916069</v>
      </c>
      <c r="R30" s="132">
        <f>IF(SER_hh_fech_in!R30=0,0,SER_hh_fech_in!R30/SER_summary!R$27)</f>
        <v>32.714611472598854</v>
      </c>
      <c r="S30" s="132">
        <f>IF(SER_hh_fech_in!S30=0,0,SER_hh_fech_in!S30/SER_summary!S$27)</f>
        <v>31.482473972648673</v>
      </c>
      <c r="T30" s="132">
        <f>IF(SER_hh_fech_in!T30=0,0,SER_hh_fech_in!T30/SER_summary!T$27)</f>
        <v>29.734338964806923</v>
      </c>
      <c r="U30" s="132">
        <f>IF(SER_hh_fech_in!U30=0,0,SER_hh_fech_in!U30/SER_summary!U$27)</f>
        <v>34.388712881185434</v>
      </c>
      <c r="V30" s="132">
        <f>IF(SER_hh_fech_in!V30=0,0,SER_hh_fech_in!V30/SER_summary!V$27)</f>
        <v>24.227927658648152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23.359448654882002</v>
      </c>
      <c r="D31" s="132">
        <f>IF(SER_hh_fech_in!D31=0,0,SER_hh_fech_in!D31/SER_summary!D$27)</f>
        <v>26.388795476926155</v>
      </c>
      <c r="E31" s="132">
        <f>IF(SER_hh_fech_in!E31=0,0,SER_hh_fech_in!E31/SER_summary!E$27)</f>
        <v>28.920668169316944</v>
      </c>
      <c r="F31" s="132">
        <f>IF(SER_hh_fech_in!F31=0,0,SER_hh_fech_in!F31/SER_summary!F$27)</f>
        <v>28.872224149073155</v>
      </c>
      <c r="G31" s="132">
        <f>IF(SER_hh_fech_in!G31=0,0,SER_hh_fech_in!G31/SER_summary!G$27)</f>
        <v>30.251493344756923</v>
      </c>
      <c r="H31" s="132">
        <f>IF(SER_hh_fech_in!H31=0,0,SER_hh_fech_in!H31/SER_summary!H$27)</f>
        <v>31.128959111331536</v>
      </c>
      <c r="I31" s="132">
        <f>IF(SER_hh_fech_in!I31=0,0,SER_hh_fech_in!I31/SER_summary!I$27)</f>
        <v>31.609300481019659</v>
      </c>
      <c r="J31" s="132">
        <f>IF(SER_hh_fech_in!J31=0,0,SER_hh_fech_in!J31/SER_summary!J$27)</f>
        <v>31.888013920716801</v>
      </c>
      <c r="K31" s="132">
        <f>IF(SER_hh_fech_in!K31=0,0,SER_hh_fech_in!K31/SER_summary!K$27)</f>
        <v>31.667921973719753</v>
      </c>
      <c r="L31" s="132">
        <f>IF(SER_hh_fech_in!L31=0,0,SER_hh_fech_in!L31/SER_summary!L$27)</f>
        <v>30.247834847215213</v>
      </c>
      <c r="M31" s="132">
        <f>IF(SER_hh_fech_in!M31=0,0,SER_hh_fech_in!M31/SER_summary!M$27)</f>
        <v>32.015036630608414</v>
      </c>
      <c r="N31" s="132">
        <f>IF(SER_hh_fech_in!N31=0,0,SER_hh_fech_in!N31/SER_summary!N$27)</f>
        <v>32.875155529640246</v>
      </c>
      <c r="O31" s="132">
        <f>IF(SER_hh_fech_in!O31=0,0,SER_hh_fech_in!O31/SER_summary!O$27)</f>
        <v>32.097177861416753</v>
      </c>
      <c r="P31" s="132">
        <f>IF(SER_hh_fech_in!P31=0,0,SER_hh_fech_in!P31/SER_summary!P$27)</f>
        <v>31.569719079979755</v>
      </c>
      <c r="Q31" s="132">
        <f>IF(SER_hh_fech_in!Q31=0,0,SER_hh_fech_in!Q31/SER_summary!Q$27)</f>
        <v>32.401975727050598</v>
      </c>
      <c r="R31" s="132">
        <f>IF(SER_hh_fech_in!R31=0,0,SER_hh_fech_in!R31/SER_summary!R$27)</f>
        <v>31.324370032266668</v>
      </c>
      <c r="S31" s="132">
        <f>IF(SER_hh_fech_in!S31=0,0,SER_hh_fech_in!S31/SER_summary!S$27)</f>
        <v>29.856526595803977</v>
      </c>
      <c r="T31" s="132">
        <f>IF(SER_hh_fech_in!T31=0,0,SER_hh_fech_in!T31/SER_summary!T$27)</f>
        <v>29.410538686972671</v>
      </c>
      <c r="U31" s="132">
        <f>IF(SER_hh_fech_in!U31=0,0,SER_hh_fech_in!U31/SER_summary!U$27)</f>
        <v>29.477795009448919</v>
      </c>
      <c r="V31" s="132">
        <f>IF(SER_hh_fech_in!V31=0,0,SER_hh_fech_in!V31/SER_summary!V$27)</f>
        <v>23.893257981467872</v>
      </c>
      <c r="W31" s="132">
        <f>IF(SER_hh_fech_in!W31=0,0,SER_hh_fech_in!W31/SER_summary!W$27)</f>
        <v>29.708586373099049</v>
      </c>
      <c r="X31" s="132">
        <f>IF(SER_hh_fech_in!X31=0,0,SER_hh_fech_in!X31/SER_summary!X$27)</f>
        <v>28.354801135579351</v>
      </c>
      <c r="Y31" s="132">
        <f>IF(SER_hh_fech_in!Y31=0,0,SER_hh_fech_in!Y31/SER_summary!Y$27)</f>
        <v>28.259181871980186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17.533747775352463</v>
      </c>
      <c r="D33" s="68">
        <f>IF(SER_hh_fech_in!D33=0,0,SER_hh_fech_in!D33/SER_summary!D$27)</f>
        <v>20.228913522416505</v>
      </c>
      <c r="E33" s="68">
        <f>IF(SER_hh_fech_in!E33=0,0,SER_hh_fech_in!E33/SER_summary!E$27)</f>
        <v>22.024815393692887</v>
      </c>
      <c r="F33" s="68">
        <f>IF(SER_hh_fech_in!F33=0,0,SER_hh_fech_in!F33/SER_summary!F$27)</f>
        <v>22.495152540960991</v>
      </c>
      <c r="G33" s="68">
        <f>IF(SER_hh_fech_in!G33=0,0,SER_hh_fech_in!G33/SER_summary!G$27)</f>
        <v>22.696962808890039</v>
      </c>
      <c r="H33" s="68">
        <f>IF(SER_hh_fech_in!H33=0,0,SER_hh_fech_in!H33/SER_summary!H$27)</f>
        <v>22.901480522199495</v>
      </c>
      <c r="I33" s="68">
        <f>IF(SER_hh_fech_in!I33=0,0,SER_hh_fech_in!I33/SER_summary!I$27)</f>
        <v>23.90770982090152</v>
      </c>
      <c r="J33" s="68">
        <f>IF(SER_hh_fech_in!J33=0,0,SER_hh_fech_in!J33/SER_summary!J$27)</f>
        <v>24.496144731164417</v>
      </c>
      <c r="K33" s="68">
        <f>IF(SER_hh_fech_in!K33=0,0,SER_hh_fech_in!K33/SER_summary!K$27)</f>
        <v>23.948408464352021</v>
      </c>
      <c r="L33" s="68">
        <f>IF(SER_hh_fech_in!L33=0,0,SER_hh_fech_in!L33/SER_summary!L$27)</f>
        <v>24.643017703245306</v>
      </c>
      <c r="M33" s="68">
        <f>IF(SER_hh_fech_in!M33=0,0,SER_hh_fech_in!M33/SER_summary!M$27)</f>
        <v>24.193876692880675</v>
      </c>
      <c r="N33" s="68">
        <f>IF(SER_hh_fech_in!N33=0,0,SER_hh_fech_in!N33/SER_summary!N$27)</f>
        <v>23.477496089757871</v>
      </c>
      <c r="O33" s="68">
        <f>IF(SER_hh_fech_in!O33=0,0,SER_hh_fech_in!O33/SER_summary!O$27)</f>
        <v>23.487045605515057</v>
      </c>
      <c r="P33" s="68">
        <f>IF(SER_hh_fech_in!P33=0,0,SER_hh_fech_in!P33/SER_summary!P$27)</f>
        <v>23.664083923782545</v>
      </c>
      <c r="Q33" s="68">
        <f>IF(SER_hh_fech_in!Q33=0,0,SER_hh_fech_in!Q33/SER_summary!Q$27)</f>
        <v>23.153987455232887</v>
      </c>
      <c r="R33" s="68">
        <f>IF(SER_hh_fech_in!R33=0,0,SER_hh_fech_in!R33/SER_summary!R$27)</f>
        <v>22.829500194711532</v>
      </c>
      <c r="S33" s="68">
        <f>IF(SER_hh_fech_in!S33=0,0,SER_hh_fech_in!S33/SER_summary!S$27)</f>
        <v>21.972992509407188</v>
      </c>
      <c r="T33" s="68">
        <f>IF(SER_hh_fech_in!T33=0,0,SER_hh_fech_in!T33/SER_summary!T$27)</f>
        <v>21.780625196299781</v>
      </c>
      <c r="U33" s="68">
        <f>IF(SER_hh_fech_in!U33=0,0,SER_hh_fech_in!U33/SER_summary!U$27)</f>
        <v>21.007619483038024</v>
      </c>
      <c r="V33" s="68">
        <f>IF(SER_hh_fech_in!V33=0,0,SER_hh_fech_in!V33/SER_summary!V$27)</f>
        <v>20.355768723411579</v>
      </c>
      <c r="W33" s="68">
        <f>IF(SER_hh_fech_in!W33=0,0,SER_hh_fech_in!W33/SER_summary!W$27)</f>
        <v>19.097079553690861</v>
      </c>
      <c r="X33" s="68">
        <f>IF(SER_hh_fech_in!X33=0,0,SER_hh_fech_in!X33/SER_summary!X$27)</f>
        <v>19.877544889296793</v>
      </c>
      <c r="Y33" s="68">
        <f>IF(SER_hh_fech_in!Y33=0,0,SER_hh_fech_in!Y33/SER_summary!Y$27)</f>
        <v>19.727321665854845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129.21525320159071</v>
      </c>
      <c r="D3" s="125">
        <f>IF(SER_hh_tesh_in!D3=0,0,SER_hh_tesh_in!D3/SER_summary!D$27)</f>
        <v>148.14654707554078</v>
      </c>
      <c r="E3" s="125">
        <f>IF(SER_hh_tesh_in!E3=0,0,SER_hh_tesh_in!E3/SER_summary!E$27)</f>
        <v>132.7461344061534</v>
      </c>
      <c r="F3" s="125">
        <f>IF(SER_hh_tesh_in!F3=0,0,SER_hh_tesh_in!F3/SER_summary!F$27)</f>
        <v>141.2424464603325</v>
      </c>
      <c r="G3" s="125">
        <f>IF(SER_hh_tesh_in!G3=0,0,SER_hh_tesh_in!G3/SER_summary!G$27)</f>
        <v>134.52289535781262</v>
      </c>
      <c r="H3" s="125">
        <f>IF(SER_hh_tesh_in!H3=0,0,SER_hh_tesh_in!H3/SER_summary!H$27)</f>
        <v>145.87637809788518</v>
      </c>
      <c r="I3" s="125">
        <f>IF(SER_hh_tesh_in!I3=0,0,SER_hh_tesh_in!I3/SER_summary!I$27)</f>
        <v>129.1958045159088</v>
      </c>
      <c r="J3" s="125">
        <f>IF(SER_hh_tesh_in!J3=0,0,SER_hh_tesh_in!J3/SER_summary!J$27)</f>
        <v>140.06258916609042</v>
      </c>
      <c r="K3" s="125">
        <f>IF(SER_hh_tesh_in!K3=0,0,SER_hh_tesh_in!K3/SER_summary!K$27)</f>
        <v>134.9723927080378</v>
      </c>
      <c r="L3" s="125">
        <f>IF(SER_hh_tesh_in!L3=0,0,SER_hh_tesh_in!L3/SER_summary!L$27)</f>
        <v>163.66190914093781</v>
      </c>
      <c r="M3" s="125">
        <f>IF(SER_hh_tesh_in!M3=0,0,SER_hh_tesh_in!M3/SER_summary!M$27)</f>
        <v>138.6327344092083</v>
      </c>
      <c r="N3" s="125">
        <f>IF(SER_hh_tesh_in!N3=0,0,SER_hh_tesh_in!N3/SER_summary!N$27)</f>
        <v>139.004146292472</v>
      </c>
      <c r="O3" s="125">
        <f>IF(SER_hh_tesh_in!O3=0,0,SER_hh_tesh_in!O3/SER_summary!O$27)</f>
        <v>137.80102958844344</v>
      </c>
      <c r="P3" s="125">
        <f>IF(SER_hh_tesh_in!P3=0,0,SER_hh_tesh_in!P3/SER_summary!P$27)</f>
        <v>120.43762172128737</v>
      </c>
      <c r="Q3" s="125">
        <f>IF(SER_hh_tesh_in!Q3=0,0,SER_hh_tesh_in!Q3/SER_summary!Q$27)</f>
        <v>126.4805535818326</v>
      </c>
      <c r="R3" s="125">
        <f>IF(SER_hh_tesh_in!R3=0,0,SER_hh_tesh_in!R3/SER_summary!R$27)</f>
        <v>125.93509488723404</v>
      </c>
      <c r="S3" s="125">
        <f>IF(SER_hh_tesh_in!S3=0,0,SER_hh_tesh_in!S3/SER_summary!S$27)</f>
        <v>114.49711144205033</v>
      </c>
      <c r="T3" s="125">
        <f>IF(SER_hh_tesh_in!T3=0,0,SER_hh_tesh_in!T3/SER_summary!T$27)</f>
        <v>110.72773191434005</v>
      </c>
      <c r="U3" s="125">
        <f>IF(SER_hh_tesh_in!U3=0,0,SER_hh_tesh_in!U3/SER_summary!U$27)</f>
        <v>108.57833168522851</v>
      </c>
      <c r="V3" s="125">
        <f>IF(SER_hh_tesh_in!V3=0,0,SER_hh_tesh_in!V3/SER_summary!V$27)</f>
        <v>99.32285172763271</v>
      </c>
      <c r="W3" s="125">
        <f>IF(SER_hh_tesh_in!W3=0,0,SER_hh_tesh_in!W3/SER_summary!W$27)</f>
        <v>100.1313757927326</v>
      </c>
      <c r="X3" s="125">
        <f>IF(SER_hh_tesh_in!X3=0,0,SER_hh_tesh_in!X3/SER_summary!X$27)</f>
        <v>93.681963973401366</v>
      </c>
      <c r="Y3" s="125">
        <f>IF(SER_hh_tesh_in!Y3=0,0,SER_hh_tesh_in!Y3/SER_summary!Y$27)</f>
        <v>97.217304545081745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77.20901788814956</v>
      </c>
      <c r="D4" s="130">
        <f>IF(SER_hh_tesh_in!D4=0,0,SER_hh_tesh_in!D4/SER_summary!D$27)</f>
        <v>92.951925232063701</v>
      </c>
      <c r="E4" s="130">
        <f>IF(SER_hh_tesh_in!E4=0,0,SER_hh_tesh_in!E4/SER_summary!E$27)</f>
        <v>87.921098989253338</v>
      </c>
      <c r="F4" s="130">
        <f>IF(SER_hh_tesh_in!F4=0,0,SER_hh_tesh_in!F4/SER_summary!F$27)</f>
        <v>98.126304702420782</v>
      </c>
      <c r="G4" s="130">
        <f>IF(SER_hh_tesh_in!G4=0,0,SER_hh_tesh_in!G4/SER_summary!G$27)</f>
        <v>86.830203711625103</v>
      </c>
      <c r="H4" s="130">
        <f>IF(SER_hh_tesh_in!H4=0,0,SER_hh_tesh_in!H4/SER_summary!H$27)</f>
        <v>100.62171747420909</v>
      </c>
      <c r="I4" s="130">
        <f>IF(SER_hh_tesh_in!I4=0,0,SER_hh_tesh_in!I4/SER_summary!I$27)</f>
        <v>80.982735632423385</v>
      </c>
      <c r="J4" s="130">
        <f>IF(SER_hh_tesh_in!J4=0,0,SER_hh_tesh_in!J4/SER_summary!J$27)</f>
        <v>91.136174246583195</v>
      </c>
      <c r="K4" s="130">
        <f>IF(SER_hh_tesh_in!K4=0,0,SER_hh_tesh_in!K4/SER_summary!K$27)</f>
        <v>86.796632089706321</v>
      </c>
      <c r="L4" s="130">
        <f>IF(SER_hh_tesh_in!L4=0,0,SER_hh_tesh_in!L4/SER_summary!L$27)</f>
        <v>98.389219526749969</v>
      </c>
      <c r="M4" s="130">
        <f>IF(SER_hh_tesh_in!M4=0,0,SER_hh_tesh_in!M4/SER_summary!M$27)</f>
        <v>86.250115185306285</v>
      </c>
      <c r="N4" s="130">
        <f>IF(SER_hh_tesh_in!N4=0,0,SER_hh_tesh_in!N4/SER_summary!N$27)</f>
        <v>81.796122665361239</v>
      </c>
      <c r="O4" s="130">
        <f>IF(SER_hh_tesh_in!O4=0,0,SER_hh_tesh_in!O4/SER_summary!O$27)</f>
        <v>74.90199853065586</v>
      </c>
      <c r="P4" s="130">
        <f>IF(SER_hh_tesh_in!P4=0,0,SER_hh_tesh_in!P4/SER_summary!P$27)</f>
        <v>64.463424075667035</v>
      </c>
      <c r="Q4" s="130">
        <f>IF(SER_hh_tesh_in!Q4=0,0,SER_hh_tesh_in!Q4/SER_summary!Q$27)</f>
        <v>60.577702051347458</v>
      </c>
      <c r="R4" s="130">
        <f>IF(SER_hh_tesh_in!R4=0,0,SER_hh_tesh_in!R4/SER_summary!R$27)</f>
        <v>65.944241033376684</v>
      </c>
      <c r="S4" s="130">
        <f>IF(SER_hh_tesh_in!S4=0,0,SER_hh_tesh_in!S4/SER_summary!S$27)</f>
        <v>58.748281886002481</v>
      </c>
      <c r="T4" s="130">
        <f>IF(SER_hh_tesh_in!T4=0,0,SER_hh_tesh_in!T4/SER_summary!T$27)</f>
        <v>53.476109927168572</v>
      </c>
      <c r="U4" s="130">
        <f>IF(SER_hh_tesh_in!U4=0,0,SER_hh_tesh_in!U4/SER_summary!U$27)</f>
        <v>48.978177437402813</v>
      </c>
      <c r="V4" s="130">
        <f>IF(SER_hh_tesh_in!V4=0,0,SER_hh_tesh_in!V4/SER_summary!V$27)</f>
        <v>44.060428871608849</v>
      </c>
      <c r="W4" s="130">
        <f>IF(SER_hh_tesh_in!W4=0,0,SER_hh_tesh_in!W4/SER_summary!W$27)</f>
        <v>43.360060356149411</v>
      </c>
      <c r="X4" s="130">
        <f>IF(SER_hh_tesh_in!X4=0,0,SER_hh_tesh_in!X4/SER_summary!X$27)</f>
        <v>37.34075436980828</v>
      </c>
      <c r="Y4" s="130">
        <f>IF(SER_hh_tesh_in!Y4=0,0,SER_hh_tesh_in!Y4/SER_summary!Y$27)</f>
        <v>39.558758720063992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58.481449739132508</v>
      </c>
      <c r="D5" s="132">
        <f>IF(SER_hh_tesh_in!D5=0,0,SER_hh_tesh_in!D5/SER_summary!D$27)</f>
        <v>96.584727338800548</v>
      </c>
      <c r="E5" s="132">
        <f>IF(SER_hh_tesh_in!E5=0,0,SER_hh_tesh_in!E5/SER_summary!E$27)</f>
        <v>93.25395677661173</v>
      </c>
      <c r="F5" s="132">
        <f>IF(SER_hh_tesh_in!F5=0,0,SER_hh_tesh_in!F5/SER_summary!F$27)</f>
        <v>87.661203952080541</v>
      </c>
      <c r="G5" s="132">
        <f>IF(SER_hh_tesh_in!G5=0,0,SER_hh_tesh_in!G5/SER_summary!G$27)</f>
        <v>85.866490969310277</v>
      </c>
      <c r="H5" s="132">
        <f>IF(SER_hh_tesh_in!H5=0,0,SER_hh_tesh_in!H5/SER_summary!H$27)</f>
        <v>97.387319498222567</v>
      </c>
      <c r="I5" s="132">
        <f>IF(SER_hh_tesh_in!I5=0,0,SER_hh_tesh_in!I5/SER_summary!I$27)</f>
        <v>80.023749356513562</v>
      </c>
      <c r="J5" s="132">
        <f>IF(SER_hh_tesh_in!J5=0,0,SER_hh_tesh_in!J5/SER_summary!J$27)</f>
        <v>86.354942318365616</v>
      </c>
      <c r="K5" s="132">
        <f>IF(SER_hh_tesh_in!K5=0,0,SER_hh_tesh_in!K5/SER_summary!K$27)</f>
        <v>89.21201909542782</v>
      </c>
      <c r="L5" s="132">
        <f>IF(SER_hh_tesh_in!L5=0,0,SER_hh_tesh_in!L5/SER_summary!L$27)</f>
        <v>98.127549617700737</v>
      </c>
      <c r="M5" s="132">
        <f>IF(SER_hh_tesh_in!M5=0,0,SER_hh_tesh_in!M5/SER_summary!M$27)</f>
        <v>83.471358327230959</v>
      </c>
      <c r="N5" s="132">
        <f>IF(SER_hh_tesh_in!N5=0,0,SER_hh_tesh_in!N5/SER_summary!N$27)</f>
        <v>82.19679387554028</v>
      </c>
      <c r="O5" s="132">
        <f>IF(SER_hh_tesh_in!O5=0,0,SER_hh_tesh_in!O5/SER_summary!O$27)</f>
        <v>74.177406698879238</v>
      </c>
      <c r="P5" s="132">
        <f>IF(SER_hh_tesh_in!P5=0,0,SER_hh_tesh_in!P5/SER_summary!P$27)</f>
        <v>63.917274652531397</v>
      </c>
      <c r="Q5" s="132">
        <f>IF(SER_hh_tesh_in!Q5=0,0,SER_hh_tesh_in!Q5/SER_summary!Q$27)</f>
        <v>60.338817953342939</v>
      </c>
      <c r="R5" s="132">
        <f>IF(SER_hh_tesh_in!R5=0,0,SER_hh_tesh_in!R5/SER_summary!R$27)</f>
        <v>62.013838920706498</v>
      </c>
      <c r="S5" s="132">
        <f>IF(SER_hh_tesh_in!S5=0,0,SER_hh_tesh_in!S5/SER_summary!S$27)</f>
        <v>59.647305496453868</v>
      </c>
      <c r="T5" s="132">
        <f>IF(SER_hh_tesh_in!T5=0,0,SER_hh_tesh_in!T5/SER_summary!T$27)</f>
        <v>54.359706645375141</v>
      </c>
      <c r="U5" s="132">
        <f>IF(SER_hh_tesh_in!U5=0,0,SER_hh_tesh_in!U5/SER_summary!U$27)</f>
        <v>43.200097560811713</v>
      </c>
      <c r="V5" s="132">
        <f>IF(SER_hh_tesh_in!V5=0,0,SER_hh_tesh_in!V5/SER_summary!V$27)</f>
        <v>43.568211709705963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84.106733862641789</v>
      </c>
      <c r="D7" s="132">
        <f>IF(SER_hh_tesh_in!D7=0,0,SER_hh_tesh_in!D7/SER_summary!D$27)</f>
        <v>90.271642958884755</v>
      </c>
      <c r="E7" s="132">
        <f>IF(SER_hh_tesh_in!E7=0,0,SER_hh_tesh_in!E7/SER_summary!E$27)</f>
        <v>90.436302659220914</v>
      </c>
      <c r="F7" s="132">
        <f>IF(SER_hh_tesh_in!F7=0,0,SER_hh_tesh_in!F7/SER_summary!F$27)</f>
        <v>84.028445923571468</v>
      </c>
      <c r="G7" s="132">
        <f>IF(SER_hh_tesh_in!G7=0,0,SER_hh_tesh_in!G7/SER_summary!G$27)</f>
        <v>65.465665465381463</v>
      </c>
      <c r="H7" s="132">
        <f>IF(SER_hh_tesh_in!H7=0,0,SER_hh_tesh_in!H7/SER_summary!H$27)</f>
        <v>102.79324422613801</v>
      </c>
      <c r="I7" s="132">
        <f>IF(SER_hh_tesh_in!I7=0,0,SER_hh_tesh_in!I7/SER_summary!I$27)</f>
        <v>89.891330457151909</v>
      </c>
      <c r="J7" s="132">
        <f>IF(SER_hh_tesh_in!J7=0,0,SER_hh_tesh_in!J7/SER_summary!J$27)</f>
        <v>86.984807407051477</v>
      </c>
      <c r="K7" s="132">
        <f>IF(SER_hh_tesh_in!K7=0,0,SER_hh_tesh_in!K7/SER_summary!K$27)</f>
        <v>80.996788774349184</v>
      </c>
      <c r="L7" s="132">
        <f>IF(SER_hh_tesh_in!L7=0,0,SER_hh_tesh_in!L7/SER_summary!L$27)</f>
        <v>101.38698568283016</v>
      </c>
      <c r="M7" s="132">
        <f>IF(SER_hh_tesh_in!M7=0,0,SER_hh_tesh_in!M7/SER_summary!M$27)</f>
        <v>95.775072137442706</v>
      </c>
      <c r="N7" s="132">
        <f>IF(SER_hh_tesh_in!N7=0,0,SER_hh_tesh_in!N7/SER_summary!N$27)</f>
        <v>0</v>
      </c>
      <c r="O7" s="132">
        <f>IF(SER_hh_tesh_in!O7=0,0,SER_hh_tesh_in!O7/SER_summary!O$27)</f>
        <v>0</v>
      </c>
      <c r="P7" s="132">
        <f>IF(SER_hh_tesh_in!P7=0,0,SER_hh_tesh_in!P7/SER_summary!P$27)</f>
        <v>0</v>
      </c>
      <c r="Q7" s="132">
        <f>IF(SER_hh_tesh_in!Q7=0,0,SER_hh_tesh_in!Q7/SER_summary!Q$27)</f>
        <v>60.794850353652087</v>
      </c>
      <c r="R7" s="132">
        <f>IF(SER_hh_tesh_in!R7=0,0,SER_hh_tesh_in!R7/SER_summary!R$27)</f>
        <v>58.783982609883026</v>
      </c>
      <c r="S7" s="132">
        <f>IF(SER_hh_tesh_in!S7=0,0,SER_hh_tesh_in!S7/SER_summary!S$27)</f>
        <v>56.87058179168622</v>
      </c>
      <c r="T7" s="132">
        <f>IF(SER_hh_tesh_in!T7=0,0,SER_hh_tesh_in!T7/SER_summary!T$27)</f>
        <v>55.521540278838629</v>
      </c>
      <c r="U7" s="132">
        <f>IF(SER_hh_tesh_in!U7=0,0,SER_hh_tesh_in!U7/SER_summary!U$27)</f>
        <v>46.136040401903628</v>
      </c>
      <c r="V7" s="132">
        <f>IF(SER_hh_tesh_in!V7=0,0,SER_hh_tesh_in!V7/SER_summary!V$27)</f>
        <v>44.438348516037948</v>
      </c>
      <c r="W7" s="132">
        <f>IF(SER_hh_tesh_in!W7=0,0,SER_hh_tesh_in!W7/SER_summary!W$27)</f>
        <v>45.339762146884532</v>
      </c>
      <c r="X7" s="132">
        <f>IF(SER_hh_tesh_in!X7=0,0,SER_hh_tesh_in!X7/SER_summary!X$27)</f>
        <v>39.341247350867803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80.816187377033103</v>
      </c>
      <c r="D8" s="132">
        <f>IF(SER_hh_tesh_in!D8=0,0,SER_hh_tesh_in!D8/SER_summary!D$27)</f>
        <v>85.371880369616292</v>
      </c>
      <c r="E8" s="132">
        <f>IF(SER_hh_tesh_in!E8=0,0,SER_hh_tesh_in!E8/SER_summary!E$27)</f>
        <v>90.842922773701204</v>
      </c>
      <c r="F8" s="132">
        <f>IF(SER_hh_tesh_in!F8=0,0,SER_hh_tesh_in!F8/SER_summary!F$27)</f>
        <v>90.385259490960166</v>
      </c>
      <c r="G8" s="132">
        <f>IF(SER_hh_tesh_in!G8=0,0,SER_hh_tesh_in!G8/SER_summary!G$27)</f>
        <v>89.751967533220053</v>
      </c>
      <c r="H8" s="132">
        <f>IF(SER_hh_tesh_in!H8=0,0,SER_hh_tesh_in!H8/SER_summary!H$27)</f>
        <v>88.418221024370538</v>
      </c>
      <c r="I8" s="132">
        <f>IF(SER_hh_tesh_in!I8=0,0,SER_hh_tesh_in!I8/SER_summary!I$27)</f>
        <v>86.439522174839453</v>
      </c>
      <c r="J8" s="132">
        <f>IF(SER_hh_tesh_in!J8=0,0,SER_hh_tesh_in!J8/SER_summary!J$27)</f>
        <v>89.74834489184326</v>
      </c>
      <c r="K8" s="132">
        <f>IF(SER_hh_tesh_in!K8=0,0,SER_hh_tesh_in!K8/SER_summary!K$27)</f>
        <v>93.894973765812054</v>
      </c>
      <c r="L8" s="132">
        <f>IF(SER_hh_tesh_in!L8=0,0,SER_hh_tesh_in!L8/SER_summary!L$27)</f>
        <v>92.894464569483944</v>
      </c>
      <c r="M8" s="132">
        <f>IF(SER_hh_tesh_in!M8=0,0,SER_hh_tesh_in!M8/SER_summary!M$27)</f>
        <v>79.217444439575885</v>
      </c>
      <c r="N8" s="132">
        <f>IF(SER_hh_tesh_in!N8=0,0,SER_hh_tesh_in!N8/SER_summary!N$27)</f>
        <v>77.71220128857729</v>
      </c>
      <c r="O8" s="132">
        <f>IF(SER_hh_tesh_in!O8=0,0,SER_hh_tesh_in!O8/SER_summary!O$27)</f>
        <v>64.891254342167656</v>
      </c>
      <c r="P8" s="132">
        <f>IF(SER_hh_tesh_in!P8=0,0,SER_hh_tesh_in!P8/SER_summary!P$27)</f>
        <v>71.747084051239099</v>
      </c>
      <c r="Q8" s="132">
        <f>IF(SER_hh_tesh_in!Q8=0,0,SER_hh_tesh_in!Q8/SER_summary!Q$27)</f>
        <v>66.48337043525207</v>
      </c>
      <c r="R8" s="132">
        <f>IF(SER_hh_tesh_in!R8=0,0,SER_hh_tesh_in!R8/SER_summary!R$27)</f>
        <v>64.750746993544354</v>
      </c>
      <c r="S8" s="132">
        <f>IF(SER_hh_tesh_in!S8=0,0,SER_hh_tesh_in!S8/SER_summary!S$27)</f>
        <v>56.602059864178564</v>
      </c>
      <c r="T8" s="132">
        <f>IF(SER_hh_tesh_in!T8=0,0,SER_hh_tesh_in!T8/SER_summary!T$27)</f>
        <v>51.475646515318338</v>
      </c>
      <c r="U8" s="132">
        <f>IF(SER_hh_tesh_in!U8=0,0,SER_hh_tesh_in!U8/SER_summary!U$27)</f>
        <v>47.652193706241043</v>
      </c>
      <c r="V8" s="132">
        <f>IF(SER_hh_tesh_in!V8=0,0,SER_hh_tesh_in!V8/SER_summary!V$27)</f>
        <v>44.772825321292807</v>
      </c>
      <c r="W8" s="132">
        <f>IF(SER_hh_tesh_in!W8=0,0,SER_hh_tesh_in!W8/SER_summary!W$27)</f>
        <v>43.042100604785958</v>
      </c>
      <c r="X8" s="132">
        <f>IF(SER_hh_tesh_in!X8=0,0,SER_hh_tesh_in!X8/SER_summary!X$27)</f>
        <v>36.732295488243082</v>
      </c>
      <c r="Y8" s="132">
        <f>IF(SER_hh_tesh_in!Y8=0,0,SER_hh_tesh_in!Y8/SER_summary!Y$27)</f>
        <v>40.927783150784954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81.094138828685999</v>
      </c>
      <c r="D9" s="132">
        <f>IF(SER_hh_tesh_in!D9=0,0,SER_hh_tesh_in!D9/SER_summary!D$27)</f>
        <v>90.536625328640042</v>
      </c>
      <c r="E9" s="132">
        <f>IF(SER_hh_tesh_in!E9=0,0,SER_hh_tesh_in!E9/SER_summary!E$27)</f>
        <v>91.191905941907279</v>
      </c>
      <c r="F9" s="132">
        <f>IF(SER_hh_tesh_in!F9=0,0,SER_hh_tesh_in!F9/SER_summary!F$27)</f>
        <v>93.349180597489053</v>
      </c>
      <c r="G9" s="132">
        <f>IF(SER_hh_tesh_in!G9=0,0,SER_hh_tesh_in!G9/SER_summary!G$27)</f>
        <v>92.184625939930044</v>
      </c>
      <c r="H9" s="132">
        <f>IF(SER_hh_tesh_in!H9=0,0,SER_hh_tesh_in!H9/SER_summary!H$27)</f>
        <v>84.656107240471542</v>
      </c>
      <c r="I9" s="132">
        <f>IF(SER_hh_tesh_in!I9=0,0,SER_hh_tesh_in!I9/SER_summary!I$27)</f>
        <v>83.841450919672425</v>
      </c>
      <c r="J9" s="132">
        <f>IF(SER_hh_tesh_in!J9=0,0,SER_hh_tesh_in!J9/SER_summary!J$27)</f>
        <v>85.836006241434646</v>
      </c>
      <c r="K9" s="132">
        <f>IF(SER_hh_tesh_in!K9=0,0,SER_hh_tesh_in!K9/SER_summary!K$27)</f>
        <v>85.391056527460449</v>
      </c>
      <c r="L9" s="132">
        <f>IF(SER_hh_tesh_in!L9=0,0,SER_hh_tesh_in!L9/SER_summary!L$27)</f>
        <v>97.044809680019554</v>
      </c>
      <c r="M9" s="132">
        <f>IF(SER_hh_tesh_in!M9=0,0,SER_hh_tesh_in!M9/SER_summary!M$27)</f>
        <v>82.813807020733009</v>
      </c>
      <c r="N9" s="132">
        <f>IF(SER_hh_tesh_in!N9=0,0,SER_hh_tesh_in!N9/SER_summary!N$27)</f>
        <v>81.169543708703642</v>
      </c>
      <c r="O9" s="132">
        <f>IF(SER_hh_tesh_in!O9=0,0,SER_hh_tesh_in!O9/SER_summary!O$27)</f>
        <v>74.446141976625242</v>
      </c>
      <c r="P9" s="132">
        <f>IF(SER_hh_tesh_in!P9=0,0,SER_hh_tesh_in!P9/SER_summary!P$27)</f>
        <v>60.000872621139742</v>
      </c>
      <c r="Q9" s="132">
        <f>IF(SER_hh_tesh_in!Q9=0,0,SER_hh_tesh_in!Q9/SER_summary!Q$27)</f>
        <v>62.276955953813257</v>
      </c>
      <c r="R9" s="132">
        <f>IF(SER_hh_tesh_in!R9=0,0,SER_hh_tesh_in!R9/SER_summary!R$27)</f>
        <v>72.027058669915021</v>
      </c>
      <c r="S9" s="132">
        <f>IF(SER_hh_tesh_in!S9=0,0,SER_hh_tesh_in!S9/SER_summary!S$27)</f>
        <v>53.331281965949543</v>
      </c>
      <c r="T9" s="132">
        <f>IF(SER_hh_tesh_in!T9=0,0,SER_hh_tesh_in!T9/SER_summary!T$27)</f>
        <v>49.694592685995559</v>
      </c>
      <c r="U9" s="132">
        <f>IF(SER_hh_tesh_in!U9=0,0,SER_hh_tesh_in!U9/SER_summary!U$27)</f>
        <v>48.860742524572927</v>
      </c>
      <c r="V9" s="132">
        <f>IF(SER_hh_tesh_in!V9=0,0,SER_hh_tesh_in!V9/SER_summary!V$27)</f>
        <v>39.853348729465438</v>
      </c>
      <c r="W9" s="132">
        <f>IF(SER_hh_tesh_in!W9=0,0,SER_hh_tesh_in!W9/SER_summary!W$27)</f>
        <v>45.580486396923185</v>
      </c>
      <c r="X9" s="132">
        <f>IF(SER_hh_tesh_in!X9=0,0,SER_hh_tesh_in!X9/SER_summary!X$27)</f>
        <v>38.979702508835679</v>
      </c>
      <c r="Y9" s="132">
        <f>IF(SER_hh_tesh_in!Y9=0,0,SER_hh_tesh_in!Y9/SER_summary!Y$27)</f>
        <v>35.929524974372129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70.795228638558996</v>
      </c>
      <c r="I10" s="132">
        <f>IF(SER_hh_tesh_in!I10=0,0,SER_hh_tesh_in!I10/SER_summary!I$27)</f>
        <v>84.881383681398233</v>
      </c>
      <c r="J10" s="132">
        <f>IF(SER_hh_tesh_in!J10=0,0,SER_hh_tesh_in!J10/SER_summary!J$27)</f>
        <v>74.879741893687907</v>
      </c>
      <c r="K10" s="132">
        <f>IF(SER_hh_tesh_in!K10=0,0,SER_hh_tesh_in!K10/SER_summary!K$27)</f>
        <v>94.524074066507296</v>
      </c>
      <c r="L10" s="132">
        <f>IF(SER_hh_tesh_in!L10=0,0,SER_hh_tesh_in!L10/SER_summary!L$27)</f>
        <v>99.079612776105236</v>
      </c>
      <c r="M10" s="132">
        <f>IF(SER_hh_tesh_in!M10=0,0,SER_hh_tesh_in!M10/SER_summary!M$27)</f>
        <v>89.064812542055691</v>
      </c>
      <c r="N10" s="132">
        <f>IF(SER_hh_tesh_in!N10=0,0,SER_hh_tesh_in!N10/SER_summary!N$27)</f>
        <v>74.776191374728654</v>
      </c>
      <c r="O10" s="132">
        <f>IF(SER_hh_tesh_in!O10=0,0,SER_hh_tesh_in!O10/SER_summary!O$27)</f>
        <v>78.553565738797474</v>
      </c>
      <c r="P10" s="132">
        <f>IF(SER_hh_tesh_in!P10=0,0,SER_hh_tesh_in!P10/SER_summary!P$27)</f>
        <v>62.930399340226202</v>
      </c>
      <c r="Q10" s="132">
        <f>IF(SER_hh_tesh_in!Q10=0,0,SER_hh_tesh_in!Q10/SER_summary!Q$27)</f>
        <v>61.056973953324977</v>
      </c>
      <c r="R10" s="132">
        <f>IF(SER_hh_tesh_in!R10=0,0,SER_hh_tesh_in!R10/SER_summary!R$27)</f>
        <v>64.302697278299277</v>
      </c>
      <c r="S10" s="132">
        <f>IF(SER_hh_tesh_in!S10=0,0,SER_hh_tesh_in!S10/SER_summary!S$27)</f>
        <v>59.231292490972507</v>
      </c>
      <c r="T10" s="132">
        <f>IF(SER_hh_tesh_in!T10=0,0,SER_hh_tesh_in!T10/SER_summary!T$27)</f>
        <v>52.055458405861962</v>
      </c>
      <c r="U10" s="132">
        <f>IF(SER_hh_tesh_in!U10=0,0,SER_hh_tesh_in!U10/SER_summary!U$27)</f>
        <v>46.188833162181965</v>
      </c>
      <c r="V10" s="132">
        <f>IF(SER_hh_tesh_in!V10=0,0,SER_hh_tesh_in!V10/SER_summary!V$27)</f>
        <v>45.301424625182761</v>
      </c>
      <c r="W10" s="132">
        <f>IF(SER_hh_tesh_in!W10=0,0,SER_hh_tesh_in!W10/SER_summary!W$27)</f>
        <v>44.243794198871761</v>
      </c>
      <c r="X10" s="132">
        <f>IF(SER_hh_tesh_in!X10=0,0,SER_hh_tesh_in!X10/SER_summary!X$27)</f>
        <v>32.049436136551151</v>
      </c>
      <c r="Y10" s="132">
        <f>IF(SER_hh_tesh_in!Y10=0,0,SER_hh_tesh_in!Y10/SER_summary!Y$27)</f>
        <v>38.10844420285401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56.050927789321435</v>
      </c>
      <c r="D11" s="132">
        <f>IF(SER_hh_tesh_in!D11=0,0,SER_hh_tesh_in!D11/SER_summary!D$27)</f>
        <v>93.053032474396772</v>
      </c>
      <c r="E11" s="132">
        <f>IF(SER_hh_tesh_in!E11=0,0,SER_hh_tesh_in!E11/SER_summary!E$27)</f>
        <v>98.545825341966818</v>
      </c>
      <c r="F11" s="132">
        <f>IF(SER_hh_tesh_in!F11=0,0,SER_hh_tesh_in!F11/SER_summary!F$27)</f>
        <v>85.041619889822357</v>
      </c>
      <c r="G11" s="132">
        <f>IF(SER_hh_tesh_in!G11=0,0,SER_hh_tesh_in!G11/SER_summary!G$27)</f>
        <v>95.146779829885133</v>
      </c>
      <c r="H11" s="132">
        <f>IF(SER_hh_tesh_in!H11=0,0,SER_hh_tesh_in!H11/SER_summary!H$27)</f>
        <v>96.536528111107486</v>
      </c>
      <c r="I11" s="132">
        <f>IF(SER_hh_tesh_in!I11=0,0,SER_hh_tesh_in!I11/SER_summary!I$27)</f>
        <v>70.679452551095579</v>
      </c>
      <c r="J11" s="132">
        <f>IF(SER_hh_tesh_in!J11=0,0,SER_hh_tesh_in!J11/SER_summary!J$27)</f>
        <v>98.038732971921647</v>
      </c>
      <c r="K11" s="132">
        <f>IF(SER_hh_tesh_in!K11=0,0,SER_hh_tesh_in!K11/SER_summary!K$27)</f>
        <v>100.0229446181385</v>
      </c>
      <c r="L11" s="132">
        <f>IF(SER_hh_tesh_in!L11=0,0,SER_hh_tesh_in!L11/SER_summary!L$27)</f>
        <v>88.381951446272481</v>
      </c>
      <c r="M11" s="132">
        <f>IF(SER_hh_tesh_in!M11=0,0,SER_hh_tesh_in!M11/SER_summary!M$27)</f>
        <v>65.358170992730336</v>
      </c>
      <c r="N11" s="132">
        <f>IF(SER_hh_tesh_in!N11=0,0,SER_hh_tesh_in!N11/SER_summary!N$27)</f>
        <v>74.106624525204893</v>
      </c>
      <c r="O11" s="132">
        <f>IF(SER_hh_tesh_in!O11=0,0,SER_hh_tesh_in!O11/SER_summary!O$27)</f>
        <v>78.408216753013036</v>
      </c>
      <c r="P11" s="132">
        <f>IF(SER_hh_tesh_in!P11=0,0,SER_hh_tesh_in!P11/SER_summary!P$27)</f>
        <v>72.088712632778766</v>
      </c>
      <c r="Q11" s="132">
        <f>IF(SER_hh_tesh_in!Q11=0,0,SER_hh_tesh_in!Q11/SER_summary!Q$27)</f>
        <v>64.840230917595861</v>
      </c>
      <c r="R11" s="132">
        <f>IF(SER_hh_tesh_in!R11=0,0,SER_hh_tesh_in!R11/SER_summary!R$27)</f>
        <v>60.063404659616189</v>
      </c>
      <c r="S11" s="132">
        <f>IF(SER_hh_tesh_in!S11=0,0,SER_hh_tesh_in!S11/SER_summary!S$27)</f>
        <v>56.878837702720354</v>
      </c>
      <c r="T11" s="132">
        <f>IF(SER_hh_tesh_in!T11=0,0,SER_hh_tesh_in!T11/SER_summary!T$27)</f>
        <v>53.553737612506389</v>
      </c>
      <c r="U11" s="132">
        <f>IF(SER_hh_tesh_in!U11=0,0,SER_hh_tesh_in!U11/SER_summary!U$27)</f>
        <v>49.980073427371053</v>
      </c>
      <c r="V11" s="132">
        <f>IF(SER_hh_tesh_in!V11=0,0,SER_hh_tesh_in!V11/SER_summary!V$27)</f>
        <v>45.035203956551435</v>
      </c>
      <c r="W11" s="132">
        <f>IF(SER_hh_tesh_in!W11=0,0,SER_hh_tesh_in!W11/SER_summary!W$27)</f>
        <v>39.976223590659188</v>
      </c>
      <c r="X11" s="132">
        <f>IF(SER_hh_tesh_in!X11=0,0,SER_hh_tesh_in!X11/SER_summary!X$27)</f>
        <v>38.276021692268358</v>
      </c>
      <c r="Y11" s="132">
        <f>IF(SER_hh_tesh_in!Y11=0,0,SER_hh_tesh_in!Y11/SER_summary!Y$27)</f>
        <v>38.123620792248872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77.473189209476743</v>
      </c>
      <c r="D12" s="132">
        <f>IF(SER_hh_tesh_in!D12=0,0,SER_hh_tesh_in!D12/SER_summary!D$27)</f>
        <v>90.814861007370212</v>
      </c>
      <c r="E12" s="132">
        <f>IF(SER_hh_tesh_in!E12=0,0,SER_hh_tesh_in!E12/SER_summary!E$27)</f>
        <v>77.096678336836789</v>
      </c>
      <c r="F12" s="132">
        <f>IF(SER_hh_tesh_in!F12=0,0,SER_hh_tesh_in!F12/SER_summary!F$27)</f>
        <v>101.75049156702457</v>
      </c>
      <c r="G12" s="132">
        <f>IF(SER_hh_tesh_in!G12=0,0,SER_hh_tesh_in!G12/SER_summary!G$27)</f>
        <v>86.712883308440766</v>
      </c>
      <c r="H12" s="132">
        <f>IF(SER_hh_tesh_in!H12=0,0,SER_hh_tesh_in!H12/SER_summary!H$27)</f>
        <v>105.18209357560561</v>
      </c>
      <c r="I12" s="132">
        <f>IF(SER_hh_tesh_in!I12=0,0,SER_hh_tesh_in!I12/SER_summary!I$27)</f>
        <v>68.950703798296914</v>
      </c>
      <c r="J12" s="132">
        <f>IF(SER_hh_tesh_in!J12=0,0,SER_hh_tesh_in!J12/SER_summary!J$27)</f>
        <v>96.853904140965696</v>
      </c>
      <c r="K12" s="132">
        <f>IF(SER_hh_tesh_in!K12=0,0,SER_hh_tesh_in!K12/SER_summary!K$27)</f>
        <v>89.028402463269089</v>
      </c>
      <c r="L12" s="132">
        <f>IF(SER_hh_tesh_in!L12=0,0,SER_hh_tesh_in!L12/SER_summary!L$27)</f>
        <v>96.717024405155541</v>
      </c>
      <c r="M12" s="132">
        <f>IF(SER_hh_tesh_in!M12=0,0,SER_hh_tesh_in!M12/SER_summary!M$27)</f>
        <v>80.696994071007794</v>
      </c>
      <c r="N12" s="132">
        <f>IF(SER_hh_tesh_in!N12=0,0,SER_hh_tesh_in!N12/SER_summary!N$27)</f>
        <v>78.07355908748066</v>
      </c>
      <c r="O12" s="132">
        <f>IF(SER_hh_tesh_in!O12=0,0,SER_hh_tesh_in!O12/SER_summary!O$27)</f>
        <v>77.879941578049497</v>
      </c>
      <c r="P12" s="132">
        <f>IF(SER_hh_tesh_in!P12=0,0,SER_hh_tesh_in!P12/SER_summary!P$27)</f>
        <v>64.752632951269788</v>
      </c>
      <c r="Q12" s="132">
        <f>IF(SER_hh_tesh_in!Q12=0,0,SER_hh_tesh_in!Q12/SER_summary!Q$27)</f>
        <v>56.770554342760221</v>
      </c>
      <c r="R12" s="132">
        <f>IF(SER_hh_tesh_in!R12=0,0,SER_hh_tesh_in!R12/SER_summary!R$27)</f>
        <v>64.188988500748579</v>
      </c>
      <c r="S12" s="132">
        <f>IF(SER_hh_tesh_in!S12=0,0,SER_hh_tesh_in!S12/SER_summary!S$27)</f>
        <v>62.090081236427807</v>
      </c>
      <c r="T12" s="132">
        <f>IF(SER_hh_tesh_in!T12=0,0,SER_hh_tesh_in!T12/SER_summary!T$27)</f>
        <v>50.179787325651247</v>
      </c>
      <c r="U12" s="132">
        <f>IF(SER_hh_tesh_in!U12=0,0,SER_hh_tesh_in!U12/SER_summary!U$27)</f>
        <v>49.759578218461222</v>
      </c>
      <c r="V12" s="132">
        <f>IF(SER_hh_tesh_in!V12=0,0,SER_hh_tesh_in!V12/SER_summary!V$27)</f>
        <v>47.812117202745689</v>
      </c>
      <c r="W12" s="132">
        <f>IF(SER_hh_tesh_in!W12=0,0,SER_hh_tesh_in!W12/SER_summary!W$27)</f>
        <v>37.034532037932266</v>
      </c>
      <c r="X12" s="132">
        <f>IF(SER_hh_tesh_in!X12=0,0,SER_hh_tesh_in!X12/SER_summary!X$27)</f>
        <v>39.251070553037451</v>
      </c>
      <c r="Y12" s="132">
        <f>IF(SER_hh_tesh_in!Y12=0,0,SER_hh_tesh_in!Y12/SER_summary!Y$27)</f>
        <v>35.410696398421777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84.165239979788637</v>
      </c>
      <c r="D13" s="132">
        <f>IF(SER_hh_tesh_in!D13=0,0,SER_hh_tesh_in!D13/SER_summary!D$27)</f>
        <v>76.596334236917826</v>
      </c>
      <c r="E13" s="132">
        <f>IF(SER_hh_tesh_in!E13=0,0,SER_hh_tesh_in!E13/SER_summary!E$27)</f>
        <v>86.535683233842235</v>
      </c>
      <c r="F13" s="132">
        <f>IF(SER_hh_tesh_in!F13=0,0,SER_hh_tesh_in!F13/SER_summary!F$27)</f>
        <v>79.520378215617853</v>
      </c>
      <c r="G13" s="132">
        <f>IF(SER_hh_tesh_in!G13=0,0,SER_hh_tesh_in!G13/SER_summary!G$27)</f>
        <v>88.25126077226831</v>
      </c>
      <c r="H13" s="132">
        <f>IF(SER_hh_tesh_in!H13=0,0,SER_hh_tesh_in!H13/SER_summary!H$27)</f>
        <v>91.60981251117785</v>
      </c>
      <c r="I13" s="132">
        <f>IF(SER_hh_tesh_in!I13=0,0,SER_hh_tesh_in!I13/SER_summary!I$27)</f>
        <v>89.299248478739415</v>
      </c>
      <c r="J13" s="132">
        <f>IF(SER_hh_tesh_in!J13=0,0,SER_hh_tesh_in!J13/SER_summary!J$27)</f>
        <v>92.031197102056339</v>
      </c>
      <c r="K13" s="132">
        <f>IF(SER_hh_tesh_in!K13=0,0,SER_hh_tesh_in!K13/SER_summary!K$27)</f>
        <v>93.410418058705773</v>
      </c>
      <c r="L13" s="132">
        <f>IF(SER_hh_tesh_in!L13=0,0,SER_hh_tesh_in!L13/SER_summary!L$27)</f>
        <v>90.527045347397362</v>
      </c>
      <c r="M13" s="132">
        <f>IF(SER_hh_tesh_in!M13=0,0,SER_hh_tesh_in!M13/SER_summary!M$27)</f>
        <v>83.876955526762714</v>
      </c>
      <c r="N13" s="132">
        <f>IF(SER_hh_tesh_in!N13=0,0,SER_hh_tesh_in!N13/SER_summary!N$27)</f>
        <v>77.464565578197579</v>
      </c>
      <c r="O13" s="132">
        <f>IF(SER_hh_tesh_in!O13=0,0,SER_hh_tesh_in!O13/SER_summary!O$27)</f>
        <v>63.896402918249294</v>
      </c>
      <c r="P13" s="132">
        <f>IF(SER_hh_tesh_in!P13=0,0,SER_hh_tesh_in!P13/SER_summary!P$27)</f>
        <v>71.27395706852954</v>
      </c>
      <c r="Q13" s="132">
        <f>IF(SER_hh_tesh_in!Q13=0,0,SER_hh_tesh_in!Q13/SER_summary!Q$27)</f>
        <v>66.639322075428524</v>
      </c>
      <c r="R13" s="132">
        <f>IF(SER_hh_tesh_in!R13=0,0,SER_hh_tesh_in!R13/SER_summary!R$27)</f>
        <v>63.365163939089015</v>
      </c>
      <c r="S13" s="132">
        <f>IF(SER_hh_tesh_in!S13=0,0,SER_hh_tesh_in!S13/SER_summary!S$27)</f>
        <v>58.429660406755261</v>
      </c>
      <c r="T13" s="132">
        <f>IF(SER_hh_tesh_in!T13=0,0,SER_hh_tesh_in!T13/SER_summary!T$27)</f>
        <v>52.99946216608484</v>
      </c>
      <c r="U13" s="132">
        <f>IF(SER_hh_tesh_in!U13=0,0,SER_hh_tesh_in!U13/SER_summary!U$27)</f>
        <v>49.23534460692801</v>
      </c>
      <c r="V13" s="132">
        <f>IF(SER_hh_tesh_in!V13=0,0,SER_hh_tesh_in!V13/SER_summary!V$27)</f>
        <v>45.23621082117662</v>
      </c>
      <c r="W13" s="132">
        <f>IF(SER_hh_tesh_in!W13=0,0,SER_hh_tesh_in!W13/SER_summary!W$27)</f>
        <v>42.264878321672647</v>
      </c>
      <c r="X13" s="132">
        <f>IF(SER_hh_tesh_in!X13=0,0,SER_hh_tesh_in!X13/SER_summary!X$27)</f>
        <v>37.817623353939354</v>
      </c>
      <c r="Y13" s="132">
        <f>IF(SER_hh_tesh_in!Y13=0,0,SER_hh_tesh_in!Y13/SER_summary!Y$27)</f>
        <v>39.458639224001928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89.402209015484914</v>
      </c>
      <c r="H14" s="65">
        <f>IF(SER_hh_tesh_in!H14=0,0,SER_hh_tesh_in!H14/SER_summary!H$27)</f>
        <v>100.92943767960733</v>
      </c>
      <c r="I14" s="65">
        <f>IF(SER_hh_tesh_in!I14=0,0,SER_hh_tesh_in!I14/SER_summary!I$27)</f>
        <v>79.697326995371597</v>
      </c>
      <c r="J14" s="65">
        <f>IF(SER_hh_tesh_in!J14=0,0,SER_hh_tesh_in!J14/SER_summary!J$27)</f>
        <v>97.420824370183738</v>
      </c>
      <c r="K14" s="65">
        <f>IF(SER_hh_tesh_in!K14=0,0,SER_hh_tesh_in!K14/SER_summary!K$27)</f>
        <v>79.848659513596218</v>
      </c>
      <c r="L14" s="65">
        <f>IF(SER_hh_tesh_in!L14=0,0,SER_hh_tesh_in!L14/SER_summary!L$27)</f>
        <v>97.185645446449385</v>
      </c>
      <c r="M14" s="65">
        <f>IF(SER_hh_tesh_in!M14=0,0,SER_hh_tesh_in!M14/SER_summary!M$27)</f>
        <v>90.847168354439546</v>
      </c>
      <c r="N14" s="65">
        <f>IF(SER_hh_tesh_in!N14=0,0,SER_hh_tesh_in!N14/SER_summary!N$27)</f>
        <v>84.711038993418256</v>
      </c>
      <c r="O14" s="65">
        <f>IF(SER_hh_tesh_in!O14=0,0,SER_hh_tesh_in!O14/SER_summary!O$27)</f>
        <v>66.711653386650639</v>
      </c>
      <c r="P14" s="65">
        <f>IF(SER_hh_tesh_in!P14=0,0,SER_hh_tesh_in!P14/SER_summary!P$27)</f>
        <v>68.679903155353969</v>
      </c>
      <c r="Q14" s="65">
        <f>IF(SER_hh_tesh_in!Q14=0,0,SER_hh_tesh_in!Q14/SER_summary!Q$27)</f>
        <v>60.184757898944525</v>
      </c>
      <c r="R14" s="65">
        <f>IF(SER_hh_tesh_in!R14=0,0,SER_hh_tesh_in!R14/SER_summary!R$27)</f>
        <v>64.992332883010803</v>
      </c>
      <c r="S14" s="65">
        <f>IF(SER_hh_tesh_in!S14=0,0,SER_hh_tesh_in!S14/SER_summary!S$27)</f>
        <v>54.111311143390978</v>
      </c>
      <c r="T14" s="65">
        <f>IF(SER_hh_tesh_in!T14=0,0,SER_hh_tesh_in!T14/SER_summary!T$27)</f>
        <v>55.799496793987984</v>
      </c>
      <c r="U14" s="65">
        <f>IF(SER_hh_tesh_in!U14=0,0,SER_hh_tesh_in!U14/SER_summary!U$27)</f>
        <v>49.189308676528562</v>
      </c>
      <c r="V14" s="65">
        <f>IF(SER_hh_tesh_in!V14=0,0,SER_hh_tesh_in!V14/SER_summary!V$27)</f>
        <v>43.642764252955111</v>
      </c>
      <c r="W14" s="65">
        <f>IF(SER_hh_tesh_in!W14=0,0,SER_hh_tesh_in!W14/SER_summary!W$27)</f>
        <v>43.058882957989077</v>
      </c>
      <c r="X14" s="65">
        <f>IF(SER_hh_tesh_in!X14=0,0,SER_hh_tesh_in!X14/SER_summary!X$27)</f>
        <v>35.099469975334422</v>
      </c>
      <c r="Y14" s="65">
        <f>IF(SER_hh_tesh_in!Y14=0,0,SER_hh_tesh_in!Y14/SER_summary!Y$27)</f>
        <v>41.137279166194823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1.0284845084109582</v>
      </c>
      <c r="D15" s="134">
        <f>IF(SER_hh_tesh_in!D15=0,0,SER_hh_tesh_in!D15/SER_summary!D$27)</f>
        <v>1.1775548902244553</v>
      </c>
      <c r="E15" s="134">
        <f>IF(SER_hh_tesh_in!E15=0,0,SER_hh_tesh_in!E15/SER_summary!E$27)</f>
        <v>1.1055663704886798</v>
      </c>
      <c r="F15" s="134">
        <f>IF(SER_hh_tesh_in!F15=0,0,SER_hh_tesh_in!F15/SER_summary!F$27)</f>
        <v>0.87315112498176939</v>
      </c>
      <c r="G15" s="134">
        <f>IF(SER_hh_tesh_in!G15=0,0,SER_hh_tesh_in!G15/SER_summary!G$27)</f>
        <v>0.83717812757952836</v>
      </c>
      <c r="H15" s="134">
        <f>IF(SER_hh_tesh_in!H15=0,0,SER_hh_tesh_in!H15/SER_summary!H$27)</f>
        <v>1.0798338514955499</v>
      </c>
      <c r="I15" s="134">
        <f>IF(SER_hh_tesh_in!I15=0,0,SER_hh_tesh_in!I15/SER_summary!I$27)</f>
        <v>1.0067899426908731</v>
      </c>
      <c r="J15" s="134">
        <f>IF(SER_hh_tesh_in!J15=0,0,SER_hh_tesh_in!J15/SER_summary!J$27)</f>
        <v>1.0715701502638018</v>
      </c>
      <c r="K15" s="134">
        <f>IF(SER_hh_tesh_in!K15=0,0,SER_hh_tesh_in!K15/SER_summary!K$27)</f>
        <v>1.0748263085632315</v>
      </c>
      <c r="L15" s="134">
        <f>IF(SER_hh_tesh_in!L15=0,0,SER_hh_tesh_in!L15/SER_summary!L$27)</f>
        <v>1.0142817085754752</v>
      </c>
      <c r="M15" s="134">
        <f>IF(SER_hh_tesh_in!M15=0,0,SER_hh_tesh_in!M15/SER_summary!M$27)</f>
        <v>1.0261753991526641</v>
      </c>
      <c r="N15" s="134">
        <f>IF(SER_hh_tesh_in!N15=0,0,SER_hh_tesh_in!N15/SER_summary!N$27)</f>
        <v>0.85377777003495647</v>
      </c>
      <c r="O15" s="134">
        <f>IF(SER_hh_tesh_in!O15=0,0,SER_hh_tesh_in!O15/SER_summary!O$27)</f>
        <v>0.66746543118325119</v>
      </c>
      <c r="P15" s="134">
        <f>IF(SER_hh_tesh_in!P15=0,0,SER_hh_tesh_in!P15/SER_summary!P$27)</f>
        <v>0.68561256528195103</v>
      </c>
      <c r="Q15" s="134">
        <f>IF(SER_hh_tesh_in!Q15=0,0,SER_hh_tesh_in!Q15/SER_summary!Q$27)</f>
        <v>0.63324511684665541</v>
      </c>
      <c r="R15" s="134">
        <f>IF(SER_hh_tesh_in!R15=0,0,SER_hh_tesh_in!R15/SER_summary!R$27)</f>
        <v>0.61119205332206261</v>
      </c>
      <c r="S15" s="134">
        <f>IF(SER_hh_tesh_in!S15=0,0,SER_hh_tesh_in!S15/SER_summary!S$27)</f>
        <v>0.44972250650122375</v>
      </c>
      <c r="T15" s="134">
        <f>IF(SER_hh_tesh_in!T15=0,0,SER_hh_tesh_in!T15/SER_summary!T$27)</f>
        <v>0.44696733362275415</v>
      </c>
      <c r="U15" s="134">
        <f>IF(SER_hh_tesh_in!U15=0,0,SER_hh_tesh_in!U15/SER_summary!U$27)</f>
        <v>0.45616115324763395</v>
      </c>
      <c r="V15" s="134">
        <f>IF(SER_hh_tesh_in!V15=0,0,SER_hh_tesh_in!V15/SER_summary!V$27)</f>
        <v>0.44804705980650089</v>
      </c>
      <c r="W15" s="134">
        <f>IF(SER_hh_tesh_in!W15=0,0,SER_hh_tesh_in!W15/SER_summary!W$27)</f>
        <v>0.54724058086827343</v>
      </c>
      <c r="X15" s="134">
        <f>IF(SER_hh_tesh_in!X15=0,0,SER_hh_tesh_in!X15/SER_summary!X$27)</f>
        <v>0.49381397051349174</v>
      </c>
      <c r="Y15" s="134">
        <f>IF(SER_hh_tesh_in!Y15=0,0,SER_hh_tesh_in!Y15/SER_summary!Y$27)</f>
        <v>0.45734356470833576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28.009630336786181</v>
      </c>
      <c r="D16" s="130">
        <f>IF(SER_hh_tesh_in!D16=0,0,SER_hh_tesh_in!D16/SER_summary!D$27)</f>
        <v>28.290161167129529</v>
      </c>
      <c r="E16" s="130">
        <f>IF(SER_hh_tesh_in!E16=0,0,SER_hh_tesh_in!E16/SER_summary!E$27)</f>
        <v>27.630528664644988</v>
      </c>
      <c r="F16" s="130">
        <f>IF(SER_hh_tesh_in!F16=0,0,SER_hh_tesh_in!F16/SER_summary!F$27)</f>
        <v>27.442010454392371</v>
      </c>
      <c r="G16" s="130">
        <f>IF(SER_hh_tesh_in!G16=0,0,SER_hh_tesh_in!G16/SER_summary!G$27)</f>
        <v>27.564558633365429</v>
      </c>
      <c r="H16" s="130">
        <f>IF(SER_hh_tesh_in!H16=0,0,SER_hh_tesh_in!H16/SER_summary!H$27)</f>
        <v>29.037378411798343</v>
      </c>
      <c r="I16" s="130">
        <f>IF(SER_hh_tesh_in!I16=0,0,SER_hh_tesh_in!I16/SER_summary!I$27)</f>
        <v>27.869851371273722</v>
      </c>
      <c r="J16" s="130">
        <f>IF(SER_hh_tesh_in!J16=0,0,SER_hh_tesh_in!J16/SER_summary!J$27)</f>
        <v>27.285738732569616</v>
      </c>
      <c r="K16" s="130">
        <f>IF(SER_hh_tesh_in!K16=0,0,SER_hh_tesh_in!K16/SER_summary!K$27)</f>
        <v>27.105685334481681</v>
      </c>
      <c r="L16" s="130">
        <f>IF(SER_hh_tesh_in!L16=0,0,SER_hh_tesh_in!L16/SER_summary!L$27)</f>
        <v>30.36609179564044</v>
      </c>
      <c r="M16" s="130">
        <f>IF(SER_hh_tesh_in!M16=0,0,SER_hh_tesh_in!M16/SER_summary!M$27)</f>
        <v>26.694429358713766</v>
      </c>
      <c r="N16" s="130">
        <f>IF(SER_hh_tesh_in!N16=0,0,SER_hh_tesh_in!N16/SER_summary!N$27)</f>
        <v>27.779498023005548</v>
      </c>
      <c r="O16" s="130">
        <f>IF(SER_hh_tesh_in!O16=0,0,SER_hh_tesh_in!O16/SER_summary!O$27)</f>
        <v>27.406630598429516</v>
      </c>
      <c r="P16" s="130">
        <f>IF(SER_hh_tesh_in!P16=0,0,SER_hh_tesh_in!P16/SER_summary!P$27)</f>
        <v>26.740365683402317</v>
      </c>
      <c r="Q16" s="130">
        <f>IF(SER_hh_tesh_in!Q16=0,0,SER_hh_tesh_in!Q16/SER_summary!Q$27)</f>
        <v>30.344253588381957</v>
      </c>
      <c r="R16" s="130">
        <f>IF(SER_hh_tesh_in!R16=0,0,SER_hh_tesh_in!R16/SER_summary!R$27)</f>
        <v>26.03541386366776</v>
      </c>
      <c r="S16" s="130">
        <f>IF(SER_hh_tesh_in!S16=0,0,SER_hh_tesh_in!S16/SER_summary!S$27)</f>
        <v>25.944407661246927</v>
      </c>
      <c r="T16" s="130">
        <f>IF(SER_hh_tesh_in!T16=0,0,SER_hh_tesh_in!T16/SER_summary!T$27)</f>
        <v>26.367959567665206</v>
      </c>
      <c r="U16" s="130">
        <f>IF(SER_hh_tesh_in!U16=0,0,SER_hh_tesh_in!U16/SER_summary!U$27)</f>
        <v>28.117062422704997</v>
      </c>
      <c r="V16" s="130">
        <f>IF(SER_hh_tesh_in!V16=0,0,SER_hh_tesh_in!V16/SER_summary!V$27)</f>
        <v>23.724421238098053</v>
      </c>
      <c r="W16" s="130">
        <f>IF(SER_hh_tesh_in!W16=0,0,SER_hh_tesh_in!W16/SER_summary!W$27)</f>
        <v>23.547331872035564</v>
      </c>
      <c r="X16" s="130">
        <f>IF(SER_hh_tesh_in!X16=0,0,SER_hh_tesh_in!X16/SER_summary!X$27)</f>
        <v>24.589277462621666</v>
      </c>
      <c r="Y16" s="130">
        <f>IF(SER_hh_tesh_in!Y16=0,0,SER_hh_tesh_in!Y16/SER_summary!Y$27)</f>
        <v>24.738203912865277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28.015784978176477</v>
      </c>
      <c r="D17" s="132">
        <f>IF(SER_hh_tesh_in!D17=0,0,SER_hh_tesh_in!D17/SER_summary!D$27)</f>
        <v>28.315163992853677</v>
      </c>
      <c r="E17" s="132">
        <f>IF(SER_hh_tesh_in!E17=0,0,SER_hh_tesh_in!E17/SER_summary!E$27)</f>
        <v>27.679072477484674</v>
      </c>
      <c r="F17" s="132">
        <f>IF(SER_hh_tesh_in!F17=0,0,SER_hh_tesh_in!F17/SER_summary!F$27)</f>
        <v>27.541260380267694</v>
      </c>
      <c r="G17" s="132">
        <f>IF(SER_hh_tesh_in!G17=0,0,SER_hh_tesh_in!G17/SER_summary!G$27)</f>
        <v>27.679481542815768</v>
      </c>
      <c r="H17" s="132">
        <f>IF(SER_hh_tesh_in!H17=0,0,SER_hh_tesh_in!H17/SER_summary!H$27)</f>
        <v>29.110687767545713</v>
      </c>
      <c r="I17" s="132">
        <f>IF(SER_hh_tesh_in!I17=0,0,SER_hh_tesh_in!I17/SER_summary!I$27)</f>
        <v>27.945853415457442</v>
      </c>
      <c r="J17" s="132">
        <f>IF(SER_hh_tesh_in!J17=0,0,SER_hh_tesh_in!J17/SER_summary!J$27)</f>
        <v>27.302074760624571</v>
      </c>
      <c r="K17" s="132">
        <f>IF(SER_hh_tesh_in!K17=0,0,SER_hh_tesh_in!K17/SER_summary!K$27)</f>
        <v>27.140593816425906</v>
      </c>
      <c r="L17" s="132">
        <f>IF(SER_hh_tesh_in!L17=0,0,SER_hh_tesh_in!L17/SER_summary!L$27)</f>
        <v>30.376985825678709</v>
      </c>
      <c r="M17" s="132">
        <f>IF(SER_hh_tesh_in!M17=0,0,SER_hh_tesh_in!M17/SER_summary!M$27)</f>
        <v>26.851512046372697</v>
      </c>
      <c r="N17" s="132">
        <f>IF(SER_hh_tesh_in!N17=0,0,SER_hh_tesh_in!N17/SER_summary!N$27)</f>
        <v>28.060215831193691</v>
      </c>
      <c r="O17" s="132">
        <f>IF(SER_hh_tesh_in!O17=0,0,SER_hh_tesh_in!O17/SER_summary!O$27)</f>
        <v>27.926017608126539</v>
      </c>
      <c r="P17" s="132">
        <f>IF(SER_hh_tesh_in!P17=0,0,SER_hh_tesh_in!P17/SER_summary!P$27)</f>
        <v>27.604560693732484</v>
      </c>
      <c r="Q17" s="132">
        <f>IF(SER_hh_tesh_in!Q17=0,0,SER_hh_tesh_in!Q17/SER_summary!Q$27)</f>
        <v>31.341007635557826</v>
      </c>
      <c r="R17" s="132">
        <f>IF(SER_hh_tesh_in!R17=0,0,SER_hh_tesh_in!R17/SER_summary!R$27)</f>
        <v>27.313819955074035</v>
      </c>
      <c r="S17" s="132">
        <f>IF(SER_hh_tesh_in!S17=0,0,SER_hh_tesh_in!S17/SER_summary!S$27)</f>
        <v>27.109083577851752</v>
      </c>
      <c r="T17" s="132">
        <f>IF(SER_hh_tesh_in!T17=0,0,SER_hh_tesh_in!T17/SER_summary!T$27)</f>
        <v>27.257250974985492</v>
      </c>
      <c r="U17" s="132">
        <f>IF(SER_hh_tesh_in!U17=0,0,SER_hh_tesh_in!U17/SER_summary!U$27)</f>
        <v>28.714937977466068</v>
      </c>
      <c r="V17" s="132">
        <f>IF(SER_hh_tesh_in!V17=0,0,SER_hh_tesh_in!V17/SER_summary!V$27)</f>
        <v>23.049341790032823</v>
      </c>
      <c r="W17" s="132">
        <f>IF(SER_hh_tesh_in!W17=0,0,SER_hh_tesh_in!W17/SER_summary!W$27)</f>
        <v>22.231314284709569</v>
      </c>
      <c r="X17" s="132">
        <f>IF(SER_hh_tesh_in!X17=0,0,SER_hh_tesh_in!X17/SER_summary!X$27)</f>
        <v>24.537236219384734</v>
      </c>
      <c r="Y17" s="132">
        <f>IF(SER_hh_tesh_in!Y17=0,0,SER_hh_tesh_in!Y17/SER_summary!Y$27)</f>
        <v>24.418643460628129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28.009618453594527</v>
      </c>
      <c r="D18" s="132">
        <f>IF(SER_hh_tesh_in!D18=0,0,SER_hh_tesh_in!D18/SER_summary!D$27)</f>
        <v>28.290108395558381</v>
      </c>
      <c r="E18" s="132">
        <f>IF(SER_hh_tesh_in!E18=0,0,SER_hh_tesh_in!E18/SER_summary!E$27)</f>
        <v>27.630429713936241</v>
      </c>
      <c r="F18" s="132">
        <f>IF(SER_hh_tesh_in!F18=0,0,SER_hh_tesh_in!F18/SER_summary!F$27)</f>
        <v>27.441754360244907</v>
      </c>
      <c r="G18" s="132">
        <f>IF(SER_hh_tesh_in!G18=0,0,SER_hh_tesh_in!G18/SER_summary!G$27)</f>
        <v>27.56427186805626</v>
      </c>
      <c r="H18" s="132">
        <f>IF(SER_hh_tesh_in!H18=0,0,SER_hh_tesh_in!H18/SER_summary!H$27)</f>
        <v>29.037231824786542</v>
      </c>
      <c r="I18" s="132">
        <f>IF(SER_hh_tesh_in!I18=0,0,SER_hh_tesh_in!I18/SER_summary!I$27)</f>
        <v>27.869653207461976</v>
      </c>
      <c r="J18" s="132">
        <f>IF(SER_hh_tesh_in!J18=0,0,SER_hh_tesh_in!J18/SER_summary!J$27)</f>
        <v>27.285703255299712</v>
      </c>
      <c r="K18" s="132">
        <f>IF(SER_hh_tesh_in!K18=0,0,SER_hh_tesh_in!K18/SER_summary!K$27)</f>
        <v>27.105594004211227</v>
      </c>
      <c r="L18" s="132">
        <f>IF(SER_hh_tesh_in!L18=0,0,SER_hh_tesh_in!L18/SER_summary!L$27)</f>
        <v>30.366068844452158</v>
      </c>
      <c r="M18" s="132">
        <f>IF(SER_hh_tesh_in!M18=0,0,SER_hh_tesh_in!M18/SER_summary!M$27)</f>
        <v>26.693812787032044</v>
      </c>
      <c r="N18" s="132">
        <f>IF(SER_hh_tesh_in!N18=0,0,SER_hh_tesh_in!N18/SER_summary!N$27)</f>
        <v>27.778341009509639</v>
      </c>
      <c r="O18" s="132">
        <f>IF(SER_hh_tesh_in!O18=0,0,SER_hh_tesh_in!O18/SER_summary!O$27)</f>
        <v>27.402753680177526</v>
      </c>
      <c r="P18" s="132">
        <f>IF(SER_hh_tesh_in!P18=0,0,SER_hh_tesh_in!P18/SER_summary!P$27)</f>
        <v>26.731410593955438</v>
      </c>
      <c r="Q18" s="132">
        <f>IF(SER_hh_tesh_in!Q18=0,0,SER_hh_tesh_in!Q18/SER_summary!Q$27)</f>
        <v>30.335926168802345</v>
      </c>
      <c r="R18" s="132">
        <f>IF(SER_hh_tesh_in!R18=0,0,SER_hh_tesh_in!R18/SER_summary!R$27)</f>
        <v>26.006745672358356</v>
      </c>
      <c r="S18" s="132">
        <f>IF(SER_hh_tesh_in!S18=0,0,SER_hh_tesh_in!S18/SER_summary!S$27)</f>
        <v>25.927886308618564</v>
      </c>
      <c r="T18" s="132">
        <f>IF(SER_hh_tesh_in!T18=0,0,SER_hh_tesh_in!T18/SER_summary!T$27)</f>
        <v>26.358279298126273</v>
      </c>
      <c r="U18" s="132">
        <f>IF(SER_hh_tesh_in!U18=0,0,SER_hh_tesh_in!U18/SER_summary!U$27)</f>
        <v>28.111203857603012</v>
      </c>
      <c r="V18" s="132">
        <f>IF(SER_hh_tesh_in!V18=0,0,SER_hh_tesh_in!V18/SER_summary!V$27)</f>
        <v>23.731117723151897</v>
      </c>
      <c r="W18" s="132">
        <f>IF(SER_hh_tesh_in!W18=0,0,SER_hh_tesh_in!W18/SER_summary!W$27)</f>
        <v>23.558602527029898</v>
      </c>
      <c r="X18" s="132">
        <f>IF(SER_hh_tesh_in!X18=0,0,SER_hh_tesh_in!X18/SER_summary!X$27)</f>
        <v>24.589784367527855</v>
      </c>
      <c r="Y18" s="132">
        <f>IF(SER_hh_tesh_in!Y18=0,0,SER_hh_tesh_in!Y18/SER_summary!Y$27)</f>
        <v>24.742688917922997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10.024354998408931</v>
      </c>
      <c r="D19" s="130">
        <f>IF(SER_hh_tesh_in!D19=0,0,SER_hh_tesh_in!D19/SER_summary!D$27)</f>
        <v>11.396514070190257</v>
      </c>
      <c r="E19" s="130">
        <f>IF(SER_hh_tesh_in!E19=0,0,SER_hh_tesh_in!E19/SER_summary!E$27)</f>
        <v>12.85227052612894</v>
      </c>
      <c r="F19" s="130">
        <f>IF(SER_hh_tesh_in!F19=0,0,SER_hh_tesh_in!F19/SER_summary!F$27)</f>
        <v>13.520423008390509</v>
      </c>
      <c r="G19" s="130">
        <f>IF(SER_hh_tesh_in!G19=0,0,SER_hh_tesh_in!G19/SER_summary!G$27)</f>
        <v>13.750906789203622</v>
      </c>
      <c r="H19" s="130">
        <f>IF(SER_hh_tesh_in!H19=0,0,SER_hh_tesh_in!H19/SER_summary!H$27)</f>
        <v>14.293920969593424</v>
      </c>
      <c r="I19" s="130">
        <f>IF(SER_hh_tesh_in!I19=0,0,SER_hh_tesh_in!I19/SER_summary!I$27)</f>
        <v>15.278014951572167</v>
      </c>
      <c r="J19" s="130">
        <f>IF(SER_hh_tesh_in!J19=0,0,SER_hh_tesh_in!J19/SER_summary!J$27)</f>
        <v>15.681483483265241</v>
      </c>
      <c r="K19" s="130">
        <f>IF(SER_hh_tesh_in!K19=0,0,SER_hh_tesh_in!K19/SER_summary!K$27)</f>
        <v>15.729026832101027</v>
      </c>
      <c r="L19" s="130">
        <f>IF(SER_hh_tesh_in!L19=0,0,SER_hh_tesh_in!L19/SER_summary!L$27)</f>
        <v>15.832527116453681</v>
      </c>
      <c r="M19" s="130">
        <f>IF(SER_hh_tesh_in!M19=0,0,SER_hh_tesh_in!M19/SER_summary!M$27)</f>
        <v>15.77827961323322</v>
      </c>
      <c r="N19" s="130">
        <f>IF(SER_hh_tesh_in!N19=0,0,SER_hh_tesh_in!N19/SER_summary!N$27)</f>
        <v>16.075812955214882</v>
      </c>
      <c r="O19" s="130">
        <f>IF(SER_hh_tesh_in!O19=0,0,SER_hh_tesh_in!O19/SER_summary!O$27)</f>
        <v>16.52043079745139</v>
      </c>
      <c r="P19" s="130">
        <f>IF(SER_hh_tesh_in!P19=0,0,SER_hh_tesh_in!P19/SER_summary!P$27)</f>
        <v>16.363151663492452</v>
      </c>
      <c r="Q19" s="130">
        <f>IF(SER_hh_tesh_in!Q19=0,0,SER_hh_tesh_in!Q19/SER_summary!Q$27)</f>
        <v>16.583140700251132</v>
      </c>
      <c r="R19" s="130">
        <f>IF(SER_hh_tesh_in!R19=0,0,SER_hh_tesh_in!R19/SER_summary!R$27)</f>
        <v>16.623886898043899</v>
      </c>
      <c r="S19" s="130">
        <f>IF(SER_hh_tesh_in!S19=0,0,SER_hh_tesh_in!S19/SER_summary!S$27)</f>
        <v>16.444865551237918</v>
      </c>
      <c r="T19" s="130">
        <f>IF(SER_hh_tesh_in!T19=0,0,SER_hh_tesh_in!T19/SER_summary!T$27)</f>
        <v>16.137282211889577</v>
      </c>
      <c r="U19" s="130">
        <f>IF(SER_hh_tesh_in!U19=0,0,SER_hh_tesh_in!U19/SER_summary!U$27)</f>
        <v>15.96918842455131</v>
      </c>
      <c r="V19" s="130">
        <f>IF(SER_hh_tesh_in!V19=0,0,SER_hh_tesh_in!V19/SER_summary!V$27)</f>
        <v>14.523384869112613</v>
      </c>
      <c r="W19" s="130">
        <f>IF(SER_hh_tesh_in!W19=0,0,SER_hh_tesh_in!W19/SER_summary!W$27)</f>
        <v>15.503293665704595</v>
      </c>
      <c r="X19" s="130">
        <f>IF(SER_hh_tesh_in!X19=0,0,SER_hh_tesh_in!X19/SER_summary!X$27)</f>
        <v>15.504658939216982</v>
      </c>
      <c r="Y19" s="130">
        <f>IF(SER_hh_tesh_in!Y19=0,0,SER_hh_tesh_in!Y19/SER_summary!Y$27)</f>
        <v>15.36169987556417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10.692281590035435</v>
      </c>
      <c r="D20" s="132">
        <f>IF(SER_hh_tesh_in!D20=0,0,SER_hh_tesh_in!D20/SER_summary!D$27)</f>
        <v>12.871697639404671</v>
      </c>
      <c r="E20" s="132">
        <f>IF(SER_hh_tesh_in!E20=0,0,SER_hh_tesh_in!E20/SER_summary!E$27)</f>
        <v>12.940405718189263</v>
      </c>
      <c r="F20" s="132">
        <f>IF(SER_hh_tesh_in!F20=0,0,SER_hh_tesh_in!F20/SER_summary!F$27)</f>
        <v>13.621792410436766</v>
      </c>
      <c r="G20" s="132">
        <f>IF(SER_hh_tesh_in!G20=0,0,SER_hh_tesh_in!G20/SER_summary!G$27)</f>
        <v>13.857546024017379</v>
      </c>
      <c r="H20" s="132">
        <f>IF(SER_hh_tesh_in!H20=0,0,SER_hh_tesh_in!H20/SER_summary!H$27)</f>
        <v>12.896984512000907</v>
      </c>
      <c r="I20" s="132">
        <f>IF(SER_hh_tesh_in!I20=0,0,SER_hh_tesh_in!I20/SER_summary!I$27)</f>
        <v>15.461449895273715</v>
      </c>
      <c r="J20" s="132">
        <f>IF(SER_hh_tesh_in!J20=0,0,SER_hh_tesh_in!J20/SER_summary!J$27)</f>
        <v>15.543978123914021</v>
      </c>
      <c r="K20" s="132">
        <f>IF(SER_hh_tesh_in!K20=0,0,SER_hh_tesh_in!K20/SER_summary!K$27)</f>
        <v>15.496026847633944</v>
      </c>
      <c r="L20" s="132">
        <f>IF(SER_hh_tesh_in!L20=0,0,SER_hh_tesh_in!L20/SER_summary!L$27)</f>
        <v>16.001876967665606</v>
      </c>
      <c r="M20" s="132">
        <f>IF(SER_hh_tesh_in!M20=0,0,SER_hh_tesh_in!M20/SER_summary!M$27)</f>
        <v>15.872348302746152</v>
      </c>
      <c r="N20" s="132">
        <f>IF(SER_hh_tesh_in!N20=0,0,SER_hh_tesh_in!N20/SER_summary!N$27)</f>
        <v>16.013287911359495</v>
      </c>
      <c r="O20" s="132">
        <f>IF(SER_hh_tesh_in!O20=0,0,SER_hh_tesh_in!O20/SER_summary!O$27)</f>
        <v>16.392022091424732</v>
      </c>
      <c r="P20" s="132">
        <f>IF(SER_hh_tesh_in!P20=0,0,SER_hh_tesh_in!P20/SER_summary!P$27)</f>
        <v>16.311958274039224</v>
      </c>
      <c r="Q20" s="132">
        <f>IF(SER_hh_tesh_in!Q20=0,0,SER_hh_tesh_in!Q20/SER_summary!Q$27)</f>
        <v>16.425864542690743</v>
      </c>
      <c r="R20" s="132">
        <f>IF(SER_hh_tesh_in!R20=0,0,SER_hh_tesh_in!R20/SER_summary!R$27)</f>
        <v>18.595490518224718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12.060771895974733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10.53077523093414</v>
      </c>
      <c r="D21" s="132">
        <f>IF(SER_hh_tesh_in!D21=0,0,SER_hh_tesh_in!D21/SER_summary!D$27)</f>
        <v>10.121843253939932</v>
      </c>
      <c r="E21" s="132">
        <f>IF(SER_hh_tesh_in!E21=0,0,SER_hh_tesh_in!E21/SER_summary!E$27)</f>
        <v>15.378029328331822</v>
      </c>
      <c r="F21" s="132">
        <f>IF(SER_hh_tesh_in!F21=0,0,SER_hh_tesh_in!F21/SER_summary!F$27)</f>
        <v>13.51939507785176</v>
      </c>
      <c r="G21" s="132">
        <f>IF(SER_hh_tesh_in!G21=0,0,SER_hh_tesh_in!G21/SER_summary!G$27)</f>
        <v>11.753994762154488</v>
      </c>
      <c r="H21" s="132">
        <f>IF(SER_hh_tesh_in!H21=0,0,SER_hh_tesh_in!H21/SER_summary!H$27)</f>
        <v>14.895361732035388</v>
      </c>
      <c r="I21" s="132">
        <f>IF(SER_hh_tesh_in!I21=0,0,SER_hh_tesh_in!I21/SER_summary!I$27)</f>
        <v>0</v>
      </c>
      <c r="J21" s="132">
        <f>IF(SER_hh_tesh_in!J21=0,0,SER_hh_tesh_in!J21/SER_summary!J$27)</f>
        <v>14.145723761316226</v>
      </c>
      <c r="K21" s="132">
        <f>IF(SER_hh_tesh_in!K21=0,0,SER_hh_tesh_in!K21/SER_summary!K$27)</f>
        <v>14.901113910456635</v>
      </c>
      <c r="L21" s="132">
        <f>IF(SER_hh_tesh_in!L21=0,0,SER_hh_tesh_in!L21/SER_summary!L$27)</f>
        <v>14.715058323837274</v>
      </c>
      <c r="M21" s="132">
        <f>IF(SER_hh_tesh_in!M21=0,0,SER_hh_tesh_in!M21/SER_summary!M$27)</f>
        <v>14.962602146460089</v>
      </c>
      <c r="N21" s="132">
        <f>IF(SER_hh_tesh_in!N21=0,0,SER_hh_tesh_in!N21/SER_summary!N$27)</f>
        <v>19.903435243318153</v>
      </c>
      <c r="O21" s="132">
        <f>IF(SER_hh_tesh_in!O21=0,0,SER_hh_tesh_in!O21/SER_summary!O$27)</f>
        <v>13.717268382118336</v>
      </c>
      <c r="P21" s="132">
        <f>IF(SER_hh_tesh_in!P21=0,0,SER_hh_tesh_in!P21/SER_summary!P$27)</f>
        <v>16.342166223904425</v>
      </c>
      <c r="Q21" s="132">
        <f>IF(SER_hh_tesh_in!Q21=0,0,SER_hh_tesh_in!Q21/SER_summary!Q$27)</f>
        <v>15.829399283779448</v>
      </c>
      <c r="R21" s="132">
        <f>IF(SER_hh_tesh_in!R21=0,0,SER_hh_tesh_in!R21/SER_summary!R$27)</f>
        <v>16.649741359891014</v>
      </c>
      <c r="S21" s="132">
        <f>IF(SER_hh_tesh_in!S21=0,0,SER_hh_tesh_in!S21/SER_summary!S$27)</f>
        <v>16.779436421773152</v>
      </c>
      <c r="T21" s="132">
        <f>IF(SER_hh_tesh_in!T21=0,0,SER_hh_tesh_in!T21/SER_summary!T$27)</f>
        <v>15.700523147475753</v>
      </c>
      <c r="U21" s="132">
        <f>IF(SER_hh_tesh_in!U21=0,0,SER_hh_tesh_in!U21/SER_summary!U$27)</f>
        <v>18.027801788674704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14.844518502443561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9.5572714787324582</v>
      </c>
      <c r="D22" s="132">
        <f>IF(SER_hh_tesh_in!D22=0,0,SER_hh_tesh_in!D22/SER_summary!D$27)</f>
        <v>11.6359287364082</v>
      </c>
      <c r="E22" s="132">
        <f>IF(SER_hh_tesh_in!E22=0,0,SER_hh_tesh_in!E22/SER_summary!E$27)</f>
        <v>12.606295089658056</v>
      </c>
      <c r="F22" s="132">
        <f>IF(SER_hh_tesh_in!F22=0,0,SER_hh_tesh_in!F22/SER_summary!F$27)</f>
        <v>13.4481699500554</v>
      </c>
      <c r="G22" s="132">
        <f>IF(SER_hh_tesh_in!G22=0,0,SER_hh_tesh_in!G22/SER_summary!G$27)</f>
        <v>13.22128310597061</v>
      </c>
      <c r="H22" s="132">
        <f>IF(SER_hh_tesh_in!H22=0,0,SER_hh_tesh_in!H22/SER_summary!H$27)</f>
        <v>14.194397850679158</v>
      </c>
      <c r="I22" s="132">
        <f>IF(SER_hh_tesh_in!I22=0,0,SER_hh_tesh_in!I22/SER_summary!I$27)</f>
        <v>15.196185064119216</v>
      </c>
      <c r="J22" s="132">
        <f>IF(SER_hh_tesh_in!J22=0,0,SER_hh_tesh_in!J22/SER_summary!J$27)</f>
        <v>15.559606873007974</v>
      </c>
      <c r="K22" s="132">
        <f>IF(SER_hh_tesh_in!K22=0,0,SER_hh_tesh_in!K22/SER_summary!K$27)</f>
        <v>15.474766833469815</v>
      </c>
      <c r="L22" s="132">
        <f>IF(SER_hh_tesh_in!L22=0,0,SER_hh_tesh_in!L22/SER_summary!L$27)</f>
        <v>15.689754107379239</v>
      </c>
      <c r="M22" s="132">
        <f>IF(SER_hh_tesh_in!M22=0,0,SER_hh_tesh_in!M22/SER_summary!M$27)</f>
        <v>15.791511235503721</v>
      </c>
      <c r="N22" s="132">
        <f>IF(SER_hh_tesh_in!N22=0,0,SER_hh_tesh_in!N22/SER_summary!N$27)</f>
        <v>15.86101367855737</v>
      </c>
      <c r="O22" s="132">
        <f>IF(SER_hh_tesh_in!O22=0,0,SER_hh_tesh_in!O22/SER_summary!O$27)</f>
        <v>16.305826016542792</v>
      </c>
      <c r="P22" s="132">
        <f>IF(SER_hh_tesh_in!P22=0,0,SER_hh_tesh_in!P22/SER_summary!P$27)</f>
        <v>16.138183534809553</v>
      </c>
      <c r="Q22" s="132">
        <f>IF(SER_hh_tesh_in!Q22=0,0,SER_hh_tesh_in!Q22/SER_summary!Q$27)</f>
        <v>16.343298442270363</v>
      </c>
      <c r="R22" s="132">
        <f>IF(SER_hh_tesh_in!R22=0,0,SER_hh_tesh_in!R22/SER_summary!R$27)</f>
        <v>16.181405177561601</v>
      </c>
      <c r="S22" s="132">
        <f>IF(SER_hh_tesh_in!S22=0,0,SER_hh_tesh_in!S22/SER_summary!S$27)</f>
        <v>17.038304609762683</v>
      </c>
      <c r="T22" s="132">
        <f>IF(SER_hh_tesh_in!T22=0,0,SER_hh_tesh_in!T22/SER_summary!T$27)</f>
        <v>16.343729426951995</v>
      </c>
      <c r="U22" s="132">
        <f>IF(SER_hh_tesh_in!U22=0,0,SER_hh_tesh_in!U22/SER_summary!U$27)</f>
        <v>14.110049966228388</v>
      </c>
      <c r="V22" s="132">
        <f>IF(SER_hh_tesh_in!V22=0,0,SER_hh_tesh_in!V22/SER_summary!V$27)</f>
        <v>14.089723589544965</v>
      </c>
      <c r="W22" s="132">
        <f>IF(SER_hh_tesh_in!W22=0,0,SER_hh_tesh_in!W22/SER_summary!W$27)</f>
        <v>15.892960712086992</v>
      </c>
      <c r="X22" s="132">
        <f>IF(SER_hh_tesh_in!X22=0,0,SER_hh_tesh_in!X22/SER_summary!X$27)</f>
        <v>16.39789391043379</v>
      </c>
      <c r="Y22" s="132">
        <f>IF(SER_hh_tesh_in!Y22=0,0,SER_hh_tesh_in!Y22/SER_summary!Y$27)</f>
        <v>14.772027709341431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9.9607739227222236</v>
      </c>
      <c r="D23" s="132">
        <f>IF(SER_hh_tesh_in!D23=0,0,SER_hh_tesh_in!D23/SER_summary!D$27)</f>
        <v>11.156678023124741</v>
      </c>
      <c r="E23" s="132">
        <f>IF(SER_hh_tesh_in!E23=0,0,SER_hh_tesh_in!E23/SER_summary!E$27)</f>
        <v>13.426529936260907</v>
      </c>
      <c r="F23" s="132">
        <f>IF(SER_hh_tesh_in!F23=0,0,SER_hh_tesh_in!F23/SER_summary!F$27)</f>
        <v>13.460909933961757</v>
      </c>
      <c r="G23" s="132">
        <f>IF(SER_hh_tesh_in!G23=0,0,SER_hh_tesh_in!G23/SER_summary!G$27)</f>
        <v>13.775183740439228</v>
      </c>
      <c r="H23" s="132">
        <f>IF(SER_hh_tesh_in!H23=0,0,SER_hh_tesh_in!H23/SER_summary!H$27)</f>
        <v>14.227178635081824</v>
      </c>
      <c r="I23" s="132">
        <f>IF(SER_hh_tesh_in!I23=0,0,SER_hh_tesh_in!I23/SER_summary!I$27)</f>
        <v>14.950611486172804</v>
      </c>
      <c r="J23" s="132">
        <f>IF(SER_hh_tesh_in!J23=0,0,SER_hh_tesh_in!J23/SER_summary!J$27)</f>
        <v>15.545964895894585</v>
      </c>
      <c r="K23" s="132">
        <f>IF(SER_hh_tesh_in!K23=0,0,SER_hh_tesh_in!K23/SER_summary!K$27)</f>
        <v>15.266983793012452</v>
      </c>
      <c r="L23" s="132">
        <f>IF(SER_hh_tesh_in!L23=0,0,SER_hh_tesh_in!L23/SER_summary!L$27)</f>
        <v>15.722371005396266</v>
      </c>
      <c r="M23" s="132">
        <f>IF(SER_hh_tesh_in!M23=0,0,SER_hh_tesh_in!M23/SER_summary!M$27)</f>
        <v>15.905869719130887</v>
      </c>
      <c r="N23" s="132">
        <f>IF(SER_hh_tesh_in!N23=0,0,SER_hh_tesh_in!N23/SER_summary!N$27)</f>
        <v>15.772513430962107</v>
      </c>
      <c r="O23" s="132">
        <f>IF(SER_hh_tesh_in!O23=0,0,SER_hh_tesh_in!O23/SER_summary!O$27)</f>
        <v>16.209241252840172</v>
      </c>
      <c r="P23" s="132">
        <f>IF(SER_hh_tesh_in!P23=0,0,SER_hh_tesh_in!P23/SER_summary!P$27)</f>
        <v>16.35936921242531</v>
      </c>
      <c r="Q23" s="132">
        <f>IF(SER_hh_tesh_in!Q23=0,0,SER_hh_tesh_in!Q23/SER_summary!Q$27)</f>
        <v>16.747368227537009</v>
      </c>
      <c r="R23" s="132">
        <f>IF(SER_hh_tesh_in!R23=0,0,SER_hh_tesh_in!R23/SER_summary!R$27)</f>
        <v>17.647715463607447</v>
      </c>
      <c r="S23" s="132">
        <f>IF(SER_hh_tesh_in!S23=0,0,SER_hh_tesh_in!S23/SER_summary!S$27)</f>
        <v>0</v>
      </c>
      <c r="T23" s="132">
        <f>IF(SER_hh_tesh_in!T23=0,0,SER_hh_tesh_in!T23/SER_summary!T$27)</f>
        <v>0</v>
      </c>
      <c r="U23" s="132">
        <f>IF(SER_hh_tesh_in!U23=0,0,SER_hh_tesh_in!U23/SER_summary!U$27)</f>
        <v>14.835611744678578</v>
      </c>
      <c r="V23" s="132">
        <f>IF(SER_hh_tesh_in!V23=0,0,SER_hh_tesh_in!V23/SER_summary!V$27)</f>
        <v>12.994162000158937</v>
      </c>
      <c r="W23" s="132">
        <f>IF(SER_hh_tesh_in!W23=0,0,SER_hh_tesh_in!W23/SER_summary!W$27)</f>
        <v>17.03565891780238</v>
      </c>
      <c r="X23" s="132">
        <f>IF(SER_hh_tesh_in!X23=0,0,SER_hh_tesh_in!X23/SER_summary!X$27)</f>
        <v>15.901927713687993</v>
      </c>
      <c r="Y23" s="132">
        <f>IF(SER_hh_tesh_in!Y23=0,0,SER_hh_tesh_in!Y23/SER_summary!Y$27)</f>
        <v>15.153255263455602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9.5476610381817615</v>
      </c>
      <c r="D24" s="132">
        <f>IF(SER_hh_tesh_in!D24=0,0,SER_hh_tesh_in!D24/SER_summary!D$27)</f>
        <v>11.884541825035484</v>
      </c>
      <c r="E24" s="132">
        <f>IF(SER_hh_tesh_in!E24=0,0,SER_hh_tesh_in!E24/SER_summary!E$27)</f>
        <v>12.490174141209767</v>
      </c>
      <c r="F24" s="132">
        <f>IF(SER_hh_tesh_in!F24=0,0,SER_hh_tesh_in!F24/SER_summary!F$27)</f>
        <v>12.925024594364437</v>
      </c>
      <c r="G24" s="132">
        <f>IF(SER_hh_tesh_in!G24=0,0,SER_hh_tesh_in!G24/SER_summary!G$27)</f>
        <v>12.789289697997548</v>
      </c>
      <c r="H24" s="132">
        <f>IF(SER_hh_tesh_in!H24=0,0,SER_hh_tesh_in!H24/SER_summary!H$27)</f>
        <v>13.885226514649347</v>
      </c>
      <c r="I24" s="132">
        <f>IF(SER_hh_tesh_in!I24=0,0,SER_hh_tesh_in!I24/SER_summary!I$27)</f>
        <v>15.54323342275082</v>
      </c>
      <c r="J24" s="132">
        <f>IF(SER_hh_tesh_in!J24=0,0,SER_hh_tesh_in!J24/SER_summary!J$27)</f>
        <v>15.951799705595768</v>
      </c>
      <c r="K24" s="132">
        <f>IF(SER_hh_tesh_in!K24=0,0,SER_hh_tesh_in!K24/SER_summary!K$27)</f>
        <v>15.792714615412567</v>
      </c>
      <c r="L24" s="132">
        <f>IF(SER_hh_tesh_in!L24=0,0,SER_hh_tesh_in!L24/SER_summary!L$27)</f>
        <v>15.294388582108654</v>
      </c>
      <c r="M24" s="132">
        <f>IF(SER_hh_tesh_in!M24=0,0,SER_hh_tesh_in!M24/SER_summary!M$27)</f>
        <v>15.703634678090843</v>
      </c>
      <c r="N24" s="132">
        <f>IF(SER_hh_tesh_in!N24=0,0,SER_hh_tesh_in!N24/SER_summary!N$27)</f>
        <v>16.002859418029097</v>
      </c>
      <c r="O24" s="132">
        <f>IF(SER_hh_tesh_in!O24=0,0,SER_hh_tesh_in!O24/SER_summary!O$27)</f>
        <v>16.184672530090683</v>
      </c>
      <c r="P24" s="132">
        <f>IF(SER_hh_tesh_in!P24=0,0,SER_hh_tesh_in!P24/SER_summary!P$27)</f>
        <v>15.757839398180538</v>
      </c>
      <c r="Q24" s="132">
        <f>IF(SER_hh_tesh_in!Q24=0,0,SER_hh_tesh_in!Q24/SER_summary!Q$27)</f>
        <v>16.017827282534068</v>
      </c>
      <c r="R24" s="132">
        <f>IF(SER_hh_tesh_in!R24=0,0,SER_hh_tesh_in!R24/SER_summary!R$27)</f>
        <v>17.225958092129233</v>
      </c>
      <c r="S24" s="132">
        <f>IF(SER_hh_tesh_in!S24=0,0,SER_hh_tesh_in!S24/SER_summary!S$27)</f>
        <v>17.211471349214982</v>
      </c>
      <c r="T24" s="132">
        <f>IF(SER_hh_tesh_in!T24=0,0,SER_hh_tesh_in!T24/SER_summary!T$27)</f>
        <v>14.910087898733531</v>
      </c>
      <c r="U24" s="132">
        <f>IF(SER_hh_tesh_in!U24=0,0,SER_hh_tesh_in!U24/SER_summary!U$27)</f>
        <v>14.255182171831267</v>
      </c>
      <c r="V24" s="132">
        <f>IF(SER_hh_tesh_in!V24=0,0,SER_hh_tesh_in!V24/SER_summary!V$27)</f>
        <v>15.597406372032257</v>
      </c>
      <c r="W24" s="132">
        <f>IF(SER_hh_tesh_in!W24=0,0,SER_hh_tesh_in!W24/SER_summary!W$27)</f>
        <v>18.034254051718179</v>
      </c>
      <c r="X24" s="132">
        <f>IF(SER_hh_tesh_in!X24=0,0,SER_hh_tesh_in!X24/SER_summary!X$27)</f>
        <v>13.931481153283999</v>
      </c>
      <c r="Y24" s="132">
        <f>IF(SER_hh_tesh_in!Y24=0,0,SER_hh_tesh_in!Y24/SER_summary!Y$27)</f>
        <v>15.395047673256753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9.7981483811789367</v>
      </c>
      <c r="D25" s="132">
        <f>IF(SER_hh_tesh_in!D25=0,0,SER_hh_tesh_in!D25/SER_summary!D$27)</f>
        <v>11.426306483119147</v>
      </c>
      <c r="E25" s="132">
        <f>IF(SER_hh_tesh_in!E25=0,0,SER_hh_tesh_in!E25/SER_summary!E$27)</f>
        <v>11.955685268429525</v>
      </c>
      <c r="F25" s="132">
        <f>IF(SER_hh_tesh_in!F25=0,0,SER_hh_tesh_in!F25/SER_summary!F$27)</f>
        <v>13.9399611517119</v>
      </c>
      <c r="G25" s="132">
        <f>IF(SER_hh_tesh_in!G25=0,0,SER_hh_tesh_in!G25/SER_summary!G$27)</f>
        <v>13.952750664580226</v>
      </c>
      <c r="H25" s="132">
        <f>IF(SER_hh_tesh_in!H25=0,0,SER_hh_tesh_in!H25/SER_summary!H$27)</f>
        <v>14.427084631358134</v>
      </c>
      <c r="I25" s="132">
        <f>IF(SER_hh_tesh_in!I25=0,0,SER_hh_tesh_in!I25/SER_summary!I$27)</f>
        <v>15.099243733374532</v>
      </c>
      <c r="J25" s="132">
        <f>IF(SER_hh_tesh_in!J25=0,0,SER_hh_tesh_in!J25/SER_summary!J$27)</f>
        <v>15.514229493800755</v>
      </c>
      <c r="K25" s="132">
        <f>IF(SER_hh_tesh_in!K25=0,0,SER_hh_tesh_in!K25/SER_summary!K$27)</f>
        <v>15.71058398158435</v>
      </c>
      <c r="L25" s="132">
        <f>IF(SER_hh_tesh_in!L25=0,0,SER_hh_tesh_in!L25/SER_summary!L$27)</f>
        <v>15.190254794082582</v>
      </c>
      <c r="M25" s="132">
        <f>IF(SER_hh_tesh_in!M25=0,0,SER_hh_tesh_in!M25/SER_summary!M$27)</f>
        <v>15.570761304950354</v>
      </c>
      <c r="N25" s="132">
        <f>IF(SER_hh_tesh_in!N25=0,0,SER_hh_tesh_in!N25/SER_summary!N$27)</f>
        <v>15.820620914596077</v>
      </c>
      <c r="O25" s="132">
        <f>IF(SER_hh_tesh_in!O25=0,0,SER_hh_tesh_in!O25/SER_summary!O$27)</f>
        <v>16.502829138574782</v>
      </c>
      <c r="P25" s="132">
        <f>IF(SER_hh_tesh_in!P25=0,0,SER_hh_tesh_in!P25/SER_summary!P$27)</f>
        <v>16.133809069779225</v>
      </c>
      <c r="Q25" s="132">
        <f>IF(SER_hh_tesh_in!Q25=0,0,SER_hh_tesh_in!Q25/SER_summary!Q$27)</f>
        <v>15.784650220150866</v>
      </c>
      <c r="R25" s="132">
        <f>IF(SER_hh_tesh_in!R25=0,0,SER_hh_tesh_in!R25/SER_summary!R$27)</f>
        <v>16.161597009930173</v>
      </c>
      <c r="S25" s="132">
        <f>IF(SER_hh_tesh_in!S25=0,0,SER_hh_tesh_in!S25/SER_summary!S$27)</f>
        <v>18.507377237484391</v>
      </c>
      <c r="T25" s="132">
        <f>IF(SER_hh_tesh_in!T25=0,0,SER_hh_tesh_in!T25/SER_summary!T$27)</f>
        <v>15.240094044866332</v>
      </c>
      <c r="U25" s="132">
        <f>IF(SER_hh_tesh_in!U25=0,0,SER_hh_tesh_in!U25/SER_summary!U$27)</f>
        <v>15.404592603019426</v>
      </c>
      <c r="V25" s="132">
        <f>IF(SER_hh_tesh_in!V25=0,0,SER_hh_tesh_in!V25/SER_summary!V$27)</f>
        <v>15.74187847934606</v>
      </c>
      <c r="W25" s="132">
        <f>IF(SER_hh_tesh_in!W25=0,0,SER_hh_tesh_in!W25/SER_summary!W$27)</f>
        <v>13.366957116404608</v>
      </c>
      <c r="X25" s="132">
        <f>IF(SER_hh_tesh_in!X25=0,0,SER_hh_tesh_in!X25/SER_summary!X$27)</f>
        <v>16.157361324728569</v>
      </c>
      <c r="Y25" s="132">
        <f>IF(SER_hh_tesh_in!Y25=0,0,SER_hh_tesh_in!Y25/SER_summary!Y$27)</f>
        <v>14.602124215134953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9.3767865922025937</v>
      </c>
      <c r="D26" s="65">
        <f>IF(SER_hh_tesh_in!D26=0,0,SER_hh_tesh_in!D26/SER_summary!D$27)</f>
        <v>11.207632311528561</v>
      </c>
      <c r="E26" s="65">
        <f>IF(SER_hh_tesh_in!E26=0,0,SER_hh_tesh_in!E26/SER_summary!E$27)</f>
        <v>11.525847696832956</v>
      </c>
      <c r="F26" s="65">
        <f>IF(SER_hh_tesh_in!F26=0,0,SER_hh_tesh_in!F26/SER_summary!F$27)</f>
        <v>12.994005342637049</v>
      </c>
      <c r="G26" s="65">
        <f>IF(SER_hh_tesh_in!G26=0,0,SER_hh_tesh_in!G26/SER_summary!G$27)</f>
        <v>13.565123595638015</v>
      </c>
      <c r="H26" s="65">
        <f>IF(SER_hh_tesh_in!H26=0,0,SER_hh_tesh_in!H26/SER_summary!H$27)</f>
        <v>14.127157911129405</v>
      </c>
      <c r="I26" s="65">
        <f>IF(SER_hh_tesh_in!I26=0,0,SER_hh_tesh_in!I26/SER_summary!I$27)</f>
        <v>15.275365588158797</v>
      </c>
      <c r="J26" s="65">
        <f>IF(SER_hh_tesh_in!J26=0,0,SER_hh_tesh_in!J26/SER_summary!J$27)</f>
        <v>14.500317721391692</v>
      </c>
      <c r="K26" s="65">
        <f>IF(SER_hh_tesh_in!K26=0,0,SER_hh_tesh_in!K26/SER_summary!K$27)</f>
        <v>14.765983905396341</v>
      </c>
      <c r="L26" s="65">
        <f>IF(SER_hh_tesh_in!L26=0,0,SER_hh_tesh_in!L26/SER_summary!L$27)</f>
        <v>9.1071726728967164</v>
      </c>
      <c r="M26" s="65">
        <f>IF(SER_hh_tesh_in!M26=0,0,SER_hh_tesh_in!M26/SER_summary!M$27)</f>
        <v>14.528352429186194</v>
      </c>
      <c r="N26" s="65">
        <f>IF(SER_hh_tesh_in!N26=0,0,SER_hh_tesh_in!N26/SER_summary!N$27)</f>
        <v>14.302748049704196</v>
      </c>
      <c r="O26" s="65">
        <f>IF(SER_hh_tesh_in!O26=0,0,SER_hh_tesh_in!O26/SER_summary!O$27)</f>
        <v>14.963492964609017</v>
      </c>
      <c r="P26" s="65">
        <f>IF(SER_hh_tesh_in!P26=0,0,SER_hh_tesh_in!P26/SER_summary!P$27)</f>
        <v>15.542263715010217</v>
      </c>
      <c r="Q26" s="65">
        <f>IF(SER_hh_tesh_in!Q26=0,0,SER_hh_tesh_in!Q26/SER_summary!Q$27)</f>
        <v>14.370702982831595</v>
      </c>
      <c r="R26" s="65">
        <f>IF(SER_hh_tesh_in!R26=0,0,SER_hh_tesh_in!R26/SER_summary!R$27)</f>
        <v>15.618331754873951</v>
      </c>
      <c r="S26" s="65">
        <f>IF(SER_hh_tesh_in!S26=0,0,SER_hh_tesh_in!S26/SER_summary!S$27)</f>
        <v>15.344629687481607</v>
      </c>
      <c r="T26" s="65">
        <f>IF(SER_hh_tesh_in!T26=0,0,SER_hh_tesh_in!T26/SER_summary!T$27)</f>
        <v>14.490293920998246</v>
      </c>
      <c r="U26" s="65">
        <f>IF(SER_hh_tesh_in!U26=0,0,SER_hh_tesh_in!U26/SER_summary!U$27)</f>
        <v>16.154863007794475</v>
      </c>
      <c r="V26" s="65">
        <f>IF(SER_hh_tesh_in!V26=0,0,SER_hh_tesh_in!V26/SER_summary!V$27)</f>
        <v>14.170569631965291</v>
      </c>
      <c r="W26" s="65">
        <f>IF(SER_hh_tesh_in!W26=0,0,SER_hh_tesh_in!W26/SER_summary!W$27)</f>
        <v>15.43462733784858</v>
      </c>
      <c r="X26" s="65">
        <f>IF(SER_hh_tesh_in!X26=0,0,SER_hh_tesh_in!X26/SER_summary!X$27)</f>
        <v>15.331589572050841</v>
      </c>
      <c r="Y26" s="65">
        <f>IF(SER_hh_tesh_in!Y26=0,0,SER_hh_tesh_in!Y26/SER_summary!Y$27)</f>
        <v>15.501783302104069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0.11765714432008766</v>
      </c>
      <c r="E27" s="145">
        <f>IF(SER_hh_tesh_in!E27=0,0,SER_hh_tesh_in!E27/SER_summary!E$27)</f>
        <v>0</v>
      </c>
      <c r="F27" s="145">
        <f>IF(SER_hh_tesh_in!F27=0,0,SER_hh_tesh_in!F27/SER_summary!F$27)</f>
        <v>8.2783339168685147E-2</v>
      </c>
      <c r="G27" s="145">
        <f>IF(SER_hh_tesh_in!G27=0,0,SER_hh_tesh_in!G27/SER_summary!G$27)</f>
        <v>6.5463355848335694E-2</v>
      </c>
      <c r="H27" s="145">
        <f>IF(SER_hh_tesh_in!H27=0,0,SER_hh_tesh_in!H27/SER_summary!H$27)</f>
        <v>9.6373115086494654E-2</v>
      </c>
      <c r="I27" s="145">
        <f>IF(SER_hh_tesh_in!I27=0,0,SER_hh_tesh_in!I27/SER_summary!I$27)</f>
        <v>6.19585057171941E-2</v>
      </c>
      <c r="J27" s="145">
        <f>IF(SER_hh_tesh_in!J27=0,0,SER_hh_tesh_in!J27/SER_summary!J$27)</f>
        <v>0.74249252526624554</v>
      </c>
      <c r="K27" s="145">
        <f>IF(SER_hh_tesh_in!K27=0,0,SER_hh_tesh_in!K27/SER_summary!K$27)</f>
        <v>0.64037066215140337</v>
      </c>
      <c r="L27" s="145">
        <f>IF(SER_hh_tesh_in!L27=0,0,SER_hh_tesh_in!L27/SER_summary!L$27)</f>
        <v>2.2909970178398287</v>
      </c>
      <c r="M27" s="145">
        <f>IF(SER_hh_tesh_in!M27=0,0,SER_hh_tesh_in!M27/SER_summary!M$27)</f>
        <v>0.74048351182433481</v>
      </c>
      <c r="N27" s="145">
        <f>IF(SER_hh_tesh_in!N27=0,0,SER_hh_tesh_in!N27/SER_summary!N$27)</f>
        <v>0.70101747073536691</v>
      </c>
      <c r="O27" s="145">
        <f>IF(SER_hh_tesh_in!O27=0,0,SER_hh_tesh_in!O27/SER_summary!O$27)</f>
        <v>1.0265327500251675</v>
      </c>
      <c r="P27" s="145">
        <f>IF(SER_hh_tesh_in!P27=0,0,SER_hh_tesh_in!P27/SER_summary!P$27)</f>
        <v>0.54987808813766781</v>
      </c>
      <c r="Q27" s="145">
        <f>IF(SER_hh_tesh_in!Q27=0,0,SER_hh_tesh_in!Q27/SER_summary!Q$27)</f>
        <v>1.350192295410567</v>
      </c>
      <c r="R27" s="145">
        <f>IF(SER_hh_tesh_in!R27=0,0,SER_hh_tesh_in!R27/SER_summary!R$27)</f>
        <v>0.5004497567681695</v>
      </c>
      <c r="S27" s="145">
        <f>IF(SER_hh_tesh_in!S27=0,0,SER_hh_tesh_in!S27/SER_summary!S$27)</f>
        <v>0.22636265257433166</v>
      </c>
      <c r="T27" s="145">
        <f>IF(SER_hh_tesh_in!T27=0,0,SER_hh_tesh_in!T27/SER_summary!T$27)</f>
        <v>1.4015365883728303</v>
      </c>
      <c r="U27" s="145">
        <f>IF(SER_hh_tesh_in!U27=0,0,SER_hh_tesh_in!U27/SER_summary!U$27)</f>
        <v>1.3663676391837646E-15</v>
      </c>
      <c r="V27" s="145">
        <f>IF(SER_hh_tesh_in!V27=0,0,SER_hh_tesh_in!V27/SER_summary!V$27)</f>
        <v>0.18853022214311158</v>
      </c>
      <c r="W27" s="145">
        <f>IF(SER_hh_tesh_in!W27=0,0,SER_hh_tesh_in!W27/SER_summary!W$27)</f>
        <v>2.2329300996010704E-5</v>
      </c>
      <c r="X27" s="145">
        <f>IF(SER_hh_tesh_in!X27=0,0,SER_hh_tesh_in!X27/SER_summary!X$27)</f>
        <v>7.3849649822555556E-6</v>
      </c>
      <c r="Y27" s="145">
        <f>IF(SER_hh_tesh_in!Y27=0,0,SER_hh_tesh_in!Y27/SER_summary!Y$27)</f>
        <v>1.1146611263873654E-15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6.1112675723372742</v>
      </c>
      <c r="E28" s="146">
        <f>IF(SER_hh_tesh_in!E28=0,0,SER_hh_tesh_in!E28/SER_summary!E$27)</f>
        <v>0</v>
      </c>
      <c r="F28" s="146">
        <f>IF(SER_hh_tesh_in!F28=0,0,SER_hh_tesh_in!F28/SER_summary!F$27)</f>
        <v>7.0093451196958885</v>
      </c>
      <c r="G28" s="146">
        <f>IF(SER_hh_tesh_in!G28=0,0,SER_hh_tesh_in!G28/SER_summary!G$27)</f>
        <v>7.0905998598138416</v>
      </c>
      <c r="H28" s="146">
        <f>IF(SER_hh_tesh_in!H28=0,0,SER_hh_tesh_in!H28/SER_summary!H$27)</f>
        <v>7.484187611649018</v>
      </c>
      <c r="I28" s="146">
        <f>IF(SER_hh_tesh_in!I28=0,0,SER_hh_tesh_in!I28/SER_summary!I$27)</f>
        <v>7.9537109103634709</v>
      </c>
      <c r="J28" s="146">
        <f>IF(SER_hh_tesh_in!J28=0,0,SER_hh_tesh_in!J28/SER_summary!J$27)</f>
        <v>8.2227076172609657</v>
      </c>
      <c r="K28" s="146">
        <f>IF(SER_hh_tesh_in!K28=0,0,SER_hh_tesh_in!K28/SER_summary!K$27)</f>
        <v>8.3445016356339945</v>
      </c>
      <c r="L28" s="146">
        <f>IF(SER_hh_tesh_in!L28=0,0,SER_hh_tesh_in!L28/SER_summary!L$27)</f>
        <v>8.0129395114763291</v>
      </c>
      <c r="M28" s="146">
        <f>IF(SER_hh_tesh_in!M28=0,0,SER_hh_tesh_in!M28/SER_summary!M$27)</f>
        <v>8.3648904240137369</v>
      </c>
      <c r="N28" s="146">
        <f>IF(SER_hh_tesh_in!N28=0,0,SER_hh_tesh_in!N28/SER_summary!N$27)</f>
        <v>8.8470005924412458</v>
      </c>
      <c r="O28" s="146">
        <f>IF(SER_hh_tesh_in!O28=0,0,SER_hh_tesh_in!O28/SER_summary!O$27)</f>
        <v>8.8097584609131925</v>
      </c>
      <c r="P28" s="146">
        <f>IF(SER_hh_tesh_in!P28=0,0,SER_hh_tesh_in!P28/SER_summary!P$27)</f>
        <v>8.9169792364413425</v>
      </c>
      <c r="Q28" s="146">
        <f>IF(SER_hh_tesh_in!Q28=0,0,SER_hh_tesh_in!Q28/SER_summary!Q$27)</f>
        <v>8.9494608310786887</v>
      </c>
      <c r="R28" s="146">
        <f>IF(SER_hh_tesh_in!R28=0,0,SER_hh_tesh_in!R28/SER_summary!R$27)</f>
        <v>9.121475284524772</v>
      </c>
      <c r="S28" s="146">
        <f>IF(SER_hh_tesh_in!S28=0,0,SER_hh_tesh_in!S28/SER_summary!S$27)</f>
        <v>9.2898787611563627</v>
      </c>
      <c r="T28" s="146">
        <f>IF(SER_hh_tesh_in!T28=0,0,SER_hh_tesh_in!T28/SER_summary!T$27)</f>
        <v>7.6728644441242171</v>
      </c>
      <c r="U28" s="146">
        <f>IF(SER_hh_tesh_in!U28=0,0,SER_hh_tesh_in!U28/SER_summary!U$27)</f>
        <v>8.3532140985308665</v>
      </c>
      <c r="V28" s="146">
        <f>IF(SER_hh_tesh_in!V28=0,0,SER_hh_tesh_in!V28/SER_summary!V$27)</f>
        <v>7.8054568299079552</v>
      </c>
      <c r="W28" s="146">
        <f>IF(SER_hh_tesh_in!W28=0,0,SER_hh_tesh_in!W28/SER_summary!W$27)</f>
        <v>8.1272723484223857</v>
      </c>
      <c r="X28" s="146">
        <f>IF(SER_hh_tesh_in!X28=0,0,SER_hh_tesh_in!X28/SER_summary!X$27)</f>
        <v>10.093064846530273</v>
      </c>
      <c r="Y28" s="146">
        <f>IF(SER_hh_tesh_in!Y28=0,0,SER_hh_tesh_in!Y28/SER_summary!Y$27)</f>
        <v>11.630062751578903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13.972249978246056</v>
      </c>
      <c r="D29" s="130">
        <f>IF(SER_hh_tesh_in!D29=0,0,SER_hh_tesh_in!D29/SER_summary!D$27)</f>
        <v>15.507946606157301</v>
      </c>
      <c r="E29" s="130">
        <f>IF(SER_hh_tesh_in!E29=0,0,SER_hh_tesh_in!E29/SER_summary!E$27)</f>
        <v>17.479005595067935</v>
      </c>
      <c r="F29" s="130">
        <f>IF(SER_hh_tesh_in!F29=0,0,SER_hh_tesh_in!F29/SER_summary!F$27)</f>
        <v>17.530720587621381</v>
      </c>
      <c r="G29" s="130">
        <f>IF(SER_hh_tesh_in!G29=0,0,SER_hh_tesh_in!G29/SER_summary!G$27)</f>
        <v>17.808603352260192</v>
      </c>
      <c r="H29" s="130">
        <f>IF(SER_hh_tesh_in!H29=0,0,SER_hh_tesh_in!H29/SER_summary!H$27)</f>
        <v>18.124534674273761</v>
      </c>
      <c r="I29" s="130">
        <f>IF(SER_hh_tesh_in!I29=0,0,SER_hh_tesh_in!I29/SER_summary!I$27)</f>
        <v>18.813987594733394</v>
      </c>
      <c r="J29" s="130">
        <f>IF(SER_hh_tesh_in!J29=0,0,SER_hh_tesh_in!J29/SER_summary!J$27)</f>
        <v>19.24982317775445</v>
      </c>
      <c r="K29" s="130">
        <f>IF(SER_hh_tesh_in!K29=0,0,SER_hh_tesh_in!K29/SER_summary!K$27)</f>
        <v>18.900243149912107</v>
      </c>
      <c r="L29" s="130">
        <f>IF(SER_hh_tesh_in!L29=0,0,SER_hh_tesh_in!L29/SER_summary!L$27)</f>
        <v>19.07407070209371</v>
      </c>
      <c r="M29" s="130">
        <f>IF(SER_hh_tesh_in!M29=0,0,SER_hh_tesh_in!M29/SER_summary!M$27)</f>
        <v>19.175945754545332</v>
      </c>
      <c r="N29" s="130">
        <f>IF(SER_hh_tesh_in!N29=0,0,SER_hh_tesh_in!N29/SER_summary!N$27)</f>
        <v>19.052215169956529</v>
      </c>
      <c r="O29" s="130">
        <f>IF(SER_hh_tesh_in!O29=0,0,SER_hh_tesh_in!O29/SER_summary!O$27)</f>
        <v>18.971969661906677</v>
      </c>
      <c r="P29" s="130">
        <f>IF(SER_hh_tesh_in!P29=0,0,SER_hh_tesh_in!P29/SER_summary!P$27)</f>
        <v>18.96225536213483</v>
      </c>
      <c r="Q29" s="130">
        <f>IF(SER_hh_tesh_in!Q29=0,0,SER_hh_tesh_in!Q29/SER_summary!Q$27)</f>
        <v>18.975457241852048</v>
      </c>
      <c r="R29" s="130">
        <f>IF(SER_hh_tesh_in!R29=0,0,SER_hh_tesh_in!R29/SER_summary!R$27)</f>
        <v>18.882181396923329</v>
      </c>
      <c r="S29" s="130">
        <f>IF(SER_hh_tesh_in!S29=0,0,SER_hh_tesh_in!S29/SER_summary!S$27)</f>
        <v>18.41384053119517</v>
      </c>
      <c r="T29" s="130">
        <f>IF(SER_hh_tesh_in!T29=0,0,SER_hh_tesh_in!T29/SER_summary!T$27)</f>
        <v>18.508810492926465</v>
      </c>
      <c r="U29" s="130">
        <f>IF(SER_hh_tesh_in!U29=0,0,SER_hh_tesh_in!U29/SER_summary!U$27)</f>
        <v>18.263701545301053</v>
      </c>
      <c r="V29" s="130">
        <f>IF(SER_hh_tesh_in!V29=0,0,SER_hh_tesh_in!V29/SER_summary!V$27)</f>
        <v>17.148427188652978</v>
      </c>
      <c r="W29" s="130">
        <f>IF(SER_hh_tesh_in!W29=0,0,SER_hh_tesh_in!W29/SER_summary!W$27)</f>
        <v>17.720689898843023</v>
      </c>
      <c r="X29" s="130">
        <f>IF(SER_hh_tesh_in!X29=0,0,SER_hh_tesh_in!X29/SER_summary!X$27)</f>
        <v>17.813026324596262</v>
      </c>
      <c r="Y29" s="130">
        <f>IF(SER_hh_tesh_in!Y29=0,0,SER_hh_tesh_in!Y29/SER_summary!Y$27)</f>
        <v>17.78080572325684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16.565073877661344</v>
      </c>
      <c r="D30" s="132">
        <f>IF(SER_hh_tesh_in!D30=0,0,SER_hh_tesh_in!D30/SER_summary!D$27)</f>
        <v>13.565359681939713</v>
      </c>
      <c r="E30" s="132">
        <f>IF(SER_hh_tesh_in!E30=0,0,SER_hh_tesh_in!E30/SER_summary!E$27)</f>
        <v>19.847848101689102</v>
      </c>
      <c r="F30" s="132">
        <f>IF(SER_hh_tesh_in!F30=0,0,SER_hh_tesh_in!F30/SER_summary!F$27)</f>
        <v>17.905204868069237</v>
      </c>
      <c r="G30" s="132">
        <f>IF(SER_hh_tesh_in!G30=0,0,SER_hh_tesh_in!G30/SER_summary!G$27)</f>
        <v>17.28779147804369</v>
      </c>
      <c r="H30" s="132">
        <f>IF(SER_hh_tesh_in!H30=0,0,SER_hh_tesh_in!H30/SER_summary!H$27)</f>
        <v>19.34716455819996</v>
      </c>
      <c r="I30" s="132">
        <f>IF(SER_hh_tesh_in!I30=0,0,SER_hh_tesh_in!I30/SER_summary!I$27)</f>
        <v>20.581858286102918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18.952516399462812</v>
      </c>
      <c r="O30" s="132">
        <f>IF(SER_hh_tesh_in!O30=0,0,SER_hh_tesh_in!O30/SER_summary!O$27)</f>
        <v>19.533668730904683</v>
      </c>
      <c r="P30" s="132">
        <f>IF(SER_hh_tesh_in!P30=0,0,SER_hh_tesh_in!P30/SER_summary!P$27)</f>
        <v>16.984436133648206</v>
      </c>
      <c r="Q30" s="132">
        <f>IF(SER_hh_tesh_in!Q30=0,0,SER_hh_tesh_in!Q30/SER_summary!Q$27)</f>
        <v>18.872415628991774</v>
      </c>
      <c r="R30" s="132">
        <f>IF(SER_hh_tesh_in!R30=0,0,SER_hh_tesh_in!R30/SER_summary!R$27)</f>
        <v>19.49132109202051</v>
      </c>
      <c r="S30" s="132">
        <f>IF(SER_hh_tesh_in!S30=0,0,SER_hh_tesh_in!S30/SER_summary!S$27)</f>
        <v>18.921101125417195</v>
      </c>
      <c r="T30" s="132">
        <f>IF(SER_hh_tesh_in!T30=0,0,SER_hh_tesh_in!T30/SER_summary!T$27)</f>
        <v>18.040294848536497</v>
      </c>
      <c r="U30" s="132">
        <f>IF(SER_hh_tesh_in!U30=0,0,SER_hh_tesh_in!U30/SER_summary!U$27)</f>
        <v>21.043281328966565</v>
      </c>
      <c r="V30" s="132">
        <f>IF(SER_hh_tesh_in!V30=0,0,SER_hh_tesh_in!V30/SER_summary!V$27)</f>
        <v>14.915187042895287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13.842954875393533</v>
      </c>
      <c r="D31" s="132">
        <f>IF(SER_hh_tesh_in!D31=0,0,SER_hh_tesh_in!D31/SER_summary!D$27)</f>
        <v>15.653718112480759</v>
      </c>
      <c r="E31" s="132">
        <f>IF(SER_hh_tesh_in!E31=0,0,SER_hh_tesh_in!E31/SER_summary!E$27)</f>
        <v>17.172661161929533</v>
      </c>
      <c r="F31" s="132">
        <f>IF(SER_hh_tesh_in!F31=0,0,SER_hh_tesh_in!F31/SER_summary!F$27)</f>
        <v>17.160914716410574</v>
      </c>
      <c r="G31" s="132">
        <f>IF(SER_hh_tesh_in!G31=0,0,SER_hh_tesh_in!G31/SER_summary!G$27)</f>
        <v>17.998550586763731</v>
      </c>
      <c r="H31" s="132">
        <f>IF(SER_hh_tesh_in!H31=0,0,SER_hh_tesh_in!H31/SER_summary!H$27)</f>
        <v>18.538963181939568</v>
      </c>
      <c r="I31" s="132">
        <f>IF(SER_hh_tesh_in!I31=0,0,SER_hh_tesh_in!I31/SER_summary!I$27)</f>
        <v>18.843669120558779</v>
      </c>
      <c r="J31" s="132">
        <f>IF(SER_hh_tesh_in!J31=0,0,SER_hh_tesh_in!J31/SER_summary!J$27)</f>
        <v>19.028626547522574</v>
      </c>
      <c r="K31" s="132">
        <f>IF(SER_hh_tesh_in!K31=0,0,SER_hh_tesh_in!K31/SER_summary!K$27)</f>
        <v>18.915969141636751</v>
      </c>
      <c r="L31" s="132">
        <f>IF(SER_hh_tesh_in!L31=0,0,SER_hh_tesh_in!L31/SER_summary!L$27)</f>
        <v>18.085564207353286</v>
      </c>
      <c r="M31" s="132">
        <f>IF(SER_hh_tesh_in!M31=0,0,SER_hh_tesh_in!M31/SER_summary!M$27)</f>
        <v>19.156540903901465</v>
      </c>
      <c r="N31" s="132">
        <f>IF(SER_hh_tesh_in!N31=0,0,SER_hh_tesh_in!N31/SER_summary!N$27)</f>
        <v>19.679435494753537</v>
      </c>
      <c r="O31" s="132">
        <f>IF(SER_hh_tesh_in!O31=0,0,SER_hh_tesh_in!O31/SER_summary!O$27)</f>
        <v>19.218533695090809</v>
      </c>
      <c r="P31" s="132">
        <f>IF(SER_hh_tesh_in!P31=0,0,SER_hh_tesh_in!P31/SER_summary!P$27)</f>
        <v>18.915897405259315</v>
      </c>
      <c r="Q31" s="132">
        <f>IF(SER_hh_tesh_in!Q31=0,0,SER_hh_tesh_in!Q31/SER_summary!Q$27)</f>
        <v>19.469650102619035</v>
      </c>
      <c r="R31" s="132">
        <f>IF(SER_hh_tesh_in!R31=0,0,SER_hh_tesh_in!R31/SER_summary!R$27)</f>
        <v>18.962015822233806</v>
      </c>
      <c r="S31" s="132">
        <f>IF(SER_hh_tesh_in!S31=0,0,SER_hh_tesh_in!S31/SER_summary!S$27)</f>
        <v>18.261530691353421</v>
      </c>
      <c r="T31" s="132">
        <f>IF(SER_hh_tesh_in!T31=0,0,SER_hh_tesh_in!T31/SER_summary!T$27)</f>
        <v>18.192007161311523</v>
      </c>
      <c r="U31" s="132">
        <f>IF(SER_hh_tesh_in!U31=0,0,SER_hh_tesh_in!U31/SER_summary!U$27)</f>
        <v>18.419380830980423</v>
      </c>
      <c r="V31" s="132">
        <f>IF(SER_hh_tesh_in!V31=0,0,SER_hh_tesh_in!V31/SER_summary!V$27)</f>
        <v>15.036691843333077</v>
      </c>
      <c r="W31" s="132">
        <f>IF(SER_hh_tesh_in!W31=0,0,SER_hh_tesh_in!W31/SER_summary!W$27)</f>
        <v>18.760287284294751</v>
      </c>
      <c r="X31" s="132">
        <f>IF(SER_hh_tesh_in!X31=0,0,SER_hh_tesh_in!X31/SER_summary!X$27)</f>
        <v>17.916924193789306</v>
      </c>
      <c r="Y31" s="132">
        <f>IF(SER_hh_tesh_in!Y31=0,0,SER_hh_tesh_in!Y31/SER_summary!Y$27)</f>
        <v>17.857652203737764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13.658570552763461</v>
      </c>
      <c r="D33" s="68">
        <f>IF(SER_hh_tesh_in!D33=0,0,SER_hh_tesh_in!D33/SER_summary!D$27)</f>
        <v>15.780262274670594</v>
      </c>
      <c r="E33" s="68">
        <f>IF(SER_hh_tesh_in!E33=0,0,SER_hh_tesh_in!E33/SER_summary!E$27)</f>
        <v>17.20651811649298</v>
      </c>
      <c r="F33" s="68">
        <f>IF(SER_hh_tesh_in!F33=0,0,SER_hh_tesh_in!F33/SER_summary!F$27)</f>
        <v>17.599960685072787</v>
      </c>
      <c r="G33" s="68">
        <f>IF(SER_hh_tesh_in!G33=0,0,SER_hh_tesh_in!G33/SER_summary!G$27)</f>
        <v>17.785168792662606</v>
      </c>
      <c r="H33" s="68">
        <f>IF(SER_hh_tesh_in!H33=0,0,SER_hh_tesh_in!H33/SER_summary!H$27)</f>
        <v>17.97396458243259</v>
      </c>
      <c r="I33" s="68">
        <f>IF(SER_hh_tesh_in!I33=0,0,SER_hh_tesh_in!I33/SER_summary!I$27)</f>
        <v>18.794742380875373</v>
      </c>
      <c r="J33" s="68">
        <f>IF(SER_hh_tesh_in!J33=0,0,SER_hh_tesh_in!J33/SER_summary!J$27)</f>
        <v>19.291441108889554</v>
      </c>
      <c r="K33" s="68">
        <f>IF(SER_hh_tesh_in!K33=0,0,SER_hh_tesh_in!K33/SER_summary!K$27)</f>
        <v>18.896504414588005</v>
      </c>
      <c r="L33" s="68">
        <f>IF(SER_hh_tesh_in!L33=0,0,SER_hh_tesh_in!L33/SER_summary!L$27)</f>
        <v>19.485459773702484</v>
      </c>
      <c r="M33" s="68">
        <f>IF(SER_hh_tesh_in!M33=0,0,SER_hh_tesh_in!M33/SER_summary!M$27)</f>
        <v>19.18769491275842</v>
      </c>
      <c r="N33" s="68">
        <f>IF(SER_hh_tesh_in!N33=0,0,SER_hh_tesh_in!N33/SER_summary!N$27)</f>
        <v>18.695802899111463</v>
      </c>
      <c r="O33" s="68">
        <f>IF(SER_hh_tesh_in!O33=0,0,SER_hh_tesh_in!O33/SER_summary!O$27)</f>
        <v>18.809400023188577</v>
      </c>
      <c r="P33" s="68">
        <f>IF(SER_hh_tesh_in!P33=0,0,SER_hh_tesh_in!P33/SER_summary!P$27)</f>
        <v>19.09240698541268</v>
      </c>
      <c r="Q33" s="68">
        <f>IF(SER_hh_tesh_in!Q33=0,0,SER_hh_tesh_in!Q33/SER_summary!Q$27)</f>
        <v>18.859666575785944</v>
      </c>
      <c r="R33" s="68">
        <f>IF(SER_hh_tesh_in!R33=0,0,SER_hh_tesh_in!R33/SER_summary!R$27)</f>
        <v>18.835269344781079</v>
      </c>
      <c r="S33" s="68">
        <f>IF(SER_hh_tesh_in!S33=0,0,SER_hh_tesh_in!S33/SER_summary!S$27)</f>
        <v>18.417555954016532</v>
      </c>
      <c r="T33" s="68">
        <f>IF(SER_hh_tesh_in!T33=0,0,SER_hh_tesh_in!T33/SER_summary!T$27)</f>
        <v>18.564652446943679</v>
      </c>
      <c r="U33" s="68">
        <f>IF(SER_hh_tesh_in!U33=0,0,SER_hh_tesh_in!U33/SER_summary!U$27)</f>
        <v>18.189989725028081</v>
      </c>
      <c r="V33" s="68">
        <f>IF(SER_hh_tesh_in!V33=0,0,SER_hh_tesh_in!V33/SER_summary!V$27)</f>
        <v>17.854907299180343</v>
      </c>
      <c r="W33" s="68">
        <f>IF(SER_hh_tesh_in!W33=0,0,SER_hh_tesh_in!W33/SER_summary!W$27)</f>
        <v>16.911970256816204</v>
      </c>
      <c r="X33" s="68">
        <f>IF(SER_hh_tesh_in!X33=0,0,SER_hh_tesh_in!X33/SER_summary!X$27)</f>
        <v>17.753683153686161</v>
      </c>
      <c r="Y33" s="68">
        <f>IF(SER_hh_tesh_in!Y33=0,0,SER_hh_tesh_in!Y33/SER_summary!Y$27)</f>
        <v>17.752008382194713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26.695241685822864</v>
      </c>
      <c r="D3" s="125">
        <f>IF(SER_hh_emih_in!D3=0,0,SER_hh_emih_in!D3/SER_summary!D$27)</f>
        <v>32.911448278706025</v>
      </c>
      <c r="E3" s="125">
        <f>IF(SER_hh_emih_in!E3=0,0,SER_hh_emih_in!E3/SER_summary!E$27)</f>
        <v>30.380835572465426</v>
      </c>
      <c r="F3" s="125">
        <f>IF(SER_hh_emih_in!F3=0,0,SER_hh_emih_in!F3/SER_summary!F$27)</f>
        <v>19.274707121408966</v>
      </c>
      <c r="G3" s="125">
        <f>IF(SER_hh_emih_in!G3=0,0,SER_hh_emih_in!G3/SER_summary!G$27)</f>
        <v>15.981391473035981</v>
      </c>
      <c r="H3" s="125">
        <f>IF(SER_hh_emih_in!H3=0,0,SER_hh_emih_in!H3/SER_summary!H$27)</f>
        <v>21.364952573353939</v>
      </c>
      <c r="I3" s="125">
        <f>IF(SER_hh_emih_in!I3=0,0,SER_hh_emih_in!I3/SER_summary!I$27)</f>
        <v>21.522829242403493</v>
      </c>
      <c r="J3" s="125">
        <f>IF(SER_hh_emih_in!J3=0,0,SER_hh_emih_in!J3/SER_summary!J$27)</f>
        <v>21.735960976785577</v>
      </c>
      <c r="K3" s="125">
        <f>IF(SER_hh_emih_in!K3=0,0,SER_hh_emih_in!K3/SER_summary!K$27)</f>
        <v>24.720330091951936</v>
      </c>
      <c r="L3" s="125">
        <f>IF(SER_hh_emih_in!L3=0,0,SER_hh_emih_in!L3/SER_summary!L$27)</f>
        <v>22.979068067096716</v>
      </c>
      <c r="M3" s="125">
        <f>IF(SER_hh_emih_in!M3=0,0,SER_hh_emih_in!M3/SER_summary!M$27)</f>
        <v>22.092728443607285</v>
      </c>
      <c r="N3" s="125">
        <f>IF(SER_hh_emih_in!N3=0,0,SER_hh_emih_in!N3/SER_summary!N$27)</f>
        <v>18.740463547947094</v>
      </c>
      <c r="O3" s="125">
        <f>IF(SER_hh_emih_in!O3=0,0,SER_hh_emih_in!O3/SER_summary!O$27)</f>
        <v>14.953335860566126</v>
      </c>
      <c r="P3" s="125">
        <f>IF(SER_hh_emih_in!P3=0,0,SER_hh_emih_in!P3/SER_summary!P$27)</f>
        <v>11.766224491706414</v>
      </c>
      <c r="Q3" s="125">
        <f>IF(SER_hh_emih_in!Q3=0,0,SER_hh_emih_in!Q3/SER_summary!Q$27)</f>
        <v>12.303066974009351</v>
      </c>
      <c r="R3" s="125">
        <f>IF(SER_hh_emih_in!R3=0,0,SER_hh_emih_in!R3/SER_summary!R$27)</f>
        <v>10.475321979318567</v>
      </c>
      <c r="S3" s="125">
        <f>IF(SER_hh_emih_in!S3=0,0,SER_hh_emih_in!S3/SER_summary!S$27)</f>
        <v>8.4094190429307503</v>
      </c>
      <c r="T3" s="125">
        <f>IF(SER_hh_emih_in!T3=0,0,SER_hh_emih_in!T3/SER_summary!T$27)</f>
        <v>6.4085727373973675</v>
      </c>
      <c r="U3" s="125">
        <f>IF(SER_hh_emih_in!U3=0,0,SER_hh_emih_in!U3/SER_summary!U$27)</f>
        <v>6.4100231141490074</v>
      </c>
      <c r="V3" s="125">
        <f>IF(SER_hh_emih_in!V3=0,0,SER_hh_emih_in!V3/SER_summary!V$27)</f>
        <v>6.3448010927803233</v>
      </c>
      <c r="W3" s="125">
        <f>IF(SER_hh_emih_in!W3=0,0,SER_hh_emih_in!W3/SER_summary!W$27)</f>
        <v>7.7406413406485921</v>
      </c>
      <c r="X3" s="125">
        <f>IF(SER_hh_emih_in!X3=0,0,SER_hh_emih_in!X3/SER_summary!X$27)</f>
        <v>6.3620877997398964</v>
      </c>
      <c r="Y3" s="125">
        <f>IF(SER_hh_emih_in!Y3=0,0,SER_hh_emih_in!Y3/SER_summary!Y$27)</f>
        <v>4.3288058680739958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22.403017087465408</v>
      </c>
      <c r="D4" s="130">
        <f>IF(SER_hh_emih_in!D4=0,0,SER_hh_emih_in!D4/SER_summary!D$27)</f>
        <v>28.294160233579024</v>
      </c>
      <c r="E4" s="130">
        <f>IF(SER_hh_emih_in!E4=0,0,SER_hh_emih_in!E4/SER_summary!E$27)</f>
        <v>25.618707407225504</v>
      </c>
      <c r="F4" s="130">
        <f>IF(SER_hh_emih_in!F4=0,0,SER_hh_emih_in!F4/SER_summary!F$27)</f>
        <v>16.238206958116738</v>
      </c>
      <c r="G4" s="130">
        <f>IF(SER_hh_emih_in!G4=0,0,SER_hh_emih_in!G4/SER_summary!G$27)</f>
        <v>13.188726834148715</v>
      </c>
      <c r="H4" s="130">
        <f>IF(SER_hh_emih_in!H4=0,0,SER_hh_emih_in!H4/SER_summary!H$27)</f>
        <v>19.038432572800069</v>
      </c>
      <c r="I4" s="130">
        <f>IF(SER_hh_emih_in!I4=0,0,SER_hh_emih_in!I4/SER_summary!I$27)</f>
        <v>19.204988687008516</v>
      </c>
      <c r="J4" s="130">
        <f>IF(SER_hh_emih_in!J4=0,0,SER_hh_emih_in!J4/SER_summary!J$27)</f>
        <v>19.220316128227068</v>
      </c>
      <c r="K4" s="130">
        <f>IF(SER_hh_emih_in!K4=0,0,SER_hh_emih_in!K4/SER_summary!K$27)</f>
        <v>21.769760176893428</v>
      </c>
      <c r="L4" s="130">
        <f>IF(SER_hh_emih_in!L4=0,0,SER_hh_emih_in!L4/SER_summary!L$27)</f>
        <v>18.321832856389825</v>
      </c>
      <c r="M4" s="130">
        <f>IF(SER_hh_emih_in!M4=0,0,SER_hh_emih_in!M4/SER_summary!M$27)</f>
        <v>17.84565133602619</v>
      </c>
      <c r="N4" s="130">
        <f>IF(SER_hh_emih_in!N4=0,0,SER_hh_emih_in!N4/SER_summary!N$27)</f>
        <v>14.419971989324626</v>
      </c>
      <c r="O4" s="130">
        <f>IF(SER_hh_emih_in!O4=0,0,SER_hh_emih_in!O4/SER_summary!O$27)</f>
        <v>11.086687064258747</v>
      </c>
      <c r="P4" s="130">
        <f>IF(SER_hh_emih_in!P4=0,0,SER_hh_emih_in!P4/SER_summary!P$27)</f>
        <v>8.8224199464676243</v>
      </c>
      <c r="Q4" s="130">
        <f>IF(SER_hh_emih_in!Q4=0,0,SER_hh_emih_in!Q4/SER_summary!Q$27)</f>
        <v>9.3976526862281933</v>
      </c>
      <c r="R4" s="130">
        <f>IF(SER_hh_emih_in!R4=0,0,SER_hh_emih_in!R4/SER_summary!R$27)</f>
        <v>8.005066810830213</v>
      </c>
      <c r="S4" s="130">
        <f>IF(SER_hh_emih_in!S4=0,0,SER_hh_emih_in!S4/SER_summary!S$27)</f>
        <v>6.7307443233371798</v>
      </c>
      <c r="T4" s="130">
        <f>IF(SER_hh_emih_in!T4=0,0,SER_hh_emih_in!T4/SER_summary!T$27)</f>
        <v>5.1825008811732802</v>
      </c>
      <c r="U4" s="130">
        <f>IF(SER_hh_emih_in!U4=0,0,SER_hh_emih_in!U4/SER_summary!U$27)</f>
        <v>4.7651658954378791</v>
      </c>
      <c r="V4" s="130">
        <f>IF(SER_hh_emih_in!V4=0,0,SER_hh_emih_in!V4/SER_summary!V$27)</f>
        <v>4.7246217440982026</v>
      </c>
      <c r="W4" s="130">
        <f>IF(SER_hh_emih_in!W4=0,0,SER_hh_emih_in!W4/SER_summary!W$27)</f>
        <v>4.4338175058407971</v>
      </c>
      <c r="X4" s="130">
        <f>IF(SER_hh_emih_in!X4=0,0,SER_hh_emih_in!X4/SER_summary!X$27)</f>
        <v>3.7274704658053213</v>
      </c>
      <c r="Y4" s="130">
        <f>IF(SER_hh_emih_in!Y4=0,0,SER_hh_emih_in!Y4/SER_summary!Y$27)</f>
        <v>2.1193889076188146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34.022367263135635</v>
      </c>
      <c r="D5" s="132">
        <f>IF(SER_hh_emih_in!D5=0,0,SER_hh_emih_in!D5/SER_summary!D$27)</f>
        <v>55.992843725682476</v>
      </c>
      <c r="E5" s="132">
        <f>IF(SER_hh_emih_in!E5=0,0,SER_hh_emih_in!E5/SER_summary!E$27)</f>
        <v>53.531098456870353</v>
      </c>
      <c r="F5" s="132">
        <f>IF(SER_hh_emih_in!F5=0,0,SER_hh_emih_in!F5/SER_summary!F$27)</f>
        <v>49.325554428741064</v>
      </c>
      <c r="G5" s="132">
        <f>IF(SER_hh_emih_in!G5=0,0,SER_hh_emih_in!G5/SER_summary!G$27)</f>
        <v>47.072597448150979</v>
      </c>
      <c r="H5" s="132">
        <f>IF(SER_hh_emih_in!H5=0,0,SER_hh_emih_in!H5/SER_summary!H$27)</f>
        <v>52.79983901712027</v>
      </c>
      <c r="I5" s="132">
        <f>IF(SER_hh_emih_in!I5=0,0,SER_hh_emih_in!I5/SER_summary!I$27)</f>
        <v>43.030362375058679</v>
      </c>
      <c r="J5" s="132">
        <f>IF(SER_hh_emih_in!J5=0,0,SER_hh_emih_in!J5/SER_summary!J$27)</f>
        <v>45.820375143208601</v>
      </c>
      <c r="K5" s="132">
        <f>IF(SER_hh_emih_in!K5=0,0,SER_hh_emih_in!K5/SER_summary!K$27)</f>
        <v>46.84968430297895</v>
      </c>
      <c r="L5" s="132">
        <f>IF(SER_hh_emih_in!L5=0,0,SER_hh_emih_in!L5/SER_summary!L$27)</f>
        <v>51.291966328489153</v>
      </c>
      <c r="M5" s="132">
        <f>IF(SER_hh_emih_in!M5=0,0,SER_hh_emih_in!M5/SER_summary!M$27)</f>
        <v>43.190575388602852</v>
      </c>
      <c r="N5" s="132">
        <f>IF(SER_hh_emih_in!N5=0,0,SER_hh_emih_in!N5/SER_summary!N$27)</f>
        <v>41.97117596520107</v>
      </c>
      <c r="O5" s="132">
        <f>IF(SER_hh_emih_in!O5=0,0,SER_hh_emih_in!O5/SER_summary!O$27)</f>
        <v>37.712895763318194</v>
      </c>
      <c r="P5" s="132">
        <f>IF(SER_hh_emih_in!P5=0,0,SER_hh_emih_in!P5/SER_summary!P$27)</f>
        <v>32.221869090617524</v>
      </c>
      <c r="Q5" s="132">
        <f>IF(SER_hh_emih_in!Q5=0,0,SER_hh_emih_in!Q5/SER_summary!Q$27)</f>
        <v>30.195130310430521</v>
      </c>
      <c r="R5" s="132">
        <f>IF(SER_hh_emih_in!R5=0,0,SER_hh_emih_in!R5/SER_summary!R$27)</f>
        <v>30.661658370767011</v>
      </c>
      <c r="S5" s="132">
        <f>IF(SER_hh_emih_in!S5=0,0,SER_hh_emih_in!S5/SER_summary!S$27)</f>
        <v>29.052995801561519</v>
      </c>
      <c r="T5" s="132">
        <f>IF(SER_hh_emih_in!T5=0,0,SER_hh_emih_in!T5/SER_summary!T$27)</f>
        <v>26.08860750558625</v>
      </c>
      <c r="U5" s="132">
        <f>IF(SER_hh_emih_in!U5=0,0,SER_hh_emih_in!U5/SER_summary!U$27)</f>
        <v>20.437087613278635</v>
      </c>
      <c r="V5" s="132">
        <f>IF(SER_hh_emih_in!V5=0,0,SER_hh_emih_in!V5/SER_summary!V$27)</f>
        <v>20.326605478059896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44.100077630677347</v>
      </c>
      <c r="D7" s="132">
        <f>IF(SER_hh_emih_in!D7=0,0,SER_hh_emih_in!D7/SER_summary!D$27)</f>
        <v>46.957110365990225</v>
      </c>
      <c r="E7" s="132">
        <f>IF(SER_hh_emih_in!E7=0,0,SER_hh_emih_in!E7/SER_summary!E$27)</f>
        <v>46.538145050176716</v>
      </c>
      <c r="F7" s="132">
        <f>IF(SER_hh_emih_in!F7=0,0,SER_hh_emih_in!F7/SER_summary!F$27)</f>
        <v>42.804075852546731</v>
      </c>
      <c r="G7" s="132">
        <f>IF(SER_hh_emih_in!G7=0,0,SER_hh_emih_in!G7/SER_summary!G$27)</f>
        <v>33.054920912734772</v>
      </c>
      <c r="H7" s="132">
        <f>IF(SER_hh_emih_in!H7=0,0,SER_hh_emih_in!H7/SER_summary!H$27)</f>
        <v>51.364134082135003</v>
      </c>
      <c r="I7" s="132">
        <f>IF(SER_hh_emih_in!I7=0,0,SER_hh_emih_in!I7/SER_summary!I$27)</f>
        <v>44.435349613087631</v>
      </c>
      <c r="J7" s="132">
        <f>IF(SER_hh_emih_in!J7=0,0,SER_hh_emih_in!J7/SER_summary!J$27)</f>
        <v>42.502708274856751</v>
      </c>
      <c r="K7" s="132">
        <f>IF(SER_hh_emih_in!K7=0,0,SER_hh_emih_in!K7/SER_summary!K$27)</f>
        <v>39.074921463218288</v>
      </c>
      <c r="L7" s="132">
        <f>IF(SER_hh_emih_in!L7=0,0,SER_hh_emih_in!L7/SER_summary!L$27)</f>
        <v>48.23844231988123</v>
      </c>
      <c r="M7" s="132">
        <f>IF(SER_hh_emih_in!M7=0,0,SER_hh_emih_in!M7/SER_summary!M$27)</f>
        <v>44.451276275422785</v>
      </c>
      <c r="N7" s="132">
        <f>IF(SER_hh_emih_in!N7=0,0,SER_hh_emih_in!N7/SER_summary!N$27)</f>
        <v>0</v>
      </c>
      <c r="O7" s="132">
        <f>IF(SER_hh_emih_in!O7=0,0,SER_hh_emih_in!O7/SER_summary!O$27)</f>
        <v>0</v>
      </c>
      <c r="P7" s="132">
        <f>IF(SER_hh_emih_in!P7=0,0,SER_hh_emih_in!P7/SER_summary!P$27)</f>
        <v>0</v>
      </c>
      <c r="Q7" s="132">
        <f>IF(SER_hh_emih_in!Q7=0,0,SER_hh_emih_in!Q7/SER_summary!Q$27)</f>
        <v>23.452897161530863</v>
      </c>
      <c r="R7" s="132">
        <f>IF(SER_hh_emih_in!R7=0,0,SER_hh_emih_in!R7/SER_summary!R$27)</f>
        <v>22.304362982146081</v>
      </c>
      <c r="S7" s="132">
        <f>IF(SER_hh_emih_in!S7=0,0,SER_hh_emih_in!S7/SER_summary!S$27)</f>
        <v>21.419077739410923</v>
      </c>
      <c r="T7" s="132">
        <f>IF(SER_hh_emih_in!T7=0,0,SER_hh_emih_in!T7/SER_summary!T$27)</f>
        <v>20.85561848779037</v>
      </c>
      <c r="U7" s="132">
        <f>IF(SER_hh_emih_in!U7=0,0,SER_hh_emih_in!U7/SER_summary!U$27)</f>
        <v>17.288521067590793</v>
      </c>
      <c r="V7" s="132">
        <f>IF(SER_hh_emih_in!V7=0,0,SER_hh_emih_in!V7/SER_summary!V$27)</f>
        <v>16.622746748720413</v>
      </c>
      <c r="W7" s="132">
        <f>IF(SER_hh_emih_in!W7=0,0,SER_hh_emih_in!W7/SER_summary!W$27)</f>
        <v>16.912202729047774</v>
      </c>
      <c r="X7" s="132">
        <f>IF(SER_hh_emih_in!X7=0,0,SER_hh_emih_in!X7/SER_summary!X$27)</f>
        <v>14.645132171842659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13.930733201331043</v>
      </c>
      <c r="D8" s="132">
        <f>IF(SER_hh_emih_in!D8=0,0,SER_hh_emih_in!D8/SER_summary!D$27)</f>
        <v>14.043369163471942</v>
      </c>
      <c r="E8" s="132">
        <f>IF(SER_hh_emih_in!E8=0,0,SER_hh_emih_in!E8/SER_summary!E$27)</f>
        <v>14.214656729839252</v>
      </c>
      <c r="F8" s="132">
        <f>IF(SER_hh_emih_in!F8=0,0,SER_hh_emih_in!F8/SER_summary!F$27)</f>
        <v>13.360649257226685</v>
      </c>
      <c r="G8" s="132">
        <f>IF(SER_hh_emih_in!G8=0,0,SER_hh_emih_in!G8/SER_summary!G$27)</f>
        <v>12.606817406718422</v>
      </c>
      <c r="H8" s="132">
        <f>IF(SER_hh_emih_in!H8=0,0,SER_hh_emih_in!H8/SER_summary!H$27)</f>
        <v>11.853548284181503</v>
      </c>
      <c r="I8" s="132">
        <f>IF(SER_hh_emih_in!I8=0,0,SER_hh_emih_in!I8/SER_summary!I$27)</f>
        <v>11.123145793184777</v>
      </c>
      <c r="J8" s="132">
        <f>IF(SER_hh_emih_in!J8=0,0,SER_hh_emih_in!J8/SER_summary!J$27)</f>
        <v>11.028616432759017</v>
      </c>
      <c r="K8" s="132">
        <f>IF(SER_hh_emih_in!K8=0,0,SER_hh_emih_in!K8/SER_summary!K$27)</f>
        <v>11.092531249771689</v>
      </c>
      <c r="L8" s="132">
        <f>IF(SER_hh_emih_in!L8=0,0,SER_hh_emih_in!L8/SER_summary!L$27)</f>
        <v>10.525432329780859</v>
      </c>
      <c r="M8" s="132">
        <f>IF(SER_hh_emih_in!M8=0,0,SER_hh_emih_in!M8/SER_summary!M$27)</f>
        <v>8.5143653818662699</v>
      </c>
      <c r="N8" s="132">
        <f>IF(SER_hh_emih_in!N8=0,0,SER_hh_emih_in!N8/SER_summary!N$27)</f>
        <v>7.8510236231359833</v>
      </c>
      <c r="O8" s="132">
        <f>IF(SER_hh_emih_in!O8=0,0,SER_hh_emih_in!O8/SER_summary!O$27)</f>
        <v>6.1311284648883841</v>
      </c>
      <c r="P8" s="132">
        <f>IF(SER_hh_emih_in!P8=0,0,SER_hh_emih_in!P8/SER_summary!P$27)</f>
        <v>6.3115971264228756</v>
      </c>
      <c r="Q8" s="132">
        <f>IF(SER_hh_emih_in!Q8=0,0,SER_hh_emih_in!Q8/SER_summary!Q$27)</f>
        <v>5.5548826932314661</v>
      </c>
      <c r="R8" s="132">
        <f>IF(SER_hh_emih_in!R8=0,0,SER_hh_emih_in!R8/SER_summary!R$27)</f>
        <v>5.1767159899404502</v>
      </c>
      <c r="S8" s="132">
        <f>IF(SER_hh_emih_in!S8=0,0,SER_hh_emih_in!S8/SER_summary!S$27)</f>
        <v>4.369542607960982</v>
      </c>
      <c r="T8" s="132">
        <f>IF(SER_hh_emih_in!T8=0,0,SER_hh_emih_in!T8/SER_summary!T$27)</f>
        <v>3.8899544950764056</v>
      </c>
      <c r="U8" s="132">
        <f>IF(SER_hh_emih_in!U8=0,0,SER_hh_emih_in!U8/SER_summary!U$27)</f>
        <v>3.5462371755196678</v>
      </c>
      <c r="V8" s="132">
        <f>IF(SER_hh_emih_in!V8=0,0,SER_hh_emih_in!V8/SER_summary!V$27)</f>
        <v>3.2669961053783934</v>
      </c>
      <c r="W8" s="132">
        <f>IF(SER_hh_emih_in!W8=0,0,SER_hh_emih_in!W8/SER_summary!W$27)</f>
        <v>3.1699717908982299</v>
      </c>
      <c r="X8" s="132">
        <f>IF(SER_hh_emih_in!X8=0,0,SER_hh_emih_in!X8/SER_summary!X$27)</f>
        <v>2.6627398586930369</v>
      </c>
      <c r="Y8" s="132">
        <f>IF(SER_hh_emih_in!Y8=0,0,SER_hh_emih_in!Y8/SER_summary!Y$27)</f>
        <v>2.9374310318379995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29.664992710846999</v>
      </c>
      <c r="D9" s="132">
        <f>IF(SER_hh_emih_in!D9=0,0,SER_hh_emih_in!D9/SER_summary!D$27)</f>
        <v>33.037969686233851</v>
      </c>
      <c r="E9" s="132">
        <f>IF(SER_hh_emih_in!E9=0,0,SER_hh_emih_in!E9/SER_summary!E$27)</f>
        <v>33.008899165021631</v>
      </c>
      <c r="F9" s="132">
        <f>IF(SER_hh_emih_in!F9=0,0,SER_hh_emih_in!F9/SER_summary!F$27)</f>
        <v>33.213212358008583</v>
      </c>
      <c r="G9" s="132">
        <f>IF(SER_hh_emih_in!G9=0,0,SER_hh_emih_in!G9/SER_summary!G$27)</f>
        <v>32.362540998413024</v>
      </c>
      <c r="H9" s="132">
        <f>IF(SER_hh_emih_in!H9=0,0,SER_hh_emih_in!H9/SER_summary!H$27)</f>
        <v>29.397971160805934</v>
      </c>
      <c r="I9" s="132">
        <f>IF(SER_hh_emih_in!I9=0,0,SER_hh_emih_in!I9/SER_summary!I$27)</f>
        <v>28.912324839592745</v>
      </c>
      <c r="J9" s="132">
        <f>IF(SER_hh_emih_in!J9=0,0,SER_hh_emih_in!J9/SER_summary!J$27)</f>
        <v>29.191995996575933</v>
      </c>
      <c r="K9" s="132">
        <f>IF(SER_hh_emih_in!K9=0,0,SER_hh_emih_in!K9/SER_summary!K$27)</f>
        <v>28.781916843139086</v>
      </c>
      <c r="L9" s="132">
        <f>IF(SER_hh_emih_in!L9=0,0,SER_hh_emih_in!L9/SER_summary!L$27)</f>
        <v>32.285073186442411</v>
      </c>
      <c r="M9" s="132">
        <f>IF(SER_hh_emih_in!M9=0,0,SER_hh_emih_in!M9/SER_summary!M$27)</f>
        <v>26.812914706593315</v>
      </c>
      <c r="N9" s="132">
        <f>IF(SER_hh_emih_in!N9=0,0,SER_hh_emih_in!N9/SER_summary!N$27)</f>
        <v>25.250359498388253</v>
      </c>
      <c r="O9" s="132">
        <f>IF(SER_hh_emih_in!O9=0,0,SER_hh_emih_in!O9/SER_summary!O$27)</f>
        <v>22.032567397384252</v>
      </c>
      <c r="P9" s="132">
        <f>IF(SER_hh_emih_in!P9=0,0,SER_hh_emih_in!P9/SER_summary!P$27)</f>
        <v>16.728546788476816</v>
      </c>
      <c r="Q9" s="132">
        <f>IF(SER_hh_emih_in!Q9=0,0,SER_hh_emih_in!Q9/SER_summary!Q$27)</f>
        <v>16.57585300102739</v>
      </c>
      <c r="R9" s="132">
        <f>IF(SER_hh_emih_in!R9=0,0,SER_hh_emih_in!R9/SER_summary!R$27)</f>
        <v>18.744108061725374</v>
      </c>
      <c r="S9" s="132">
        <f>IF(SER_hh_emih_in!S9=0,0,SER_hh_emih_in!S9/SER_summary!S$27)</f>
        <v>13.549002631169206</v>
      </c>
      <c r="T9" s="132">
        <f>IF(SER_hh_emih_in!T9=0,0,SER_hh_emih_in!T9/SER_summary!T$27)</f>
        <v>12.406437407763315</v>
      </c>
      <c r="U9" s="132">
        <f>IF(SER_hh_emih_in!U9=0,0,SER_hh_emih_in!U9/SER_summary!U$27)</f>
        <v>12.015526677483052</v>
      </c>
      <c r="V9" s="132">
        <f>IF(SER_hh_emih_in!V9=0,0,SER_hh_emih_in!V9/SER_summary!V$27)</f>
        <v>9.6127251117320789</v>
      </c>
      <c r="W9" s="132">
        <f>IF(SER_hh_emih_in!W9=0,0,SER_hh_emih_in!W9/SER_summary!W$27)</f>
        <v>11.126065833187036</v>
      </c>
      <c r="X9" s="132">
        <f>IF(SER_hh_emih_in!X9=0,0,SER_hh_emih_in!X9/SER_summary!X$27)</f>
        <v>9.3990956146617997</v>
      </c>
      <c r="Y9" s="132">
        <f>IF(SER_hh_emih_in!Y9=0,0,SER_hh_emih_in!Y9/SER_summary!Y$27)</f>
        <v>8.6101749695520642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0.4955835327132273</v>
      </c>
      <c r="K10" s="132">
        <f>IF(SER_hh_emih_in!K10=0,0,SER_hh_emih_in!K10/SER_summary!K$27)</f>
        <v>1.45564438783807</v>
      </c>
      <c r="L10" s="132">
        <f>IF(SER_hh_emih_in!L10=0,0,SER_hh_emih_in!L10/SER_summary!L$27)</f>
        <v>0.29188086306270716</v>
      </c>
      <c r="M10" s="132">
        <f>IF(SER_hh_emih_in!M10=0,0,SER_hh_emih_in!M10/SER_summary!M$27)</f>
        <v>0.44594661266916991</v>
      </c>
      <c r="N10" s="132">
        <f>IF(SER_hh_emih_in!N10=0,0,SER_hh_emih_in!N10/SER_summary!N$27)</f>
        <v>0.34985172156451377</v>
      </c>
      <c r="O10" s="132">
        <f>IF(SER_hh_emih_in!O10=0,0,SER_hh_emih_in!O10/SER_summary!O$27)</f>
        <v>3.8937156852010446</v>
      </c>
      <c r="P10" s="132">
        <f>IF(SER_hh_emih_in!P10=0,0,SER_hh_emih_in!P10/SER_summary!P$27)</f>
        <v>1.8928374638631089</v>
      </c>
      <c r="Q10" s="132">
        <f>IF(SER_hh_emih_in!Q10=0,0,SER_hh_emih_in!Q10/SER_summary!Q$27)</f>
        <v>1.4979444112803264</v>
      </c>
      <c r="R10" s="132">
        <f>IF(SER_hh_emih_in!R10=0,0,SER_hh_emih_in!R10/SER_summary!R$27)</f>
        <v>2.3402970644714514</v>
      </c>
      <c r="S10" s="132">
        <f>IF(SER_hh_emih_in!S10=0,0,SER_hh_emih_in!S10/SER_summary!S$27)</f>
        <v>1.5376116259546859</v>
      </c>
      <c r="T10" s="132">
        <f>IF(SER_hh_emih_in!T10=0,0,SER_hh_emih_in!T10/SER_summary!T$27)</f>
        <v>1.2808593256144833</v>
      </c>
      <c r="U10" s="132">
        <f>IF(SER_hh_emih_in!U10=0,0,SER_hh_emih_in!U10/SER_summary!U$27)</f>
        <v>1.0712055674885423</v>
      </c>
      <c r="V10" s="132">
        <f>IF(SER_hh_emih_in!V10=0,0,SER_hh_emih_in!V10/SER_summary!V$27)</f>
        <v>2.7822355529867226</v>
      </c>
      <c r="W10" s="132">
        <f>IF(SER_hh_emih_in!W10=0,0,SER_hh_emih_in!W10/SER_summary!W$27)</f>
        <v>2.9576052060763831</v>
      </c>
      <c r="X10" s="132">
        <f>IF(SER_hh_emih_in!X10=0,0,SER_hh_emih_in!X10/SER_summary!X$27)</f>
        <v>0.89020652069575423</v>
      </c>
      <c r="Y10" s="132">
        <f>IF(SER_hh_emih_in!Y10=0,0,SER_hh_emih_in!Y10/SER_summary!Y$27)</f>
        <v>4.2608543832878505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9.1151228956063302E-3</v>
      </c>
      <c r="D16" s="130">
        <f>IF(SER_hh_emih_in!D16=0,0,SER_hh_emih_in!D16/SER_summary!D$27)</f>
        <v>9.9741081910983444E-3</v>
      </c>
      <c r="E16" s="130">
        <f>IF(SER_hh_emih_in!E16=0,0,SER_hh_emih_in!E16/SER_summary!E$27)</f>
        <v>9.2843048400325957E-3</v>
      </c>
      <c r="F16" s="130">
        <f>IF(SER_hh_emih_in!F16=0,0,SER_hh_emih_in!F16/SER_summary!F$27)</f>
        <v>1.1423459403538476E-2</v>
      </c>
      <c r="G16" s="130">
        <f>IF(SER_hh_emih_in!G16=0,0,SER_hh_emih_in!G16/SER_summary!G$27)</f>
        <v>1.0902410408667827E-2</v>
      </c>
      <c r="H16" s="130">
        <f>IF(SER_hh_emih_in!H16=0,0,SER_hh_emih_in!H16/SER_summary!H$27)</f>
        <v>9.0553021386901543E-3</v>
      </c>
      <c r="I16" s="130">
        <f>IF(SER_hh_emih_in!I16=0,0,SER_hh_emih_in!I16/SER_summary!I$27)</f>
        <v>1.121083619451063E-2</v>
      </c>
      <c r="J16" s="130">
        <f>IF(SER_hh_emih_in!J16=0,0,SER_hh_emih_in!J16/SER_summary!J$27)</f>
        <v>8.9796962129253446E-3</v>
      </c>
      <c r="K16" s="130">
        <f>IF(SER_hh_emih_in!K16=0,0,SER_hh_emih_in!K16/SER_summary!K$27)</f>
        <v>1.0643030646777943E-2</v>
      </c>
      <c r="L16" s="130">
        <f>IF(SER_hh_emih_in!L16=0,0,SER_hh_emih_in!L16/SER_summary!L$27)</f>
        <v>9.4766734955143376E-3</v>
      </c>
      <c r="M16" s="130">
        <f>IF(SER_hh_emih_in!M16=0,0,SER_hh_emih_in!M16/SER_summary!M$27)</f>
        <v>1.5303843973223293E-2</v>
      </c>
      <c r="N16" s="130">
        <f>IF(SER_hh_emih_in!N16=0,0,SER_hh_emih_in!N16/SER_summary!N$27)</f>
        <v>1.6464857589775034E-2</v>
      </c>
      <c r="O16" s="130">
        <f>IF(SER_hh_emih_in!O16=0,0,SER_hh_emih_in!O16/SER_summary!O$27)</f>
        <v>2.9064332259669121E-2</v>
      </c>
      <c r="P16" s="130">
        <f>IF(SER_hh_emih_in!P16=0,0,SER_hh_emih_in!P16/SER_summary!P$27)</f>
        <v>3.8943280030104235E-2</v>
      </c>
      <c r="Q16" s="130">
        <f>IF(SER_hh_emih_in!Q16=0,0,SER_hh_emih_in!Q16/SER_summary!Q$27)</f>
        <v>3.5208111299219282E-2</v>
      </c>
      <c r="R16" s="130">
        <f>IF(SER_hh_emih_in!R16=0,0,SER_hh_emih_in!R16/SER_summary!R$27)</f>
        <v>7.9887083151759686E-2</v>
      </c>
      <c r="S16" s="130">
        <f>IF(SER_hh_emih_in!S16=0,0,SER_hh_emih_in!S16/SER_summary!S$27)</f>
        <v>4.9199836196540114E-2</v>
      </c>
      <c r="T16" s="130">
        <f>IF(SER_hh_emih_in!T16=0,0,SER_hh_emih_in!T16/SER_summary!T$27)</f>
        <v>3.7145804904983079E-2</v>
      </c>
      <c r="U16" s="130">
        <f>IF(SER_hh_emih_in!U16=0,0,SER_hh_emih_in!U16/SER_summary!U$27)</f>
        <v>3.4486271584708489E-2</v>
      </c>
      <c r="V16" s="130">
        <f>IF(SER_hh_emih_in!V16=0,0,SER_hh_emih_in!V16/SER_summary!V$27)</f>
        <v>2.7308910382752478E-2</v>
      </c>
      <c r="W16" s="130">
        <f>IF(SER_hh_emih_in!W16=0,0,SER_hh_emih_in!W16/SER_summary!W$27)</f>
        <v>2.2929897780132998E-2</v>
      </c>
      <c r="X16" s="130">
        <f>IF(SER_hh_emih_in!X16=0,0,SER_hh_emih_in!X16/SER_summary!X$27)</f>
        <v>2.8397444030847534E-2</v>
      </c>
      <c r="Y16" s="130">
        <f>IF(SER_hh_emih_in!Y16=0,0,SER_hh_emih_in!Y16/SER_summary!Y$27)</f>
        <v>4.0393925251688688E-2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4.7300953332665943</v>
      </c>
      <c r="D17" s="132">
        <f>IF(SER_hh_emih_in!D17=0,0,SER_hh_emih_in!D17/SER_summary!D$27)</f>
        <v>4.7356414215998015</v>
      </c>
      <c r="E17" s="132">
        <f>IF(SER_hh_emih_in!E17=0,0,SER_hh_emih_in!E17/SER_summary!E$27)</f>
        <v>4.5640324436864068</v>
      </c>
      <c r="F17" s="132">
        <f>IF(SER_hh_emih_in!F17=0,0,SER_hh_emih_in!F17/SER_summary!F$27)</f>
        <v>4.4386136559084077</v>
      </c>
      <c r="G17" s="132">
        <f>IF(SER_hh_emih_in!G17=0,0,SER_hh_emih_in!G17/SER_summary!G$27)</f>
        <v>4.3801084618737027</v>
      </c>
      <c r="H17" s="132">
        <f>IF(SER_hh_emih_in!H17=0,0,SER_hh_emih_in!H17/SER_summary!H$27)</f>
        <v>4.537685483840785</v>
      </c>
      <c r="I17" s="132">
        <f>IF(SER_hh_emih_in!I17=0,0,SER_hh_emih_in!I17/SER_summary!I$27)</f>
        <v>4.3109185390544926</v>
      </c>
      <c r="J17" s="132">
        <f>IF(SER_hh_emih_in!J17=0,0,SER_hh_emih_in!J17/SER_summary!J$27)</f>
        <v>4.1438122140064841</v>
      </c>
      <c r="K17" s="132">
        <f>IF(SER_hh_emih_in!K17=0,0,SER_hh_emih_in!K17/SER_summary!K$27)</f>
        <v>4.0786485375204684</v>
      </c>
      <c r="L17" s="132">
        <f>IF(SER_hh_emih_in!L17=0,0,SER_hh_emih_in!L17/SER_summary!L$27)</f>
        <v>4.5076823631540837</v>
      </c>
      <c r="M17" s="132">
        <f>IF(SER_hh_emih_in!M17=0,0,SER_hh_emih_in!M17/SER_summary!M$27)</f>
        <v>3.9142324098914667</v>
      </c>
      <c r="N17" s="132">
        <f>IF(SER_hh_emih_in!N17=0,0,SER_hh_emih_in!N17/SER_summary!N$27)</f>
        <v>4.0112140554632143</v>
      </c>
      <c r="O17" s="132">
        <f>IF(SER_hh_emih_in!O17=0,0,SER_hh_emih_in!O17/SER_summary!O$27)</f>
        <v>3.9227849732497391</v>
      </c>
      <c r="P17" s="132">
        <f>IF(SER_hh_emih_in!P17=0,0,SER_hh_emih_in!P17/SER_summary!P$27)</f>
        <v>3.7970953886761047</v>
      </c>
      <c r="Q17" s="132">
        <f>IF(SER_hh_emih_in!Q17=0,0,SER_hh_emih_in!Q17/SER_summary!Q$27)</f>
        <v>4.2494580473597816</v>
      </c>
      <c r="R17" s="132">
        <f>IF(SER_hh_emih_in!R17=0,0,SER_hh_emih_in!R17/SER_summary!R$27)</f>
        <v>3.6423069311170853</v>
      </c>
      <c r="S17" s="132">
        <f>IF(SER_hh_emih_in!S17=0,0,SER_hh_emih_in!S17/SER_summary!S$27)</f>
        <v>3.5175517083457075</v>
      </c>
      <c r="T17" s="132">
        <f>IF(SER_hh_emih_in!T17=0,0,SER_hh_emih_in!T17/SER_summary!T$27)</f>
        <v>3.4495967689153737</v>
      </c>
      <c r="U17" s="132">
        <f>IF(SER_hh_emih_in!U17=0,0,SER_hh_emih_in!U17/SER_summary!U$27)</f>
        <v>3.5538631832373606</v>
      </c>
      <c r="V17" s="132">
        <f>IF(SER_hh_emih_in!V17=0,0,SER_hh_emih_in!V17/SER_summary!V$27)</f>
        <v>2.7803478554750831</v>
      </c>
      <c r="W17" s="132">
        <f>IF(SER_hh_emih_in!W17=0,0,SER_hh_emih_in!W17/SER_summary!W$27)</f>
        <v>2.7003385106270561</v>
      </c>
      <c r="X17" s="132">
        <f>IF(SER_hh_emih_in!X17=0,0,SER_hh_emih_in!X17/SER_summary!X$27)</f>
        <v>2.9438126907234357</v>
      </c>
      <c r="Y17" s="132">
        <f>IF(SER_hh_emih_in!Y17=0,0,SER_hh_emih_in!Y17/SER_summary!Y$27)</f>
        <v>2.9184957010433696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2.6591847516891605</v>
      </c>
      <c r="D19" s="130">
        <f>IF(SER_hh_emih_in!D19=0,0,SER_hh_emih_in!D19/SER_summary!D$27)</f>
        <v>2.8997567106083677</v>
      </c>
      <c r="E19" s="130">
        <f>IF(SER_hh_emih_in!E19=0,0,SER_hh_emih_in!E19/SER_summary!E$27)</f>
        <v>2.7794633931737165</v>
      </c>
      <c r="F19" s="130">
        <f>IF(SER_hh_emih_in!F19=0,0,SER_hh_emih_in!F19/SER_summary!F$27)</f>
        <v>1.4899636994596706</v>
      </c>
      <c r="G19" s="130">
        <f>IF(SER_hh_emih_in!G19=0,0,SER_hh_emih_in!G19/SER_summary!G$27)</f>
        <v>1.0822961659743282</v>
      </c>
      <c r="H19" s="130">
        <f>IF(SER_hh_emih_in!H19=0,0,SER_hh_emih_in!H19/SER_summary!H$27)</f>
        <v>0.92685137414982355</v>
      </c>
      <c r="I19" s="130">
        <f>IF(SER_hh_emih_in!I19=0,0,SER_hh_emih_in!I19/SER_summary!I$27)</f>
        <v>1.2241240413453596</v>
      </c>
      <c r="J19" s="130">
        <f>IF(SER_hh_emih_in!J19=0,0,SER_hh_emih_in!J19/SER_summary!J$27)</f>
        <v>1.5163276023068468</v>
      </c>
      <c r="K19" s="130">
        <f>IF(SER_hh_emih_in!K19=0,0,SER_hh_emih_in!K19/SER_summary!K$27)</f>
        <v>1.7434238345218243</v>
      </c>
      <c r="L19" s="130">
        <f>IF(SER_hh_emih_in!L19=0,0,SER_hh_emih_in!L19/SER_summary!L$27)</f>
        <v>2.8911429970791467</v>
      </c>
      <c r="M19" s="130">
        <f>IF(SER_hh_emih_in!M19=0,0,SER_hh_emih_in!M19/SER_summary!M$27)</f>
        <v>1.8584066208864336</v>
      </c>
      <c r="N19" s="130">
        <f>IF(SER_hh_emih_in!N19=0,0,SER_hh_emih_in!N19/SER_summary!N$27)</f>
        <v>1.8796745350202668</v>
      </c>
      <c r="O19" s="130">
        <f>IF(SER_hh_emih_in!O19=0,0,SER_hh_emih_in!O19/SER_summary!O$27)</f>
        <v>1.5216094212676468</v>
      </c>
      <c r="P19" s="130">
        <f>IF(SER_hh_emih_in!P19=0,0,SER_hh_emih_in!P19/SER_summary!P$27)</f>
        <v>1.3809559710329062</v>
      </c>
      <c r="Q19" s="130">
        <f>IF(SER_hh_emih_in!Q19=0,0,SER_hh_emih_in!Q19/SER_summary!Q$27)</f>
        <v>1.2651911734257324</v>
      </c>
      <c r="R19" s="130">
        <f>IF(SER_hh_emih_in!R19=0,0,SER_hh_emih_in!R19/SER_summary!R$27)</f>
        <v>1.1978896732706781</v>
      </c>
      <c r="S19" s="130">
        <f>IF(SER_hh_emih_in!S19=0,0,SER_hh_emih_in!S19/SER_summary!S$27)</f>
        <v>0.57683721760012363</v>
      </c>
      <c r="T19" s="130">
        <f>IF(SER_hh_emih_in!T19=0,0,SER_hh_emih_in!T19/SER_summary!T$27)</f>
        <v>0.3617354935369535</v>
      </c>
      <c r="U19" s="130">
        <f>IF(SER_hh_emih_in!U19=0,0,SER_hh_emih_in!U19/SER_summary!U$27)</f>
        <v>0.32749319051091486</v>
      </c>
      <c r="V19" s="130">
        <f>IF(SER_hh_emih_in!V19=0,0,SER_hh_emih_in!V19/SER_summary!V$27)</f>
        <v>0.45089382436848879</v>
      </c>
      <c r="W19" s="130">
        <f>IF(SER_hh_emih_in!W19=0,0,SER_hh_emih_in!W19/SER_summary!W$27)</f>
        <v>0.75679968763285477</v>
      </c>
      <c r="X19" s="130">
        <f>IF(SER_hh_emih_in!X19=0,0,SER_hh_emih_in!X19/SER_summary!X$27)</f>
        <v>0.6192057565379917</v>
      </c>
      <c r="Y19" s="130">
        <f>IF(SER_hh_emih_in!Y19=0,0,SER_hh_emih_in!Y19/SER_summary!Y$27)</f>
        <v>0.68759858983226119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6.0486402350612503</v>
      </c>
      <c r="D20" s="132">
        <f>IF(SER_hh_emih_in!D20=0,0,SER_hh_emih_in!D20/SER_summary!D$27)</f>
        <v>7.2546105903231313</v>
      </c>
      <c r="E20" s="132">
        <f>IF(SER_hh_emih_in!E20=0,0,SER_hh_emih_in!E20/SER_summary!E$27)</f>
        <v>7.2203165151796629</v>
      </c>
      <c r="F20" s="132">
        <f>IF(SER_hh_emih_in!F20=0,0,SER_hh_emih_in!F20/SER_summary!F$27)</f>
        <v>7.4487814926648399</v>
      </c>
      <c r="G20" s="132">
        <f>IF(SER_hh_emih_in!G20=0,0,SER_hh_emih_in!G20/SER_summary!G$27)</f>
        <v>7.3813542529864078</v>
      </c>
      <c r="H20" s="132">
        <f>IF(SER_hh_emih_in!H20=0,0,SER_hh_emih_in!H20/SER_summary!H$27)</f>
        <v>6.7927284534859922</v>
      </c>
      <c r="I20" s="132">
        <f>IF(SER_hh_emih_in!I20=0,0,SER_hh_emih_in!I20/SER_summary!I$27)</f>
        <v>8.0752243706397078</v>
      </c>
      <c r="J20" s="132">
        <f>IF(SER_hh_emih_in!J20=0,0,SER_hh_emih_in!J20/SER_summary!J$27)</f>
        <v>8.009513892452814</v>
      </c>
      <c r="K20" s="132">
        <f>IF(SER_hh_emih_in!K20=0,0,SER_hh_emih_in!K20/SER_summary!K$27)</f>
        <v>7.9013706495683014</v>
      </c>
      <c r="L20" s="132">
        <f>IF(SER_hh_emih_in!L20=0,0,SER_hh_emih_in!L20/SER_summary!L$27)</f>
        <v>8.1200044139454377</v>
      </c>
      <c r="M20" s="132">
        <f>IF(SER_hh_emih_in!M20=0,0,SER_hh_emih_in!M20/SER_summary!M$27)</f>
        <v>7.9717636093909245</v>
      </c>
      <c r="N20" s="132">
        <f>IF(SER_hh_emih_in!N20=0,0,SER_hh_emih_in!N20/SER_summary!N$27)</f>
        <v>7.9356252550727309</v>
      </c>
      <c r="O20" s="132">
        <f>IF(SER_hh_emih_in!O20=0,0,SER_hh_emih_in!O20/SER_summary!O$27)</f>
        <v>8.0873329297072249</v>
      </c>
      <c r="P20" s="132">
        <f>IF(SER_hh_emih_in!P20=0,0,SER_hh_emih_in!P20/SER_summary!P$27)</f>
        <v>7.9789425458640064</v>
      </c>
      <c r="Q20" s="132">
        <f>IF(SER_hh_emih_in!Q20=0,0,SER_hh_emih_in!Q20/SER_summary!Q$27)</f>
        <v>7.9746981908554861</v>
      </c>
      <c r="R20" s="132">
        <f>IF(SER_hh_emih_in!R20=0,0,SER_hh_emih_in!R20/SER_summary!R$27)</f>
        <v>8.9180342503054089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5.530281679884645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4.2297298158220666</v>
      </c>
      <c r="D21" s="132">
        <f>IF(SER_hh_emih_in!D21=0,0,SER_hh_emih_in!D21/SER_summary!D$27)</f>
        <v>4.0482373382806518</v>
      </c>
      <c r="E21" s="132">
        <f>IF(SER_hh_emih_in!E21=0,0,SER_hh_emih_in!E21/SER_summary!E$27)</f>
        <v>6.1208824700266478</v>
      </c>
      <c r="F21" s="132">
        <f>IF(SER_hh_emih_in!F21=0,0,SER_hh_emih_in!F21/SER_summary!F$27)</f>
        <v>5.3549210320794849</v>
      </c>
      <c r="G21" s="132">
        <f>IF(SER_hh_emih_in!G21=0,0,SER_hh_emih_in!G21/SER_summary!G$27)</f>
        <v>4.630647234283229</v>
      </c>
      <c r="H21" s="132">
        <f>IF(SER_hh_emih_in!H21=0,0,SER_hh_emih_in!H21/SER_summary!H$27)</f>
        <v>5.8340922702037812</v>
      </c>
      <c r="I21" s="132">
        <f>IF(SER_hh_emih_in!I21=0,0,SER_hh_emih_in!I21/SER_summary!I$27)</f>
        <v>0</v>
      </c>
      <c r="J21" s="132">
        <f>IF(SER_hh_emih_in!J21=0,0,SER_hh_emih_in!J21/SER_summary!J$27)</f>
        <v>5.4647588718556328</v>
      </c>
      <c r="K21" s="132">
        <f>IF(SER_hh_emih_in!K21=0,0,SER_hh_emih_in!K21/SER_summary!K$27)</f>
        <v>5.7065722225194282</v>
      </c>
      <c r="L21" s="132">
        <f>IF(SER_hh_emih_in!L21=0,0,SER_hh_emih_in!L21/SER_summary!L$27)</f>
        <v>5.5784704070254598</v>
      </c>
      <c r="M21" s="132">
        <f>IF(SER_hh_emih_in!M21=0,0,SER_hh_emih_in!M21/SER_summary!M$27)</f>
        <v>5.5580127595386735</v>
      </c>
      <c r="N21" s="132">
        <f>IF(SER_hh_emih_in!N21=0,0,SER_hh_emih_in!N21/SER_summary!N$27)</f>
        <v>7.1556522349370404</v>
      </c>
      <c r="O21" s="132">
        <f>IF(SER_hh_emih_in!O21=0,0,SER_hh_emih_in!O21/SER_summary!O$27)</f>
        <v>4.7102345219436312</v>
      </c>
      <c r="P21" s="132">
        <f>IF(SER_hh_emih_in!P21=0,0,SER_hh_emih_in!P21/SER_summary!P$27)</f>
        <v>5.3218849295645718</v>
      </c>
      <c r="Q21" s="132">
        <f>IF(SER_hh_emih_in!Q21=0,0,SER_hh_emih_in!Q21/SER_summary!Q$27)</f>
        <v>4.9259452265248882</v>
      </c>
      <c r="R21" s="132">
        <f>IF(SER_hh_emih_in!R21=0,0,SER_hh_emih_in!R21/SER_summary!R$27)</f>
        <v>5.0361090734518719</v>
      </c>
      <c r="S21" s="132">
        <f>IF(SER_hh_emih_in!S21=0,0,SER_hh_emih_in!S21/SER_summary!S$27)</f>
        <v>4.946345005496787</v>
      </c>
      <c r="T21" s="132">
        <f>IF(SER_hh_emih_in!T21=0,0,SER_hh_emih_in!T21/SER_summary!T$27)</f>
        <v>4.5251878517963222</v>
      </c>
      <c r="U21" s="132">
        <f>IF(SER_hh_emih_in!U21=0,0,SER_hh_emih_in!U21/SER_summary!U$27)</f>
        <v>5.0992039773254625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4.0763394970238531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4.7731307668844298</v>
      </c>
      <c r="D22" s="132">
        <f>IF(SER_hh_emih_in!D22=0,0,SER_hh_emih_in!D22/SER_summary!D$27)</f>
        <v>5.7938040859226829</v>
      </c>
      <c r="E22" s="132">
        <f>IF(SER_hh_emih_in!E22=0,0,SER_hh_emih_in!E22/SER_summary!E$27)</f>
        <v>6.2392127958228167</v>
      </c>
      <c r="F22" s="132">
        <f>IF(SER_hh_emih_in!F22=0,0,SER_hh_emih_in!F22/SER_summary!F$27)</f>
        <v>6.6186519808908626</v>
      </c>
      <c r="G22" s="132">
        <f>IF(SER_hh_emih_in!G22=0,0,SER_hh_emih_in!G22/SER_summary!G$27)</f>
        <v>6.4777183841098855</v>
      </c>
      <c r="H22" s="132">
        <f>IF(SER_hh_emih_in!H22=0,0,SER_hh_emih_in!H22/SER_summary!H$27)</f>
        <v>6.9106779294994656</v>
      </c>
      <c r="I22" s="132">
        <f>IF(SER_hh_emih_in!I22=0,0,SER_hh_emih_in!I22/SER_summary!I$27)</f>
        <v>7.3474397904477762</v>
      </c>
      <c r="J22" s="132">
        <f>IF(SER_hh_emih_in!J22=0,0,SER_hh_emih_in!J22/SER_summary!J$27)</f>
        <v>7.4633520219592295</v>
      </c>
      <c r="K22" s="132">
        <f>IF(SER_hh_emih_in!K22=0,0,SER_hh_emih_in!K22/SER_summary!K$27)</f>
        <v>7.3529569459520436</v>
      </c>
      <c r="L22" s="132">
        <f>IF(SER_hh_emih_in!L22=0,0,SER_hh_emih_in!L22/SER_summary!L$27)</f>
        <v>7.3746615442032422</v>
      </c>
      <c r="M22" s="132">
        <f>IF(SER_hh_emih_in!M22=0,0,SER_hh_emih_in!M22/SER_summary!M$27)</f>
        <v>7.2609434075009718</v>
      </c>
      <c r="N22" s="132">
        <f>IF(SER_hh_emih_in!N22=0,0,SER_hh_emih_in!N22/SER_summary!N$27)</f>
        <v>7.0402300663221666</v>
      </c>
      <c r="O22" s="132">
        <f>IF(SER_hh_emih_in!O22=0,0,SER_hh_emih_in!O22/SER_summary!O$27)</f>
        <v>6.8893920444643655</v>
      </c>
      <c r="P22" s="132">
        <f>IF(SER_hh_emih_in!P22=0,0,SER_hh_emih_in!P22/SER_summary!P$27)</f>
        <v>6.4426290607900043</v>
      </c>
      <c r="Q22" s="132">
        <f>IF(SER_hh_emih_in!Q22=0,0,SER_hh_emih_in!Q22/SER_summary!Q$27)</f>
        <v>6.2159530291733338</v>
      </c>
      <c r="R22" s="132">
        <f>IF(SER_hh_emih_in!R22=0,0,SER_hh_emih_in!R22/SER_summary!R$27)</f>
        <v>5.9647527881575515</v>
      </c>
      <c r="S22" s="132">
        <f>IF(SER_hh_emih_in!S22=0,0,SER_hh_emih_in!S22/SER_summary!S$27)</f>
        <v>6.1100380152601739</v>
      </c>
      <c r="T22" s="132">
        <f>IF(SER_hh_emih_in!T22=0,0,SER_hh_emih_in!T22/SER_summary!T$27)</f>
        <v>5.721056685488854</v>
      </c>
      <c r="U22" s="132">
        <f>IF(SER_hh_emih_in!U22=0,0,SER_hh_emih_in!U22/SER_summary!U$27)</f>
        <v>4.8335580024172122</v>
      </c>
      <c r="V22" s="132">
        <f>IF(SER_hh_emih_in!V22=0,0,SER_hh_emih_in!V22/SER_summary!V$27)</f>
        <v>4.7538983560626207</v>
      </c>
      <c r="W22" s="132">
        <f>IF(SER_hh_emih_in!W22=0,0,SER_hh_emih_in!W22/SER_summary!W$27)</f>
        <v>5.3121181422356827</v>
      </c>
      <c r="X22" s="132">
        <f>IF(SER_hh_emih_in!X22=0,0,SER_hh_emih_in!X22/SER_summary!X$27)</f>
        <v>5.45491908126301</v>
      </c>
      <c r="Y22" s="132">
        <f>IF(SER_hh_emih_in!Y22=0,0,SER_hh_emih_in!Y22/SER_summary!Y$27)</f>
        <v>4.9181218790662715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3.422300920912329</v>
      </c>
      <c r="D23" s="132">
        <f>IF(SER_hh_emih_in!D23=0,0,SER_hh_emih_in!D23/SER_summary!D$27)</f>
        <v>3.8174856036448261</v>
      </c>
      <c r="E23" s="132">
        <f>IF(SER_hh_emih_in!E23=0,0,SER_hh_emih_in!E23/SER_summary!E$27)</f>
        <v>4.5500894159337664</v>
      </c>
      <c r="F23" s="132">
        <f>IF(SER_hh_emih_in!F23=0,0,SER_hh_emih_in!F23/SER_summary!F$27)</f>
        <v>4.476604722793903</v>
      </c>
      <c r="G23" s="132">
        <f>IF(SER_hh_emih_in!G23=0,0,SER_hh_emih_in!G23/SER_summary!G$27)</f>
        <v>4.5132185631896942</v>
      </c>
      <c r="H23" s="132">
        <f>IF(SER_hh_emih_in!H23=0,0,SER_hh_emih_in!H23/SER_summary!H$27)</f>
        <v>4.6040827727212408</v>
      </c>
      <c r="I23" s="132">
        <f>IF(SER_hh_emih_in!I23=0,0,SER_hh_emih_in!I23/SER_summary!I$27)</f>
        <v>4.7979548691869294</v>
      </c>
      <c r="J23" s="132">
        <f>IF(SER_hh_emih_in!J23=0,0,SER_hh_emih_in!J23/SER_summary!J$27)</f>
        <v>4.9148629478136225</v>
      </c>
      <c r="K23" s="132">
        <f>IF(SER_hh_emih_in!K23=0,0,SER_hh_emih_in!K23/SER_summary!K$27)</f>
        <v>4.7803904290986026</v>
      </c>
      <c r="L23" s="132">
        <f>IF(SER_hh_emih_in!L23=0,0,SER_hh_emih_in!L23/SER_summary!L$27)</f>
        <v>4.8578207023068138</v>
      </c>
      <c r="M23" s="132">
        <f>IF(SER_hh_emih_in!M23=0,0,SER_hh_emih_in!M23/SER_summary!M$27)</f>
        <v>4.8000633993712833</v>
      </c>
      <c r="N23" s="132">
        <f>IF(SER_hh_emih_in!N23=0,0,SER_hh_emih_in!N23/SER_summary!N$27)</f>
        <v>4.6103582886774221</v>
      </c>
      <c r="O23" s="132">
        <f>IF(SER_hh_emih_in!O23=0,0,SER_hh_emih_in!O23/SER_summary!O$27)</f>
        <v>4.5640841429611863</v>
      </c>
      <c r="P23" s="132">
        <f>IF(SER_hh_emih_in!P23=0,0,SER_hh_emih_in!P23/SER_summary!P$27)</f>
        <v>4.4001346434485242</v>
      </c>
      <c r="Q23" s="132">
        <f>IF(SER_hh_emih_in!Q23=0,0,SER_hh_emih_in!Q23/SER_summary!Q$27)</f>
        <v>4.3408816852166403</v>
      </c>
      <c r="R23" s="132">
        <f>IF(SER_hh_emih_in!R23=0,0,SER_hh_emih_in!R23/SER_summary!R$27)</f>
        <v>4.4764721856746856</v>
      </c>
      <c r="S23" s="132">
        <f>IF(SER_hh_emih_in!S23=0,0,SER_hh_emih_in!S23/SER_summary!S$27)</f>
        <v>0</v>
      </c>
      <c r="T23" s="132">
        <f>IF(SER_hh_emih_in!T23=0,0,SER_hh_emih_in!T23/SER_summary!T$27)</f>
        <v>0</v>
      </c>
      <c r="U23" s="132">
        <f>IF(SER_hh_emih_in!U23=0,0,SER_hh_emih_in!U23/SER_summary!U$27)</f>
        <v>3.5447105651915116</v>
      </c>
      <c r="V23" s="132">
        <f>IF(SER_hh_emih_in!V23=0,0,SER_hh_emih_in!V23/SER_summary!V$27)</f>
        <v>3.0468869912001648</v>
      </c>
      <c r="W23" s="132">
        <f>IF(SER_hh_emih_in!W23=0,0,SER_hh_emih_in!W23/SER_summary!W$27)</f>
        <v>4.0472285151001115</v>
      </c>
      <c r="X23" s="132">
        <f>IF(SER_hh_emih_in!X23=0,0,SER_hh_emih_in!X23/SER_summary!X$27)</f>
        <v>3.7372088878832876</v>
      </c>
      <c r="Y23" s="132">
        <f>IF(SER_hh_emih_in!Y23=0,0,SER_hh_emih_in!Y23/SER_summary!Y$27)</f>
        <v>3.5437915994769069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0.13529447558654212</v>
      </c>
      <c r="D24" s="132">
        <f>IF(SER_hh_emih_in!D24=0,0,SER_hh_emih_in!D24/SER_summary!D$27)</f>
        <v>0.18208787747187591</v>
      </c>
      <c r="E24" s="132">
        <f>IF(SER_hh_emih_in!E24=0,0,SER_hh_emih_in!E24/SER_summary!E$27)</f>
        <v>0.13225126595938405</v>
      </c>
      <c r="F24" s="132">
        <f>IF(SER_hh_emih_in!F24=0,0,SER_hh_emih_in!F24/SER_summary!F$27)</f>
        <v>3.652020324305155E-3</v>
      </c>
      <c r="G24" s="132">
        <f>IF(SER_hh_emih_in!G24=0,0,SER_hh_emih_in!G24/SER_summary!G$27)</f>
        <v>3.7802523139929552E-2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8.9283788470621697E-2</v>
      </c>
      <c r="K24" s="132">
        <f>IF(SER_hh_emih_in!K24=0,0,SER_hh_emih_in!K24/SER_summary!K$27)</f>
        <v>0.20196067734204251</v>
      </c>
      <c r="L24" s="132">
        <f>IF(SER_hh_emih_in!L24=0,0,SER_hh_emih_in!L24/SER_summary!L$27)</f>
        <v>3.6756912267405663E-2</v>
      </c>
      <c r="M24" s="132">
        <f>IF(SER_hh_emih_in!M24=0,0,SER_hh_emih_in!M24/SER_summary!M$27)</f>
        <v>6.3125417653645294E-2</v>
      </c>
      <c r="N24" s="132">
        <f>IF(SER_hh_emih_in!N24=0,0,SER_hh_emih_in!N24/SER_summary!N$27)</f>
        <v>5.9293563953081663E-2</v>
      </c>
      <c r="O24" s="132">
        <f>IF(SER_hh_emih_in!O24=0,0,SER_hh_emih_in!O24/SER_summary!O$27)</f>
        <v>0.62835331591062871</v>
      </c>
      <c r="P24" s="132">
        <f>IF(SER_hh_emih_in!P24=0,0,SER_hh_emih_in!P24/SER_summary!P$27)</f>
        <v>0.36776170744848058</v>
      </c>
      <c r="Q24" s="132">
        <f>IF(SER_hh_emih_in!Q24=0,0,SER_hh_emih_in!Q24/SER_summary!Q$27)</f>
        <v>0.30155049849832383</v>
      </c>
      <c r="R24" s="132">
        <f>IF(SER_hh_emih_in!R24=0,0,SER_hh_emih_in!R24/SER_summary!R$27)</f>
        <v>0.47326540124610283</v>
      </c>
      <c r="S24" s="132">
        <f>IF(SER_hh_emih_in!S24=0,0,SER_hh_emih_in!S24/SER_summary!S$27)</f>
        <v>0.33122960975813598</v>
      </c>
      <c r="T24" s="132">
        <f>IF(SER_hh_emih_in!T24=0,0,SER_hh_emih_in!T24/SER_summary!T$27)</f>
        <v>0.26714659295824505</v>
      </c>
      <c r="U24" s="132">
        <f>IF(SER_hh_emih_in!U24=0,0,SER_hh_emih_in!U24/SER_summary!U$27)</f>
        <v>0.23685606052519534</v>
      </c>
      <c r="V24" s="132">
        <f>IF(SER_hh_emih_in!V24=0,0,SER_hh_emih_in!V24/SER_summary!V$27)</f>
        <v>0.67714639718653713</v>
      </c>
      <c r="W24" s="132">
        <f>IF(SER_hh_emih_in!W24=0,0,SER_hh_emih_in!W24/SER_summary!W$27)</f>
        <v>0.84316455534375612</v>
      </c>
      <c r="X24" s="132">
        <f>IF(SER_hh_emih_in!X24=0,0,SER_hh_emih_in!X24/SER_summary!X$27)</f>
        <v>0.27064124924237754</v>
      </c>
      <c r="Y24" s="132">
        <f>IF(SER_hh_emih_in!Y24=0,0,SER_hh_emih_in!Y24/SER_summary!Y$27)</f>
        <v>1.2038789787077244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1.623924723772689</v>
      </c>
      <c r="D29" s="130">
        <f>IF(SER_hh_emih_in!D29=0,0,SER_hh_emih_in!D29/SER_summary!D$27)</f>
        <v>1.7075572263275343</v>
      </c>
      <c r="E29" s="130">
        <f>IF(SER_hh_emih_in!E29=0,0,SER_hh_emih_in!E29/SER_summary!E$27)</f>
        <v>1.9777946343568487</v>
      </c>
      <c r="F29" s="130">
        <f>IF(SER_hh_emih_in!F29=0,0,SER_hh_emih_in!F29/SER_summary!F$27)</f>
        <v>1.5415140906746134</v>
      </c>
      <c r="G29" s="130">
        <f>IF(SER_hh_emih_in!G29=0,0,SER_hh_emih_in!G29/SER_summary!G$27)</f>
        <v>1.7039874323781874</v>
      </c>
      <c r="H29" s="130">
        <f>IF(SER_hh_emih_in!H29=0,0,SER_hh_emih_in!H29/SER_summary!H$27)</f>
        <v>1.3956656577903575</v>
      </c>
      <c r="I29" s="130">
        <f>IF(SER_hh_emih_in!I29=0,0,SER_hh_emih_in!I29/SER_summary!I$27)</f>
        <v>1.088036219616429</v>
      </c>
      <c r="J29" s="130">
        <f>IF(SER_hh_emih_in!J29=0,0,SER_hh_emih_in!J29/SER_summary!J$27)</f>
        <v>0.9947114768473585</v>
      </c>
      <c r="K29" s="130">
        <f>IF(SER_hh_emih_in!K29=0,0,SER_hh_emih_in!K29/SER_summary!K$27)</f>
        <v>1.2018270593343288</v>
      </c>
      <c r="L29" s="130">
        <f>IF(SER_hh_emih_in!L29=0,0,SER_hh_emih_in!L29/SER_summary!L$27)</f>
        <v>1.756615540132227</v>
      </c>
      <c r="M29" s="130">
        <f>IF(SER_hh_emih_in!M29=0,0,SER_hh_emih_in!M29/SER_summary!M$27)</f>
        <v>2.378678835751546</v>
      </c>
      <c r="N29" s="130">
        <f>IF(SER_hh_emih_in!N29=0,0,SER_hh_emih_in!N29/SER_summary!N$27)</f>
        <v>2.4277302507159071</v>
      </c>
      <c r="O29" s="130">
        <f>IF(SER_hh_emih_in!O29=0,0,SER_hh_emih_in!O29/SER_summary!O$27)</f>
        <v>2.3159750427800616</v>
      </c>
      <c r="P29" s="130">
        <f>IF(SER_hh_emih_in!P29=0,0,SER_hh_emih_in!P29/SER_summary!P$27)</f>
        <v>1.5327767477799468</v>
      </c>
      <c r="Q29" s="130">
        <f>IF(SER_hh_emih_in!Q29=0,0,SER_hh_emih_in!Q29/SER_summary!Q$27)</f>
        <v>1.6050150030562078</v>
      </c>
      <c r="R29" s="130">
        <f>IF(SER_hh_emih_in!R29=0,0,SER_hh_emih_in!R29/SER_summary!R$27)</f>
        <v>1.1972363611029431</v>
      </c>
      <c r="S29" s="130">
        <f>IF(SER_hh_emih_in!S29=0,0,SER_hh_emih_in!S29/SER_summary!S$27)</f>
        <v>1.0622223885382798</v>
      </c>
      <c r="T29" s="130">
        <f>IF(SER_hh_emih_in!T29=0,0,SER_hh_emih_in!T29/SER_summary!T$27)</f>
        <v>0.83249087315119008</v>
      </c>
      <c r="U29" s="130">
        <f>IF(SER_hh_emih_in!U29=0,0,SER_hh_emih_in!U29/SER_summary!U$27)</f>
        <v>1.2862504519631446</v>
      </c>
      <c r="V29" s="130">
        <f>IF(SER_hh_emih_in!V29=0,0,SER_hh_emih_in!V29/SER_summary!V$27)</f>
        <v>1.1421306416002253</v>
      </c>
      <c r="W29" s="130">
        <f>IF(SER_hh_emih_in!W29=0,0,SER_hh_emih_in!W29/SER_summary!W$27)</f>
        <v>2.5270942493948079</v>
      </c>
      <c r="X29" s="130">
        <f>IF(SER_hh_emih_in!X29=0,0,SER_hh_emih_in!X29/SER_summary!X$27)</f>
        <v>1.9888223762772896</v>
      </c>
      <c r="Y29" s="130">
        <f>IF(SER_hh_emih_in!Y29=0,0,SER_hh_emih_in!Y29/SER_summary!Y$27)</f>
        <v>1.481787206685049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6.4293572132622696</v>
      </c>
      <c r="D30" s="132">
        <f>IF(SER_hh_emih_in!D30=0,0,SER_hh_emih_in!D30/SER_summary!D$27)</f>
        <v>5.2607080584124715</v>
      </c>
      <c r="E30" s="132">
        <f>IF(SER_hh_emih_in!E30=0,0,SER_hh_emih_in!E30/SER_summary!E$27)</f>
        <v>7.6906897647799637</v>
      </c>
      <c r="F30" s="132">
        <f>IF(SER_hh_emih_in!F30=0,0,SER_hh_emih_in!F30/SER_summary!F$27)</f>
        <v>6.9321895960877393</v>
      </c>
      <c r="G30" s="132">
        <f>IF(SER_hh_emih_in!G30=0,0,SER_hh_emih_in!G30/SER_summary!G$27)</f>
        <v>6.6875985558895339</v>
      </c>
      <c r="H30" s="132">
        <f>IF(SER_hh_emih_in!H30=0,0,SER_hh_emih_in!H30/SER_summary!H$27)</f>
        <v>7.4780406160049226</v>
      </c>
      <c r="I30" s="132">
        <f>IF(SER_hh_emih_in!I30=0,0,SER_hh_emih_in!I30/SER_summary!I$27)</f>
        <v>7.9486826355890985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7.2941402655916985</v>
      </c>
      <c r="O30" s="132">
        <f>IF(SER_hh_emih_in!O30=0,0,SER_hh_emih_in!O30/SER_summary!O$27)</f>
        <v>7.5162296108663034</v>
      </c>
      <c r="P30" s="132">
        <f>IF(SER_hh_emih_in!P30=0,0,SER_hh_emih_in!P30/SER_summary!P$27)</f>
        <v>6.531508692366061</v>
      </c>
      <c r="Q30" s="132">
        <f>IF(SER_hh_emih_in!Q30=0,0,SER_hh_emih_in!Q30/SER_summary!Q$27)</f>
        <v>7.2403271469594168</v>
      </c>
      <c r="R30" s="132">
        <f>IF(SER_hh_emih_in!R30=0,0,SER_hh_emih_in!R30/SER_summary!R$27)</f>
        <v>7.4314511421155585</v>
      </c>
      <c r="S30" s="132">
        <f>IF(SER_hh_emih_in!S30=0,0,SER_hh_emih_in!S30/SER_summary!S$27)</f>
        <v>7.1515587876268736</v>
      </c>
      <c r="T30" s="132">
        <f>IF(SER_hh_emih_in!T30=0,0,SER_hh_emih_in!T30/SER_summary!T$27)</f>
        <v>6.7544524392455418</v>
      </c>
      <c r="U30" s="132">
        <f>IF(SER_hh_emih_in!U30=0,0,SER_hh_emih_in!U30/SER_summary!U$27)</f>
        <v>7.8117400180900844</v>
      </c>
      <c r="V30" s="132">
        <f>IF(SER_hh_emih_in!V30=0,0,SER_hh_emih_in!V30/SER_summary!V$27)</f>
        <v>5.5036160469385145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4.6377922857938332</v>
      </c>
      <c r="D31" s="132">
        <f>IF(SER_hh_emih_in!D31=0,0,SER_hh_emih_in!D31/SER_summary!D$27)</f>
        <v>5.2704242141105402</v>
      </c>
      <c r="E31" s="132">
        <f>IF(SER_hh_emih_in!E31=0,0,SER_hh_emih_in!E31/SER_summary!E$27)</f>
        <v>5.7804152445938293</v>
      </c>
      <c r="F31" s="132">
        <f>IF(SER_hh_emih_in!F31=0,0,SER_hh_emih_in!F31/SER_summary!F$27)</f>
        <v>5.7220026421980599</v>
      </c>
      <c r="G31" s="132">
        <f>IF(SER_hh_emih_in!G31=0,0,SER_hh_emih_in!G31/SER_summary!G$27)</f>
        <v>5.9697492479186565</v>
      </c>
      <c r="H31" s="132">
        <f>IF(SER_hh_emih_in!H31=0,0,SER_hh_emih_in!H31/SER_summary!H$27)</f>
        <v>6.1339612806552752</v>
      </c>
      <c r="I31" s="132">
        <f>IF(SER_hh_emih_in!I31=0,0,SER_hh_emih_in!I31/SER_summary!I$27)</f>
        <v>6.2463933025561484</v>
      </c>
      <c r="J31" s="132">
        <f>IF(SER_hh_emih_in!J31=0,0,SER_hh_emih_in!J31/SER_summary!J$27)</f>
        <v>6.2815390708799619</v>
      </c>
      <c r="K31" s="132">
        <f>IF(SER_hh_emih_in!K31=0,0,SER_hh_emih_in!K31/SER_summary!K$27)</f>
        <v>6.2569916407109041</v>
      </c>
      <c r="L31" s="132">
        <f>IF(SER_hh_emih_in!L31=0,0,SER_hh_emih_in!L31/SER_summary!L$27)</f>
        <v>5.9775003181167055</v>
      </c>
      <c r="M31" s="132">
        <f>IF(SER_hh_emih_in!M31=0,0,SER_hh_emih_in!M31/SER_summary!M$27)</f>
        <v>6.3072928436974527</v>
      </c>
      <c r="N31" s="132">
        <f>IF(SER_hh_emih_in!N31=0,0,SER_hh_emih_in!N31/SER_summary!N$27)</f>
        <v>6.4572323301841887</v>
      </c>
      <c r="O31" s="132">
        <f>IF(SER_hh_emih_in!O31=0,0,SER_hh_emih_in!O31/SER_summary!O$27)</f>
        <v>6.3071599832191652</v>
      </c>
      <c r="P31" s="132">
        <f>IF(SER_hh_emih_in!P31=0,0,SER_hh_emih_in!P31/SER_summary!P$27)</f>
        <v>6.181601697029377</v>
      </c>
      <c r="Q31" s="132">
        <f>IF(SER_hh_emih_in!Q31=0,0,SER_hh_emih_in!Q31/SER_summary!Q$27)</f>
        <v>6.3356425928512765</v>
      </c>
      <c r="R31" s="132">
        <f>IF(SER_hh_emih_in!R31=0,0,SER_hh_emih_in!R31/SER_summary!R$27)</f>
        <v>6.122121857088743</v>
      </c>
      <c r="S31" s="132">
        <f>IF(SER_hh_emih_in!S31=0,0,SER_hh_emih_in!S31/SER_summary!S$27)</f>
        <v>5.79154258664237</v>
      </c>
      <c r="T31" s="132">
        <f>IF(SER_hh_emih_in!T31=0,0,SER_hh_emih_in!T31/SER_summary!T$27)</f>
        <v>5.6807511547026763</v>
      </c>
      <c r="U31" s="132">
        <f>IF(SER_hh_emih_in!U31=0,0,SER_hh_emih_in!U31/SER_summary!U$27)</f>
        <v>5.6723591167033662</v>
      </c>
      <c r="V31" s="132">
        <f>IF(SER_hh_emih_in!V31=0,0,SER_hh_emih_in!V31/SER_summary!V$27)</f>
        <v>4.5557266588906389</v>
      </c>
      <c r="W31" s="132">
        <f>IF(SER_hh_emih_in!W31=0,0,SER_hh_emih_in!W31/SER_summary!W$27)</f>
        <v>5.7756373018137319</v>
      </c>
      <c r="X31" s="132">
        <f>IF(SER_hh_emih_in!X31=0,0,SER_hh_emih_in!X31/SER_summary!X$27)</f>
        <v>5.4708474168959409</v>
      </c>
      <c r="Y31" s="132">
        <f>IF(SER_hh_emih_in!Y31=0,0,SER_hh_emih_in!Y31/SER_summary!Y$27)</f>
        <v>5.4359762899672521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1173.4201249176119</v>
      </c>
      <c r="C3" s="179">
        <f t="shared" ref="C3:W3" si="1">SUM(C4:C9)</f>
        <v>1219.3185884031886</v>
      </c>
      <c r="D3" s="179">
        <f t="shared" si="1"/>
        <v>1264.9911236308867</v>
      </c>
      <c r="E3" s="179">
        <f t="shared" si="1"/>
        <v>1324.2115960287224</v>
      </c>
      <c r="F3" s="179">
        <f t="shared" si="1"/>
        <v>1402.9668555871117</v>
      </c>
      <c r="G3" s="179">
        <f t="shared" si="1"/>
        <v>1477.2276192991662</v>
      </c>
      <c r="H3" s="179">
        <f t="shared" si="1"/>
        <v>1562.9599193554525</v>
      </c>
      <c r="I3" s="179">
        <f t="shared" si="1"/>
        <v>1651.3653902618482</v>
      </c>
      <c r="J3" s="179">
        <f t="shared" si="1"/>
        <v>1734.1283562645021</v>
      </c>
      <c r="K3" s="179">
        <f t="shared" si="1"/>
        <v>1801.9653727105676</v>
      </c>
      <c r="L3" s="179">
        <f t="shared" si="1"/>
        <v>1839.4239271045399</v>
      </c>
      <c r="M3" s="179">
        <f t="shared" si="1"/>
        <v>1883.7316637239019</v>
      </c>
      <c r="N3" s="179">
        <f t="shared" si="1"/>
        <v>1923.2327240081252</v>
      </c>
      <c r="O3" s="179">
        <f t="shared" si="1"/>
        <v>1958.0045395884986</v>
      </c>
      <c r="P3" s="179">
        <f t="shared" si="1"/>
        <v>2016.7284012560863</v>
      </c>
      <c r="Q3" s="179">
        <f t="shared" si="1"/>
        <v>2074.4888456089448</v>
      </c>
      <c r="R3" s="179">
        <f t="shared" si="1"/>
        <v>2123.0054748325738</v>
      </c>
      <c r="S3" s="179">
        <f t="shared" si="1"/>
        <v>2128.4416010086638</v>
      </c>
      <c r="T3" s="179">
        <f t="shared" si="1"/>
        <v>2114.4792975333075</v>
      </c>
      <c r="U3" s="179">
        <f t="shared" si="1"/>
        <v>2084.5408681418176</v>
      </c>
      <c r="V3" s="179">
        <f t="shared" si="1"/>
        <v>2043.3362023308559</v>
      </c>
      <c r="W3" s="179">
        <f t="shared" si="1"/>
        <v>2104.1239733391981</v>
      </c>
      <c r="X3" s="179">
        <f t="shared" ref="X3:Y3" si="2">SUM(X4:X9)</f>
        <v>2067.4089194034113</v>
      </c>
      <c r="Y3" s="179">
        <f t="shared" si="2"/>
        <v>2029.7700376254413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79.81119862451267</v>
      </c>
      <c r="C4" s="180">
        <f t="shared" ref="C4:R9" si="4">C12*C44/11630</f>
        <v>80.809405948878421</v>
      </c>
      <c r="D4" s="180">
        <f t="shared" si="4"/>
        <v>82.21182880578985</v>
      </c>
      <c r="E4" s="180">
        <f t="shared" si="4"/>
        <v>84.688575961133338</v>
      </c>
      <c r="F4" s="180">
        <f t="shared" si="4"/>
        <v>87.998784561851821</v>
      </c>
      <c r="G4" s="180">
        <f t="shared" si="4"/>
        <v>90.771887138481262</v>
      </c>
      <c r="H4" s="180">
        <f t="shared" si="4"/>
        <v>94.909168966144051</v>
      </c>
      <c r="I4" s="180">
        <f t="shared" si="4"/>
        <v>99.276483546199103</v>
      </c>
      <c r="J4" s="180">
        <f t="shared" si="4"/>
        <v>103.44535208592451</v>
      </c>
      <c r="K4" s="180">
        <f t="shared" si="4"/>
        <v>107.2392736968421</v>
      </c>
      <c r="L4" s="180">
        <f t="shared" si="4"/>
        <v>108.09891821998029</v>
      </c>
      <c r="M4" s="180">
        <f t="shared" si="4"/>
        <v>110.93050576207217</v>
      </c>
      <c r="N4" s="180">
        <f t="shared" si="4"/>
        <v>113.46853320990529</v>
      </c>
      <c r="O4" s="180">
        <f t="shared" si="4"/>
        <v>114.70143553960264</v>
      </c>
      <c r="P4" s="180">
        <f t="shared" si="4"/>
        <v>117.43727794036531</v>
      </c>
      <c r="Q4" s="180">
        <f t="shared" si="4"/>
        <v>119.28289746169062</v>
      </c>
      <c r="R4" s="180">
        <f t="shared" si="4"/>
        <v>120.54918067934875</v>
      </c>
      <c r="S4" s="180">
        <f t="shared" ref="D4:W9" si="5">S12*S44/11630</f>
        <v>122.26137829459401</v>
      </c>
      <c r="T4" s="180">
        <f t="shared" si="5"/>
        <v>123.87895805751188</v>
      </c>
      <c r="U4" s="180">
        <f t="shared" si="5"/>
        <v>126.01220058091836</v>
      </c>
      <c r="V4" s="180">
        <f t="shared" si="5"/>
        <v>127.81924877098847</v>
      </c>
      <c r="W4" s="180">
        <f t="shared" si="5"/>
        <v>129.22731222399469</v>
      </c>
      <c r="X4" s="180">
        <f t="shared" ref="X4:Y4" si="6">X12*X44/11630</f>
        <v>129.73809434156649</v>
      </c>
      <c r="Y4" s="180">
        <f t="shared" si="6"/>
        <v>129.96043597976029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163.87288906536338</v>
      </c>
      <c r="C5" s="180">
        <f t="shared" si="4"/>
        <v>167.39767440776802</v>
      </c>
      <c r="D5" s="180">
        <f t="shared" si="5"/>
        <v>171.42913512921928</v>
      </c>
      <c r="E5" s="180">
        <f t="shared" si="5"/>
        <v>175.60993266401334</v>
      </c>
      <c r="F5" s="180">
        <f t="shared" si="5"/>
        <v>178.81225160334048</v>
      </c>
      <c r="G5" s="180">
        <f t="shared" si="5"/>
        <v>181.55389477564603</v>
      </c>
      <c r="H5" s="180">
        <f t="shared" si="5"/>
        <v>184.70482163099174</v>
      </c>
      <c r="I5" s="180">
        <f t="shared" si="5"/>
        <v>186.46463947479955</v>
      </c>
      <c r="J5" s="180">
        <f t="shared" si="5"/>
        <v>190.02398642676013</v>
      </c>
      <c r="K5" s="180">
        <f t="shared" si="5"/>
        <v>193.63112259624347</v>
      </c>
      <c r="L5" s="180">
        <f t="shared" si="5"/>
        <v>197.93162788990531</v>
      </c>
      <c r="M5" s="180">
        <f t="shared" si="5"/>
        <v>202.72254333800106</v>
      </c>
      <c r="N5" s="180">
        <f t="shared" si="5"/>
        <v>209.89132646813789</v>
      </c>
      <c r="O5" s="180">
        <f t="shared" si="5"/>
        <v>217.58380254545818</v>
      </c>
      <c r="P5" s="180">
        <f t="shared" si="5"/>
        <v>226.11427346600442</v>
      </c>
      <c r="Q5" s="180">
        <f t="shared" si="5"/>
        <v>233.49323621206767</v>
      </c>
      <c r="R5" s="180">
        <f t="shared" si="5"/>
        <v>239.79353047948214</v>
      </c>
      <c r="S5" s="180">
        <f t="shared" si="5"/>
        <v>237.00640615632113</v>
      </c>
      <c r="T5" s="180">
        <f t="shared" si="5"/>
        <v>233.29739606770087</v>
      </c>
      <c r="U5" s="180">
        <f t="shared" si="5"/>
        <v>226.22599865218007</v>
      </c>
      <c r="V5" s="180">
        <f t="shared" si="5"/>
        <v>218.93538038670974</v>
      </c>
      <c r="W5" s="180">
        <f t="shared" si="5"/>
        <v>213.60903498039721</v>
      </c>
      <c r="X5" s="180">
        <f t="shared" ref="X5:Y5" si="7">X13*X45/11630</f>
        <v>208.88445148653122</v>
      </c>
      <c r="Y5" s="180">
        <f t="shared" si="7"/>
        <v>204.38418266980861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502.29287376697613</v>
      </c>
      <c r="C6" s="180">
        <f t="shared" si="4"/>
        <v>504.2168756820214</v>
      </c>
      <c r="D6" s="180">
        <f t="shared" si="5"/>
        <v>507.51780574622421</v>
      </c>
      <c r="E6" s="180">
        <f t="shared" si="5"/>
        <v>516.16471388896571</v>
      </c>
      <c r="F6" s="180">
        <f t="shared" si="5"/>
        <v>531.61816890113266</v>
      </c>
      <c r="G6" s="180">
        <f t="shared" si="5"/>
        <v>540.27634036005747</v>
      </c>
      <c r="H6" s="180">
        <f t="shared" si="5"/>
        <v>556.95217822203097</v>
      </c>
      <c r="I6" s="180">
        <f t="shared" si="5"/>
        <v>579.99401625490123</v>
      </c>
      <c r="J6" s="180">
        <f t="shared" si="5"/>
        <v>603.15771459544112</v>
      </c>
      <c r="K6" s="180">
        <f t="shared" si="5"/>
        <v>620.73327093963121</v>
      </c>
      <c r="L6" s="180">
        <f t="shared" si="5"/>
        <v>624.93928046431631</v>
      </c>
      <c r="M6" s="180">
        <f t="shared" si="5"/>
        <v>643.67744790252755</v>
      </c>
      <c r="N6" s="180">
        <f t="shared" si="5"/>
        <v>655.01964979691729</v>
      </c>
      <c r="O6" s="180">
        <f t="shared" si="5"/>
        <v>659.58801960856533</v>
      </c>
      <c r="P6" s="180">
        <f t="shared" si="5"/>
        <v>673.15168785256867</v>
      </c>
      <c r="Q6" s="180">
        <f t="shared" si="5"/>
        <v>683.10442300964166</v>
      </c>
      <c r="R6" s="180">
        <f t="shared" si="5"/>
        <v>685.19392150698968</v>
      </c>
      <c r="S6" s="180">
        <f t="shared" si="5"/>
        <v>666.26660063421957</v>
      </c>
      <c r="T6" s="180">
        <f t="shared" si="5"/>
        <v>629.93162622369061</v>
      </c>
      <c r="U6" s="180">
        <f t="shared" si="5"/>
        <v>589.0843665369182</v>
      </c>
      <c r="V6" s="180">
        <f t="shared" si="5"/>
        <v>543.91368319415528</v>
      </c>
      <c r="W6" s="180">
        <f t="shared" si="5"/>
        <v>548.52700680979001</v>
      </c>
      <c r="X6" s="180">
        <f t="shared" ref="X6:Y6" si="8">X14*X46/11630</f>
        <v>514.0948544034311</v>
      </c>
      <c r="Y6" s="180">
        <f t="shared" si="8"/>
        <v>480.78018022110848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234.49825604471198</v>
      </c>
      <c r="C7" s="180">
        <f t="shared" si="4"/>
        <v>246.48191338614362</v>
      </c>
      <c r="D7" s="180">
        <f t="shared" si="5"/>
        <v>256.59520197846962</v>
      </c>
      <c r="E7" s="180">
        <f t="shared" si="5"/>
        <v>267.62288896336571</v>
      </c>
      <c r="F7" s="180">
        <f t="shared" si="5"/>
        <v>283.02614267857916</v>
      </c>
      <c r="G7" s="180">
        <f t="shared" si="5"/>
        <v>300.04174270086776</v>
      </c>
      <c r="H7" s="180">
        <f t="shared" si="5"/>
        <v>316.41945701026026</v>
      </c>
      <c r="I7" s="180">
        <f t="shared" si="5"/>
        <v>329.92633103242991</v>
      </c>
      <c r="J7" s="180">
        <f t="shared" si="5"/>
        <v>337.07727889426457</v>
      </c>
      <c r="K7" s="180">
        <f t="shared" si="5"/>
        <v>342.0214238125775</v>
      </c>
      <c r="L7" s="180">
        <f t="shared" si="5"/>
        <v>344.50846486059419</v>
      </c>
      <c r="M7" s="180">
        <f t="shared" si="5"/>
        <v>344.71221982143595</v>
      </c>
      <c r="N7" s="180">
        <f t="shared" si="5"/>
        <v>345.41337440000274</v>
      </c>
      <c r="O7" s="180">
        <f t="shared" si="5"/>
        <v>347.01162472576647</v>
      </c>
      <c r="P7" s="180">
        <f t="shared" si="5"/>
        <v>349.47674409384643</v>
      </c>
      <c r="Q7" s="180">
        <f t="shared" si="5"/>
        <v>354.53854364062386</v>
      </c>
      <c r="R7" s="180">
        <f t="shared" si="5"/>
        <v>357.36256269415099</v>
      </c>
      <c r="S7" s="180">
        <f t="shared" si="5"/>
        <v>361.0086961788337</v>
      </c>
      <c r="T7" s="180">
        <f t="shared" si="5"/>
        <v>365.86154689574693</v>
      </c>
      <c r="U7" s="180">
        <f t="shared" si="5"/>
        <v>370.65308443416143</v>
      </c>
      <c r="V7" s="180">
        <f t="shared" si="5"/>
        <v>375.28530620338051</v>
      </c>
      <c r="W7" s="180">
        <f t="shared" si="5"/>
        <v>378.60789915027686</v>
      </c>
      <c r="X7" s="180">
        <f t="shared" ref="X7:Y7" si="9">X15*X47/11630</f>
        <v>383.35881826831451</v>
      </c>
      <c r="Y7" s="180">
        <f t="shared" si="9"/>
        <v>384.54532750848477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76.024962422115678</v>
      </c>
      <c r="C8" s="55">
        <f t="shared" si="4"/>
        <v>81.173205209957842</v>
      </c>
      <c r="D8" s="55">
        <f t="shared" si="5"/>
        <v>85.933603208904572</v>
      </c>
      <c r="E8" s="55">
        <f t="shared" si="5"/>
        <v>93.416537485428165</v>
      </c>
      <c r="F8" s="55">
        <f t="shared" si="5"/>
        <v>103.03338053602157</v>
      </c>
      <c r="G8" s="55">
        <f t="shared" si="5"/>
        <v>114.01143926274506</v>
      </c>
      <c r="H8" s="55">
        <f t="shared" si="5"/>
        <v>125.63063469479739</v>
      </c>
      <c r="I8" s="55">
        <f t="shared" si="5"/>
        <v>138.04591565775075</v>
      </c>
      <c r="J8" s="55">
        <f t="shared" si="5"/>
        <v>149.48191163055935</v>
      </c>
      <c r="K8" s="55">
        <f t="shared" si="5"/>
        <v>159.3992000140961</v>
      </c>
      <c r="L8" s="55">
        <f t="shared" si="5"/>
        <v>165.42088130855493</v>
      </c>
      <c r="M8" s="55">
        <f t="shared" si="5"/>
        <v>173.16625890835286</v>
      </c>
      <c r="N8" s="55">
        <f t="shared" si="5"/>
        <v>178.81591578341224</v>
      </c>
      <c r="O8" s="55">
        <f t="shared" si="5"/>
        <v>182.17990590883826</v>
      </c>
      <c r="P8" s="55">
        <f t="shared" si="5"/>
        <v>187.27991569806863</v>
      </c>
      <c r="Q8" s="55">
        <f t="shared" si="5"/>
        <v>190.8285517460607</v>
      </c>
      <c r="R8" s="55">
        <f t="shared" si="5"/>
        <v>204.37701767569149</v>
      </c>
      <c r="S8" s="55">
        <f t="shared" si="5"/>
        <v>212.96049951494155</v>
      </c>
      <c r="T8" s="55">
        <f t="shared" si="5"/>
        <v>220.33971086985517</v>
      </c>
      <c r="U8" s="55">
        <f t="shared" si="5"/>
        <v>224.17548340598958</v>
      </c>
      <c r="V8" s="55">
        <f t="shared" si="5"/>
        <v>225.9923562793673</v>
      </c>
      <c r="W8" s="55">
        <f t="shared" si="5"/>
        <v>249.43987913484054</v>
      </c>
      <c r="X8" s="55">
        <f t="shared" ref="X8:Y8" si="10">X16*X48/11630</f>
        <v>249.37301597400935</v>
      </c>
      <c r="Y8" s="55">
        <f t="shared" si="10"/>
        <v>250.71869122103692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116.91994499393194</v>
      </c>
      <c r="C9" s="63">
        <f t="shared" si="4"/>
        <v>139.23951376841936</v>
      </c>
      <c r="D9" s="63">
        <f t="shared" si="5"/>
        <v>161.30354876227926</v>
      </c>
      <c r="E9" s="63">
        <f t="shared" si="5"/>
        <v>186.70894706581609</v>
      </c>
      <c r="F9" s="63">
        <f t="shared" si="5"/>
        <v>218.47812730618591</v>
      </c>
      <c r="G9" s="63">
        <f t="shared" si="5"/>
        <v>250.57231506136841</v>
      </c>
      <c r="H9" s="63">
        <f t="shared" si="5"/>
        <v>284.34365883122808</v>
      </c>
      <c r="I9" s="63">
        <f t="shared" si="5"/>
        <v>317.65800429576763</v>
      </c>
      <c r="J9" s="63">
        <f t="shared" si="5"/>
        <v>350.94211263155245</v>
      </c>
      <c r="K9" s="63">
        <f t="shared" si="5"/>
        <v>378.94108165117717</v>
      </c>
      <c r="L9" s="63">
        <f t="shared" si="5"/>
        <v>398.52475436118891</v>
      </c>
      <c r="M9" s="63">
        <f t="shared" si="5"/>
        <v>408.52268799151227</v>
      </c>
      <c r="N9" s="63">
        <f t="shared" si="5"/>
        <v>420.62392434974953</v>
      </c>
      <c r="O9" s="63">
        <f t="shared" si="5"/>
        <v>436.93975126026783</v>
      </c>
      <c r="P9" s="63">
        <f t="shared" si="5"/>
        <v>463.26850220523278</v>
      </c>
      <c r="Q9" s="63">
        <f t="shared" si="5"/>
        <v>493.24119353886022</v>
      </c>
      <c r="R9" s="63">
        <f t="shared" si="5"/>
        <v>515.72926179691103</v>
      </c>
      <c r="S9" s="63">
        <f t="shared" si="5"/>
        <v>528.93802022975399</v>
      </c>
      <c r="T9" s="63">
        <f t="shared" si="5"/>
        <v>541.17005941880188</v>
      </c>
      <c r="U9" s="63">
        <f t="shared" si="5"/>
        <v>548.38973453164999</v>
      </c>
      <c r="V9" s="63">
        <f t="shared" si="5"/>
        <v>551.39022749625485</v>
      </c>
      <c r="W9" s="63">
        <f t="shared" si="5"/>
        <v>584.71284103989876</v>
      </c>
      <c r="X9" s="63">
        <f t="shared" ref="X9:Y9" si="11">X17*X49/11630</f>
        <v>581.95968492955865</v>
      </c>
      <c r="Y9" s="63">
        <f t="shared" si="11"/>
        <v>579.3812200252421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5048.7104279933528</v>
      </c>
      <c r="C11" s="179">
        <f t="shared" ref="C11:W11" si="13">SUM(C12:C17)</f>
        <v>5217.9413676852782</v>
      </c>
      <c r="D11" s="179">
        <f t="shared" si="13"/>
        <v>5380.4991507059531</v>
      </c>
      <c r="E11" s="179">
        <f t="shared" si="13"/>
        <v>5631.7577189141903</v>
      </c>
      <c r="F11" s="179">
        <f t="shared" si="13"/>
        <v>5989.3159986074679</v>
      </c>
      <c r="G11" s="179">
        <f t="shared" si="13"/>
        <v>6339.94228540125</v>
      </c>
      <c r="H11" s="179">
        <f t="shared" si="13"/>
        <v>6750.9646626368558</v>
      </c>
      <c r="I11" s="179">
        <f t="shared" si="13"/>
        <v>7192.7992029514335</v>
      </c>
      <c r="J11" s="179">
        <f t="shared" si="13"/>
        <v>7621.0186406266257</v>
      </c>
      <c r="K11" s="179">
        <f t="shared" si="13"/>
        <v>7971.4254212904225</v>
      </c>
      <c r="L11" s="179">
        <f t="shared" si="13"/>
        <v>8136.4605772133345</v>
      </c>
      <c r="M11" s="179">
        <f t="shared" si="13"/>
        <v>8350.8486014680657</v>
      </c>
      <c r="N11" s="179">
        <f t="shared" si="13"/>
        <v>8537.1356603896893</v>
      </c>
      <c r="O11" s="179">
        <f t="shared" si="13"/>
        <v>8689.523289909097</v>
      </c>
      <c r="P11" s="179">
        <f t="shared" si="13"/>
        <v>8966.5621269410676</v>
      </c>
      <c r="Q11" s="179">
        <f t="shared" si="13"/>
        <v>9221.0977011002688</v>
      </c>
      <c r="R11" s="179">
        <f t="shared" si="13"/>
        <v>9342.9028492950747</v>
      </c>
      <c r="S11" s="179">
        <f t="shared" si="13"/>
        <v>9470.366017176646</v>
      </c>
      <c r="T11" s="179">
        <f t="shared" si="13"/>
        <v>9544.3978988717208</v>
      </c>
      <c r="U11" s="179">
        <f t="shared" si="13"/>
        <v>9585.1973432011582</v>
      </c>
      <c r="V11" s="179">
        <f t="shared" si="13"/>
        <v>9553.5147657419802</v>
      </c>
      <c r="W11" s="179">
        <f t="shared" si="13"/>
        <v>9498.4682067344929</v>
      </c>
      <c r="X11" s="179">
        <f t="shared" ref="X11:Y11" si="14">SUM(X12:X17)</f>
        <v>9489.6800765041135</v>
      </c>
      <c r="Y11" s="179">
        <f t="shared" si="14"/>
        <v>9417.8508008520657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105.95938812820579</v>
      </c>
      <c r="C12" s="180">
        <f t="shared" ref="C12:W12" si="15">C20*C52</f>
        <v>107.28463369696985</v>
      </c>
      <c r="D12" s="180">
        <f t="shared" si="15"/>
        <v>109.14652614284655</v>
      </c>
      <c r="E12" s="180">
        <f t="shared" si="15"/>
        <v>112.43471899862793</v>
      </c>
      <c r="F12" s="180">
        <f t="shared" si="15"/>
        <v>116.82943658154528</v>
      </c>
      <c r="G12" s="180">
        <f t="shared" si="15"/>
        <v>120.51107847266407</v>
      </c>
      <c r="H12" s="180">
        <f t="shared" si="15"/>
        <v>126.00383962057712</v>
      </c>
      <c r="I12" s="180">
        <f t="shared" si="15"/>
        <v>131.80199813268212</v>
      </c>
      <c r="J12" s="180">
        <f t="shared" si="15"/>
        <v>137.33669460722626</v>
      </c>
      <c r="K12" s="180">
        <f t="shared" si="15"/>
        <v>142.37360195140116</v>
      </c>
      <c r="L12" s="180">
        <f t="shared" si="15"/>
        <v>143.51488800209717</v>
      </c>
      <c r="M12" s="180">
        <f t="shared" si="15"/>
        <v>147.27417602886982</v>
      </c>
      <c r="N12" s="180">
        <f t="shared" si="15"/>
        <v>150.64372616794503</v>
      </c>
      <c r="O12" s="180">
        <f t="shared" si="15"/>
        <v>152.28055882712087</v>
      </c>
      <c r="P12" s="180">
        <f t="shared" si="15"/>
        <v>155.91273315598727</v>
      </c>
      <c r="Q12" s="180">
        <f t="shared" si="15"/>
        <v>158.36302482642259</v>
      </c>
      <c r="R12" s="180">
        <f t="shared" si="15"/>
        <v>160.04417480603038</v>
      </c>
      <c r="S12" s="180">
        <f t="shared" si="15"/>
        <v>162.3173321422521</v>
      </c>
      <c r="T12" s="180">
        <f t="shared" si="15"/>
        <v>164.46487239827201</v>
      </c>
      <c r="U12" s="180">
        <f t="shared" si="15"/>
        <v>167.29701972101378</v>
      </c>
      <c r="V12" s="180">
        <f t="shared" si="15"/>
        <v>169.69610310577582</v>
      </c>
      <c r="W12" s="180">
        <f t="shared" si="15"/>
        <v>171.56548415126241</v>
      </c>
      <c r="X12" s="180">
        <f t="shared" ref="X12:Y12" si="16">X20*X52</f>
        <v>172.24361155164596</v>
      </c>
      <c r="Y12" s="180">
        <f t="shared" si="16"/>
        <v>172.53879799596035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480.95638916554429</v>
      </c>
      <c r="C13" s="180">
        <f t="shared" ref="C13:W13" si="17">C21*C53/1000</f>
        <v>491.07549537933795</v>
      </c>
      <c r="D13" s="180">
        <f t="shared" si="17"/>
        <v>502.76479439170527</v>
      </c>
      <c r="E13" s="180">
        <f t="shared" si="17"/>
        <v>514.63713557312985</v>
      </c>
      <c r="F13" s="180">
        <f t="shared" si="17"/>
        <v>523.38546938151046</v>
      </c>
      <c r="G13" s="180">
        <f t="shared" si="17"/>
        <v>530.18242885828067</v>
      </c>
      <c r="H13" s="180">
        <f t="shared" si="17"/>
        <v>538.70822347138233</v>
      </c>
      <c r="I13" s="180">
        <f t="shared" si="17"/>
        <v>542.62286335807801</v>
      </c>
      <c r="J13" s="180">
        <f t="shared" si="17"/>
        <v>552.18767553466807</v>
      </c>
      <c r="K13" s="180">
        <f t="shared" si="17"/>
        <v>562.20008373666394</v>
      </c>
      <c r="L13" s="180">
        <f t="shared" si="17"/>
        <v>573.79869852992999</v>
      </c>
      <c r="M13" s="180">
        <f t="shared" si="17"/>
        <v>588.00892899076155</v>
      </c>
      <c r="N13" s="180">
        <f t="shared" si="17"/>
        <v>608.88016429058337</v>
      </c>
      <c r="O13" s="180">
        <f t="shared" si="17"/>
        <v>631.80157844501457</v>
      </c>
      <c r="P13" s="180">
        <f t="shared" si="17"/>
        <v>658.46728906787496</v>
      </c>
      <c r="Q13" s="180">
        <f t="shared" si="17"/>
        <v>682.29335666891848</v>
      </c>
      <c r="R13" s="180">
        <f t="shared" si="17"/>
        <v>687.41239811881837</v>
      </c>
      <c r="S13" s="180">
        <f t="shared" si="17"/>
        <v>689.33424394684073</v>
      </c>
      <c r="T13" s="180">
        <f t="shared" si="17"/>
        <v>687.36725770222802</v>
      </c>
      <c r="U13" s="180">
        <f t="shared" si="17"/>
        <v>679.26651931678634</v>
      </c>
      <c r="V13" s="180">
        <f t="shared" si="17"/>
        <v>665.06426797973052</v>
      </c>
      <c r="W13" s="180">
        <f t="shared" si="17"/>
        <v>648.74942037128062</v>
      </c>
      <c r="X13" s="180">
        <f t="shared" ref="X13:Y13" si="18">X21*X53/1000</f>
        <v>638.22255551862463</v>
      </c>
      <c r="Y13" s="180">
        <f t="shared" si="18"/>
        <v>628.25760020683981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2604.0116968551961</v>
      </c>
      <c r="C14" s="180">
        <f t="shared" ref="C14:W14" si="19">C22*C54</f>
        <v>2598.0789577751211</v>
      </c>
      <c r="D14" s="180">
        <f t="shared" si="19"/>
        <v>2598.6917784840821</v>
      </c>
      <c r="E14" s="180">
        <f t="shared" si="19"/>
        <v>2623.6897229469851</v>
      </c>
      <c r="F14" s="180">
        <f t="shared" si="19"/>
        <v>2677.939097321289</v>
      </c>
      <c r="G14" s="180">
        <f t="shared" si="19"/>
        <v>2703.237724279365</v>
      </c>
      <c r="H14" s="180">
        <f t="shared" si="19"/>
        <v>2761.1604904874043</v>
      </c>
      <c r="I14" s="180">
        <f t="shared" si="19"/>
        <v>2849.5405822948278</v>
      </c>
      <c r="J14" s="180">
        <f t="shared" si="19"/>
        <v>2940.3615290348184</v>
      </c>
      <c r="K14" s="180">
        <f t="shared" si="19"/>
        <v>3008.6942110391492</v>
      </c>
      <c r="L14" s="180">
        <f t="shared" si="19"/>
        <v>3011.044151141004</v>
      </c>
      <c r="M14" s="180">
        <f t="shared" si="19"/>
        <v>3080.4093690034351</v>
      </c>
      <c r="N14" s="180">
        <f t="shared" si="19"/>
        <v>3118.8547853407044</v>
      </c>
      <c r="O14" s="180">
        <f t="shared" si="19"/>
        <v>3128.2790092736655</v>
      </c>
      <c r="P14" s="180">
        <f t="shared" si="19"/>
        <v>3174.8463340211979</v>
      </c>
      <c r="Q14" s="180">
        <f t="shared" si="19"/>
        <v>3202.4175212364694</v>
      </c>
      <c r="R14" s="180">
        <f t="shared" si="19"/>
        <v>3132.8959282779747</v>
      </c>
      <c r="S14" s="180">
        <f t="shared" si="19"/>
        <v>3052.0040272562378</v>
      </c>
      <c r="T14" s="180">
        <f t="shared" si="19"/>
        <v>2938.1567212763421</v>
      </c>
      <c r="U14" s="180">
        <f t="shared" si="19"/>
        <v>2826.1010594991048</v>
      </c>
      <c r="V14" s="180">
        <f t="shared" si="19"/>
        <v>2669.2445866895919</v>
      </c>
      <c r="W14" s="180">
        <f t="shared" si="19"/>
        <v>2505.2347120883242</v>
      </c>
      <c r="X14" s="180">
        <f t="shared" ref="X14:Y14" si="20">X22*X54</f>
        <v>2393.6006162105855</v>
      </c>
      <c r="Y14" s="180">
        <f t="shared" si="20"/>
        <v>2260.4510294656448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311.32588102739737</v>
      </c>
      <c r="C15" s="180">
        <f t="shared" ref="C15:W15" si="21">C23*C55/1000</f>
        <v>327.23569094530251</v>
      </c>
      <c r="D15" s="180">
        <f t="shared" si="21"/>
        <v>340.6623514851143</v>
      </c>
      <c r="E15" s="180">
        <f t="shared" si="21"/>
        <v>355.30299071277892</v>
      </c>
      <c r="F15" s="180">
        <f t="shared" si="21"/>
        <v>375.75274421825071</v>
      </c>
      <c r="G15" s="180">
        <f t="shared" si="21"/>
        <v>398.34308990994202</v>
      </c>
      <c r="H15" s="180">
        <f t="shared" si="21"/>
        <v>420.08656221795957</v>
      </c>
      <c r="I15" s="180">
        <f t="shared" si="21"/>
        <v>438.0186335510457</v>
      </c>
      <c r="J15" s="180">
        <f t="shared" si="21"/>
        <v>447.51241478770515</v>
      </c>
      <c r="K15" s="180">
        <f t="shared" si="21"/>
        <v>454.07638800688102</v>
      </c>
      <c r="L15" s="180">
        <f t="shared" si="21"/>
        <v>457.37824729779805</v>
      </c>
      <c r="M15" s="180">
        <f t="shared" si="21"/>
        <v>457.64875759398416</v>
      </c>
      <c r="N15" s="180">
        <f t="shared" si="21"/>
        <v>458.57962834155614</v>
      </c>
      <c r="O15" s="180">
        <f t="shared" si="21"/>
        <v>460.70150634254162</v>
      </c>
      <c r="P15" s="180">
        <f t="shared" si="21"/>
        <v>463.97426185062034</v>
      </c>
      <c r="Q15" s="180">
        <f t="shared" si="21"/>
        <v>470.69443636306596</v>
      </c>
      <c r="R15" s="180">
        <f t="shared" si="21"/>
        <v>474.44367627088786</v>
      </c>
      <c r="S15" s="180">
        <f t="shared" si="21"/>
        <v>479.284376319616</v>
      </c>
      <c r="T15" s="180">
        <f t="shared" si="21"/>
        <v>485.72714502255002</v>
      </c>
      <c r="U15" s="180">
        <f t="shared" si="21"/>
        <v>492.08851278188337</v>
      </c>
      <c r="V15" s="180">
        <f t="shared" si="21"/>
        <v>498.2383688522051</v>
      </c>
      <c r="W15" s="180">
        <f t="shared" si="21"/>
        <v>502.64952820978533</v>
      </c>
      <c r="X15" s="180">
        <f t="shared" ref="X15:Y15" si="22">X23*X55/1000</f>
        <v>508.95696991558191</v>
      </c>
      <c r="Y15" s="180">
        <f t="shared" si="22"/>
        <v>510.53220992279427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1065.9918230769586</v>
      </c>
      <c r="C16" s="55">
        <f t="shared" ref="C16:W16" si="23">C24*C56</f>
        <v>1132.7673423436688</v>
      </c>
      <c r="D16" s="55">
        <f t="shared" si="23"/>
        <v>1193.9925558142777</v>
      </c>
      <c r="E16" s="55">
        <f t="shared" si="23"/>
        <v>1292.7789071055636</v>
      </c>
      <c r="F16" s="55">
        <f t="shared" si="23"/>
        <v>1420.5914834747639</v>
      </c>
      <c r="G16" s="55">
        <f t="shared" si="23"/>
        <v>1566.5401291207877</v>
      </c>
      <c r="H16" s="55">
        <f t="shared" si="23"/>
        <v>1720.6289032371224</v>
      </c>
      <c r="I16" s="55">
        <f t="shared" si="23"/>
        <v>1884.9454004399668</v>
      </c>
      <c r="J16" s="55">
        <f t="shared" si="23"/>
        <v>2035.2730272142569</v>
      </c>
      <c r="K16" s="55">
        <f t="shared" si="23"/>
        <v>2164.4428172141061</v>
      </c>
      <c r="L16" s="55">
        <f t="shared" si="23"/>
        <v>2240.4563632252521</v>
      </c>
      <c r="M16" s="55">
        <f t="shared" si="23"/>
        <v>2341.5483184093964</v>
      </c>
      <c r="N16" s="55">
        <f t="shared" si="23"/>
        <v>2414.1962693270193</v>
      </c>
      <c r="O16" s="55">
        <f t="shared" si="23"/>
        <v>2455.9717755454008</v>
      </c>
      <c r="P16" s="55">
        <f t="shared" si="23"/>
        <v>2521.1459609450726</v>
      </c>
      <c r="Q16" s="55">
        <f t="shared" si="23"/>
        <v>2565.4241574074681</v>
      </c>
      <c r="R16" s="55">
        <f t="shared" si="23"/>
        <v>2685.1646846867843</v>
      </c>
      <c r="S16" s="55">
        <f t="shared" si="23"/>
        <v>2819.1209444265196</v>
      </c>
      <c r="T16" s="55">
        <f t="shared" si="23"/>
        <v>2941.9571306720327</v>
      </c>
      <c r="U16" s="55">
        <f t="shared" si="23"/>
        <v>3051.0573568013092</v>
      </c>
      <c r="V16" s="55">
        <f t="shared" si="23"/>
        <v>3146.3295054520868</v>
      </c>
      <c r="W16" s="55">
        <f t="shared" si="23"/>
        <v>3231.977729541894</v>
      </c>
      <c r="X16" s="55">
        <f t="shared" ref="X16:Y16" si="24">X24*X56</f>
        <v>3296.7013990149744</v>
      </c>
      <c r="Y16" s="55">
        <f t="shared" si="24"/>
        <v>3348.4774152872837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480.4652497400503</v>
      </c>
      <c r="C17" s="63">
        <f t="shared" ref="C17:W17" si="25">C25*C57/1000</f>
        <v>561.49924754487756</v>
      </c>
      <c r="D17" s="63">
        <f t="shared" si="25"/>
        <v>635.24114438792765</v>
      </c>
      <c r="E17" s="63">
        <f t="shared" si="25"/>
        <v>732.9142435771048</v>
      </c>
      <c r="F17" s="63">
        <f t="shared" si="25"/>
        <v>874.81776763010816</v>
      </c>
      <c r="G17" s="63">
        <f t="shared" si="25"/>
        <v>1021.1278347602106</v>
      </c>
      <c r="H17" s="63">
        <f t="shared" si="25"/>
        <v>1184.3766436024107</v>
      </c>
      <c r="I17" s="63">
        <f t="shared" si="25"/>
        <v>1345.8697251748329</v>
      </c>
      <c r="J17" s="63">
        <f t="shared" si="25"/>
        <v>1508.3472994479505</v>
      </c>
      <c r="K17" s="63">
        <f t="shared" si="25"/>
        <v>1639.6383193422218</v>
      </c>
      <c r="L17" s="63">
        <f t="shared" si="25"/>
        <v>1710.2682290172534</v>
      </c>
      <c r="M17" s="63">
        <f t="shared" si="25"/>
        <v>1735.9590514416179</v>
      </c>
      <c r="N17" s="63">
        <f t="shared" si="25"/>
        <v>1785.9810869218807</v>
      </c>
      <c r="O17" s="63">
        <f t="shared" si="25"/>
        <v>1860.4888614753543</v>
      </c>
      <c r="P17" s="63">
        <f t="shared" si="25"/>
        <v>1992.2155479003138</v>
      </c>
      <c r="Q17" s="63">
        <f t="shared" si="25"/>
        <v>2141.9052045979238</v>
      </c>
      <c r="R17" s="63">
        <f t="shared" si="25"/>
        <v>2202.9419871345794</v>
      </c>
      <c r="S17" s="63">
        <f t="shared" si="25"/>
        <v>2268.3050930851805</v>
      </c>
      <c r="T17" s="63">
        <f t="shared" si="25"/>
        <v>2326.7247718002968</v>
      </c>
      <c r="U17" s="63">
        <f t="shared" si="25"/>
        <v>2369.3868750810607</v>
      </c>
      <c r="V17" s="63">
        <f t="shared" si="25"/>
        <v>2404.9419336625906</v>
      </c>
      <c r="W17" s="63">
        <f t="shared" si="25"/>
        <v>2438.2913323719463</v>
      </c>
      <c r="X17" s="63">
        <f t="shared" ref="X17:Y17" si="26">X25*X57/1000</f>
        <v>2479.9549242927019</v>
      </c>
      <c r="Y17" s="63">
        <f t="shared" si="26"/>
        <v>2497.5937479735412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137.36701284295546</v>
      </c>
      <c r="C20" s="181">
        <v>139.99133962331979</v>
      </c>
      <c r="D20" s="181">
        <v>143.52553211920747</v>
      </c>
      <c r="E20" s="181">
        <v>149.31157957998749</v>
      </c>
      <c r="F20" s="181">
        <v>156.95699262034665</v>
      </c>
      <c r="G20" s="181">
        <v>163.73156428759214</v>
      </c>
      <c r="H20" s="181">
        <v>173.568704866026</v>
      </c>
      <c r="I20" s="181">
        <v>184.20176643216692</v>
      </c>
      <c r="J20" s="181">
        <v>194.74069588803391</v>
      </c>
      <c r="K20" s="181">
        <v>204.83605050840688</v>
      </c>
      <c r="L20" s="181">
        <v>208.86106480325694</v>
      </c>
      <c r="M20" s="181">
        <v>217.62438768333922</v>
      </c>
      <c r="N20" s="181">
        <v>226.21531360310084</v>
      </c>
      <c r="O20" s="181">
        <v>232.20578809934094</v>
      </c>
      <c r="P20" s="181">
        <v>242.35106341541783</v>
      </c>
      <c r="Q20" s="181">
        <v>250.94995282050567</v>
      </c>
      <c r="R20" s="181">
        <v>258.31777285545257</v>
      </c>
      <c r="S20" s="181">
        <v>267.09508957355234</v>
      </c>
      <c r="T20" s="181">
        <v>275.922447245775</v>
      </c>
      <c r="U20" s="181">
        <v>284.38161786584237</v>
      </c>
      <c r="V20" s="181">
        <v>292.36549556159787</v>
      </c>
      <c r="W20" s="181">
        <v>300.06577558266912</v>
      </c>
      <c r="X20" s="181">
        <v>305.95342953011823</v>
      </c>
      <c r="Y20" s="181">
        <v>310.74218707634907</v>
      </c>
      <c r="DA20" s="190" t="s">
        <v>922</v>
      </c>
    </row>
    <row r="21" spans="1:105" ht="12" customHeight="1" x14ac:dyDescent="0.25">
      <c r="A21" s="131" t="s">
        <v>156</v>
      </c>
      <c r="B21" s="181">
        <v>2442.3944160806086</v>
      </c>
      <c r="C21" s="181">
        <v>2519.6303804033332</v>
      </c>
      <c r="D21" s="181">
        <v>2611.7072398646656</v>
      </c>
      <c r="E21" s="181">
        <v>2712.1631334315575</v>
      </c>
      <c r="F21" s="181">
        <v>2802.6104909796672</v>
      </c>
      <c r="G21" s="181">
        <v>2891.8019534538171</v>
      </c>
      <c r="H21" s="181">
        <v>3000.8509738212756</v>
      </c>
      <c r="I21" s="181">
        <v>3093.0921238811566</v>
      </c>
      <c r="J21" s="181">
        <v>3194.6182471415259</v>
      </c>
      <c r="K21" s="181">
        <v>3305.8767092818825</v>
      </c>
      <c r="L21" s="181">
        <v>3435.9411509860802</v>
      </c>
      <c r="M21" s="181">
        <v>3591.1589463046439</v>
      </c>
      <c r="N21" s="181">
        <v>3802.751872405167</v>
      </c>
      <c r="O21" s="181">
        <v>4055.4560861465429</v>
      </c>
      <c r="P21" s="181">
        <v>4360.9449102098761</v>
      </c>
      <c r="Q21" s="181">
        <v>4682.5610986343345</v>
      </c>
      <c r="R21" s="181">
        <v>4898.3791739316512</v>
      </c>
      <c r="S21" s="181">
        <v>5119.7580107965923</v>
      </c>
      <c r="T21" s="181">
        <v>5337.2210621409058</v>
      </c>
      <c r="U21" s="181">
        <v>5542.7210535297745</v>
      </c>
      <c r="V21" s="181">
        <v>5728.5299649447761</v>
      </c>
      <c r="W21" s="181">
        <v>5887.7761664363961</v>
      </c>
      <c r="X21" s="181">
        <v>6071.5696575135071</v>
      </c>
      <c r="Y21" s="181">
        <v>6202.2699622940854</v>
      </c>
      <c r="DA21" s="190" t="s">
        <v>923</v>
      </c>
    </row>
    <row r="22" spans="1:105" ht="12" customHeight="1" x14ac:dyDescent="0.25">
      <c r="A22" s="131" t="s">
        <v>160</v>
      </c>
      <c r="B22" s="181">
        <v>52.598782062506864</v>
      </c>
      <c r="C22" s="181">
        <v>52.919456504239974</v>
      </c>
      <c r="D22" s="181">
        <v>53.73312937868392</v>
      </c>
      <c r="E22" s="181">
        <v>55.397068049059726</v>
      </c>
      <c r="F22" s="181">
        <v>58.003134704583061</v>
      </c>
      <c r="G22" s="181">
        <v>60.176396822608083</v>
      </c>
      <c r="H22" s="181">
        <v>63.425534401179483</v>
      </c>
      <c r="I22" s="181">
        <v>67.055420554935807</v>
      </c>
      <c r="J22" s="181">
        <v>70.987374009748791</v>
      </c>
      <c r="K22" s="181">
        <v>74.64406779491442</v>
      </c>
      <c r="L22" s="181">
        <v>76.960630145279879</v>
      </c>
      <c r="M22" s="181">
        <v>81.657248539013423</v>
      </c>
      <c r="N22" s="181">
        <v>86.399226036599813</v>
      </c>
      <c r="O22" s="181">
        <v>90.81465626729441</v>
      </c>
      <c r="P22" s="181">
        <v>97.487764702594774</v>
      </c>
      <c r="Q22" s="181">
        <v>105.03860689749553</v>
      </c>
      <c r="R22" s="181">
        <v>110.08526368734086</v>
      </c>
      <c r="S22" s="181">
        <v>115.8533362960445</v>
      </c>
      <c r="T22" s="181">
        <v>121.54666900145217</v>
      </c>
      <c r="U22" s="181">
        <v>126.8254394233705</v>
      </c>
      <c r="V22" s="181">
        <v>131.34940703237643</v>
      </c>
      <c r="W22" s="181">
        <v>134.62055506258869</v>
      </c>
      <c r="X22" s="181">
        <v>137.16606973349741</v>
      </c>
      <c r="Y22" s="181">
        <v>139.26430476195398</v>
      </c>
      <c r="DA22" s="190" t="s">
        <v>924</v>
      </c>
    </row>
    <row r="23" spans="1:105" ht="12" customHeight="1" x14ac:dyDescent="0.25">
      <c r="A23" s="131" t="s">
        <v>172</v>
      </c>
      <c r="B23" s="181">
        <v>442.22983986604203</v>
      </c>
      <c r="C23" s="181">
        <v>471.80426071966883</v>
      </c>
      <c r="D23" s="181">
        <v>498.98348893078457</v>
      </c>
      <c r="E23" s="181">
        <v>528.99241516533061</v>
      </c>
      <c r="F23" s="181">
        <v>569.91584709657627</v>
      </c>
      <c r="G23" s="181">
        <v>615.85366934591264</v>
      </c>
      <c r="H23" s="181">
        <v>662.723009420567</v>
      </c>
      <c r="I23" s="181">
        <v>704.99533300449184</v>
      </c>
      <c r="J23" s="181">
        <v>734.47207237668215</v>
      </c>
      <c r="K23" s="181">
        <v>760.54868169263</v>
      </c>
      <c r="L23" s="181">
        <v>782.78885654224837</v>
      </c>
      <c r="M23" s="181">
        <v>800.27928810604942</v>
      </c>
      <c r="N23" s="181">
        <v>818.4220801587752</v>
      </c>
      <c r="O23" s="181">
        <v>840.80396313518486</v>
      </c>
      <c r="P23" s="181">
        <v>870.03087599696278</v>
      </c>
      <c r="Q23" s="181">
        <v>908.44542809028826</v>
      </c>
      <c r="R23" s="181">
        <v>940.01628188664699</v>
      </c>
      <c r="S23" s="181">
        <v>972.89785946638972</v>
      </c>
      <c r="T23" s="181">
        <v>1005.9163364015449</v>
      </c>
      <c r="U23" s="181">
        <v>1037.9291689545762</v>
      </c>
      <c r="V23" s="181">
        <v>1068.1796597151631</v>
      </c>
      <c r="W23" s="181">
        <v>1096.4917452674558</v>
      </c>
      <c r="X23" s="181">
        <v>1129.7234136097229</v>
      </c>
      <c r="Y23" s="181">
        <v>1153.3304649642837</v>
      </c>
      <c r="DA23" s="190" t="s">
        <v>925</v>
      </c>
    </row>
    <row r="24" spans="1:105" ht="12" customHeight="1" x14ac:dyDescent="0.25">
      <c r="A24" s="60" t="s">
        <v>159</v>
      </c>
      <c r="B24" s="36">
        <v>19.998285782869473</v>
      </c>
      <c r="C24" s="36">
        <v>21.370392392374967</v>
      </c>
      <c r="D24" s="36">
        <v>22.655764038452322</v>
      </c>
      <c r="E24" s="36">
        <v>24.740317149310872</v>
      </c>
      <c r="F24" s="36">
        <v>27.474179368240996</v>
      </c>
      <c r="G24" s="36">
        <v>30.654734406707163</v>
      </c>
      <c r="H24" s="36">
        <v>34.106201009449926</v>
      </c>
      <c r="I24" s="36">
        <v>37.883035684456914</v>
      </c>
      <c r="J24" s="36">
        <v>41.474146340420106</v>
      </c>
      <c r="K24" s="36">
        <v>44.714198813061422</v>
      </c>
      <c r="L24" s="36">
        <v>46.865298220998973</v>
      </c>
      <c r="M24" s="36">
        <v>49.79302595143136</v>
      </c>
      <c r="N24" s="36">
        <v>52.222274573923947</v>
      </c>
      <c r="O24" s="36">
        <v>54.068028912066652</v>
      </c>
      <c r="P24" s="36">
        <v>56.752733074632246</v>
      </c>
      <c r="Q24" s="36">
        <v>59.133629616158849</v>
      </c>
      <c r="R24" s="36">
        <v>63.208881640701421</v>
      </c>
      <c r="S24" s="36">
        <v>67.737602373943105</v>
      </c>
      <c r="T24" s="36">
        <v>72.352904355196245</v>
      </c>
      <c r="U24" s="36">
        <v>76.910533804636444</v>
      </c>
      <c r="V24" s="36">
        <v>81.313533749352985</v>
      </c>
      <c r="W24" s="36">
        <v>85.544176625959537</v>
      </c>
      <c r="X24" s="36">
        <v>89.282349356915972</v>
      </c>
      <c r="Y24" s="36">
        <v>92.553486189040584</v>
      </c>
      <c r="DA24" s="89" t="s">
        <v>926</v>
      </c>
    </row>
    <row r="25" spans="1:105" ht="12" customHeight="1" x14ac:dyDescent="0.25">
      <c r="A25" s="62" t="s">
        <v>157</v>
      </c>
      <c r="B25" s="38">
        <v>1241.0662381526631</v>
      </c>
      <c r="C25" s="38">
        <v>1489.2425419772017</v>
      </c>
      <c r="D25" s="38">
        <v>1735.3511447930414</v>
      </c>
      <c r="E25" s="38">
        <v>2070.5138368822063</v>
      </c>
      <c r="F25" s="38">
        <v>2569.1950350965512</v>
      </c>
      <c r="G25" s="38">
        <v>3116.2355553915941</v>
      </c>
      <c r="H25" s="38">
        <v>3803.1603671894059</v>
      </c>
      <c r="I25" s="38">
        <v>4543.2288630349758</v>
      </c>
      <c r="J25" s="38">
        <v>5396.2126876440416</v>
      </c>
      <c r="K25" s="38">
        <v>6257.9835106911569</v>
      </c>
      <c r="L25" s="38">
        <v>6984.0251524253426</v>
      </c>
      <c r="M25" s="38">
        <v>7701.4722546245539</v>
      </c>
      <c r="N25" s="38">
        <v>8549.4688937001683</v>
      </c>
      <c r="O25" s="38">
        <v>9543.7476337471653</v>
      </c>
      <c r="P25" s="38">
        <v>10822.717820617043</v>
      </c>
      <c r="Q25" s="38">
        <v>12024.028049483984</v>
      </c>
      <c r="R25" s="38">
        <v>12692.103615033797</v>
      </c>
      <c r="S25" s="38">
        <v>13365.96997027726</v>
      </c>
      <c r="T25" s="38">
        <v>14031.680174454263</v>
      </c>
      <c r="U25" s="38">
        <v>14673.923555671778</v>
      </c>
      <c r="V25" s="38">
        <v>15271.160016920549</v>
      </c>
      <c r="W25" s="38">
        <v>15826.384865769993</v>
      </c>
      <c r="X25" s="38">
        <v>16445.521041942404</v>
      </c>
      <c r="Y25" s="38">
        <v>16918.611458180083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8.5823911675043405</v>
      </c>
      <c r="D28" s="182">
        <v>9.6607842750830457</v>
      </c>
      <c r="E28" s="182">
        <v>12.085933529470481</v>
      </c>
      <c r="F28" s="182">
        <v>14.123495130511515</v>
      </c>
      <c r="G28" s="182">
        <v>13.435890159228308</v>
      </c>
      <c r="H28" s="182">
        <v>16.686878422769951</v>
      </c>
      <c r="I28" s="182">
        <v>17.676548316188814</v>
      </c>
      <c r="J28" s="182">
        <v>17.781645414569283</v>
      </c>
      <c r="K28" s="182">
        <v>17.542935104297982</v>
      </c>
      <c r="L28" s="182">
        <v>11.683254018844252</v>
      </c>
      <c r="M28" s="182">
        <v>16.638180465945368</v>
      </c>
      <c r="N28" s="182">
        <v>16.688528532452068</v>
      </c>
      <c r="O28" s="182">
        <v>14.31712261121865</v>
      </c>
      <c r="P28" s="182">
        <v>18.70744762149701</v>
      </c>
      <c r="Q28" s="182">
        <v>17.403247842647716</v>
      </c>
      <c r="R28" s="182">
        <v>16.421214983324774</v>
      </c>
      <c r="S28" s="182">
        <v>18.086792323006023</v>
      </c>
      <c r="T28" s="182">
        <v>18.400157327215425</v>
      </c>
      <c r="U28" s="182">
        <v>17.041561787571709</v>
      </c>
      <c r="V28" s="182">
        <v>17.64466197083857</v>
      </c>
      <c r="W28" s="182">
        <v>19.786213550541731</v>
      </c>
      <c r="X28" s="182">
        <v>20.011149077960624</v>
      </c>
      <c r="Y28" s="182">
        <v>18.22464770545912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383.62073860370492</v>
      </c>
      <c r="D29" s="182">
        <v>411.64993004789903</v>
      </c>
      <c r="E29" s="182">
        <v>433.78494911084681</v>
      </c>
      <c r="F29" s="182">
        <v>438.12452279200488</v>
      </c>
      <c r="G29" s="182">
        <v>451.83435009992127</v>
      </c>
      <c r="H29" s="182">
        <v>487.30182812175462</v>
      </c>
      <c r="I29" s="182">
        <v>486.77580510502503</v>
      </c>
      <c r="J29" s="182">
        <v>485.14686186407425</v>
      </c>
      <c r="K29" s="182">
        <v>522.90839218825568</v>
      </c>
      <c r="L29" s="182">
        <v>563.84939081504444</v>
      </c>
      <c r="M29" s="182">
        <v>593.34231811056861</v>
      </c>
      <c r="N29" s="182">
        <v>663.42727620044434</v>
      </c>
      <c r="O29" s="182">
        <v>740.00604186313058</v>
      </c>
      <c r="P29" s="182">
        <v>792.26462916835817</v>
      </c>
      <c r="Q29" s="182">
        <v>806.76305028853267</v>
      </c>
      <c r="R29" s="182">
        <v>738.72646748557236</v>
      </c>
      <c r="S29" s="182">
        <v>785.22822767998605</v>
      </c>
      <c r="T29" s="182">
        <v>810.80536945488257</v>
      </c>
      <c r="U29" s="182">
        <v>868.92726758931349</v>
      </c>
      <c r="V29" s="182">
        <v>925.81495327813263</v>
      </c>
      <c r="W29" s="182">
        <v>951.51083065997864</v>
      </c>
      <c r="X29" s="182">
        <v>990.55654136564317</v>
      </c>
      <c r="Y29" s="182">
        <v>869.42677226615069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8.5348209560689128</v>
      </c>
      <c r="D30" s="182">
        <v>9.2412093790082039</v>
      </c>
      <c r="E30" s="182">
        <v>10.310408685466129</v>
      </c>
      <c r="F30" s="182">
        <v>11.477157712959396</v>
      </c>
      <c r="G30" s="182">
        <v>11.274809502330626</v>
      </c>
      <c r="H30" s="182">
        <v>12.587128165346208</v>
      </c>
      <c r="I30" s="182">
        <v>12.164707109825237</v>
      </c>
      <c r="J30" s="182">
        <v>13.173162833821188</v>
      </c>
      <c r="K30" s="182">
        <v>13.967102470631758</v>
      </c>
      <c r="L30" s="182">
        <v>13.793720063324855</v>
      </c>
      <c r="M30" s="182">
        <v>15.971427896064171</v>
      </c>
      <c r="N30" s="182">
        <v>17.329105662932605</v>
      </c>
      <c r="O30" s="182">
        <v>16.58013734051984</v>
      </c>
      <c r="P30" s="182">
        <v>19.846271269121559</v>
      </c>
      <c r="Q30" s="182">
        <v>21.517944665532511</v>
      </c>
      <c r="R30" s="182">
        <v>18.840376853170184</v>
      </c>
      <c r="S30" s="182">
        <v>21.739500504767818</v>
      </c>
      <c r="T30" s="182">
        <v>23.022438368340275</v>
      </c>
      <c r="U30" s="182">
        <v>21.858907762438164</v>
      </c>
      <c r="V30" s="182">
        <v>24.370238878127495</v>
      </c>
      <c r="W30" s="182">
        <v>24.78909269574477</v>
      </c>
      <c r="X30" s="182">
        <v>21.3858915240789</v>
      </c>
      <c r="Y30" s="182">
        <v>23.837735533224389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69.765640665993942</v>
      </c>
      <c r="D31" s="182">
        <v>68.217043320773257</v>
      </c>
      <c r="E31" s="182">
        <v>71.911169481620163</v>
      </c>
      <c r="F31" s="182">
        <v>83.708311790109633</v>
      </c>
      <c r="G31" s="182">
        <v>89.623930741039771</v>
      </c>
      <c r="H31" s="182">
        <v>91.475660846021128</v>
      </c>
      <c r="I31" s="182">
        <v>87.818240156831507</v>
      </c>
      <c r="J31" s="182">
        <v>75.982043566607672</v>
      </c>
      <c r="K31" s="182">
        <v>73.561509850408015</v>
      </c>
      <c r="L31" s="182">
        <v>70.725306122843108</v>
      </c>
      <c r="M31" s="182">
        <v>87.256072229794995</v>
      </c>
      <c r="N31" s="182">
        <v>86.359835373499095</v>
      </c>
      <c r="O31" s="182">
        <v>94.29305245802982</v>
      </c>
      <c r="P31" s="182">
        <v>112.93522465188755</v>
      </c>
      <c r="Q31" s="182">
        <v>128.03848283436525</v>
      </c>
      <c r="R31" s="182">
        <v>123.04651464237986</v>
      </c>
      <c r="S31" s="182">
        <v>120.69981773657423</v>
      </c>
      <c r="T31" s="182">
        <v>109.00052050176282</v>
      </c>
      <c r="U31" s="182">
        <v>105.57434240343935</v>
      </c>
      <c r="V31" s="182">
        <v>100.97579688343001</v>
      </c>
      <c r="W31" s="182">
        <v>115.56815778208772</v>
      </c>
      <c r="X31" s="182">
        <v>119.59150371576618</v>
      </c>
      <c r="Y31" s="182">
        <v>117.90010381259071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1.9417068752941589</v>
      </c>
      <c r="D32" s="41">
        <v>1.9190698705601683</v>
      </c>
      <c r="E32" s="41">
        <v>2.7895623319421397</v>
      </c>
      <c r="F32" s="41">
        <v>3.5182071683238831</v>
      </c>
      <c r="G32" s="41">
        <v>4.0531634827840328</v>
      </c>
      <c r="H32" s="41">
        <v>4.4222709633539736</v>
      </c>
      <c r="I32" s="41">
        <v>4.8568850833186872</v>
      </c>
      <c r="J32" s="41">
        <v>4.7927007309808189</v>
      </c>
      <c r="K32" s="41">
        <v>4.5768592524635636</v>
      </c>
      <c r="L32" s="41">
        <v>3.6383390279489873</v>
      </c>
      <c r="M32" s="41">
        <v>4.5823286201928894</v>
      </c>
      <c r="N32" s="41">
        <v>4.270044192728399</v>
      </c>
      <c r="O32" s="41">
        <v>3.893697351089024</v>
      </c>
      <c r="P32" s="41">
        <v>4.9631052257202555</v>
      </c>
      <c r="Q32" s="41">
        <v>4.9156894394578643</v>
      </c>
      <c r="R32" s="41">
        <v>6.0169588998367303</v>
      </c>
      <c r="S32" s="41">
        <v>6.4477906038018489</v>
      </c>
      <c r="T32" s="41">
        <v>7.4048643131952758</v>
      </c>
      <c r="U32" s="41">
        <v>8.0758366177640823</v>
      </c>
      <c r="V32" s="41">
        <v>8.4561634275005702</v>
      </c>
      <c r="W32" s="41">
        <v>8.652913839960533</v>
      </c>
      <c r="X32" s="41">
        <v>8.5950578142751226</v>
      </c>
      <c r="Y32" s="41">
        <v>8.0638375631054231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496.38955145507111</v>
      </c>
      <c r="D33" s="42">
        <v>494.32185044637231</v>
      </c>
      <c r="E33" s="42">
        <v>583.3759397196975</v>
      </c>
      <c r="F33" s="42">
        <v>746.89444584487751</v>
      </c>
      <c r="G33" s="42">
        <v>795.25376792557563</v>
      </c>
      <c r="H33" s="42">
        <v>1183.3143632528831</v>
      </c>
      <c r="I33" s="42">
        <v>1234.3903462919425</v>
      </c>
      <c r="J33" s="42">
        <v>1436.359764328763</v>
      </c>
      <c r="K33" s="42">
        <v>1608.665268891993</v>
      </c>
      <c r="L33" s="42">
        <v>1521.2954096597614</v>
      </c>
      <c r="M33" s="42">
        <v>1900.7614654520949</v>
      </c>
      <c r="N33" s="42">
        <v>2082.3869853675569</v>
      </c>
      <c r="O33" s="42">
        <v>2430.63850437576</v>
      </c>
      <c r="P33" s="42">
        <v>2887.6354557618706</v>
      </c>
      <c r="Q33" s="42">
        <v>2722.605638526702</v>
      </c>
      <c r="R33" s="42">
        <v>2568.8370310019072</v>
      </c>
      <c r="S33" s="42">
        <v>2756.2533406110197</v>
      </c>
      <c r="T33" s="42">
        <v>3096.3487085527631</v>
      </c>
      <c r="U33" s="42">
        <v>3529.8788369793856</v>
      </c>
      <c r="V33" s="42">
        <v>3319.8420997754729</v>
      </c>
      <c r="W33" s="42">
        <v>3124.0618798513515</v>
      </c>
      <c r="X33" s="42">
        <v>3375.3895167834307</v>
      </c>
      <c r="Y33" s="42">
        <v>3569.4391247904423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5.9580643871400127</v>
      </c>
      <c r="D36" s="182">
        <v>6.1265917791953655</v>
      </c>
      <c r="E36" s="182">
        <v>6.299886068690455</v>
      </c>
      <c r="F36" s="182">
        <v>6.4780820901523555</v>
      </c>
      <c r="G36" s="182">
        <v>6.6613184919828257</v>
      </c>
      <c r="H36" s="182">
        <v>6.8497378443360901</v>
      </c>
      <c r="I36" s="182">
        <v>7.0434867500478902</v>
      </c>
      <c r="J36" s="182">
        <v>7.2427159587022913</v>
      </c>
      <c r="K36" s="182">
        <v>7.4475804839250088</v>
      </c>
      <c r="L36" s="182">
        <v>7.6582397239941997</v>
      </c>
      <c r="M36" s="182">
        <v>7.8748575858630829</v>
      </c>
      <c r="N36" s="182">
        <v>8.0976026126904515</v>
      </c>
      <c r="O36" s="182">
        <v>8.3266481149785534</v>
      </c>
      <c r="P36" s="182">
        <v>8.5621723054201198</v>
      </c>
      <c r="Q36" s="182">
        <v>8.8043584375598414</v>
      </c>
      <c r="R36" s="182">
        <v>9.0533949483778429</v>
      </c>
      <c r="S36" s="182">
        <v>9.3094756049062539</v>
      </c>
      <c r="T36" s="182">
        <v>9.5727996549927639</v>
      </c>
      <c r="U36" s="182">
        <v>8.5823911675043405</v>
      </c>
      <c r="V36" s="182">
        <v>9.6607842750830741</v>
      </c>
      <c r="W36" s="182">
        <v>12.085933529470481</v>
      </c>
      <c r="X36" s="182">
        <v>14.123495130511515</v>
      </c>
      <c r="Y36" s="182">
        <v>13.435890159228279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306.38477428098031</v>
      </c>
      <c r="D37" s="182">
        <v>319.5730705865667</v>
      </c>
      <c r="E37" s="182">
        <v>333.32905554395484</v>
      </c>
      <c r="F37" s="182">
        <v>347.67716524389516</v>
      </c>
      <c r="G37" s="182">
        <v>362.64288762577144</v>
      </c>
      <c r="H37" s="182">
        <v>378.2528077542961</v>
      </c>
      <c r="I37" s="182">
        <v>394.53465504514406</v>
      </c>
      <c r="J37" s="182">
        <v>383.62073860370492</v>
      </c>
      <c r="K37" s="182">
        <v>411.64993004789903</v>
      </c>
      <c r="L37" s="182">
        <v>433.78494911084681</v>
      </c>
      <c r="M37" s="182">
        <v>438.12452279200488</v>
      </c>
      <c r="N37" s="182">
        <v>451.83435009992081</v>
      </c>
      <c r="O37" s="182">
        <v>487.30182812175417</v>
      </c>
      <c r="P37" s="182">
        <v>486.77580510502503</v>
      </c>
      <c r="Q37" s="182">
        <v>485.1468618640738</v>
      </c>
      <c r="R37" s="182">
        <v>522.90839218825568</v>
      </c>
      <c r="S37" s="182">
        <v>563.8493908150449</v>
      </c>
      <c r="T37" s="182">
        <v>593.34231811056907</v>
      </c>
      <c r="U37" s="182">
        <v>663.42727620044479</v>
      </c>
      <c r="V37" s="182">
        <v>740.00604186313103</v>
      </c>
      <c r="W37" s="182">
        <v>792.26462916835862</v>
      </c>
      <c r="X37" s="182">
        <v>806.76305028853221</v>
      </c>
      <c r="Y37" s="182">
        <v>738.72646748557236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8.2141465143358019</v>
      </c>
      <c r="D38" s="182">
        <v>8.4275365045642587</v>
      </c>
      <c r="E38" s="182">
        <v>8.6464700150903298</v>
      </c>
      <c r="F38" s="182">
        <v>8.8710910574360611</v>
      </c>
      <c r="G38" s="182">
        <v>9.1015473843056043</v>
      </c>
      <c r="H38" s="182">
        <v>9.337990586774815</v>
      </c>
      <c r="I38" s="182">
        <v>8.5348209560689128</v>
      </c>
      <c r="J38" s="182">
        <v>9.2412093790081968</v>
      </c>
      <c r="K38" s="182">
        <v>10.310408685466129</v>
      </c>
      <c r="L38" s="182">
        <v>11.477157712959396</v>
      </c>
      <c r="M38" s="182">
        <v>11.274809502330626</v>
      </c>
      <c r="N38" s="182">
        <v>12.587128165346215</v>
      </c>
      <c r="O38" s="182">
        <v>12.164707109825244</v>
      </c>
      <c r="P38" s="182">
        <v>13.173162833821195</v>
      </c>
      <c r="Q38" s="182">
        <v>13.967102470631758</v>
      </c>
      <c r="R38" s="182">
        <v>13.793720063324855</v>
      </c>
      <c r="S38" s="182">
        <v>15.971427896064156</v>
      </c>
      <c r="T38" s="182">
        <v>17.329105662932605</v>
      </c>
      <c r="U38" s="182">
        <v>16.58013734051984</v>
      </c>
      <c r="V38" s="182">
        <v>19.846271269121559</v>
      </c>
      <c r="W38" s="182">
        <v>21.517944665532497</v>
      </c>
      <c r="X38" s="182">
        <v>18.840376853170199</v>
      </c>
      <c r="Y38" s="182">
        <v>21.739500504767818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40.191219812367137</v>
      </c>
      <c r="D39" s="182">
        <v>41.037815109657572</v>
      </c>
      <c r="E39" s="182">
        <v>41.902243247074125</v>
      </c>
      <c r="F39" s="182">
        <v>42.784879858863974</v>
      </c>
      <c r="G39" s="182">
        <v>43.686108491703408</v>
      </c>
      <c r="H39" s="182">
        <v>44.606320771366768</v>
      </c>
      <c r="I39" s="182">
        <v>45.545916572906663</v>
      </c>
      <c r="J39" s="182">
        <v>46.505304194417363</v>
      </c>
      <c r="K39" s="182">
        <v>47.484900534460166</v>
      </c>
      <c r="L39" s="182">
        <v>48.485131273224738</v>
      </c>
      <c r="M39" s="182">
        <v>69.765640665993942</v>
      </c>
      <c r="N39" s="182">
        <v>68.217043320773314</v>
      </c>
      <c r="O39" s="182">
        <v>71.911169481620163</v>
      </c>
      <c r="P39" s="182">
        <v>83.708311790109633</v>
      </c>
      <c r="Q39" s="182">
        <v>89.623930741039771</v>
      </c>
      <c r="R39" s="182">
        <v>91.475660846021128</v>
      </c>
      <c r="S39" s="182">
        <v>87.818240156831507</v>
      </c>
      <c r="T39" s="182">
        <v>75.982043566607672</v>
      </c>
      <c r="U39" s="182">
        <v>73.561509850408129</v>
      </c>
      <c r="V39" s="182">
        <v>70.725306122843222</v>
      </c>
      <c r="W39" s="182">
        <v>87.256072229794881</v>
      </c>
      <c r="X39" s="182">
        <v>86.359835373498981</v>
      </c>
      <c r="Y39" s="182">
        <v>94.293052458029933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0.56960026578866518</v>
      </c>
      <c r="D40" s="41">
        <v>0.63369822448281354</v>
      </c>
      <c r="E40" s="41">
        <v>0.70500922108358921</v>
      </c>
      <c r="F40" s="41">
        <v>0.78434494939375909</v>
      </c>
      <c r="G40" s="41">
        <v>0.87260844431786566</v>
      </c>
      <c r="H40" s="41">
        <v>0.97080436061121134</v>
      </c>
      <c r="I40" s="41">
        <v>1.0800504083116991</v>
      </c>
      <c r="J40" s="41">
        <v>1.2015900750176272</v>
      </c>
      <c r="K40" s="41">
        <v>1.3368067798222469</v>
      </c>
      <c r="L40" s="41">
        <v>1.4872396200114366</v>
      </c>
      <c r="M40" s="41">
        <v>1.654600889760502</v>
      </c>
      <c r="N40" s="41">
        <v>1.8407955702358123</v>
      </c>
      <c r="O40" s="41">
        <v>2.0479430129463196</v>
      </c>
      <c r="P40" s="41">
        <v>2.2784010631546607</v>
      </c>
      <c r="Q40" s="41">
        <v>2.5347928979312613</v>
      </c>
      <c r="R40" s="41">
        <v>1.9417068752941589</v>
      </c>
      <c r="S40" s="41">
        <v>1.9190698705601648</v>
      </c>
      <c r="T40" s="41">
        <v>2.7895623319421361</v>
      </c>
      <c r="U40" s="41">
        <v>3.5182071683238831</v>
      </c>
      <c r="V40" s="41">
        <v>4.0531634827840293</v>
      </c>
      <c r="W40" s="41">
        <v>4.4222709633539807</v>
      </c>
      <c r="X40" s="41">
        <v>4.8568850833186872</v>
      </c>
      <c r="Y40" s="41">
        <v>4.7927007309808118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248.21324763053258</v>
      </c>
      <c r="D41" s="42">
        <v>248.21324763053258</v>
      </c>
      <c r="E41" s="42">
        <v>248.21324763053235</v>
      </c>
      <c r="F41" s="42">
        <v>248.21324763053281</v>
      </c>
      <c r="G41" s="42">
        <v>248.21324763053281</v>
      </c>
      <c r="H41" s="42">
        <v>496.3895514550718</v>
      </c>
      <c r="I41" s="42">
        <v>494.32185044637299</v>
      </c>
      <c r="J41" s="42">
        <v>583.37593971969727</v>
      </c>
      <c r="K41" s="42">
        <v>746.89444584487774</v>
      </c>
      <c r="L41" s="42">
        <v>795.25376792557563</v>
      </c>
      <c r="M41" s="42">
        <v>1183.3143632528845</v>
      </c>
      <c r="N41" s="42">
        <v>1234.3903462919425</v>
      </c>
      <c r="O41" s="42">
        <v>1436.359764328763</v>
      </c>
      <c r="P41" s="42">
        <v>1608.665268891993</v>
      </c>
      <c r="Q41" s="42">
        <v>1521.2954096597605</v>
      </c>
      <c r="R41" s="42">
        <v>1900.7614654520949</v>
      </c>
      <c r="S41" s="42">
        <v>2082.3869853675569</v>
      </c>
      <c r="T41" s="42">
        <v>2430.63850437576</v>
      </c>
      <c r="U41" s="42">
        <v>2887.6354557618706</v>
      </c>
      <c r="V41" s="42">
        <v>2722.6056385267002</v>
      </c>
      <c r="W41" s="42">
        <v>2568.8370310019091</v>
      </c>
      <c r="X41" s="42">
        <v>2756.2533406110197</v>
      </c>
      <c r="Y41" s="42">
        <v>3096.3487085527631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8760.0000000000018</v>
      </c>
      <c r="D44" s="184">
        <v>8760.0000000000018</v>
      </c>
      <c r="E44" s="184">
        <v>8760</v>
      </c>
      <c r="F44" s="184">
        <v>8760</v>
      </c>
      <c r="G44" s="184">
        <v>8759.9999999999982</v>
      </c>
      <c r="H44" s="184">
        <v>8759.9999999999982</v>
      </c>
      <c r="I44" s="184">
        <v>8760.0000000000018</v>
      </c>
      <c r="J44" s="184">
        <v>8760</v>
      </c>
      <c r="K44" s="184">
        <v>8759.9999999999964</v>
      </c>
      <c r="L44" s="184">
        <v>8759.9999999999982</v>
      </c>
      <c r="M44" s="184">
        <v>8759.9999999999982</v>
      </c>
      <c r="N44" s="184">
        <v>8760</v>
      </c>
      <c r="O44" s="184">
        <v>8760</v>
      </c>
      <c r="P44" s="184">
        <v>8760</v>
      </c>
      <c r="Q44" s="184">
        <v>8760</v>
      </c>
      <c r="R44" s="184">
        <v>8759.9999999999982</v>
      </c>
      <c r="S44" s="184">
        <v>8760</v>
      </c>
      <c r="T44" s="184">
        <v>8760.0000000000018</v>
      </c>
      <c r="U44" s="184">
        <v>8759.9999999999982</v>
      </c>
      <c r="V44" s="184">
        <v>8759.9999999999982</v>
      </c>
      <c r="W44" s="184">
        <v>8759.9999999999982</v>
      </c>
      <c r="X44" s="184">
        <v>8759.9999999999982</v>
      </c>
      <c r="Y44" s="184">
        <v>8759.9999999999982</v>
      </c>
      <c r="DA44" s="193" t="s">
        <v>940</v>
      </c>
    </row>
    <row r="45" spans="1:105" ht="12" customHeight="1" x14ac:dyDescent="0.25">
      <c r="A45" s="131" t="s">
        <v>6</v>
      </c>
      <c r="B45" s="184">
        <v>3962.608134048904</v>
      </c>
      <c r="C45" s="184">
        <v>3964.4310735938534</v>
      </c>
      <c r="D45" s="184">
        <v>3965.514021253261</v>
      </c>
      <c r="E45" s="184">
        <v>3968.5117448976989</v>
      </c>
      <c r="F45" s="184">
        <v>3973.3363033641663</v>
      </c>
      <c r="G45" s="184">
        <v>3982.5382383714682</v>
      </c>
      <c r="H45" s="184">
        <v>3987.5334772619221</v>
      </c>
      <c r="I45" s="184">
        <v>3996.4843052712758</v>
      </c>
      <c r="J45" s="184">
        <v>4002.2243524420546</v>
      </c>
      <c r="K45" s="184">
        <v>4005.5667384943358</v>
      </c>
      <c r="L45" s="184">
        <v>4011.7637740503292</v>
      </c>
      <c r="M45" s="184">
        <v>4009.5703700751023</v>
      </c>
      <c r="N45" s="184">
        <v>4009.0583828897375</v>
      </c>
      <c r="O45" s="184">
        <v>4005.2125697940264</v>
      </c>
      <c r="P45" s="184">
        <v>3993.6820614616145</v>
      </c>
      <c r="Q45" s="184">
        <v>3979.9982084012154</v>
      </c>
      <c r="R45" s="184">
        <v>4056.9514997230772</v>
      </c>
      <c r="S45" s="184">
        <v>3998.6182723436245</v>
      </c>
      <c r="T45" s="184">
        <v>3947.3057319276013</v>
      </c>
      <c r="U45" s="184">
        <v>3873.30788358471</v>
      </c>
      <c r="V45" s="184">
        <v>3828.529957912333</v>
      </c>
      <c r="W45" s="184">
        <v>3829.3260830973309</v>
      </c>
      <c r="X45" s="184">
        <v>3806.3934747875978</v>
      </c>
      <c r="Y45" s="184">
        <v>3783.4608664778648</v>
      </c>
      <c r="DA45" s="193" t="s">
        <v>941</v>
      </c>
    </row>
    <row r="46" spans="1:105" ht="12" customHeight="1" x14ac:dyDescent="0.25">
      <c r="A46" s="131" t="s">
        <v>5</v>
      </c>
      <c r="B46" s="184">
        <v>2243.3332880051098</v>
      </c>
      <c r="C46" s="184">
        <v>2257.0685338999911</v>
      </c>
      <c r="D46" s="184">
        <v>2271.3090215999782</v>
      </c>
      <c r="E46" s="184">
        <v>2287.9975364563979</v>
      </c>
      <c r="F46" s="184">
        <v>2308.7602367449936</v>
      </c>
      <c r="G46" s="184">
        <v>2324.4029860757119</v>
      </c>
      <c r="H46" s="184">
        <v>2345.8809638330104</v>
      </c>
      <c r="I46" s="184">
        <v>2367.1641846252519</v>
      </c>
      <c r="J46" s="184">
        <v>2385.667256042349</v>
      </c>
      <c r="K46" s="184">
        <v>2399.4222857678024</v>
      </c>
      <c r="L46" s="184">
        <v>2413.7951710358843</v>
      </c>
      <c r="M46" s="184">
        <v>2430.1863234263028</v>
      </c>
      <c r="N46" s="184">
        <v>2442.5242762003004</v>
      </c>
      <c r="O46" s="184">
        <v>2452.1497747826197</v>
      </c>
      <c r="P46" s="184">
        <v>2465.8686771178709</v>
      </c>
      <c r="Q46" s="184">
        <v>2480.7834665277246</v>
      </c>
      <c r="R46" s="184">
        <v>2543.5908148747276</v>
      </c>
      <c r="S46" s="184">
        <v>2538.8828114824159</v>
      </c>
      <c r="T46" s="184">
        <v>2493.4356836482993</v>
      </c>
      <c r="U46" s="184">
        <v>2424.2060133683372</v>
      </c>
      <c r="V46" s="184">
        <v>2369.8525669366272</v>
      </c>
      <c r="W46" s="184">
        <v>2546.4157343884626</v>
      </c>
      <c r="X46" s="184">
        <v>2497.8783495541543</v>
      </c>
      <c r="Y46" s="184">
        <v>2473.6096571369999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8760</v>
      </c>
      <c r="E47" s="184">
        <v>8760</v>
      </c>
      <c r="F47" s="184">
        <v>8759.9999999999982</v>
      </c>
      <c r="G47" s="184">
        <v>8760</v>
      </c>
      <c r="H47" s="184">
        <v>8760.0000000000018</v>
      </c>
      <c r="I47" s="184">
        <v>8760</v>
      </c>
      <c r="J47" s="184">
        <v>8760</v>
      </c>
      <c r="K47" s="184">
        <v>8759.9999999999964</v>
      </c>
      <c r="L47" s="184">
        <v>8759.9999999999982</v>
      </c>
      <c r="M47" s="184">
        <v>8759.9999999999982</v>
      </c>
      <c r="N47" s="184">
        <v>8760</v>
      </c>
      <c r="O47" s="184">
        <v>8759.9999999999982</v>
      </c>
      <c r="P47" s="184">
        <v>8760</v>
      </c>
      <c r="Q47" s="184">
        <v>8759.9999999999945</v>
      </c>
      <c r="R47" s="184">
        <v>8759.9999999999964</v>
      </c>
      <c r="S47" s="184">
        <v>8759.9999999999982</v>
      </c>
      <c r="T47" s="184">
        <v>8759.9999999999982</v>
      </c>
      <c r="U47" s="184">
        <v>8759.9999999999982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829.43442325577132</v>
      </c>
      <c r="C48" s="44">
        <v>833.39653369473399</v>
      </c>
      <c r="D48" s="44">
        <v>837.03018117896488</v>
      </c>
      <c r="E48" s="44">
        <v>840.38680162873004</v>
      </c>
      <c r="F48" s="44">
        <v>843.50654609229719</v>
      </c>
      <c r="G48" s="44">
        <v>846.42136768619469</v>
      </c>
      <c r="H48" s="44">
        <v>849.15711851153276</v>
      </c>
      <c r="I48" s="44">
        <v>851.7350150964088</v>
      </c>
      <c r="J48" s="44">
        <v>854.17268789873901</v>
      </c>
      <c r="K48" s="44">
        <v>856.48494911499392</v>
      </c>
      <c r="L48" s="44">
        <v>858.6843650233028</v>
      </c>
      <c r="M48" s="44">
        <v>860.08201294440653</v>
      </c>
      <c r="N48" s="44">
        <v>861.41674849858043</v>
      </c>
      <c r="O48" s="44">
        <v>862.69407768306905</v>
      </c>
      <c r="P48" s="44">
        <v>863.918810457159</v>
      </c>
      <c r="Q48" s="44">
        <v>865.09517359868971</v>
      </c>
      <c r="R48" s="44">
        <v>885.19885916999169</v>
      </c>
      <c r="S48" s="44">
        <v>878.54712805257088</v>
      </c>
      <c r="T48" s="44">
        <v>871.03609046507449</v>
      </c>
      <c r="U48" s="44">
        <v>854.5106063640095</v>
      </c>
      <c r="V48" s="44">
        <v>835.35151006105139</v>
      </c>
      <c r="W48" s="44">
        <v>897.58842328080834</v>
      </c>
      <c r="X48" s="44">
        <v>879.73031972027718</v>
      </c>
      <c r="Y48" s="44">
        <v>870.8012679400116</v>
      </c>
      <c r="DA48" s="95" t="s">
        <v>944</v>
      </c>
    </row>
    <row r="49" spans="1:105" ht="12" customHeight="1" x14ac:dyDescent="0.25">
      <c r="A49" s="62" t="s">
        <v>3</v>
      </c>
      <c r="B49" s="185">
        <v>2830.1296733012841</v>
      </c>
      <c r="C49" s="185">
        <v>2883.9852452291857</v>
      </c>
      <c r="D49" s="185">
        <v>2953.1466730053312</v>
      </c>
      <c r="E49" s="185">
        <v>2962.7273223364509</v>
      </c>
      <c r="F49" s="185">
        <v>2904.4913290390436</v>
      </c>
      <c r="G49" s="185">
        <v>2853.8601387240024</v>
      </c>
      <c r="H49" s="185">
        <v>2792.1158105151708</v>
      </c>
      <c r="I49" s="185">
        <v>2744.9629937101586</v>
      </c>
      <c r="J49" s="185">
        <v>2705.9131351239553</v>
      </c>
      <c r="K49" s="185">
        <v>2687.839584873323</v>
      </c>
      <c r="L49" s="185">
        <v>2710.0093509214512</v>
      </c>
      <c r="M49" s="185">
        <v>2736.8841778818146</v>
      </c>
      <c r="N49" s="185">
        <v>2739.0302596197416</v>
      </c>
      <c r="O49" s="185">
        <v>2731.3301425127779</v>
      </c>
      <c r="P49" s="185">
        <v>2704.4326033522411</v>
      </c>
      <c r="Q49" s="185">
        <v>2678.1741173899313</v>
      </c>
      <c r="R49" s="185">
        <v>2722.6914506721678</v>
      </c>
      <c r="S49" s="185">
        <v>2711.9584548060761</v>
      </c>
      <c r="T49" s="185">
        <v>2705.0074281758948</v>
      </c>
      <c r="U49" s="185">
        <v>2691.7396562285317</v>
      </c>
      <c r="V49" s="185">
        <v>2666.4545434638881</v>
      </c>
      <c r="W49" s="185">
        <v>2788.9244615731964</v>
      </c>
      <c r="X49" s="185">
        <v>2729.1589332661347</v>
      </c>
      <c r="Y49" s="185">
        <v>2697.8781454592868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0.77135977506727638</v>
      </c>
      <c r="C52" s="180">
        <v>0.76636621940789218</v>
      </c>
      <c r="D52" s="180">
        <v>0.76046766405431698</v>
      </c>
      <c r="E52" s="180">
        <v>0.7530207591059318</v>
      </c>
      <c r="F52" s="180">
        <v>0.74434043766458124</v>
      </c>
      <c r="G52" s="180">
        <v>0.73602838278017113</v>
      </c>
      <c r="H52" s="180">
        <v>0.72595943904655402</v>
      </c>
      <c r="I52" s="180">
        <v>0.71553058738564679</v>
      </c>
      <c r="J52" s="180">
        <v>0.70522852956316817</v>
      </c>
      <c r="K52" s="180">
        <v>0.6950612531242778</v>
      </c>
      <c r="L52" s="180">
        <v>0.68713088357222252</v>
      </c>
      <c r="M52" s="180">
        <v>0.67673562506774487</v>
      </c>
      <c r="N52" s="180">
        <v>0.66593071781273117</v>
      </c>
      <c r="O52" s="180">
        <v>0.65580001288328382</v>
      </c>
      <c r="P52" s="180">
        <v>0.6433342233317737</v>
      </c>
      <c r="Q52" s="180">
        <v>0.63105421238988335</v>
      </c>
      <c r="R52" s="180">
        <v>0.61956315679288021</v>
      </c>
      <c r="S52" s="180">
        <v>0.60771365134945077</v>
      </c>
      <c r="T52" s="180">
        <v>0.59605470319628129</v>
      </c>
      <c r="U52" s="180">
        <v>0.58828352189745436</v>
      </c>
      <c r="V52" s="180">
        <v>0.5804245223254223</v>
      </c>
      <c r="W52" s="180">
        <v>0.57175958777076707</v>
      </c>
      <c r="X52" s="180">
        <v>0.56297329896310311</v>
      </c>
      <c r="Y52" s="180">
        <v>0.55524742108340674</v>
      </c>
      <c r="DA52" s="189" t="s">
        <v>946</v>
      </c>
    </row>
    <row r="53" spans="1:105" ht="12" customHeight="1" x14ac:dyDescent="0.25">
      <c r="A53" s="131" t="s">
        <v>100</v>
      </c>
      <c r="B53" s="180">
        <v>196.92003306220744</v>
      </c>
      <c r="C53" s="180">
        <v>194.8998151469853</v>
      </c>
      <c r="D53" s="180">
        <v>192.50426951290211</v>
      </c>
      <c r="E53" s="180">
        <v>189.75154157559339</v>
      </c>
      <c r="F53" s="180">
        <v>186.74927217537046</v>
      </c>
      <c r="G53" s="180">
        <v>183.3398128198435</v>
      </c>
      <c r="H53" s="180">
        <v>179.51848597979281</v>
      </c>
      <c r="I53" s="180">
        <v>175.4305535126463</v>
      </c>
      <c r="J53" s="180">
        <v>172.8493462493534</v>
      </c>
      <c r="K53" s="180">
        <v>170.06081387069864</v>
      </c>
      <c r="L53" s="180">
        <v>166.99898901506376</v>
      </c>
      <c r="M53" s="180">
        <v>163.73792911500936</v>
      </c>
      <c r="N53" s="180">
        <v>160.11567010431276</v>
      </c>
      <c r="O53" s="180">
        <v>155.7905116031836</v>
      </c>
      <c r="P53" s="180">
        <v>150.99188424193724</v>
      </c>
      <c r="Q53" s="180">
        <v>145.70944026078141</v>
      </c>
      <c r="R53" s="180">
        <v>140.33466453089451</v>
      </c>
      <c r="S53" s="180">
        <v>134.64195817325086</v>
      </c>
      <c r="T53" s="180">
        <v>128.78748129396502</v>
      </c>
      <c r="U53" s="180">
        <v>122.55109228060621</v>
      </c>
      <c r="V53" s="180">
        <v>116.09684719282808</v>
      </c>
      <c r="W53" s="180">
        <v>110.18581583816207</v>
      </c>
      <c r="X53" s="180">
        <v>105.11656647615506</v>
      </c>
      <c r="Y53" s="180">
        <v>101.2947846556587</v>
      </c>
      <c r="DA53" s="189" t="s">
        <v>947</v>
      </c>
    </row>
    <row r="54" spans="1:105" ht="12" customHeight="1" x14ac:dyDescent="0.25">
      <c r="A54" s="131" t="s">
        <v>140</v>
      </c>
      <c r="B54" s="180">
        <v>49.507072117385995</v>
      </c>
      <c r="C54" s="180">
        <v>49.094966755128326</v>
      </c>
      <c r="D54" s="180">
        <v>48.362933790247297</v>
      </c>
      <c r="E54" s="180">
        <v>47.361526798195193</v>
      </c>
      <c r="F54" s="180">
        <v>46.168868475132506</v>
      </c>
      <c r="G54" s="180">
        <v>44.921894081630477</v>
      </c>
      <c r="H54" s="180">
        <v>43.533893983809413</v>
      </c>
      <c r="I54" s="180">
        <v>42.49530550569456</v>
      </c>
      <c r="J54" s="180">
        <v>41.420908577784758</v>
      </c>
      <c r="K54" s="180">
        <v>40.307211275055067</v>
      </c>
      <c r="L54" s="180">
        <v>39.124473714118572</v>
      </c>
      <c r="M54" s="180">
        <v>37.723648838494803</v>
      </c>
      <c r="N54" s="180">
        <v>36.09817967604846</v>
      </c>
      <c r="O54" s="180">
        <v>34.446851839269364</v>
      </c>
      <c r="P54" s="180">
        <v>32.566613294567567</v>
      </c>
      <c r="Q54" s="180">
        <v>30.488004514012893</v>
      </c>
      <c r="R54" s="180">
        <v>28.45881295407424</v>
      </c>
      <c r="S54" s="180">
        <v>26.343686982456283</v>
      </c>
      <c r="T54" s="180">
        <v>24.173074798464764</v>
      </c>
      <c r="U54" s="180">
        <v>22.283392609151338</v>
      </c>
      <c r="V54" s="180">
        <v>20.321710215499088</v>
      </c>
      <c r="W54" s="180">
        <v>18.609600227272676</v>
      </c>
      <c r="X54" s="180">
        <v>17.450384201145066</v>
      </c>
      <c r="Y54" s="180">
        <v>16.231374100703398</v>
      </c>
      <c r="DA54" s="189" t="s">
        <v>948</v>
      </c>
    </row>
    <row r="55" spans="1:105" ht="12" customHeight="1" x14ac:dyDescent="0.25">
      <c r="A55" s="131" t="s">
        <v>173</v>
      </c>
      <c r="B55" s="180">
        <v>703.99112172462753</v>
      </c>
      <c r="C55" s="180">
        <v>693.58358579922958</v>
      </c>
      <c r="D55" s="180">
        <v>682.71267294852032</v>
      </c>
      <c r="E55" s="180">
        <v>671.65989629876447</v>
      </c>
      <c r="F55" s="180">
        <v>659.31267946402056</v>
      </c>
      <c r="G55" s="180">
        <v>646.81451087725952</v>
      </c>
      <c r="H55" s="180">
        <v>633.87954884085025</v>
      </c>
      <c r="I55" s="180">
        <v>621.3071392747147</v>
      </c>
      <c r="J55" s="180">
        <v>609.29806812068068</v>
      </c>
      <c r="K55" s="180">
        <v>597.03790031732979</v>
      </c>
      <c r="L55" s="180">
        <v>584.29325286787935</v>
      </c>
      <c r="M55" s="180">
        <v>571.86130441668831</v>
      </c>
      <c r="N55" s="180">
        <v>560.3216719820058</v>
      </c>
      <c r="O55" s="180">
        <v>547.92975121653865</v>
      </c>
      <c r="P55" s="180">
        <v>533.28482316096563</v>
      </c>
      <c r="Q55" s="180">
        <v>518.13176863309036</v>
      </c>
      <c r="R55" s="180">
        <v>504.71857287265499</v>
      </c>
      <c r="S55" s="180">
        <v>492.63586270247481</v>
      </c>
      <c r="T55" s="180">
        <v>482.87032176069158</v>
      </c>
      <c r="U55" s="180">
        <v>474.10606378614943</v>
      </c>
      <c r="V55" s="180">
        <v>466.43686230185619</v>
      </c>
      <c r="W55" s="180">
        <v>458.41615349979611</v>
      </c>
      <c r="X55" s="180">
        <v>450.51466915193765</v>
      </c>
      <c r="Y55" s="180">
        <v>442.65908638648887</v>
      </c>
      <c r="DA55" s="189" t="s">
        <v>949</v>
      </c>
    </row>
    <row r="56" spans="1:105" ht="12" customHeight="1" x14ac:dyDescent="0.25">
      <c r="A56" s="60" t="s">
        <v>99</v>
      </c>
      <c r="B56" s="55">
        <v>53.304159899049289</v>
      </c>
      <c r="C56" s="55">
        <v>53.006389473121907</v>
      </c>
      <c r="D56" s="55">
        <v>52.701491496282493</v>
      </c>
      <c r="E56" s="55">
        <v>52.253934309066572</v>
      </c>
      <c r="F56" s="55">
        <v>51.706420942891135</v>
      </c>
      <c r="G56" s="55">
        <v>51.102714130122536</v>
      </c>
      <c r="H56" s="55">
        <v>50.449151541691251</v>
      </c>
      <c r="I56" s="55">
        <v>49.756978721041193</v>
      </c>
      <c r="J56" s="55">
        <v>49.073295216463784</v>
      </c>
      <c r="K56" s="55">
        <v>48.40616347087164</v>
      </c>
      <c r="L56" s="55">
        <v>47.806296946199069</v>
      </c>
      <c r="M56" s="55">
        <v>47.025628060712101</v>
      </c>
      <c r="N56" s="55">
        <v>46.229243919844414</v>
      </c>
      <c r="O56" s="55">
        <v>45.423734228219452</v>
      </c>
      <c r="P56" s="55">
        <v>44.423340064163234</v>
      </c>
      <c r="Q56" s="55">
        <v>43.383505698193105</v>
      </c>
      <c r="R56" s="55">
        <v>42.48081305962792</v>
      </c>
      <c r="S56" s="55">
        <v>41.618257003896588</v>
      </c>
      <c r="T56" s="55">
        <v>40.661216807957302</v>
      </c>
      <c r="U56" s="55">
        <v>39.670214284969383</v>
      </c>
      <c r="V56" s="55">
        <v>38.693798687320268</v>
      </c>
      <c r="W56" s="55">
        <v>37.781388015149901</v>
      </c>
      <c r="X56" s="55">
        <v>36.924447248089869</v>
      </c>
      <c r="Y56" s="55">
        <v>36.178836186116378</v>
      </c>
      <c r="DA56" s="101" t="s">
        <v>950</v>
      </c>
    </row>
    <row r="57" spans="1:105" ht="12" customHeight="1" x14ac:dyDescent="0.25">
      <c r="A57" s="62" t="s">
        <v>98</v>
      </c>
      <c r="B57" s="63">
        <v>387.13908651259953</v>
      </c>
      <c r="C57" s="63">
        <v>377.03680342048233</v>
      </c>
      <c r="D57" s="63">
        <v>366.05913811390991</v>
      </c>
      <c r="E57" s="63">
        <v>353.97698412908557</v>
      </c>
      <c r="F57" s="63">
        <v>340.50266938852008</v>
      </c>
      <c r="G57" s="63">
        <v>327.67992554140955</v>
      </c>
      <c r="H57" s="63">
        <v>311.41906447602247</v>
      </c>
      <c r="I57" s="63">
        <v>296.23639172686592</v>
      </c>
      <c r="J57" s="63">
        <v>279.51961621188195</v>
      </c>
      <c r="K57" s="63">
        <v>262.00745280665234</v>
      </c>
      <c r="L57" s="63">
        <v>244.88288511150742</v>
      </c>
      <c r="M57" s="63">
        <v>225.40612937990073</v>
      </c>
      <c r="N57" s="63">
        <v>208.8996531980967</v>
      </c>
      <c r="O57" s="63">
        <v>194.94321653022061</v>
      </c>
      <c r="P57" s="63">
        <v>184.0771958504902</v>
      </c>
      <c r="Q57" s="63">
        <v>178.13541317294619</v>
      </c>
      <c r="R57" s="63">
        <v>173.56791702560596</v>
      </c>
      <c r="S57" s="63">
        <v>169.70748087339354</v>
      </c>
      <c r="T57" s="63">
        <v>165.8193988797062</v>
      </c>
      <c r="U57" s="63">
        <v>161.46921210893476</v>
      </c>
      <c r="V57" s="63">
        <v>157.48259667228282</v>
      </c>
      <c r="W57" s="63">
        <v>154.06495880468515</v>
      </c>
      <c r="X57" s="63">
        <v>150.79819714850402</v>
      </c>
      <c r="Y57" s="63">
        <v>147.62403842343483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0.68990758620787596</v>
      </c>
      <c r="D60" s="180">
        <v>0.68190104602550461</v>
      </c>
      <c r="E60" s="180">
        <v>0.67414499151501672</v>
      </c>
      <c r="F60" s="180">
        <v>0.66496638686521026</v>
      </c>
      <c r="G60" s="180">
        <v>0.65644441270519693</v>
      </c>
      <c r="H60" s="180">
        <v>0.64579923924447857</v>
      </c>
      <c r="I60" s="180">
        <v>0.63537409376610754</v>
      </c>
      <c r="J60" s="180">
        <v>0.62544471943033342</v>
      </c>
      <c r="K60" s="180">
        <v>0.61458765519854208</v>
      </c>
      <c r="L60" s="180">
        <v>0.60330316453264166</v>
      </c>
      <c r="M60" s="180">
        <v>0.59102835331171399</v>
      </c>
      <c r="N60" s="180">
        <v>0.57618711261965794</v>
      </c>
      <c r="O60" s="180">
        <v>0.56293951620520588</v>
      </c>
      <c r="P60" s="180">
        <v>0.5471986258937539</v>
      </c>
      <c r="Q60" s="180">
        <v>0.53102844354121226</v>
      </c>
      <c r="R60" s="180">
        <v>0.52764516385555604</v>
      </c>
      <c r="S60" s="180">
        <v>0.52270807205493774</v>
      </c>
      <c r="T60" s="180">
        <v>0.51801800795263186</v>
      </c>
      <c r="U60" s="180">
        <v>0.51363860930810756</v>
      </c>
      <c r="V60" s="180">
        <v>0.50932017299171839</v>
      </c>
      <c r="W60" s="180">
        <v>0.50626425195376812</v>
      </c>
      <c r="X60" s="180">
        <v>0.50320833091581774</v>
      </c>
      <c r="Y60" s="180">
        <v>0.50015240987786747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183.65119245479931</v>
      </c>
      <c r="D61" s="180">
        <v>181.26964974677028</v>
      </c>
      <c r="E61" s="180">
        <v>178.68648965026148</v>
      </c>
      <c r="F61" s="180">
        <v>176.23513103337325</v>
      </c>
      <c r="G61" s="180">
        <v>173.09133066247807</v>
      </c>
      <c r="H61" s="180">
        <v>170.34894029006128</v>
      </c>
      <c r="I61" s="180">
        <v>167.6468229244982</v>
      </c>
      <c r="J61" s="180">
        <v>164.93401186622566</v>
      </c>
      <c r="K61" s="180">
        <v>161.84870639749096</v>
      </c>
      <c r="L61" s="180">
        <v>158.03887716220086</v>
      </c>
      <c r="M61" s="180">
        <v>154.08164958660169</v>
      </c>
      <c r="N61" s="180">
        <v>149.34544863014915</v>
      </c>
      <c r="O61" s="180">
        <v>143.15121523828685</v>
      </c>
      <c r="P61" s="180">
        <v>136.66156968144111</v>
      </c>
      <c r="Q61" s="180">
        <v>128.71596664653401</v>
      </c>
      <c r="R61" s="180">
        <v>121.49434498461909</v>
      </c>
      <c r="S61" s="180">
        <v>115.93058837171913</v>
      </c>
      <c r="T61" s="180">
        <v>110.33002526801783</v>
      </c>
      <c r="U61" s="180">
        <v>104.70278607391052</v>
      </c>
      <c r="V61" s="180">
        <v>99.080828749336789</v>
      </c>
      <c r="W61" s="180">
        <v>96.643440362103107</v>
      </c>
      <c r="X61" s="180">
        <v>94.206051974869425</v>
      </c>
      <c r="Y61" s="180">
        <v>91.768663587635743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46.95184665859631</v>
      </c>
      <c r="D62" s="180">
        <v>45.21437195887566</v>
      </c>
      <c r="E62" s="180">
        <v>43.941939925178851</v>
      </c>
      <c r="F62" s="180">
        <v>42.992449128544528</v>
      </c>
      <c r="G62" s="180">
        <v>42.208215544069994</v>
      </c>
      <c r="H62" s="180">
        <v>41.329470295789477</v>
      </c>
      <c r="I62" s="180">
        <v>40.206943922250531</v>
      </c>
      <c r="J62" s="180">
        <v>38.613082626320953</v>
      </c>
      <c r="K62" s="180">
        <v>37.330007577551783</v>
      </c>
      <c r="L62" s="180">
        <v>35.942519997541538</v>
      </c>
      <c r="M62" s="180">
        <v>34.139390109853437</v>
      </c>
      <c r="N62" s="180">
        <v>32.238522103955923</v>
      </c>
      <c r="O62" s="180">
        <v>30.067900542051625</v>
      </c>
      <c r="P62" s="180">
        <v>27.976224962908393</v>
      </c>
      <c r="Q62" s="180">
        <v>25.511880284724761</v>
      </c>
      <c r="R62" s="180">
        <v>22.624784502987481</v>
      </c>
      <c r="S62" s="180">
        <v>21.360330078952419</v>
      </c>
      <c r="T62" s="180">
        <v>19.321039885507695</v>
      </c>
      <c r="U62" s="180">
        <v>17.680401187070213</v>
      </c>
      <c r="V62" s="180">
        <v>16.34646582179689</v>
      </c>
      <c r="W62" s="180">
        <v>15.529142530707045</v>
      </c>
      <c r="X62" s="180">
        <v>14.711819239617199</v>
      </c>
      <c r="Y62" s="180">
        <v>13.894495948527355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633.60805426733634</v>
      </c>
      <c r="D63" s="180">
        <v>620.32764793107469</v>
      </c>
      <c r="E63" s="180">
        <v>613.80515394388271</v>
      </c>
      <c r="F63" s="180">
        <v>604.12076159134642</v>
      </c>
      <c r="G63" s="180">
        <v>595.20908948620865</v>
      </c>
      <c r="H63" s="180">
        <v>580.98433629596707</v>
      </c>
      <c r="I63" s="180">
        <v>569.31216273449547</v>
      </c>
      <c r="J63" s="180">
        <v>555.83004247062354</v>
      </c>
      <c r="K63" s="180">
        <v>543.66640506347801</v>
      </c>
      <c r="L63" s="180">
        <v>529.30080186431906</v>
      </c>
      <c r="M63" s="180">
        <v>509.70185795383549</v>
      </c>
      <c r="N63" s="180">
        <v>500.78591040055113</v>
      </c>
      <c r="O63" s="180">
        <v>490.61222697745512</v>
      </c>
      <c r="P63" s="180">
        <v>476.75722737711567</v>
      </c>
      <c r="Q63" s="180">
        <v>469.11796668738418</v>
      </c>
      <c r="R63" s="180">
        <v>462.38746523655374</v>
      </c>
      <c r="S63" s="180">
        <v>454.32290875228625</v>
      </c>
      <c r="T63" s="180">
        <v>446.56549327926501</v>
      </c>
      <c r="U63" s="180">
        <v>439.06775373138555</v>
      </c>
      <c r="V63" s="180">
        <v>431.63627976670381</v>
      </c>
      <c r="W63" s="180">
        <v>423.00355417136973</v>
      </c>
      <c r="X63" s="180">
        <v>414.37082857603565</v>
      </c>
      <c r="Y63" s="180">
        <v>405.73810298070157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50.026903725174542</v>
      </c>
      <c r="D64" s="55">
        <v>49.505214173600301</v>
      </c>
      <c r="E64" s="55">
        <v>48.884469789670874</v>
      </c>
      <c r="F64" s="55">
        <v>48.212460737071027</v>
      </c>
      <c r="G64" s="55">
        <v>47.484466518238101</v>
      </c>
      <c r="H64" s="55">
        <v>46.545471023995539</v>
      </c>
      <c r="I64" s="55">
        <v>45.685181563923237</v>
      </c>
      <c r="J64" s="55">
        <v>44.729973411519055</v>
      </c>
      <c r="K64" s="55">
        <v>43.791417059142603</v>
      </c>
      <c r="L64" s="55">
        <v>42.681455282625713</v>
      </c>
      <c r="M64" s="55">
        <v>41.308487729777823</v>
      </c>
      <c r="N64" s="55">
        <v>39.992563221182678</v>
      </c>
      <c r="O64" s="55">
        <v>38.765053992292671</v>
      </c>
      <c r="P64" s="55">
        <v>37.6019510964829</v>
      </c>
      <c r="Q64" s="55">
        <v>36.494006509996737</v>
      </c>
      <c r="R64" s="55">
        <v>36.044472598616515</v>
      </c>
      <c r="S64" s="55">
        <v>35.509872879698825</v>
      </c>
      <c r="T64" s="55">
        <v>35.004349954914019</v>
      </c>
      <c r="U64" s="55">
        <v>34.513037384124573</v>
      </c>
      <c r="V64" s="55">
        <v>34.026595726169454</v>
      </c>
      <c r="W64" s="55">
        <v>33.686329768907761</v>
      </c>
      <c r="X64" s="55">
        <v>33.346063811646061</v>
      </c>
      <c r="Y64" s="55">
        <v>33.005797854384369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356.83073351085505</v>
      </c>
      <c r="D65" s="63">
        <v>343.57159538405864</v>
      </c>
      <c r="E65" s="63">
        <v>332.14628157323165</v>
      </c>
      <c r="F65" s="63">
        <v>318.64820434137084</v>
      </c>
      <c r="G65" s="63">
        <v>304.81228364427932</v>
      </c>
      <c r="H65" s="63">
        <v>287.64618022497291</v>
      </c>
      <c r="I65" s="63">
        <v>268.41430618667545</v>
      </c>
      <c r="J65" s="63">
        <v>248.018450709516</v>
      </c>
      <c r="K65" s="63">
        <v>229.56148866795655</v>
      </c>
      <c r="L65" s="63">
        <v>205.76741687740568</v>
      </c>
      <c r="M65" s="63">
        <v>192.58948883011686</v>
      </c>
      <c r="N65" s="63">
        <v>183.13121745544964</v>
      </c>
      <c r="O65" s="63">
        <v>177.21742545768041</v>
      </c>
      <c r="P65" s="63">
        <v>173.50329984366297</v>
      </c>
      <c r="Q65" s="63">
        <v>169.95582353276441</v>
      </c>
      <c r="R65" s="63">
        <v>166.26335435124054</v>
      </c>
      <c r="S65" s="63">
        <v>162.07260893344278</v>
      </c>
      <c r="T65" s="63">
        <v>157.98323209776163</v>
      </c>
      <c r="U65" s="63">
        <v>154.02125928669184</v>
      </c>
      <c r="V65" s="63">
        <v>150.09079560319546</v>
      </c>
      <c r="W65" s="63">
        <v>147.38916128233794</v>
      </c>
      <c r="X65" s="63">
        <v>144.68752696148042</v>
      </c>
      <c r="Y65" s="63">
        <v>141.98589264062289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433.33584967285879</v>
      </c>
      <c r="C68" s="187">
        <f>1000000*C20/SER_summary!C$8</f>
        <v>442.59037659514348</v>
      </c>
      <c r="D68" s="187">
        <f>1000000*D20/SER_summary!D$8</f>
        <v>452.49379666710962</v>
      </c>
      <c r="E68" s="187">
        <f>1000000*E20/SER_summary!E$8</f>
        <v>462.62611563891943</v>
      </c>
      <c r="F68" s="187">
        <f>1000000*F20/SER_summary!F$8</f>
        <v>472.95454020572032</v>
      </c>
      <c r="G68" s="187">
        <f>1000000*G20/SER_summary!G$8</f>
        <v>482.64161712748285</v>
      </c>
      <c r="H68" s="187">
        <f>1000000*H20/SER_summary!H$8</f>
        <v>492.7194888109608</v>
      </c>
      <c r="I68" s="187">
        <f>1000000*I20/SER_summary!I$8</f>
        <v>502.20439029151123</v>
      </c>
      <c r="J68" s="187">
        <f>1000000*J20/SER_summary!J$8</f>
        <v>511.41002032704256</v>
      </c>
      <c r="K68" s="187">
        <f>1000000*K20/SER_summary!K$8</f>
        <v>522.17669935064066</v>
      </c>
      <c r="L68" s="187">
        <f>1000000*L20/SER_summary!L$8</f>
        <v>531.64904948278172</v>
      </c>
      <c r="M68" s="187">
        <f>1000000*M20/SER_summary!M$8</f>
        <v>540.04097634717129</v>
      </c>
      <c r="N68" s="187">
        <f>1000000*N20/SER_summary!N$8</f>
        <v>550.26467241949274</v>
      </c>
      <c r="O68" s="187">
        <f>1000000*O20/SER_summary!O$8</f>
        <v>561.35023692476341</v>
      </c>
      <c r="P68" s="187">
        <f>1000000*P20/SER_summary!P$8</f>
        <v>573.25860040958025</v>
      </c>
      <c r="Q68" s="187">
        <f>1000000*Q20/SER_summary!Q$8</f>
        <v>586.35000635250458</v>
      </c>
      <c r="R68" s="187">
        <f>1000000*R20/SER_summary!R$8</f>
        <v>594.44255597151243</v>
      </c>
      <c r="S68" s="187">
        <f>1000000*S20/SER_summary!S$8</f>
        <v>602.54886611581128</v>
      </c>
      <c r="T68" s="187">
        <f>1000000*T20/SER_summary!T$8</f>
        <v>610.5961611314433</v>
      </c>
      <c r="U68" s="187">
        <f>1000000*U20/SER_summary!U$8</f>
        <v>618.54030157698219</v>
      </c>
      <c r="V68" s="187">
        <f>1000000*V20/SER_summary!V$8</f>
        <v>626.29912813456258</v>
      </c>
      <c r="W68" s="187">
        <f>1000000*W20/SER_summary!W$8</f>
        <v>633.77740469646847</v>
      </c>
      <c r="X68" s="187">
        <f>1000000*X20/SER_summary!X$8</f>
        <v>637.54996180594503</v>
      </c>
      <c r="Y68" s="187">
        <f>1000000*Y20/SER_summary!Y$8</f>
        <v>639.44465307326857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6.3831248862143669E-2</v>
      </c>
      <c r="C69" s="187">
        <f>1000*C21/SER_summary!C$3</f>
        <v>6.5865879237933259E-2</v>
      </c>
      <c r="D69" s="187">
        <f>1000*D21/SER_summary!D$3</f>
        <v>6.8293859786995648E-2</v>
      </c>
      <c r="E69" s="187">
        <f>1000*E21/SER_summary!E$3</f>
        <v>7.0964609640060669E-2</v>
      </c>
      <c r="F69" s="187">
        <f>1000*F21/SER_summary!F$3</f>
        <v>7.3384809453142699E-2</v>
      </c>
      <c r="G69" s="187">
        <f>1000*G21/SER_summary!G$3</f>
        <v>7.5753509005679329E-2</v>
      </c>
      <c r="H69" s="187">
        <f>1000*H21/SER_summary!H$3</f>
        <v>7.8644721764331016E-2</v>
      </c>
      <c r="I69" s="187">
        <f>1000*I21/SER_summary!I$3</f>
        <v>8.1129265913777934E-2</v>
      </c>
      <c r="J69" s="187">
        <f>1000*J21/SER_summary!J$3</f>
        <v>8.3813840285187013E-2</v>
      </c>
      <c r="K69" s="187">
        <f>1000*K21/SER_summary!K$3</f>
        <v>8.6686790917871737E-2</v>
      </c>
      <c r="L69" s="187">
        <f>1000*L21/SER_summary!L$3</f>
        <v>9.0365120816792655E-2</v>
      </c>
      <c r="M69" s="187">
        <f>1000*M21/SER_summary!M$3</f>
        <v>9.434846314192917E-2</v>
      </c>
      <c r="N69" s="187">
        <f>1000*N21/SER_summary!N$3</f>
        <v>9.990470398758923E-2</v>
      </c>
      <c r="O69" s="187">
        <f>1000*O21/SER_summary!O$3</f>
        <v>0.10654718836111528</v>
      </c>
      <c r="P69" s="187">
        <f>1000*P21/SER_summary!P$3</f>
        <v>0.11470780756836672</v>
      </c>
      <c r="Q69" s="187">
        <f>1000*Q21/SER_summary!Q$3</f>
        <v>0.1232070898429462</v>
      </c>
      <c r="R69" s="187">
        <f>1000*R21/SER_summary!R$3</f>
        <v>0.12901604576548281</v>
      </c>
      <c r="S69" s="187">
        <f>1000*S21/SER_summary!S$3</f>
        <v>0.13482639940344379</v>
      </c>
      <c r="T69" s="187">
        <f>1000*T21/SER_summary!T$3</f>
        <v>0.14053940677186785</v>
      </c>
      <c r="U69" s="187">
        <f>1000*U21/SER_summary!U$3</f>
        <v>0.14596551484071749</v>
      </c>
      <c r="V69" s="187">
        <f>1000*V21/SER_summary!V$3</f>
        <v>0.1509170435321347</v>
      </c>
      <c r="W69" s="187">
        <f>1000*W21/SER_summary!W$3</f>
        <v>0.15881421707876081</v>
      </c>
      <c r="X69" s="187">
        <f>1000*X21/SER_summary!X$3</f>
        <v>0.16458685263679282</v>
      </c>
      <c r="Y69" s="187">
        <f>1000*Y21/SER_summary!Y$3</f>
        <v>0.16875209535961419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165.92730266961479</v>
      </c>
      <c r="C70" s="187">
        <f>1000000*C22/SER_summary!C$8</f>
        <v>167.30779379955521</v>
      </c>
      <c r="D70" s="187">
        <f>1000000*D22/SER_summary!D$8</f>
        <v>169.40475579753561</v>
      </c>
      <c r="E70" s="187">
        <f>1000000*E22/SER_summary!E$8</f>
        <v>171.64194820932951</v>
      </c>
      <c r="F70" s="187">
        <f>1000000*F22/SER_summary!F$8</f>
        <v>174.77938030484643</v>
      </c>
      <c r="G70" s="187">
        <f>1000000*G22/SER_summary!G$8</f>
        <v>177.3856714906477</v>
      </c>
      <c r="H70" s="187">
        <f>1000000*H22/SER_summary!H$8</f>
        <v>180.04972101297378</v>
      </c>
      <c r="I70" s="187">
        <f>1000000*I22/SER_summary!I$8</f>
        <v>182.81869521557252</v>
      </c>
      <c r="J70" s="187">
        <f>1000000*J22/SER_summary!J$8</f>
        <v>186.42048196316279</v>
      </c>
      <c r="K70" s="187">
        <f>1000000*K22/SER_summary!K$8</f>
        <v>190.28580589457403</v>
      </c>
      <c r="L70" s="187">
        <f>1000000*L22/SER_summary!L$8</f>
        <v>195.90078171283906</v>
      </c>
      <c r="M70" s="187">
        <f>1000000*M22/SER_summary!M$8</f>
        <v>202.63473545528782</v>
      </c>
      <c r="N70" s="187">
        <f>1000000*N22/SER_summary!N$8</f>
        <v>210.16455983939903</v>
      </c>
      <c r="O70" s="187">
        <f>1000000*O22/SER_summary!O$8</f>
        <v>219.54159381280022</v>
      </c>
      <c r="P70" s="187">
        <f>1000000*P22/SER_summary!P$8</f>
        <v>230.59811978078011</v>
      </c>
      <c r="Q70" s="187">
        <f>1000000*Q22/SER_summary!Q$8</f>
        <v>245.42498266838538</v>
      </c>
      <c r="R70" s="187">
        <f>1000000*R22/SER_summary!R$8</f>
        <v>253.32893202713876</v>
      </c>
      <c r="S70" s="187">
        <f>1000000*S22/SER_summary!S$8</f>
        <v>261.35746835469968</v>
      </c>
      <c r="T70" s="187">
        <f>1000000*T22/SER_summary!T$8</f>
        <v>268.97387375117711</v>
      </c>
      <c r="U70" s="187">
        <f>1000000*U22/SER_summary!U$8</f>
        <v>275.84991652158135</v>
      </c>
      <c r="V70" s="187">
        <f>1000000*V22/SER_summary!V$8</f>
        <v>281.37389792646411</v>
      </c>
      <c r="W70" s="187">
        <f>1000000*W22/SER_summary!W$8</f>
        <v>284.3358788275396</v>
      </c>
      <c r="X70" s="187">
        <f>1000000*X22/SER_summary!X$8</f>
        <v>285.82854146779295</v>
      </c>
      <c r="Y70" s="187">
        <f>1000000*Y22/SER_summary!Y$8</f>
        <v>286.57780870325684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1.1557544832604807E-2</v>
      </c>
      <c r="C71" s="187">
        <f>1000*C23/SER_summary!C$3</f>
        <v>1.2333476648876405E-2</v>
      </c>
      <c r="D71" s="187">
        <f>1000*D23/SER_summary!D$3</f>
        <v>1.3047981760325763E-2</v>
      </c>
      <c r="E71" s="187">
        <f>1000*E23/SER_summary!E$3</f>
        <v>1.3841254525594681E-2</v>
      </c>
      <c r="F71" s="187">
        <f>1000*F23/SER_summary!F$3</f>
        <v>1.4922932022883119E-2</v>
      </c>
      <c r="G71" s="187">
        <f>1000*G23/SER_summary!G$3</f>
        <v>1.6132873978889274E-2</v>
      </c>
      <c r="H71" s="187">
        <f>1000*H23/SER_summary!H$3</f>
        <v>1.7368295572616047E-2</v>
      </c>
      <c r="I71" s="187">
        <f>1000*I23/SER_summary!I$3</f>
        <v>1.8491448540344683E-2</v>
      </c>
      <c r="J71" s="187">
        <f>1000*J23/SER_summary!J$3</f>
        <v>1.9269571575004661E-2</v>
      </c>
      <c r="K71" s="187">
        <f>1000*K23/SER_summary!K$3</f>
        <v>1.994312866164737E-2</v>
      </c>
      <c r="L71" s="187">
        <f>1000*L23/SER_summary!L$3</f>
        <v>2.0587316978691123E-2</v>
      </c>
      <c r="M71" s="187">
        <f>1000*M23/SER_summary!M$3</f>
        <v>2.1025279595273502E-2</v>
      </c>
      <c r="N71" s="187">
        <f>1000*N23/SER_summary!N$3</f>
        <v>2.1501328090453395E-2</v>
      </c>
      <c r="O71" s="187">
        <f>1000*O23/SER_summary!O$3</f>
        <v>2.2090067388711363E-2</v>
      </c>
      <c r="P71" s="187">
        <f>1000*P23/SER_summary!P$3</f>
        <v>2.2884795923183116E-2</v>
      </c>
      <c r="Q71" s="187">
        <f>1000*Q23/SER_summary!Q$3</f>
        <v>2.3902927290959917E-2</v>
      </c>
      <c r="R71" s="187">
        <f>1000*R23/SER_summary!R$3</f>
        <v>2.4758635323619573E-2</v>
      </c>
      <c r="S71" s="187">
        <f>1000*S23/SER_summary!S$3</f>
        <v>2.5620803776771013E-2</v>
      </c>
      <c r="T71" s="187">
        <f>1000*T23/SER_summary!T$3</f>
        <v>2.6487732760931592E-2</v>
      </c>
      <c r="U71" s="187">
        <f>1000*U23/SER_summary!U$3</f>
        <v>2.7333481885791766E-2</v>
      </c>
      <c r="V71" s="187">
        <f>1000*V23/SER_summary!V$3</f>
        <v>2.8140992050641765E-2</v>
      </c>
      <c r="W71" s="187">
        <f>1000*W23/SER_summary!W$3</f>
        <v>2.9576273474977082E-2</v>
      </c>
      <c r="X71" s="187">
        <f>1000*X23/SER_summary!X$3</f>
        <v>3.0624308290035353E-2</v>
      </c>
      <c r="Y71" s="187">
        <f>1000*Y23/SER_summary!Y$3</f>
        <v>3.1379951822157172E-2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63.086282378635914</v>
      </c>
      <c r="C72" s="187">
        <f>1000000*C24/SER_summary!C$8</f>
        <v>67.563679598874671</v>
      </c>
      <c r="D72" s="187">
        <f>1000000*D24/SER_summary!D$8</f>
        <v>71.42696170350257</v>
      </c>
      <c r="E72" s="187">
        <f>1000000*E24/SER_summary!E$8</f>
        <v>76.655252423534719</v>
      </c>
      <c r="F72" s="187">
        <f>1000000*F24/SER_summary!F$8</f>
        <v>82.787250530891384</v>
      </c>
      <c r="G72" s="187">
        <f>1000000*G24/SER_summary!G$8</f>
        <v>90.36284879486638</v>
      </c>
      <c r="H72" s="187">
        <f>1000000*H24/SER_summary!H$8</f>
        <v>96.819239042149363</v>
      </c>
      <c r="I72" s="187">
        <f>1000000*I24/SER_summary!I$8</f>
        <v>103.28362863615801</v>
      </c>
      <c r="J72" s="187">
        <f>1000000*J24/SER_summary!J$8</f>
        <v>108.91557065810133</v>
      </c>
      <c r="K72" s="187">
        <f>1000000*K24/SER_summary!K$8</f>
        <v>113.98732153036936</v>
      </c>
      <c r="L72" s="187">
        <f>1000000*L24/SER_summary!L$8</f>
        <v>119.29409282860591</v>
      </c>
      <c r="M72" s="187">
        <f>1000000*M24/SER_summary!M$8</f>
        <v>123.56278005578362</v>
      </c>
      <c r="N72" s="187">
        <f>1000000*N24/SER_summary!N$8</f>
        <v>127.02974150476417</v>
      </c>
      <c r="O72" s="187">
        <f>1000000*O24/SER_summary!O$8</f>
        <v>130.70777041465882</v>
      </c>
      <c r="P72" s="187">
        <f>1000000*P24/SER_summary!P$8</f>
        <v>134.24324149143567</v>
      </c>
      <c r="Q72" s="187">
        <f>1000000*Q24/SER_summary!Q$8</f>
        <v>138.16700784909727</v>
      </c>
      <c r="R72" s="187">
        <f>1000000*R24/SER_summary!R$8</f>
        <v>145.4566936965067</v>
      </c>
      <c r="S72" s="187">
        <f>1000000*S24/SER_summary!S$8</f>
        <v>152.81155325239874</v>
      </c>
      <c r="T72" s="187">
        <f>1000000*T24/SER_summary!T$8</f>
        <v>160.11167662137277</v>
      </c>
      <c r="U72" s="187">
        <f>1000000*U24/SER_summary!U$8</f>
        <v>167.28319196921098</v>
      </c>
      <c r="V72" s="187">
        <f>1000000*V24/SER_summary!V$8</f>
        <v>174.18811749634281</v>
      </c>
      <c r="W72" s="187">
        <f>1000000*W24/SER_summary!W$8</f>
        <v>180.68027299554612</v>
      </c>
      <c r="X72" s="187">
        <f>1000000*X24/SER_summary!X$8</f>
        <v>186.04778678201868</v>
      </c>
      <c r="Y72" s="187">
        <f>1000000*Y24/SER_summary!Y$8</f>
        <v>190.45637936612528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3.243489560095382E-2</v>
      </c>
      <c r="C73" s="52">
        <f>1000*C25/SER_summary!C$3</f>
        <v>3.8930420187329694E-2</v>
      </c>
      <c r="D73" s="52">
        <f>1000*D25/SER_summary!D$3</f>
        <v>4.5377914474763081E-2</v>
      </c>
      <c r="E73" s="52">
        <f>1000*E25/SER_summary!E$3</f>
        <v>5.4175652038593695E-2</v>
      </c>
      <c r="F73" s="52">
        <f>1000*F25/SER_summary!F$3</f>
        <v>6.7272954520560424E-2</v>
      </c>
      <c r="G73" s="52">
        <f>1000*G25/SER_summary!G$3</f>
        <v>8.1632761167212936E-2</v>
      </c>
      <c r="H73" s="52">
        <f>1000*H25/SER_summary!H$3</f>
        <v>9.9671223766860564E-2</v>
      </c>
      <c r="I73" s="52">
        <f>1000*I25/SER_summary!I$3</f>
        <v>0.11916516151928153</v>
      </c>
      <c r="J73" s="52">
        <f>1000*J25/SER_summary!J$3</f>
        <v>0.14157475897215113</v>
      </c>
      <c r="K73" s="52">
        <f>1000*K25/SER_summary!K$3</f>
        <v>0.16409701748272826</v>
      </c>
      <c r="L73" s="52">
        <f>1000*L25/SER_summary!L$3</f>
        <v>0.18367959431008066</v>
      </c>
      <c r="M73" s="52">
        <f>1000*M25/SER_summary!M$3</f>
        <v>0.20233637163338031</v>
      </c>
      <c r="N73" s="52">
        <f>1000*N25/SER_summary!N$3</f>
        <v>0.22460896417519746</v>
      </c>
      <c r="O73" s="52">
        <f>1000*O25/SER_summary!O$3</f>
        <v>0.25073862352434395</v>
      </c>
      <c r="P73" s="52">
        <f>1000*P25/SER_summary!P$3</f>
        <v>0.28467459660579075</v>
      </c>
      <c r="Q73" s="52">
        <f>1000*Q25/SER_summary!Q$3</f>
        <v>0.31637505052500886</v>
      </c>
      <c r="R73" s="52">
        <f>1000*R25/SER_summary!R$3</f>
        <v>0.33429119362009979</v>
      </c>
      <c r="S73" s="52">
        <f>1000*S25/SER_summary!S$3</f>
        <v>0.35198648096780805</v>
      </c>
      <c r="T73" s="52">
        <f>1000*T25/SER_summary!T$3</f>
        <v>0.36948141828312359</v>
      </c>
      <c r="U73" s="52">
        <f>1000*U25/SER_summary!U$3</f>
        <v>0.38643236523204488</v>
      </c>
      <c r="V73" s="52">
        <f>1000*V25/SER_summary!V$3</f>
        <v>0.402315835853712</v>
      </c>
      <c r="W73" s="52">
        <f>1000*W25/SER_summary!W$3</f>
        <v>0.42689376270322632</v>
      </c>
      <c r="X73" s="52">
        <f>1000*X25/SER_summary!X$3</f>
        <v>0.44580177794977865</v>
      </c>
      <c r="Y73" s="52">
        <f>1000*Y25/SER_summary!Y$3</f>
        <v>0.46032358338156659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79.81119862451267</v>
      </c>
      <c r="C3" s="198">
        <f>'SER_se-appl'!C4</f>
        <v>80.809405948878421</v>
      </c>
      <c r="D3" s="198">
        <f>'SER_se-appl'!D4</f>
        <v>82.21182880578985</v>
      </c>
      <c r="E3" s="198">
        <f>'SER_se-appl'!E4</f>
        <v>84.688575961133338</v>
      </c>
      <c r="F3" s="198">
        <f>'SER_se-appl'!F4</f>
        <v>87.998784561851821</v>
      </c>
      <c r="G3" s="198">
        <f>'SER_se-appl'!G4</f>
        <v>90.771887138481262</v>
      </c>
      <c r="H3" s="198">
        <f>'SER_se-appl'!H4</f>
        <v>94.909168966144051</v>
      </c>
      <c r="I3" s="198">
        <f>'SER_se-appl'!I4</f>
        <v>99.276483546199103</v>
      </c>
      <c r="J3" s="198">
        <f>'SER_se-appl'!J4</f>
        <v>103.44535208592451</v>
      </c>
      <c r="K3" s="198">
        <f>'SER_se-appl'!K4</f>
        <v>107.2392736968421</v>
      </c>
      <c r="L3" s="198">
        <f>'SER_se-appl'!L4</f>
        <v>108.09891821998029</v>
      </c>
      <c r="M3" s="198">
        <f>'SER_se-appl'!M4</f>
        <v>110.93050576207217</v>
      </c>
      <c r="N3" s="198">
        <f>'SER_se-appl'!N4</f>
        <v>113.46853320990529</v>
      </c>
      <c r="O3" s="198">
        <f>'SER_se-appl'!O4</f>
        <v>114.70143553960264</v>
      </c>
      <c r="P3" s="198">
        <f>'SER_se-appl'!P4</f>
        <v>117.43727794036531</v>
      </c>
      <c r="Q3" s="198">
        <f>'SER_se-appl'!Q4</f>
        <v>119.28289746169062</v>
      </c>
      <c r="R3" s="198">
        <f>'SER_se-appl'!R4</f>
        <v>120.54918067934875</v>
      </c>
      <c r="S3" s="198">
        <f>'SER_se-appl'!S4</f>
        <v>122.26137829459401</v>
      </c>
      <c r="T3" s="198">
        <f>'SER_se-appl'!T4</f>
        <v>123.87895805751188</v>
      </c>
      <c r="U3" s="198">
        <f>'SER_se-appl'!U4</f>
        <v>126.01220058091836</v>
      </c>
      <c r="V3" s="198">
        <f>'SER_se-appl'!V4</f>
        <v>127.81924877098847</v>
      </c>
      <c r="W3" s="198">
        <f>'SER_se-appl'!W4</f>
        <v>129.22731222399469</v>
      </c>
      <c r="X3" s="198">
        <f>'SER_se-appl'!X4</f>
        <v>129.73809434156649</v>
      </c>
      <c r="Y3" s="198">
        <f>'SER_se-appl'!Y4</f>
        <v>129.96043597976029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105.95938812820579</v>
      </c>
      <c r="C5" s="59">
        <f>'SER_se-appl'!C12</f>
        <v>107.28463369696985</v>
      </c>
      <c r="D5" s="59">
        <f>'SER_se-appl'!D12</f>
        <v>109.14652614284655</v>
      </c>
      <c r="E5" s="59">
        <f>'SER_se-appl'!E12</f>
        <v>112.43471899862793</v>
      </c>
      <c r="F5" s="59">
        <f>'SER_se-appl'!F12</f>
        <v>116.82943658154528</v>
      </c>
      <c r="G5" s="59">
        <f>'SER_se-appl'!G12</f>
        <v>120.51107847266407</v>
      </c>
      <c r="H5" s="59">
        <f>'SER_se-appl'!H12</f>
        <v>126.00383962057712</v>
      </c>
      <c r="I5" s="59">
        <f>'SER_se-appl'!I12</f>
        <v>131.80199813268212</v>
      </c>
      <c r="J5" s="59">
        <f>'SER_se-appl'!J12</f>
        <v>137.33669460722626</v>
      </c>
      <c r="K5" s="59">
        <f>'SER_se-appl'!K12</f>
        <v>142.37360195140116</v>
      </c>
      <c r="L5" s="59">
        <f>'SER_se-appl'!L12</f>
        <v>143.51488800209717</v>
      </c>
      <c r="M5" s="59">
        <f>'SER_se-appl'!M12</f>
        <v>147.27417602886982</v>
      </c>
      <c r="N5" s="59">
        <f>'SER_se-appl'!N12</f>
        <v>150.64372616794503</v>
      </c>
      <c r="O5" s="59">
        <f>'SER_se-appl'!O12</f>
        <v>152.28055882712087</v>
      </c>
      <c r="P5" s="59">
        <f>'SER_se-appl'!P12</f>
        <v>155.91273315598727</v>
      </c>
      <c r="Q5" s="59">
        <f>'SER_se-appl'!Q12</f>
        <v>158.36302482642259</v>
      </c>
      <c r="R5" s="59">
        <f>'SER_se-appl'!R12</f>
        <v>160.04417480603038</v>
      </c>
      <c r="S5" s="59">
        <f>'SER_se-appl'!S12</f>
        <v>162.3173321422521</v>
      </c>
      <c r="T5" s="59">
        <f>'SER_se-appl'!T12</f>
        <v>164.46487239827201</v>
      </c>
      <c r="U5" s="59">
        <f>'SER_se-appl'!U12</f>
        <v>167.29701972101378</v>
      </c>
      <c r="V5" s="59">
        <f>'SER_se-appl'!V12</f>
        <v>169.69610310577582</v>
      </c>
      <c r="W5" s="59">
        <f>'SER_se-appl'!W12</f>
        <v>171.56548415126241</v>
      </c>
      <c r="X5" s="59">
        <f>'SER_se-appl'!X12</f>
        <v>172.24361155164596</v>
      </c>
      <c r="Y5" s="59">
        <f>'SER_se-appl'!Y12</f>
        <v>172.53879799596035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433.33584967285879</v>
      </c>
      <c r="C6" s="201">
        <f>'SER_se-appl'!C68</f>
        <v>442.59037659514348</v>
      </c>
      <c r="D6" s="201">
        <f>'SER_se-appl'!D68</f>
        <v>452.49379666710962</v>
      </c>
      <c r="E6" s="201">
        <f>'SER_se-appl'!E68</f>
        <v>462.62611563891943</v>
      </c>
      <c r="F6" s="201">
        <f>'SER_se-appl'!F68</f>
        <v>472.95454020572032</v>
      </c>
      <c r="G6" s="201">
        <f>'SER_se-appl'!G68</f>
        <v>482.64161712748285</v>
      </c>
      <c r="H6" s="201">
        <f>'SER_se-appl'!H68</f>
        <v>492.7194888109608</v>
      </c>
      <c r="I6" s="201">
        <f>'SER_se-appl'!I68</f>
        <v>502.20439029151123</v>
      </c>
      <c r="J6" s="201">
        <f>'SER_se-appl'!J68</f>
        <v>511.41002032704256</v>
      </c>
      <c r="K6" s="201">
        <f>'SER_se-appl'!K68</f>
        <v>522.17669935064066</v>
      </c>
      <c r="L6" s="201">
        <f>'SER_se-appl'!L68</f>
        <v>531.64904948278172</v>
      </c>
      <c r="M6" s="201">
        <f>'SER_se-appl'!M68</f>
        <v>540.04097634717129</v>
      </c>
      <c r="N6" s="201">
        <f>'SER_se-appl'!N68</f>
        <v>550.26467241949274</v>
      </c>
      <c r="O6" s="201">
        <f>'SER_se-appl'!O68</f>
        <v>561.35023692476341</v>
      </c>
      <c r="P6" s="201">
        <f>'SER_se-appl'!P68</f>
        <v>573.25860040958025</v>
      </c>
      <c r="Q6" s="201">
        <f>'SER_se-appl'!Q68</f>
        <v>586.35000635250458</v>
      </c>
      <c r="R6" s="201">
        <f>'SER_se-appl'!R68</f>
        <v>594.44255597151243</v>
      </c>
      <c r="S6" s="201">
        <f>'SER_se-appl'!S68</f>
        <v>602.54886611581128</v>
      </c>
      <c r="T6" s="201">
        <f>'SER_se-appl'!T68</f>
        <v>610.5961611314433</v>
      </c>
      <c r="U6" s="201">
        <f>'SER_se-appl'!U68</f>
        <v>618.54030157698219</v>
      </c>
      <c r="V6" s="201">
        <f>'SER_se-appl'!V68</f>
        <v>626.29912813456258</v>
      </c>
      <c r="W6" s="201">
        <f>'SER_se-appl'!W68</f>
        <v>633.77740469646847</v>
      </c>
      <c r="X6" s="201">
        <f>'SER_se-appl'!X68</f>
        <v>637.54996180594503</v>
      </c>
      <c r="Y6" s="201">
        <f>'SER_se-appl'!Y68</f>
        <v>639.44465307326857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137.36701284295546</v>
      </c>
      <c r="C8" s="34">
        <f>'SER_se-appl'!C20</f>
        <v>139.99133962331979</v>
      </c>
      <c r="D8" s="34">
        <f>'SER_se-appl'!D20</f>
        <v>143.52553211920747</v>
      </c>
      <c r="E8" s="34">
        <f>'SER_se-appl'!E20</f>
        <v>149.31157957998749</v>
      </c>
      <c r="F8" s="34">
        <f>'SER_se-appl'!F20</f>
        <v>156.95699262034665</v>
      </c>
      <c r="G8" s="34">
        <f>'SER_se-appl'!G20</f>
        <v>163.73156428759214</v>
      </c>
      <c r="H8" s="34">
        <f>'SER_se-appl'!H20</f>
        <v>173.568704866026</v>
      </c>
      <c r="I8" s="34">
        <f>'SER_se-appl'!I20</f>
        <v>184.20176643216692</v>
      </c>
      <c r="J8" s="34">
        <f>'SER_se-appl'!J20</f>
        <v>194.74069588803391</v>
      </c>
      <c r="K8" s="34">
        <f>'SER_se-appl'!K20</f>
        <v>204.83605050840688</v>
      </c>
      <c r="L8" s="34">
        <f>'SER_se-appl'!L20</f>
        <v>208.86106480325694</v>
      </c>
      <c r="M8" s="34">
        <f>'SER_se-appl'!M20</f>
        <v>217.62438768333922</v>
      </c>
      <c r="N8" s="34">
        <f>'SER_se-appl'!N20</f>
        <v>226.21531360310084</v>
      </c>
      <c r="O8" s="34">
        <f>'SER_se-appl'!O20</f>
        <v>232.20578809934094</v>
      </c>
      <c r="P8" s="34">
        <f>'SER_se-appl'!P20</f>
        <v>242.35106341541783</v>
      </c>
      <c r="Q8" s="34">
        <f>'SER_se-appl'!Q20</f>
        <v>250.94995282050567</v>
      </c>
      <c r="R8" s="34">
        <f>'SER_se-appl'!R20</f>
        <v>258.31777285545257</v>
      </c>
      <c r="S8" s="34">
        <f>'SER_se-appl'!S20</f>
        <v>267.09508957355234</v>
      </c>
      <c r="T8" s="34">
        <f>'SER_se-appl'!T20</f>
        <v>275.922447245775</v>
      </c>
      <c r="U8" s="34">
        <f>'SER_se-appl'!U20</f>
        <v>284.38161786584237</v>
      </c>
      <c r="V8" s="34">
        <f>'SER_se-appl'!V20</f>
        <v>292.36549556159787</v>
      </c>
      <c r="W8" s="34">
        <f>'SER_se-appl'!W20</f>
        <v>300.06577558266912</v>
      </c>
      <c r="X8" s="34">
        <f>'SER_se-appl'!X20</f>
        <v>305.95342953011823</v>
      </c>
      <c r="Y8" s="34">
        <f>'SER_se-appl'!Y20</f>
        <v>310.74218707634907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8.5823911675043405</v>
      </c>
      <c r="D9" s="36">
        <f>'SER_se-appl'!D28</f>
        <v>9.6607842750830457</v>
      </c>
      <c r="E9" s="36">
        <f>'SER_se-appl'!E28</f>
        <v>12.085933529470481</v>
      </c>
      <c r="F9" s="36">
        <f>'SER_se-appl'!F28</f>
        <v>14.123495130511515</v>
      </c>
      <c r="G9" s="36">
        <f>'SER_se-appl'!G28</f>
        <v>13.435890159228308</v>
      </c>
      <c r="H9" s="36">
        <f>'SER_se-appl'!H28</f>
        <v>16.686878422769951</v>
      </c>
      <c r="I9" s="36">
        <f>'SER_se-appl'!I28</f>
        <v>17.676548316188814</v>
      </c>
      <c r="J9" s="36">
        <f>'SER_se-appl'!J28</f>
        <v>17.781645414569283</v>
      </c>
      <c r="K9" s="36">
        <f>'SER_se-appl'!K28</f>
        <v>17.542935104297982</v>
      </c>
      <c r="L9" s="36">
        <f>'SER_se-appl'!L28</f>
        <v>11.683254018844252</v>
      </c>
      <c r="M9" s="36">
        <f>'SER_se-appl'!M28</f>
        <v>16.638180465945368</v>
      </c>
      <c r="N9" s="36">
        <f>'SER_se-appl'!N28</f>
        <v>16.688528532452068</v>
      </c>
      <c r="O9" s="36">
        <f>'SER_se-appl'!O28</f>
        <v>14.31712261121865</v>
      </c>
      <c r="P9" s="36">
        <f>'SER_se-appl'!P28</f>
        <v>18.70744762149701</v>
      </c>
      <c r="Q9" s="36">
        <f>'SER_se-appl'!Q28</f>
        <v>17.403247842647716</v>
      </c>
      <c r="R9" s="36">
        <f>'SER_se-appl'!R28</f>
        <v>16.421214983324774</v>
      </c>
      <c r="S9" s="36">
        <f>'SER_se-appl'!S28</f>
        <v>18.086792323006023</v>
      </c>
      <c r="T9" s="36">
        <f>'SER_se-appl'!T28</f>
        <v>18.400157327215425</v>
      </c>
      <c r="U9" s="36">
        <f>'SER_se-appl'!U28</f>
        <v>17.041561787571709</v>
      </c>
      <c r="V9" s="36">
        <f>'SER_se-appl'!V28</f>
        <v>17.64466197083857</v>
      </c>
      <c r="W9" s="36">
        <f>'SER_se-appl'!W28</f>
        <v>19.786213550541731</v>
      </c>
      <c r="X9" s="36">
        <f>'SER_se-appl'!X28</f>
        <v>20.011149077960624</v>
      </c>
      <c r="Y9" s="36">
        <f>'SER_se-appl'!Y28</f>
        <v>18.22464770545912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5.9580643871400127</v>
      </c>
      <c r="D10" s="38">
        <f>'SER_se-appl'!D36</f>
        <v>6.1265917791953655</v>
      </c>
      <c r="E10" s="38">
        <f>'SER_se-appl'!E36</f>
        <v>6.299886068690455</v>
      </c>
      <c r="F10" s="38">
        <f>'SER_se-appl'!F36</f>
        <v>6.4780820901523555</v>
      </c>
      <c r="G10" s="38">
        <f>'SER_se-appl'!G36</f>
        <v>6.6613184919828257</v>
      </c>
      <c r="H10" s="38">
        <f>'SER_se-appl'!H36</f>
        <v>6.8497378443360901</v>
      </c>
      <c r="I10" s="38">
        <f>'SER_se-appl'!I36</f>
        <v>7.0434867500478902</v>
      </c>
      <c r="J10" s="38">
        <f>'SER_se-appl'!J36</f>
        <v>7.2427159587022913</v>
      </c>
      <c r="K10" s="38">
        <f>'SER_se-appl'!K36</f>
        <v>7.4475804839250088</v>
      </c>
      <c r="L10" s="38">
        <f>'SER_se-appl'!L36</f>
        <v>7.6582397239941997</v>
      </c>
      <c r="M10" s="38">
        <f>'SER_se-appl'!M36</f>
        <v>7.8748575858630829</v>
      </c>
      <c r="N10" s="38">
        <f>'SER_se-appl'!N36</f>
        <v>8.0976026126904515</v>
      </c>
      <c r="O10" s="38">
        <f>'SER_se-appl'!O36</f>
        <v>8.3266481149785534</v>
      </c>
      <c r="P10" s="38">
        <f>'SER_se-appl'!P36</f>
        <v>8.5621723054201198</v>
      </c>
      <c r="Q10" s="38">
        <f>'SER_se-appl'!Q36</f>
        <v>8.8043584375598414</v>
      </c>
      <c r="R10" s="38">
        <f>'SER_se-appl'!R36</f>
        <v>9.0533949483778429</v>
      </c>
      <c r="S10" s="38">
        <f>'SER_se-appl'!S36</f>
        <v>9.3094756049062539</v>
      </c>
      <c r="T10" s="38">
        <f>'SER_se-appl'!T36</f>
        <v>9.5727996549927639</v>
      </c>
      <c r="U10" s="38">
        <f>'SER_se-appl'!U36</f>
        <v>8.5823911675043405</v>
      </c>
      <c r="V10" s="38">
        <f>'SER_se-appl'!V36</f>
        <v>9.6607842750830741</v>
      </c>
      <c r="W10" s="38">
        <f>'SER_se-appl'!W36</f>
        <v>12.085933529470481</v>
      </c>
      <c r="X10" s="38">
        <f>'SER_se-appl'!X36</f>
        <v>14.123495130511515</v>
      </c>
      <c r="Y10" s="38">
        <f>'SER_se-appl'!Y36</f>
        <v>13.435890159228279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8760.0000000000018</v>
      </c>
      <c r="D12" s="204">
        <f>'SER_se-appl'!D44</f>
        <v>8760.0000000000018</v>
      </c>
      <c r="E12" s="204">
        <f>'SER_se-appl'!E44</f>
        <v>8760</v>
      </c>
      <c r="F12" s="204">
        <f>'SER_se-appl'!F44</f>
        <v>8760</v>
      </c>
      <c r="G12" s="204">
        <f>'SER_se-appl'!G44</f>
        <v>8759.9999999999982</v>
      </c>
      <c r="H12" s="204">
        <f>'SER_se-appl'!H44</f>
        <v>8759.9999999999982</v>
      </c>
      <c r="I12" s="204">
        <f>'SER_se-appl'!I44</f>
        <v>8760.0000000000018</v>
      </c>
      <c r="J12" s="204">
        <f>'SER_se-appl'!J44</f>
        <v>8760</v>
      </c>
      <c r="K12" s="204">
        <f>'SER_se-appl'!K44</f>
        <v>8759.9999999999964</v>
      </c>
      <c r="L12" s="204">
        <f>'SER_se-appl'!L44</f>
        <v>8759.9999999999982</v>
      </c>
      <c r="M12" s="204">
        <f>'SER_se-appl'!M44</f>
        <v>8759.9999999999982</v>
      </c>
      <c r="N12" s="204">
        <f>'SER_se-appl'!N44</f>
        <v>8760</v>
      </c>
      <c r="O12" s="204">
        <f>'SER_se-appl'!O44</f>
        <v>8760</v>
      </c>
      <c r="P12" s="204">
        <f>'SER_se-appl'!P44</f>
        <v>8760</v>
      </c>
      <c r="Q12" s="204">
        <f>'SER_se-appl'!Q44</f>
        <v>8760</v>
      </c>
      <c r="R12" s="204">
        <f>'SER_se-appl'!R44</f>
        <v>8759.9999999999982</v>
      </c>
      <c r="S12" s="204">
        <f>'SER_se-appl'!S44</f>
        <v>8760</v>
      </c>
      <c r="T12" s="204">
        <f>'SER_se-appl'!T44</f>
        <v>8760.0000000000018</v>
      </c>
      <c r="U12" s="204">
        <f>'SER_se-appl'!U44</f>
        <v>8759.9999999999982</v>
      </c>
      <c r="V12" s="204">
        <f>'SER_se-appl'!V44</f>
        <v>8759.9999999999982</v>
      </c>
      <c r="W12" s="204">
        <f>'SER_se-appl'!W44</f>
        <v>8759.9999999999982</v>
      </c>
      <c r="X12" s="204">
        <f>'SER_se-appl'!X44</f>
        <v>8759.9999999999982</v>
      </c>
      <c r="Y12" s="204">
        <f>'SER_se-appl'!Y44</f>
        <v>8759.9999999999982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0.77135977506727638</v>
      </c>
      <c r="C14" s="59">
        <f>'SER_se-appl'!C52</f>
        <v>0.76636621940789218</v>
      </c>
      <c r="D14" s="59">
        <f>'SER_se-appl'!D52</f>
        <v>0.76046766405431698</v>
      </c>
      <c r="E14" s="59">
        <f>'SER_se-appl'!E52</f>
        <v>0.7530207591059318</v>
      </c>
      <c r="F14" s="59">
        <f>'SER_se-appl'!F52</f>
        <v>0.74434043766458124</v>
      </c>
      <c r="G14" s="59">
        <f>'SER_se-appl'!G52</f>
        <v>0.73602838278017113</v>
      </c>
      <c r="H14" s="59">
        <f>'SER_se-appl'!H52</f>
        <v>0.72595943904655402</v>
      </c>
      <c r="I14" s="59">
        <f>'SER_se-appl'!I52</f>
        <v>0.71553058738564679</v>
      </c>
      <c r="J14" s="59">
        <f>'SER_se-appl'!J52</f>
        <v>0.70522852956316817</v>
      </c>
      <c r="K14" s="59">
        <f>'SER_se-appl'!K52</f>
        <v>0.6950612531242778</v>
      </c>
      <c r="L14" s="59">
        <f>'SER_se-appl'!L52</f>
        <v>0.68713088357222252</v>
      </c>
      <c r="M14" s="59">
        <f>'SER_se-appl'!M52</f>
        <v>0.67673562506774487</v>
      </c>
      <c r="N14" s="59">
        <f>'SER_se-appl'!N52</f>
        <v>0.66593071781273117</v>
      </c>
      <c r="O14" s="59">
        <f>'SER_se-appl'!O52</f>
        <v>0.65580001288328382</v>
      </c>
      <c r="P14" s="59">
        <f>'SER_se-appl'!P52</f>
        <v>0.6433342233317737</v>
      </c>
      <c r="Q14" s="59">
        <f>'SER_se-appl'!Q52</f>
        <v>0.63105421238988335</v>
      </c>
      <c r="R14" s="59">
        <f>'SER_se-appl'!R52</f>
        <v>0.61956315679288021</v>
      </c>
      <c r="S14" s="59">
        <f>'SER_se-appl'!S52</f>
        <v>0.60771365134945077</v>
      </c>
      <c r="T14" s="59">
        <f>'SER_se-appl'!T52</f>
        <v>0.59605470319628129</v>
      </c>
      <c r="U14" s="59">
        <f>'SER_se-appl'!U52</f>
        <v>0.58828352189745436</v>
      </c>
      <c r="V14" s="59">
        <f>'SER_se-appl'!V52</f>
        <v>0.5804245223254223</v>
      </c>
      <c r="W14" s="59">
        <f>'SER_se-appl'!W52</f>
        <v>0.57175958777076707</v>
      </c>
      <c r="X14" s="59">
        <f>'SER_se-appl'!X52</f>
        <v>0.56297329896310311</v>
      </c>
      <c r="Y14" s="59">
        <f>'SER_se-appl'!Y52</f>
        <v>0.55524742108340674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0.68990758620787596</v>
      </c>
      <c r="D15" s="63">
        <f>'SER_se-appl'!D60</f>
        <v>0.68190104602550461</v>
      </c>
      <c r="E15" s="63">
        <f>'SER_se-appl'!E60</f>
        <v>0.67414499151501672</v>
      </c>
      <c r="F15" s="63">
        <f>'SER_se-appl'!F60</f>
        <v>0.66496638686521026</v>
      </c>
      <c r="G15" s="63">
        <f>'SER_se-appl'!G60</f>
        <v>0.65644441270519693</v>
      </c>
      <c r="H15" s="63">
        <f>'SER_se-appl'!H60</f>
        <v>0.64579923924447857</v>
      </c>
      <c r="I15" s="63">
        <f>'SER_se-appl'!I60</f>
        <v>0.63537409376610754</v>
      </c>
      <c r="J15" s="63">
        <f>'SER_se-appl'!J60</f>
        <v>0.62544471943033342</v>
      </c>
      <c r="K15" s="63">
        <f>'SER_se-appl'!K60</f>
        <v>0.61458765519854208</v>
      </c>
      <c r="L15" s="63">
        <f>'SER_se-appl'!L60</f>
        <v>0.60330316453264166</v>
      </c>
      <c r="M15" s="63">
        <f>'SER_se-appl'!M60</f>
        <v>0.59102835331171399</v>
      </c>
      <c r="N15" s="63">
        <f>'SER_se-appl'!N60</f>
        <v>0.57618711261965794</v>
      </c>
      <c r="O15" s="63">
        <f>'SER_se-appl'!O60</f>
        <v>0.56293951620520588</v>
      </c>
      <c r="P15" s="63">
        <f>'SER_se-appl'!P60</f>
        <v>0.5471986258937539</v>
      </c>
      <c r="Q15" s="63">
        <f>'SER_se-appl'!Q60</f>
        <v>0.53102844354121226</v>
      </c>
      <c r="R15" s="63">
        <f>'SER_se-appl'!R60</f>
        <v>0.52764516385555604</v>
      </c>
      <c r="S15" s="63">
        <f>'SER_se-appl'!S60</f>
        <v>0.52270807205493774</v>
      </c>
      <c r="T15" s="63">
        <f>'SER_se-appl'!T60</f>
        <v>0.51801800795263186</v>
      </c>
      <c r="U15" s="63">
        <f>'SER_se-appl'!U60</f>
        <v>0.51363860930810756</v>
      </c>
      <c r="V15" s="63">
        <f>'SER_se-appl'!V60</f>
        <v>0.50932017299171839</v>
      </c>
      <c r="W15" s="63">
        <f>'SER_se-appl'!W60</f>
        <v>0.50626425195376812</v>
      </c>
      <c r="X15" s="63">
        <f>'SER_se-appl'!X60</f>
        <v>0.50320833091581774</v>
      </c>
      <c r="Y15" s="63">
        <f>'SER_se-appl'!Y60</f>
        <v>0.50015240987786747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163.87288906536338</v>
      </c>
      <c r="C3" s="198">
        <f>'SER_se-appl'!C5</f>
        <v>167.39767440776802</v>
      </c>
      <c r="D3" s="198">
        <f>'SER_se-appl'!D5</f>
        <v>171.42913512921928</v>
      </c>
      <c r="E3" s="198">
        <f>'SER_se-appl'!E5</f>
        <v>175.60993266401334</v>
      </c>
      <c r="F3" s="198">
        <f>'SER_se-appl'!F5</f>
        <v>178.81225160334048</v>
      </c>
      <c r="G3" s="198">
        <f>'SER_se-appl'!G5</f>
        <v>181.55389477564603</v>
      </c>
      <c r="H3" s="198">
        <f>'SER_se-appl'!H5</f>
        <v>184.70482163099174</v>
      </c>
      <c r="I3" s="198">
        <f>'SER_se-appl'!I5</f>
        <v>186.46463947479955</v>
      </c>
      <c r="J3" s="198">
        <f>'SER_se-appl'!J5</f>
        <v>190.02398642676013</v>
      </c>
      <c r="K3" s="198">
        <f>'SER_se-appl'!K5</f>
        <v>193.63112259624347</v>
      </c>
      <c r="L3" s="198">
        <f>'SER_se-appl'!L5</f>
        <v>197.93162788990531</v>
      </c>
      <c r="M3" s="198">
        <f>'SER_se-appl'!M5</f>
        <v>202.72254333800106</v>
      </c>
      <c r="N3" s="198">
        <f>'SER_se-appl'!N5</f>
        <v>209.89132646813789</v>
      </c>
      <c r="O3" s="198">
        <f>'SER_se-appl'!O5</f>
        <v>217.58380254545818</v>
      </c>
      <c r="P3" s="198">
        <f>'SER_se-appl'!P5</f>
        <v>226.11427346600442</v>
      </c>
      <c r="Q3" s="198">
        <f>'SER_se-appl'!Q5</f>
        <v>233.49323621206767</v>
      </c>
      <c r="R3" s="198">
        <f>'SER_se-appl'!R5</f>
        <v>239.79353047948214</v>
      </c>
      <c r="S3" s="198">
        <f>'SER_se-appl'!S5</f>
        <v>237.00640615632113</v>
      </c>
      <c r="T3" s="198">
        <f>'SER_se-appl'!T5</f>
        <v>233.29739606770087</v>
      </c>
      <c r="U3" s="198">
        <f>'SER_se-appl'!U5</f>
        <v>226.22599865218007</v>
      </c>
      <c r="V3" s="198">
        <f>'SER_se-appl'!V5</f>
        <v>218.93538038670974</v>
      </c>
      <c r="W3" s="198">
        <f>'SER_se-appl'!W5</f>
        <v>213.60903498039721</v>
      </c>
      <c r="X3" s="198">
        <f>'SER_se-appl'!X5</f>
        <v>208.88445148653122</v>
      </c>
      <c r="Y3" s="198">
        <f>'SER_se-appl'!Y5</f>
        <v>204.38418266980861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480.95638916554429</v>
      </c>
      <c r="C5" s="59">
        <f>'SER_se-appl'!C13</f>
        <v>491.07549537933795</v>
      </c>
      <c r="D5" s="59">
        <f>'SER_se-appl'!D13</f>
        <v>502.76479439170527</v>
      </c>
      <c r="E5" s="59">
        <f>'SER_se-appl'!E13</f>
        <v>514.63713557312985</v>
      </c>
      <c r="F5" s="59">
        <f>'SER_se-appl'!F13</f>
        <v>523.38546938151046</v>
      </c>
      <c r="G5" s="59">
        <f>'SER_se-appl'!G13</f>
        <v>530.18242885828067</v>
      </c>
      <c r="H5" s="59">
        <f>'SER_se-appl'!H13</f>
        <v>538.70822347138233</v>
      </c>
      <c r="I5" s="59">
        <f>'SER_se-appl'!I13</f>
        <v>542.62286335807801</v>
      </c>
      <c r="J5" s="59">
        <f>'SER_se-appl'!J13</f>
        <v>552.18767553466807</v>
      </c>
      <c r="K5" s="59">
        <f>'SER_se-appl'!K13</f>
        <v>562.20008373666394</v>
      </c>
      <c r="L5" s="59">
        <f>'SER_se-appl'!L13</f>
        <v>573.79869852992999</v>
      </c>
      <c r="M5" s="59">
        <f>'SER_se-appl'!M13</f>
        <v>588.00892899076155</v>
      </c>
      <c r="N5" s="59">
        <f>'SER_se-appl'!N13</f>
        <v>608.88016429058337</v>
      </c>
      <c r="O5" s="59">
        <f>'SER_se-appl'!O13</f>
        <v>631.80157844501457</v>
      </c>
      <c r="P5" s="59">
        <f>'SER_se-appl'!P13</f>
        <v>658.46728906787496</v>
      </c>
      <c r="Q5" s="59">
        <f>'SER_se-appl'!Q13</f>
        <v>682.29335666891848</v>
      </c>
      <c r="R5" s="59">
        <f>'SER_se-appl'!R13</f>
        <v>687.41239811881837</v>
      </c>
      <c r="S5" s="59">
        <f>'SER_se-appl'!S13</f>
        <v>689.33424394684073</v>
      </c>
      <c r="T5" s="59">
        <f>'SER_se-appl'!T13</f>
        <v>687.36725770222802</v>
      </c>
      <c r="U5" s="59">
        <f>'SER_se-appl'!U13</f>
        <v>679.26651931678634</v>
      </c>
      <c r="V5" s="59">
        <f>'SER_se-appl'!V13</f>
        <v>665.06426797973052</v>
      </c>
      <c r="W5" s="59">
        <f>'SER_se-appl'!W13</f>
        <v>648.74942037128062</v>
      </c>
      <c r="X5" s="59">
        <f>'SER_se-appl'!X13</f>
        <v>638.22255551862463</v>
      </c>
      <c r="Y5" s="59">
        <f>'SER_se-appl'!Y13</f>
        <v>628.25760020683981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6.3831248862143669E-2</v>
      </c>
      <c r="C6" s="201">
        <f>'SER_se-appl'!C69</f>
        <v>6.5865879237933259E-2</v>
      </c>
      <c r="D6" s="201">
        <f>'SER_se-appl'!D69</f>
        <v>6.8293859786995648E-2</v>
      </c>
      <c r="E6" s="201">
        <f>'SER_se-appl'!E69</f>
        <v>7.0964609640060669E-2</v>
      </c>
      <c r="F6" s="201">
        <f>'SER_se-appl'!F69</f>
        <v>7.3384809453142699E-2</v>
      </c>
      <c r="G6" s="201">
        <f>'SER_se-appl'!G69</f>
        <v>7.5753509005679329E-2</v>
      </c>
      <c r="H6" s="201">
        <f>'SER_se-appl'!H69</f>
        <v>7.8644721764331016E-2</v>
      </c>
      <c r="I6" s="201">
        <f>'SER_se-appl'!I69</f>
        <v>8.1129265913777934E-2</v>
      </c>
      <c r="J6" s="201">
        <f>'SER_se-appl'!J69</f>
        <v>8.3813840285187013E-2</v>
      </c>
      <c r="K6" s="201">
        <f>'SER_se-appl'!K69</f>
        <v>8.6686790917871737E-2</v>
      </c>
      <c r="L6" s="201">
        <f>'SER_se-appl'!L69</f>
        <v>9.0365120816792655E-2</v>
      </c>
      <c r="M6" s="201">
        <f>'SER_se-appl'!M69</f>
        <v>9.434846314192917E-2</v>
      </c>
      <c r="N6" s="201">
        <f>'SER_se-appl'!N69</f>
        <v>9.990470398758923E-2</v>
      </c>
      <c r="O6" s="201">
        <f>'SER_se-appl'!O69</f>
        <v>0.10654718836111528</v>
      </c>
      <c r="P6" s="201">
        <f>'SER_se-appl'!P69</f>
        <v>0.11470780756836672</v>
      </c>
      <c r="Q6" s="201">
        <f>'SER_se-appl'!Q69</f>
        <v>0.1232070898429462</v>
      </c>
      <c r="R6" s="201">
        <f>'SER_se-appl'!R69</f>
        <v>0.12901604576548281</v>
      </c>
      <c r="S6" s="201">
        <f>'SER_se-appl'!S69</f>
        <v>0.13482639940344379</v>
      </c>
      <c r="T6" s="201">
        <f>'SER_se-appl'!T69</f>
        <v>0.14053940677186785</v>
      </c>
      <c r="U6" s="201">
        <f>'SER_se-appl'!U69</f>
        <v>0.14596551484071749</v>
      </c>
      <c r="V6" s="201">
        <f>'SER_se-appl'!V69</f>
        <v>0.1509170435321347</v>
      </c>
      <c r="W6" s="201">
        <f>'SER_se-appl'!W69</f>
        <v>0.15881421707876081</v>
      </c>
      <c r="X6" s="201">
        <f>'SER_se-appl'!X69</f>
        <v>0.16458685263679282</v>
      </c>
      <c r="Y6" s="201">
        <f>'SER_se-appl'!Y69</f>
        <v>0.16875209535961419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2442.3944160806086</v>
      </c>
      <c r="C8" s="34">
        <f>'SER_se-appl'!C21</f>
        <v>2519.6303804033332</v>
      </c>
      <c r="D8" s="34">
        <f>'SER_se-appl'!D21</f>
        <v>2611.7072398646656</v>
      </c>
      <c r="E8" s="34">
        <f>'SER_se-appl'!E21</f>
        <v>2712.1631334315575</v>
      </c>
      <c r="F8" s="34">
        <f>'SER_se-appl'!F21</f>
        <v>2802.6104909796672</v>
      </c>
      <c r="G8" s="34">
        <f>'SER_se-appl'!G21</f>
        <v>2891.8019534538171</v>
      </c>
      <c r="H8" s="34">
        <f>'SER_se-appl'!H21</f>
        <v>3000.8509738212756</v>
      </c>
      <c r="I8" s="34">
        <f>'SER_se-appl'!I21</f>
        <v>3093.0921238811566</v>
      </c>
      <c r="J8" s="34">
        <f>'SER_se-appl'!J21</f>
        <v>3194.6182471415259</v>
      </c>
      <c r="K8" s="34">
        <f>'SER_se-appl'!K21</f>
        <v>3305.8767092818825</v>
      </c>
      <c r="L8" s="34">
        <f>'SER_se-appl'!L21</f>
        <v>3435.9411509860802</v>
      </c>
      <c r="M8" s="34">
        <f>'SER_se-appl'!M21</f>
        <v>3591.1589463046439</v>
      </c>
      <c r="N8" s="34">
        <f>'SER_se-appl'!N21</f>
        <v>3802.751872405167</v>
      </c>
      <c r="O8" s="34">
        <f>'SER_se-appl'!O21</f>
        <v>4055.4560861465429</v>
      </c>
      <c r="P8" s="34">
        <f>'SER_se-appl'!P21</f>
        <v>4360.9449102098761</v>
      </c>
      <c r="Q8" s="34">
        <f>'SER_se-appl'!Q21</f>
        <v>4682.5610986343345</v>
      </c>
      <c r="R8" s="34">
        <f>'SER_se-appl'!R21</f>
        <v>4898.3791739316512</v>
      </c>
      <c r="S8" s="34">
        <f>'SER_se-appl'!S21</f>
        <v>5119.7580107965923</v>
      </c>
      <c r="T8" s="34">
        <f>'SER_se-appl'!T21</f>
        <v>5337.2210621409058</v>
      </c>
      <c r="U8" s="34">
        <f>'SER_se-appl'!U21</f>
        <v>5542.7210535297745</v>
      </c>
      <c r="V8" s="34">
        <f>'SER_se-appl'!V21</f>
        <v>5728.5299649447761</v>
      </c>
      <c r="W8" s="34">
        <f>'SER_se-appl'!W21</f>
        <v>5887.7761664363961</v>
      </c>
      <c r="X8" s="34">
        <f>'SER_se-appl'!X21</f>
        <v>6071.5696575135071</v>
      </c>
      <c r="Y8" s="34">
        <f>'SER_se-appl'!Y21</f>
        <v>6202.2699622940854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383.62073860370492</v>
      </c>
      <c r="D9" s="36">
        <f>'SER_se-appl'!D29</f>
        <v>411.64993004789903</v>
      </c>
      <c r="E9" s="36">
        <f>'SER_se-appl'!E29</f>
        <v>433.78494911084681</v>
      </c>
      <c r="F9" s="36">
        <f>'SER_se-appl'!F29</f>
        <v>438.12452279200488</v>
      </c>
      <c r="G9" s="36">
        <f>'SER_se-appl'!G29</f>
        <v>451.83435009992127</v>
      </c>
      <c r="H9" s="36">
        <f>'SER_se-appl'!H29</f>
        <v>487.30182812175462</v>
      </c>
      <c r="I9" s="36">
        <f>'SER_se-appl'!I29</f>
        <v>486.77580510502503</v>
      </c>
      <c r="J9" s="36">
        <f>'SER_se-appl'!J29</f>
        <v>485.14686186407425</v>
      </c>
      <c r="K9" s="36">
        <f>'SER_se-appl'!K29</f>
        <v>522.90839218825568</v>
      </c>
      <c r="L9" s="36">
        <f>'SER_se-appl'!L29</f>
        <v>563.84939081504444</v>
      </c>
      <c r="M9" s="36">
        <f>'SER_se-appl'!M29</f>
        <v>593.34231811056861</v>
      </c>
      <c r="N9" s="36">
        <f>'SER_se-appl'!N29</f>
        <v>663.42727620044434</v>
      </c>
      <c r="O9" s="36">
        <f>'SER_se-appl'!O29</f>
        <v>740.00604186313058</v>
      </c>
      <c r="P9" s="36">
        <f>'SER_se-appl'!P29</f>
        <v>792.26462916835817</v>
      </c>
      <c r="Q9" s="36">
        <f>'SER_se-appl'!Q29</f>
        <v>806.76305028853267</v>
      </c>
      <c r="R9" s="36">
        <f>'SER_se-appl'!R29</f>
        <v>738.72646748557236</v>
      </c>
      <c r="S9" s="36">
        <f>'SER_se-appl'!S29</f>
        <v>785.22822767998605</v>
      </c>
      <c r="T9" s="36">
        <f>'SER_se-appl'!T29</f>
        <v>810.80536945488257</v>
      </c>
      <c r="U9" s="36">
        <f>'SER_se-appl'!U29</f>
        <v>868.92726758931349</v>
      </c>
      <c r="V9" s="36">
        <f>'SER_se-appl'!V29</f>
        <v>925.81495327813263</v>
      </c>
      <c r="W9" s="36">
        <f>'SER_se-appl'!W29</f>
        <v>951.51083065997864</v>
      </c>
      <c r="X9" s="36">
        <f>'SER_se-appl'!X29</f>
        <v>990.55654136564317</v>
      </c>
      <c r="Y9" s="36">
        <f>'SER_se-appl'!Y29</f>
        <v>869.42677226615069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306.38477428098031</v>
      </c>
      <c r="D10" s="38">
        <f>'SER_se-appl'!D37</f>
        <v>319.5730705865667</v>
      </c>
      <c r="E10" s="38">
        <f>'SER_se-appl'!E37</f>
        <v>333.32905554395484</v>
      </c>
      <c r="F10" s="38">
        <f>'SER_se-appl'!F37</f>
        <v>347.67716524389516</v>
      </c>
      <c r="G10" s="38">
        <f>'SER_se-appl'!G37</f>
        <v>362.64288762577144</v>
      </c>
      <c r="H10" s="38">
        <f>'SER_se-appl'!H37</f>
        <v>378.2528077542961</v>
      </c>
      <c r="I10" s="38">
        <f>'SER_se-appl'!I37</f>
        <v>394.53465504514406</v>
      </c>
      <c r="J10" s="38">
        <f>'SER_se-appl'!J37</f>
        <v>383.62073860370492</v>
      </c>
      <c r="K10" s="38">
        <f>'SER_se-appl'!K37</f>
        <v>411.64993004789903</v>
      </c>
      <c r="L10" s="38">
        <f>'SER_se-appl'!L37</f>
        <v>433.78494911084681</v>
      </c>
      <c r="M10" s="38">
        <f>'SER_se-appl'!M37</f>
        <v>438.12452279200488</v>
      </c>
      <c r="N10" s="38">
        <f>'SER_se-appl'!N37</f>
        <v>451.83435009992081</v>
      </c>
      <c r="O10" s="38">
        <f>'SER_se-appl'!O37</f>
        <v>487.30182812175417</v>
      </c>
      <c r="P10" s="38">
        <f>'SER_se-appl'!P37</f>
        <v>486.77580510502503</v>
      </c>
      <c r="Q10" s="38">
        <f>'SER_se-appl'!Q37</f>
        <v>485.1468618640738</v>
      </c>
      <c r="R10" s="38">
        <f>'SER_se-appl'!R37</f>
        <v>522.90839218825568</v>
      </c>
      <c r="S10" s="38">
        <f>'SER_se-appl'!S37</f>
        <v>563.8493908150449</v>
      </c>
      <c r="T10" s="38">
        <f>'SER_se-appl'!T37</f>
        <v>593.34231811056907</v>
      </c>
      <c r="U10" s="38">
        <f>'SER_se-appl'!U37</f>
        <v>663.42727620044479</v>
      </c>
      <c r="V10" s="38">
        <f>'SER_se-appl'!V37</f>
        <v>740.00604186313103</v>
      </c>
      <c r="W10" s="38">
        <f>'SER_se-appl'!W37</f>
        <v>792.26462916835862</v>
      </c>
      <c r="X10" s="38">
        <f>'SER_se-appl'!X37</f>
        <v>806.76305028853221</v>
      </c>
      <c r="Y10" s="38">
        <f>'SER_se-appl'!Y37</f>
        <v>738.72646748557236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3962.608134048904</v>
      </c>
      <c r="C12" s="204">
        <f>'SER_se-appl'!C45</f>
        <v>3964.4310735938534</v>
      </c>
      <c r="D12" s="204">
        <f>'SER_se-appl'!D45</f>
        <v>3965.514021253261</v>
      </c>
      <c r="E12" s="204">
        <f>'SER_se-appl'!E45</f>
        <v>3968.5117448976989</v>
      </c>
      <c r="F12" s="204">
        <f>'SER_se-appl'!F45</f>
        <v>3973.3363033641663</v>
      </c>
      <c r="G12" s="204">
        <f>'SER_se-appl'!G45</f>
        <v>3982.5382383714682</v>
      </c>
      <c r="H12" s="204">
        <f>'SER_se-appl'!H45</f>
        <v>3987.5334772619221</v>
      </c>
      <c r="I12" s="204">
        <f>'SER_se-appl'!I45</f>
        <v>3996.4843052712758</v>
      </c>
      <c r="J12" s="204">
        <f>'SER_se-appl'!J45</f>
        <v>4002.2243524420546</v>
      </c>
      <c r="K12" s="204">
        <f>'SER_se-appl'!K45</f>
        <v>4005.5667384943358</v>
      </c>
      <c r="L12" s="204">
        <f>'SER_se-appl'!L45</f>
        <v>4011.7637740503292</v>
      </c>
      <c r="M12" s="204">
        <f>'SER_se-appl'!M45</f>
        <v>4009.5703700751023</v>
      </c>
      <c r="N12" s="204">
        <f>'SER_se-appl'!N45</f>
        <v>4009.0583828897375</v>
      </c>
      <c r="O12" s="204">
        <f>'SER_se-appl'!O45</f>
        <v>4005.2125697940264</v>
      </c>
      <c r="P12" s="204">
        <f>'SER_se-appl'!P45</f>
        <v>3993.6820614616145</v>
      </c>
      <c r="Q12" s="204">
        <f>'SER_se-appl'!Q45</f>
        <v>3979.9982084012154</v>
      </c>
      <c r="R12" s="204">
        <f>'SER_se-appl'!R45</f>
        <v>4056.9514997230772</v>
      </c>
      <c r="S12" s="204">
        <f>'SER_se-appl'!S45</f>
        <v>3998.6182723436245</v>
      </c>
      <c r="T12" s="204">
        <f>'SER_se-appl'!T45</f>
        <v>3947.3057319276013</v>
      </c>
      <c r="U12" s="204">
        <f>'SER_se-appl'!U45</f>
        <v>3873.30788358471</v>
      </c>
      <c r="V12" s="204">
        <f>'SER_se-appl'!V45</f>
        <v>3828.529957912333</v>
      </c>
      <c r="W12" s="204">
        <f>'SER_se-appl'!W45</f>
        <v>3829.3260830973309</v>
      </c>
      <c r="X12" s="204">
        <f>'SER_se-appl'!X45</f>
        <v>3806.3934747875978</v>
      </c>
      <c r="Y12" s="204">
        <f>'SER_se-appl'!Y45</f>
        <v>3783.4608664778648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196.92003306220744</v>
      </c>
      <c r="C14" s="59">
        <f>'SER_se-appl'!C53</f>
        <v>194.8998151469853</v>
      </c>
      <c r="D14" s="59">
        <f>'SER_se-appl'!D53</f>
        <v>192.50426951290211</v>
      </c>
      <c r="E14" s="59">
        <f>'SER_se-appl'!E53</f>
        <v>189.75154157559339</v>
      </c>
      <c r="F14" s="59">
        <f>'SER_se-appl'!F53</f>
        <v>186.74927217537046</v>
      </c>
      <c r="G14" s="59">
        <f>'SER_se-appl'!G53</f>
        <v>183.3398128198435</v>
      </c>
      <c r="H14" s="59">
        <f>'SER_se-appl'!H53</f>
        <v>179.51848597979281</v>
      </c>
      <c r="I14" s="59">
        <f>'SER_se-appl'!I53</f>
        <v>175.4305535126463</v>
      </c>
      <c r="J14" s="59">
        <f>'SER_se-appl'!J53</f>
        <v>172.8493462493534</v>
      </c>
      <c r="K14" s="59">
        <f>'SER_se-appl'!K53</f>
        <v>170.06081387069864</v>
      </c>
      <c r="L14" s="59">
        <f>'SER_se-appl'!L53</f>
        <v>166.99898901506376</v>
      </c>
      <c r="M14" s="59">
        <f>'SER_se-appl'!M53</f>
        <v>163.73792911500936</v>
      </c>
      <c r="N14" s="59">
        <f>'SER_se-appl'!N53</f>
        <v>160.11567010431276</v>
      </c>
      <c r="O14" s="59">
        <f>'SER_se-appl'!O53</f>
        <v>155.7905116031836</v>
      </c>
      <c r="P14" s="59">
        <f>'SER_se-appl'!P53</f>
        <v>150.99188424193724</v>
      </c>
      <c r="Q14" s="59">
        <f>'SER_se-appl'!Q53</f>
        <v>145.70944026078141</v>
      </c>
      <c r="R14" s="59">
        <f>'SER_se-appl'!R53</f>
        <v>140.33466453089451</v>
      </c>
      <c r="S14" s="59">
        <f>'SER_se-appl'!S53</f>
        <v>134.64195817325086</v>
      </c>
      <c r="T14" s="59">
        <f>'SER_se-appl'!T53</f>
        <v>128.78748129396502</v>
      </c>
      <c r="U14" s="59">
        <f>'SER_se-appl'!U53</f>
        <v>122.55109228060621</v>
      </c>
      <c r="V14" s="59">
        <f>'SER_se-appl'!V53</f>
        <v>116.09684719282808</v>
      </c>
      <c r="W14" s="59">
        <f>'SER_se-appl'!W53</f>
        <v>110.18581583816207</v>
      </c>
      <c r="X14" s="59">
        <f>'SER_se-appl'!X53</f>
        <v>105.11656647615506</v>
      </c>
      <c r="Y14" s="59">
        <f>'SER_se-appl'!Y53</f>
        <v>101.2947846556587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183.65119245479931</v>
      </c>
      <c r="D15" s="63">
        <f>'SER_se-appl'!D61</f>
        <v>181.26964974677028</v>
      </c>
      <c r="E15" s="63">
        <f>'SER_se-appl'!E61</f>
        <v>178.68648965026148</v>
      </c>
      <c r="F15" s="63">
        <f>'SER_se-appl'!F61</f>
        <v>176.23513103337325</v>
      </c>
      <c r="G15" s="63">
        <f>'SER_se-appl'!G61</f>
        <v>173.09133066247807</v>
      </c>
      <c r="H15" s="63">
        <f>'SER_se-appl'!H61</f>
        <v>170.34894029006128</v>
      </c>
      <c r="I15" s="63">
        <f>'SER_se-appl'!I61</f>
        <v>167.6468229244982</v>
      </c>
      <c r="J15" s="63">
        <f>'SER_se-appl'!J61</f>
        <v>164.93401186622566</v>
      </c>
      <c r="K15" s="63">
        <f>'SER_se-appl'!K61</f>
        <v>161.84870639749096</v>
      </c>
      <c r="L15" s="63">
        <f>'SER_se-appl'!L61</f>
        <v>158.03887716220086</v>
      </c>
      <c r="M15" s="63">
        <f>'SER_se-appl'!M61</f>
        <v>154.08164958660169</v>
      </c>
      <c r="N15" s="63">
        <f>'SER_se-appl'!N61</f>
        <v>149.34544863014915</v>
      </c>
      <c r="O15" s="63">
        <f>'SER_se-appl'!O61</f>
        <v>143.15121523828685</v>
      </c>
      <c r="P15" s="63">
        <f>'SER_se-appl'!P61</f>
        <v>136.66156968144111</v>
      </c>
      <c r="Q15" s="63">
        <f>'SER_se-appl'!Q61</f>
        <v>128.71596664653401</v>
      </c>
      <c r="R15" s="63">
        <f>'SER_se-appl'!R61</f>
        <v>121.49434498461909</v>
      </c>
      <c r="S15" s="63">
        <f>'SER_se-appl'!S61</f>
        <v>115.93058837171913</v>
      </c>
      <c r="T15" s="63">
        <f>'SER_se-appl'!T61</f>
        <v>110.33002526801783</v>
      </c>
      <c r="U15" s="63">
        <f>'SER_se-appl'!U61</f>
        <v>104.70278607391052</v>
      </c>
      <c r="V15" s="63">
        <f>'SER_se-appl'!V61</f>
        <v>99.080828749336789</v>
      </c>
      <c r="W15" s="63">
        <f>'SER_se-appl'!W61</f>
        <v>96.643440362103107</v>
      </c>
      <c r="X15" s="63">
        <f>'SER_se-appl'!X61</f>
        <v>94.206051974869425</v>
      </c>
      <c r="Y15" s="63">
        <f>'SER_se-appl'!Y61</f>
        <v>91.768663587635743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502.29287376697613</v>
      </c>
      <c r="C3" s="198">
        <f>'SER_se-appl'!C6</f>
        <v>504.2168756820214</v>
      </c>
      <c r="D3" s="198">
        <f>'SER_se-appl'!D6</f>
        <v>507.51780574622421</v>
      </c>
      <c r="E3" s="198">
        <f>'SER_se-appl'!E6</f>
        <v>516.16471388896571</v>
      </c>
      <c r="F3" s="198">
        <f>'SER_se-appl'!F6</f>
        <v>531.61816890113266</v>
      </c>
      <c r="G3" s="198">
        <f>'SER_se-appl'!G6</f>
        <v>540.27634036005747</v>
      </c>
      <c r="H3" s="198">
        <f>'SER_se-appl'!H6</f>
        <v>556.95217822203097</v>
      </c>
      <c r="I3" s="198">
        <f>'SER_se-appl'!I6</f>
        <v>579.99401625490123</v>
      </c>
      <c r="J3" s="198">
        <f>'SER_se-appl'!J6</f>
        <v>603.15771459544112</v>
      </c>
      <c r="K3" s="198">
        <f>'SER_se-appl'!K6</f>
        <v>620.73327093963121</v>
      </c>
      <c r="L3" s="198">
        <f>'SER_se-appl'!L6</f>
        <v>624.93928046431631</v>
      </c>
      <c r="M3" s="198">
        <f>'SER_se-appl'!M6</f>
        <v>643.67744790252755</v>
      </c>
      <c r="N3" s="198">
        <f>'SER_se-appl'!N6</f>
        <v>655.01964979691729</v>
      </c>
      <c r="O3" s="198">
        <f>'SER_se-appl'!O6</f>
        <v>659.58801960856533</v>
      </c>
      <c r="P3" s="198">
        <f>'SER_se-appl'!P6</f>
        <v>673.15168785256867</v>
      </c>
      <c r="Q3" s="198">
        <f>'SER_se-appl'!Q6</f>
        <v>683.10442300964166</v>
      </c>
      <c r="R3" s="198">
        <f>'SER_se-appl'!R6</f>
        <v>685.19392150698968</v>
      </c>
      <c r="S3" s="198">
        <f>'SER_se-appl'!S6</f>
        <v>666.26660063421957</v>
      </c>
      <c r="T3" s="198">
        <f>'SER_se-appl'!T6</f>
        <v>629.93162622369061</v>
      </c>
      <c r="U3" s="198">
        <f>'SER_se-appl'!U6</f>
        <v>589.0843665369182</v>
      </c>
      <c r="V3" s="198">
        <f>'SER_se-appl'!V6</f>
        <v>543.91368319415528</v>
      </c>
      <c r="W3" s="198">
        <f>'SER_se-appl'!W6</f>
        <v>548.52700680979001</v>
      </c>
      <c r="X3" s="198">
        <f>'SER_se-appl'!X6</f>
        <v>514.0948544034311</v>
      </c>
      <c r="Y3" s="198">
        <f>'SER_se-appl'!Y6</f>
        <v>480.78018022110848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2604.0116968551961</v>
      </c>
      <c r="C5" s="59">
        <f>'SER_se-appl'!C14</f>
        <v>2598.0789577751211</v>
      </c>
      <c r="D5" s="59">
        <f>'SER_se-appl'!D14</f>
        <v>2598.6917784840821</v>
      </c>
      <c r="E5" s="59">
        <f>'SER_se-appl'!E14</f>
        <v>2623.6897229469851</v>
      </c>
      <c r="F5" s="59">
        <f>'SER_se-appl'!F14</f>
        <v>2677.939097321289</v>
      </c>
      <c r="G5" s="59">
        <f>'SER_se-appl'!G14</f>
        <v>2703.237724279365</v>
      </c>
      <c r="H5" s="59">
        <f>'SER_se-appl'!H14</f>
        <v>2761.1604904874043</v>
      </c>
      <c r="I5" s="59">
        <f>'SER_se-appl'!I14</f>
        <v>2849.5405822948278</v>
      </c>
      <c r="J5" s="59">
        <f>'SER_se-appl'!J14</f>
        <v>2940.3615290348184</v>
      </c>
      <c r="K5" s="59">
        <f>'SER_se-appl'!K14</f>
        <v>3008.6942110391492</v>
      </c>
      <c r="L5" s="59">
        <f>'SER_se-appl'!L14</f>
        <v>3011.044151141004</v>
      </c>
      <c r="M5" s="59">
        <f>'SER_se-appl'!M14</f>
        <v>3080.4093690034351</v>
      </c>
      <c r="N5" s="59">
        <f>'SER_se-appl'!N14</f>
        <v>3118.8547853407044</v>
      </c>
      <c r="O5" s="59">
        <f>'SER_se-appl'!O14</f>
        <v>3128.2790092736655</v>
      </c>
      <c r="P5" s="59">
        <f>'SER_se-appl'!P14</f>
        <v>3174.8463340211979</v>
      </c>
      <c r="Q5" s="59">
        <f>'SER_se-appl'!Q14</f>
        <v>3202.4175212364694</v>
      </c>
      <c r="R5" s="59">
        <f>'SER_se-appl'!R14</f>
        <v>3132.8959282779747</v>
      </c>
      <c r="S5" s="59">
        <f>'SER_se-appl'!S14</f>
        <v>3052.0040272562378</v>
      </c>
      <c r="T5" s="59">
        <f>'SER_se-appl'!T14</f>
        <v>2938.1567212763421</v>
      </c>
      <c r="U5" s="59">
        <f>'SER_se-appl'!U14</f>
        <v>2826.1010594991048</v>
      </c>
      <c r="V5" s="59">
        <f>'SER_se-appl'!V14</f>
        <v>2669.2445866895919</v>
      </c>
      <c r="W5" s="59">
        <f>'SER_se-appl'!W14</f>
        <v>2505.2347120883242</v>
      </c>
      <c r="X5" s="59">
        <f>'SER_se-appl'!X14</f>
        <v>2393.6006162105855</v>
      </c>
      <c r="Y5" s="59">
        <f>'SER_se-appl'!Y14</f>
        <v>2260.4510294656448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165.92730266961479</v>
      </c>
      <c r="C6" s="201">
        <f>'SER_se-appl'!C70</f>
        <v>167.30779379955521</v>
      </c>
      <c r="D6" s="201">
        <f>'SER_se-appl'!D70</f>
        <v>169.40475579753561</v>
      </c>
      <c r="E6" s="201">
        <f>'SER_se-appl'!E70</f>
        <v>171.64194820932951</v>
      </c>
      <c r="F6" s="201">
        <f>'SER_se-appl'!F70</f>
        <v>174.77938030484643</v>
      </c>
      <c r="G6" s="201">
        <f>'SER_se-appl'!G70</f>
        <v>177.3856714906477</v>
      </c>
      <c r="H6" s="201">
        <f>'SER_se-appl'!H70</f>
        <v>180.04972101297378</v>
      </c>
      <c r="I6" s="201">
        <f>'SER_se-appl'!I70</f>
        <v>182.81869521557252</v>
      </c>
      <c r="J6" s="201">
        <f>'SER_se-appl'!J70</f>
        <v>186.42048196316279</v>
      </c>
      <c r="K6" s="201">
        <f>'SER_se-appl'!K70</f>
        <v>190.28580589457403</v>
      </c>
      <c r="L6" s="201">
        <f>'SER_se-appl'!L70</f>
        <v>195.90078171283906</v>
      </c>
      <c r="M6" s="201">
        <f>'SER_se-appl'!M70</f>
        <v>202.63473545528782</v>
      </c>
      <c r="N6" s="201">
        <f>'SER_se-appl'!N70</f>
        <v>210.16455983939903</v>
      </c>
      <c r="O6" s="201">
        <f>'SER_se-appl'!O70</f>
        <v>219.54159381280022</v>
      </c>
      <c r="P6" s="201">
        <f>'SER_se-appl'!P70</f>
        <v>230.59811978078011</v>
      </c>
      <c r="Q6" s="201">
        <f>'SER_se-appl'!Q70</f>
        <v>245.42498266838538</v>
      </c>
      <c r="R6" s="201">
        <f>'SER_se-appl'!R70</f>
        <v>253.32893202713876</v>
      </c>
      <c r="S6" s="201">
        <f>'SER_se-appl'!S70</f>
        <v>261.35746835469968</v>
      </c>
      <c r="T6" s="201">
        <f>'SER_se-appl'!T70</f>
        <v>268.97387375117711</v>
      </c>
      <c r="U6" s="201">
        <f>'SER_se-appl'!U70</f>
        <v>275.84991652158135</v>
      </c>
      <c r="V6" s="201">
        <f>'SER_se-appl'!V70</f>
        <v>281.37389792646411</v>
      </c>
      <c r="W6" s="201">
        <f>'SER_se-appl'!W70</f>
        <v>284.3358788275396</v>
      </c>
      <c r="X6" s="201">
        <f>'SER_se-appl'!X70</f>
        <v>285.82854146779295</v>
      </c>
      <c r="Y6" s="201">
        <f>'SER_se-appl'!Y70</f>
        <v>286.57780870325684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52.598782062506864</v>
      </c>
      <c r="C8" s="34">
        <f>'SER_se-appl'!C22</f>
        <v>52.919456504239974</v>
      </c>
      <c r="D8" s="34">
        <f>'SER_se-appl'!D22</f>
        <v>53.73312937868392</v>
      </c>
      <c r="E8" s="34">
        <f>'SER_se-appl'!E22</f>
        <v>55.397068049059726</v>
      </c>
      <c r="F8" s="34">
        <f>'SER_se-appl'!F22</f>
        <v>58.003134704583061</v>
      </c>
      <c r="G8" s="34">
        <f>'SER_se-appl'!G22</f>
        <v>60.176396822608083</v>
      </c>
      <c r="H8" s="34">
        <f>'SER_se-appl'!H22</f>
        <v>63.425534401179483</v>
      </c>
      <c r="I8" s="34">
        <f>'SER_se-appl'!I22</f>
        <v>67.055420554935807</v>
      </c>
      <c r="J8" s="34">
        <f>'SER_se-appl'!J22</f>
        <v>70.987374009748791</v>
      </c>
      <c r="K8" s="34">
        <f>'SER_se-appl'!K22</f>
        <v>74.64406779491442</v>
      </c>
      <c r="L8" s="34">
        <f>'SER_se-appl'!L22</f>
        <v>76.960630145279879</v>
      </c>
      <c r="M8" s="34">
        <f>'SER_se-appl'!M22</f>
        <v>81.657248539013423</v>
      </c>
      <c r="N8" s="34">
        <f>'SER_se-appl'!N22</f>
        <v>86.399226036599813</v>
      </c>
      <c r="O8" s="34">
        <f>'SER_se-appl'!O22</f>
        <v>90.81465626729441</v>
      </c>
      <c r="P8" s="34">
        <f>'SER_se-appl'!P22</f>
        <v>97.487764702594774</v>
      </c>
      <c r="Q8" s="34">
        <f>'SER_se-appl'!Q22</f>
        <v>105.03860689749553</v>
      </c>
      <c r="R8" s="34">
        <f>'SER_se-appl'!R22</f>
        <v>110.08526368734086</v>
      </c>
      <c r="S8" s="34">
        <f>'SER_se-appl'!S22</f>
        <v>115.8533362960445</v>
      </c>
      <c r="T8" s="34">
        <f>'SER_se-appl'!T22</f>
        <v>121.54666900145217</v>
      </c>
      <c r="U8" s="34">
        <f>'SER_se-appl'!U22</f>
        <v>126.8254394233705</v>
      </c>
      <c r="V8" s="34">
        <f>'SER_se-appl'!V22</f>
        <v>131.34940703237643</v>
      </c>
      <c r="W8" s="34">
        <f>'SER_se-appl'!W22</f>
        <v>134.62055506258869</v>
      </c>
      <c r="X8" s="34">
        <f>'SER_se-appl'!X22</f>
        <v>137.16606973349741</v>
      </c>
      <c r="Y8" s="34">
        <f>'SER_se-appl'!Y22</f>
        <v>139.26430476195398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8.5348209560689128</v>
      </c>
      <c r="D9" s="36">
        <f>'SER_se-appl'!D30</f>
        <v>9.2412093790082039</v>
      </c>
      <c r="E9" s="36">
        <f>'SER_se-appl'!E30</f>
        <v>10.310408685466129</v>
      </c>
      <c r="F9" s="36">
        <f>'SER_se-appl'!F30</f>
        <v>11.477157712959396</v>
      </c>
      <c r="G9" s="36">
        <f>'SER_se-appl'!G30</f>
        <v>11.274809502330626</v>
      </c>
      <c r="H9" s="36">
        <f>'SER_se-appl'!H30</f>
        <v>12.587128165346208</v>
      </c>
      <c r="I9" s="36">
        <f>'SER_se-appl'!I30</f>
        <v>12.164707109825237</v>
      </c>
      <c r="J9" s="36">
        <f>'SER_se-appl'!J30</f>
        <v>13.173162833821188</v>
      </c>
      <c r="K9" s="36">
        <f>'SER_se-appl'!K30</f>
        <v>13.967102470631758</v>
      </c>
      <c r="L9" s="36">
        <f>'SER_se-appl'!L30</f>
        <v>13.793720063324855</v>
      </c>
      <c r="M9" s="36">
        <f>'SER_se-appl'!M30</f>
        <v>15.971427896064171</v>
      </c>
      <c r="N9" s="36">
        <f>'SER_se-appl'!N30</f>
        <v>17.329105662932605</v>
      </c>
      <c r="O9" s="36">
        <f>'SER_se-appl'!O30</f>
        <v>16.58013734051984</v>
      </c>
      <c r="P9" s="36">
        <f>'SER_se-appl'!P30</f>
        <v>19.846271269121559</v>
      </c>
      <c r="Q9" s="36">
        <f>'SER_se-appl'!Q30</f>
        <v>21.517944665532511</v>
      </c>
      <c r="R9" s="36">
        <f>'SER_se-appl'!R30</f>
        <v>18.840376853170184</v>
      </c>
      <c r="S9" s="36">
        <f>'SER_se-appl'!S30</f>
        <v>21.739500504767818</v>
      </c>
      <c r="T9" s="36">
        <f>'SER_se-appl'!T30</f>
        <v>23.022438368340275</v>
      </c>
      <c r="U9" s="36">
        <f>'SER_se-appl'!U30</f>
        <v>21.858907762438164</v>
      </c>
      <c r="V9" s="36">
        <f>'SER_se-appl'!V30</f>
        <v>24.370238878127495</v>
      </c>
      <c r="W9" s="36">
        <f>'SER_se-appl'!W30</f>
        <v>24.78909269574477</v>
      </c>
      <c r="X9" s="36">
        <f>'SER_se-appl'!X30</f>
        <v>21.3858915240789</v>
      </c>
      <c r="Y9" s="36">
        <f>'SER_se-appl'!Y30</f>
        <v>23.837735533224389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8.2141465143358019</v>
      </c>
      <c r="D10" s="38">
        <f>'SER_se-appl'!D38</f>
        <v>8.4275365045642587</v>
      </c>
      <c r="E10" s="38">
        <f>'SER_se-appl'!E38</f>
        <v>8.6464700150903298</v>
      </c>
      <c r="F10" s="38">
        <f>'SER_se-appl'!F38</f>
        <v>8.8710910574360611</v>
      </c>
      <c r="G10" s="38">
        <f>'SER_se-appl'!G38</f>
        <v>9.1015473843056043</v>
      </c>
      <c r="H10" s="38">
        <f>'SER_se-appl'!H38</f>
        <v>9.337990586774815</v>
      </c>
      <c r="I10" s="38">
        <f>'SER_se-appl'!I38</f>
        <v>8.5348209560689128</v>
      </c>
      <c r="J10" s="38">
        <f>'SER_se-appl'!J38</f>
        <v>9.2412093790081968</v>
      </c>
      <c r="K10" s="38">
        <f>'SER_se-appl'!K38</f>
        <v>10.310408685466129</v>
      </c>
      <c r="L10" s="38">
        <f>'SER_se-appl'!L38</f>
        <v>11.477157712959396</v>
      </c>
      <c r="M10" s="38">
        <f>'SER_se-appl'!M38</f>
        <v>11.274809502330626</v>
      </c>
      <c r="N10" s="38">
        <f>'SER_se-appl'!N38</f>
        <v>12.587128165346215</v>
      </c>
      <c r="O10" s="38">
        <f>'SER_se-appl'!O38</f>
        <v>12.164707109825244</v>
      </c>
      <c r="P10" s="38">
        <f>'SER_se-appl'!P38</f>
        <v>13.173162833821195</v>
      </c>
      <c r="Q10" s="38">
        <f>'SER_se-appl'!Q38</f>
        <v>13.967102470631758</v>
      </c>
      <c r="R10" s="38">
        <f>'SER_se-appl'!R38</f>
        <v>13.793720063324855</v>
      </c>
      <c r="S10" s="38">
        <f>'SER_se-appl'!S38</f>
        <v>15.971427896064156</v>
      </c>
      <c r="T10" s="38">
        <f>'SER_se-appl'!T38</f>
        <v>17.329105662932605</v>
      </c>
      <c r="U10" s="38">
        <f>'SER_se-appl'!U38</f>
        <v>16.58013734051984</v>
      </c>
      <c r="V10" s="38">
        <f>'SER_se-appl'!V38</f>
        <v>19.846271269121559</v>
      </c>
      <c r="W10" s="38">
        <f>'SER_se-appl'!W38</f>
        <v>21.517944665532497</v>
      </c>
      <c r="X10" s="38">
        <f>'SER_se-appl'!X38</f>
        <v>18.840376853170199</v>
      </c>
      <c r="Y10" s="38">
        <f>'SER_se-appl'!Y38</f>
        <v>21.739500504767818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2243.3332880051098</v>
      </c>
      <c r="C12" s="204">
        <f>'SER_se-appl'!C46</f>
        <v>2257.0685338999911</v>
      </c>
      <c r="D12" s="204">
        <f>'SER_se-appl'!D46</f>
        <v>2271.3090215999782</v>
      </c>
      <c r="E12" s="204">
        <f>'SER_se-appl'!E46</f>
        <v>2287.9975364563979</v>
      </c>
      <c r="F12" s="204">
        <f>'SER_se-appl'!F46</f>
        <v>2308.7602367449936</v>
      </c>
      <c r="G12" s="204">
        <f>'SER_se-appl'!G46</f>
        <v>2324.4029860757119</v>
      </c>
      <c r="H12" s="204">
        <f>'SER_se-appl'!H46</f>
        <v>2345.8809638330104</v>
      </c>
      <c r="I12" s="204">
        <f>'SER_se-appl'!I46</f>
        <v>2367.1641846252519</v>
      </c>
      <c r="J12" s="204">
        <f>'SER_se-appl'!J46</f>
        <v>2385.667256042349</v>
      </c>
      <c r="K12" s="204">
        <f>'SER_se-appl'!K46</f>
        <v>2399.4222857678024</v>
      </c>
      <c r="L12" s="204">
        <f>'SER_se-appl'!L46</f>
        <v>2413.7951710358843</v>
      </c>
      <c r="M12" s="204">
        <f>'SER_se-appl'!M46</f>
        <v>2430.1863234263028</v>
      </c>
      <c r="N12" s="204">
        <f>'SER_se-appl'!N46</f>
        <v>2442.5242762003004</v>
      </c>
      <c r="O12" s="204">
        <f>'SER_se-appl'!O46</f>
        <v>2452.1497747826197</v>
      </c>
      <c r="P12" s="204">
        <f>'SER_se-appl'!P46</f>
        <v>2465.8686771178709</v>
      </c>
      <c r="Q12" s="204">
        <f>'SER_se-appl'!Q46</f>
        <v>2480.7834665277246</v>
      </c>
      <c r="R12" s="204">
        <f>'SER_se-appl'!R46</f>
        <v>2543.5908148747276</v>
      </c>
      <c r="S12" s="204">
        <f>'SER_se-appl'!S46</f>
        <v>2538.8828114824159</v>
      </c>
      <c r="T12" s="204">
        <f>'SER_se-appl'!T46</f>
        <v>2493.4356836482993</v>
      </c>
      <c r="U12" s="204">
        <f>'SER_se-appl'!U46</f>
        <v>2424.2060133683372</v>
      </c>
      <c r="V12" s="204">
        <f>'SER_se-appl'!V46</f>
        <v>2369.8525669366272</v>
      </c>
      <c r="W12" s="204">
        <f>'SER_se-appl'!W46</f>
        <v>2546.4157343884626</v>
      </c>
      <c r="X12" s="204">
        <f>'SER_se-appl'!X46</f>
        <v>2497.8783495541543</v>
      </c>
      <c r="Y12" s="204">
        <f>'SER_se-appl'!Y46</f>
        <v>2473.6096571369999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49.507072117385995</v>
      </c>
      <c r="C14" s="59">
        <f>'SER_se-appl'!C54</f>
        <v>49.094966755128326</v>
      </c>
      <c r="D14" s="59">
        <f>'SER_se-appl'!D54</f>
        <v>48.362933790247297</v>
      </c>
      <c r="E14" s="59">
        <f>'SER_se-appl'!E54</f>
        <v>47.361526798195193</v>
      </c>
      <c r="F14" s="59">
        <f>'SER_se-appl'!F54</f>
        <v>46.168868475132506</v>
      </c>
      <c r="G14" s="59">
        <f>'SER_se-appl'!G54</f>
        <v>44.921894081630477</v>
      </c>
      <c r="H14" s="59">
        <f>'SER_se-appl'!H54</f>
        <v>43.533893983809413</v>
      </c>
      <c r="I14" s="59">
        <f>'SER_se-appl'!I54</f>
        <v>42.49530550569456</v>
      </c>
      <c r="J14" s="59">
        <f>'SER_se-appl'!J54</f>
        <v>41.420908577784758</v>
      </c>
      <c r="K14" s="59">
        <f>'SER_se-appl'!K54</f>
        <v>40.307211275055067</v>
      </c>
      <c r="L14" s="59">
        <f>'SER_se-appl'!L54</f>
        <v>39.124473714118572</v>
      </c>
      <c r="M14" s="59">
        <f>'SER_se-appl'!M54</f>
        <v>37.723648838494803</v>
      </c>
      <c r="N14" s="59">
        <f>'SER_se-appl'!N54</f>
        <v>36.09817967604846</v>
      </c>
      <c r="O14" s="59">
        <f>'SER_se-appl'!O54</f>
        <v>34.446851839269364</v>
      </c>
      <c r="P14" s="59">
        <f>'SER_se-appl'!P54</f>
        <v>32.566613294567567</v>
      </c>
      <c r="Q14" s="59">
        <f>'SER_se-appl'!Q54</f>
        <v>30.488004514012893</v>
      </c>
      <c r="R14" s="59">
        <f>'SER_se-appl'!R54</f>
        <v>28.45881295407424</v>
      </c>
      <c r="S14" s="59">
        <f>'SER_se-appl'!S54</f>
        <v>26.343686982456283</v>
      </c>
      <c r="T14" s="59">
        <f>'SER_se-appl'!T54</f>
        <v>24.173074798464764</v>
      </c>
      <c r="U14" s="59">
        <f>'SER_se-appl'!U54</f>
        <v>22.283392609151338</v>
      </c>
      <c r="V14" s="59">
        <f>'SER_se-appl'!V54</f>
        <v>20.321710215499088</v>
      </c>
      <c r="W14" s="59">
        <f>'SER_se-appl'!W54</f>
        <v>18.609600227272676</v>
      </c>
      <c r="X14" s="59">
        <f>'SER_se-appl'!X54</f>
        <v>17.450384201145066</v>
      </c>
      <c r="Y14" s="59">
        <f>'SER_se-appl'!Y54</f>
        <v>16.231374100703398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46.95184665859631</v>
      </c>
      <c r="D15" s="63">
        <f>'SER_se-appl'!D62</f>
        <v>45.21437195887566</v>
      </c>
      <c r="E15" s="63">
        <f>'SER_se-appl'!E62</f>
        <v>43.941939925178851</v>
      </c>
      <c r="F15" s="63">
        <f>'SER_se-appl'!F62</f>
        <v>42.992449128544528</v>
      </c>
      <c r="G15" s="63">
        <f>'SER_se-appl'!G62</f>
        <v>42.208215544069994</v>
      </c>
      <c r="H15" s="63">
        <f>'SER_se-appl'!H62</f>
        <v>41.329470295789477</v>
      </c>
      <c r="I15" s="63">
        <f>'SER_se-appl'!I62</f>
        <v>40.206943922250531</v>
      </c>
      <c r="J15" s="63">
        <f>'SER_se-appl'!J62</f>
        <v>38.613082626320953</v>
      </c>
      <c r="K15" s="63">
        <f>'SER_se-appl'!K62</f>
        <v>37.330007577551783</v>
      </c>
      <c r="L15" s="63">
        <f>'SER_se-appl'!L62</f>
        <v>35.942519997541538</v>
      </c>
      <c r="M15" s="63">
        <f>'SER_se-appl'!M62</f>
        <v>34.139390109853437</v>
      </c>
      <c r="N15" s="63">
        <f>'SER_se-appl'!N62</f>
        <v>32.238522103955923</v>
      </c>
      <c r="O15" s="63">
        <f>'SER_se-appl'!O62</f>
        <v>30.067900542051625</v>
      </c>
      <c r="P15" s="63">
        <f>'SER_se-appl'!P62</f>
        <v>27.976224962908393</v>
      </c>
      <c r="Q15" s="63">
        <f>'SER_se-appl'!Q62</f>
        <v>25.511880284724761</v>
      </c>
      <c r="R15" s="63">
        <f>'SER_se-appl'!R62</f>
        <v>22.624784502987481</v>
      </c>
      <c r="S15" s="63">
        <f>'SER_se-appl'!S62</f>
        <v>21.360330078952419</v>
      </c>
      <c r="T15" s="63">
        <f>'SER_se-appl'!T62</f>
        <v>19.321039885507695</v>
      </c>
      <c r="U15" s="63">
        <f>'SER_se-appl'!U62</f>
        <v>17.680401187070213</v>
      </c>
      <c r="V15" s="63">
        <f>'SER_se-appl'!V62</f>
        <v>16.34646582179689</v>
      </c>
      <c r="W15" s="63">
        <f>'SER_se-appl'!W62</f>
        <v>15.529142530707045</v>
      </c>
      <c r="X15" s="63">
        <f>'SER_se-appl'!X62</f>
        <v>14.711819239617199</v>
      </c>
      <c r="Y15" s="63">
        <f>'SER_se-appl'!Y62</f>
        <v>13.894495948527355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234.49825604471198</v>
      </c>
      <c r="C3" s="198">
        <f>'SER_se-appl'!C7</f>
        <v>246.48191338614362</v>
      </c>
      <c r="D3" s="198">
        <f>'SER_se-appl'!D7</f>
        <v>256.59520197846962</v>
      </c>
      <c r="E3" s="198">
        <f>'SER_se-appl'!E7</f>
        <v>267.62288896336571</v>
      </c>
      <c r="F3" s="198">
        <f>'SER_se-appl'!F7</f>
        <v>283.02614267857916</v>
      </c>
      <c r="G3" s="198">
        <f>'SER_se-appl'!G7</f>
        <v>300.04174270086776</v>
      </c>
      <c r="H3" s="198">
        <f>'SER_se-appl'!H7</f>
        <v>316.41945701026026</v>
      </c>
      <c r="I3" s="198">
        <f>'SER_se-appl'!I7</f>
        <v>329.92633103242991</v>
      </c>
      <c r="J3" s="198">
        <f>'SER_se-appl'!J7</f>
        <v>337.07727889426457</v>
      </c>
      <c r="K3" s="198">
        <f>'SER_se-appl'!K7</f>
        <v>342.0214238125775</v>
      </c>
      <c r="L3" s="198">
        <f>'SER_se-appl'!L7</f>
        <v>344.50846486059419</v>
      </c>
      <c r="M3" s="198">
        <f>'SER_se-appl'!M7</f>
        <v>344.71221982143595</v>
      </c>
      <c r="N3" s="198">
        <f>'SER_se-appl'!N7</f>
        <v>345.41337440000274</v>
      </c>
      <c r="O3" s="198">
        <f>'SER_se-appl'!O7</f>
        <v>347.01162472576647</v>
      </c>
      <c r="P3" s="198">
        <f>'SER_se-appl'!P7</f>
        <v>349.47674409384643</v>
      </c>
      <c r="Q3" s="198">
        <f>'SER_se-appl'!Q7</f>
        <v>354.53854364062386</v>
      </c>
      <c r="R3" s="198">
        <f>'SER_se-appl'!R7</f>
        <v>357.36256269415099</v>
      </c>
      <c r="S3" s="198">
        <f>'SER_se-appl'!S7</f>
        <v>361.0086961788337</v>
      </c>
      <c r="T3" s="198">
        <f>'SER_se-appl'!T7</f>
        <v>365.86154689574693</v>
      </c>
      <c r="U3" s="198">
        <f>'SER_se-appl'!U7</f>
        <v>370.65308443416143</v>
      </c>
      <c r="V3" s="198">
        <f>'SER_se-appl'!V7</f>
        <v>375.28530620338051</v>
      </c>
      <c r="W3" s="198">
        <f>'SER_se-appl'!W7</f>
        <v>378.60789915027686</v>
      </c>
      <c r="X3" s="198">
        <f>'SER_se-appl'!X7</f>
        <v>383.35881826831451</v>
      </c>
      <c r="Y3" s="198">
        <f>'SER_se-appl'!Y7</f>
        <v>384.54532750848477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311.32588102739737</v>
      </c>
      <c r="C5" s="59">
        <f>'SER_se-appl'!C15</f>
        <v>327.23569094530251</v>
      </c>
      <c r="D5" s="59">
        <f>'SER_se-appl'!D15</f>
        <v>340.6623514851143</v>
      </c>
      <c r="E5" s="59">
        <f>'SER_se-appl'!E15</f>
        <v>355.30299071277892</v>
      </c>
      <c r="F5" s="59">
        <f>'SER_se-appl'!F15</f>
        <v>375.75274421825071</v>
      </c>
      <c r="G5" s="59">
        <f>'SER_se-appl'!G15</f>
        <v>398.34308990994202</v>
      </c>
      <c r="H5" s="59">
        <f>'SER_se-appl'!H15</f>
        <v>420.08656221795957</v>
      </c>
      <c r="I5" s="59">
        <f>'SER_se-appl'!I15</f>
        <v>438.0186335510457</v>
      </c>
      <c r="J5" s="59">
        <f>'SER_se-appl'!J15</f>
        <v>447.51241478770515</v>
      </c>
      <c r="K5" s="59">
        <f>'SER_se-appl'!K15</f>
        <v>454.07638800688102</v>
      </c>
      <c r="L5" s="59">
        <f>'SER_se-appl'!L15</f>
        <v>457.37824729779805</v>
      </c>
      <c r="M5" s="59">
        <f>'SER_se-appl'!M15</f>
        <v>457.64875759398416</v>
      </c>
      <c r="N5" s="59">
        <f>'SER_se-appl'!N15</f>
        <v>458.57962834155614</v>
      </c>
      <c r="O5" s="59">
        <f>'SER_se-appl'!O15</f>
        <v>460.70150634254162</v>
      </c>
      <c r="P5" s="59">
        <f>'SER_se-appl'!P15</f>
        <v>463.97426185062034</v>
      </c>
      <c r="Q5" s="59">
        <f>'SER_se-appl'!Q15</f>
        <v>470.69443636306596</v>
      </c>
      <c r="R5" s="59">
        <f>'SER_se-appl'!R15</f>
        <v>474.44367627088786</v>
      </c>
      <c r="S5" s="59">
        <f>'SER_se-appl'!S15</f>
        <v>479.284376319616</v>
      </c>
      <c r="T5" s="59">
        <f>'SER_se-appl'!T15</f>
        <v>485.72714502255002</v>
      </c>
      <c r="U5" s="59">
        <f>'SER_se-appl'!U15</f>
        <v>492.08851278188337</v>
      </c>
      <c r="V5" s="59">
        <f>'SER_se-appl'!V15</f>
        <v>498.2383688522051</v>
      </c>
      <c r="W5" s="59">
        <f>'SER_se-appl'!W15</f>
        <v>502.64952820978533</v>
      </c>
      <c r="X5" s="59">
        <f>'SER_se-appl'!X15</f>
        <v>508.95696991558191</v>
      </c>
      <c r="Y5" s="59">
        <f>'SER_se-appl'!Y15</f>
        <v>510.53220992279427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1.1557544832604807E-2</v>
      </c>
      <c r="C6" s="201">
        <f>'SER_se-appl'!C71</f>
        <v>1.2333476648876405E-2</v>
      </c>
      <c r="D6" s="201">
        <f>'SER_se-appl'!D71</f>
        <v>1.3047981760325763E-2</v>
      </c>
      <c r="E6" s="201">
        <f>'SER_se-appl'!E71</f>
        <v>1.3841254525594681E-2</v>
      </c>
      <c r="F6" s="201">
        <f>'SER_se-appl'!F71</f>
        <v>1.4922932022883119E-2</v>
      </c>
      <c r="G6" s="201">
        <f>'SER_se-appl'!G71</f>
        <v>1.6132873978889274E-2</v>
      </c>
      <c r="H6" s="201">
        <f>'SER_se-appl'!H71</f>
        <v>1.7368295572616047E-2</v>
      </c>
      <c r="I6" s="201">
        <f>'SER_se-appl'!I71</f>
        <v>1.8491448540344683E-2</v>
      </c>
      <c r="J6" s="201">
        <f>'SER_se-appl'!J71</f>
        <v>1.9269571575004661E-2</v>
      </c>
      <c r="K6" s="201">
        <f>'SER_se-appl'!K71</f>
        <v>1.994312866164737E-2</v>
      </c>
      <c r="L6" s="201">
        <f>'SER_se-appl'!L71</f>
        <v>2.0587316978691123E-2</v>
      </c>
      <c r="M6" s="201">
        <f>'SER_se-appl'!M71</f>
        <v>2.1025279595273502E-2</v>
      </c>
      <c r="N6" s="201">
        <f>'SER_se-appl'!N71</f>
        <v>2.1501328090453395E-2</v>
      </c>
      <c r="O6" s="201">
        <f>'SER_se-appl'!O71</f>
        <v>2.2090067388711363E-2</v>
      </c>
      <c r="P6" s="201">
        <f>'SER_se-appl'!P71</f>
        <v>2.2884795923183116E-2</v>
      </c>
      <c r="Q6" s="201">
        <f>'SER_se-appl'!Q71</f>
        <v>2.3902927290959917E-2</v>
      </c>
      <c r="R6" s="201">
        <f>'SER_se-appl'!R71</f>
        <v>2.4758635323619573E-2</v>
      </c>
      <c r="S6" s="201">
        <f>'SER_se-appl'!S71</f>
        <v>2.5620803776771013E-2</v>
      </c>
      <c r="T6" s="201">
        <f>'SER_se-appl'!T71</f>
        <v>2.6487732760931592E-2</v>
      </c>
      <c r="U6" s="201">
        <f>'SER_se-appl'!U71</f>
        <v>2.7333481885791766E-2</v>
      </c>
      <c r="V6" s="201">
        <f>'SER_se-appl'!V71</f>
        <v>2.8140992050641765E-2</v>
      </c>
      <c r="W6" s="201">
        <f>'SER_se-appl'!W71</f>
        <v>2.9576273474977082E-2</v>
      </c>
      <c r="X6" s="201">
        <f>'SER_se-appl'!X71</f>
        <v>3.0624308290035353E-2</v>
      </c>
      <c r="Y6" s="201">
        <f>'SER_se-appl'!Y71</f>
        <v>3.1379951822157172E-2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442.22983986604203</v>
      </c>
      <c r="C8" s="34">
        <f>'SER_se-appl'!C23</f>
        <v>471.80426071966883</v>
      </c>
      <c r="D8" s="34">
        <f>'SER_se-appl'!D23</f>
        <v>498.98348893078457</v>
      </c>
      <c r="E8" s="34">
        <f>'SER_se-appl'!E23</f>
        <v>528.99241516533061</v>
      </c>
      <c r="F8" s="34">
        <f>'SER_se-appl'!F23</f>
        <v>569.91584709657627</v>
      </c>
      <c r="G8" s="34">
        <f>'SER_se-appl'!G23</f>
        <v>615.85366934591264</v>
      </c>
      <c r="H8" s="34">
        <f>'SER_se-appl'!H23</f>
        <v>662.723009420567</v>
      </c>
      <c r="I8" s="34">
        <f>'SER_se-appl'!I23</f>
        <v>704.99533300449184</v>
      </c>
      <c r="J8" s="34">
        <f>'SER_se-appl'!J23</f>
        <v>734.47207237668215</v>
      </c>
      <c r="K8" s="34">
        <f>'SER_se-appl'!K23</f>
        <v>760.54868169263</v>
      </c>
      <c r="L8" s="34">
        <f>'SER_se-appl'!L23</f>
        <v>782.78885654224837</v>
      </c>
      <c r="M8" s="34">
        <f>'SER_se-appl'!M23</f>
        <v>800.27928810604942</v>
      </c>
      <c r="N8" s="34">
        <f>'SER_se-appl'!N23</f>
        <v>818.4220801587752</v>
      </c>
      <c r="O8" s="34">
        <f>'SER_se-appl'!O23</f>
        <v>840.80396313518486</v>
      </c>
      <c r="P8" s="34">
        <f>'SER_se-appl'!P23</f>
        <v>870.03087599696278</v>
      </c>
      <c r="Q8" s="34">
        <f>'SER_se-appl'!Q23</f>
        <v>908.44542809028826</v>
      </c>
      <c r="R8" s="34">
        <f>'SER_se-appl'!R23</f>
        <v>940.01628188664699</v>
      </c>
      <c r="S8" s="34">
        <f>'SER_se-appl'!S23</f>
        <v>972.89785946638972</v>
      </c>
      <c r="T8" s="34">
        <f>'SER_se-appl'!T23</f>
        <v>1005.9163364015449</v>
      </c>
      <c r="U8" s="34">
        <f>'SER_se-appl'!U23</f>
        <v>1037.9291689545762</v>
      </c>
      <c r="V8" s="34">
        <f>'SER_se-appl'!V23</f>
        <v>1068.1796597151631</v>
      </c>
      <c r="W8" s="34">
        <f>'SER_se-appl'!W23</f>
        <v>1096.4917452674558</v>
      </c>
      <c r="X8" s="34">
        <f>'SER_se-appl'!X23</f>
        <v>1129.7234136097229</v>
      </c>
      <c r="Y8" s="34">
        <f>'SER_se-appl'!Y23</f>
        <v>1153.3304649642837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69.765640665993942</v>
      </c>
      <c r="D9" s="36">
        <f>'SER_se-appl'!D31</f>
        <v>68.217043320773257</v>
      </c>
      <c r="E9" s="36">
        <f>'SER_se-appl'!E31</f>
        <v>71.911169481620163</v>
      </c>
      <c r="F9" s="36">
        <f>'SER_se-appl'!F31</f>
        <v>83.708311790109633</v>
      </c>
      <c r="G9" s="36">
        <f>'SER_se-appl'!G31</f>
        <v>89.623930741039771</v>
      </c>
      <c r="H9" s="36">
        <f>'SER_se-appl'!H31</f>
        <v>91.475660846021128</v>
      </c>
      <c r="I9" s="36">
        <f>'SER_se-appl'!I31</f>
        <v>87.818240156831507</v>
      </c>
      <c r="J9" s="36">
        <f>'SER_se-appl'!J31</f>
        <v>75.982043566607672</v>
      </c>
      <c r="K9" s="36">
        <f>'SER_se-appl'!K31</f>
        <v>73.561509850408015</v>
      </c>
      <c r="L9" s="36">
        <f>'SER_se-appl'!L31</f>
        <v>70.725306122843108</v>
      </c>
      <c r="M9" s="36">
        <f>'SER_se-appl'!M31</f>
        <v>87.256072229794995</v>
      </c>
      <c r="N9" s="36">
        <f>'SER_se-appl'!N31</f>
        <v>86.359835373499095</v>
      </c>
      <c r="O9" s="36">
        <f>'SER_se-appl'!O31</f>
        <v>94.29305245802982</v>
      </c>
      <c r="P9" s="36">
        <f>'SER_se-appl'!P31</f>
        <v>112.93522465188755</v>
      </c>
      <c r="Q9" s="36">
        <f>'SER_se-appl'!Q31</f>
        <v>128.03848283436525</v>
      </c>
      <c r="R9" s="36">
        <f>'SER_se-appl'!R31</f>
        <v>123.04651464237986</v>
      </c>
      <c r="S9" s="36">
        <f>'SER_se-appl'!S31</f>
        <v>120.69981773657423</v>
      </c>
      <c r="T9" s="36">
        <f>'SER_se-appl'!T31</f>
        <v>109.00052050176282</v>
      </c>
      <c r="U9" s="36">
        <f>'SER_se-appl'!U31</f>
        <v>105.57434240343935</v>
      </c>
      <c r="V9" s="36">
        <f>'SER_se-appl'!V31</f>
        <v>100.97579688343001</v>
      </c>
      <c r="W9" s="36">
        <f>'SER_se-appl'!W31</f>
        <v>115.56815778208772</v>
      </c>
      <c r="X9" s="36">
        <f>'SER_se-appl'!X31</f>
        <v>119.59150371576618</v>
      </c>
      <c r="Y9" s="36">
        <f>'SER_se-appl'!Y31</f>
        <v>117.90010381259071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40.191219812367137</v>
      </c>
      <c r="D10" s="38">
        <f>'SER_se-appl'!D39</f>
        <v>41.037815109657572</v>
      </c>
      <c r="E10" s="38">
        <f>'SER_se-appl'!E39</f>
        <v>41.902243247074125</v>
      </c>
      <c r="F10" s="38">
        <f>'SER_se-appl'!F39</f>
        <v>42.784879858863974</v>
      </c>
      <c r="G10" s="38">
        <f>'SER_se-appl'!G39</f>
        <v>43.686108491703408</v>
      </c>
      <c r="H10" s="38">
        <f>'SER_se-appl'!H39</f>
        <v>44.606320771366768</v>
      </c>
      <c r="I10" s="38">
        <f>'SER_se-appl'!I39</f>
        <v>45.545916572906663</v>
      </c>
      <c r="J10" s="38">
        <f>'SER_se-appl'!J39</f>
        <v>46.505304194417363</v>
      </c>
      <c r="K10" s="38">
        <f>'SER_se-appl'!K39</f>
        <v>47.484900534460166</v>
      </c>
      <c r="L10" s="38">
        <f>'SER_se-appl'!L39</f>
        <v>48.485131273224738</v>
      </c>
      <c r="M10" s="38">
        <f>'SER_se-appl'!M39</f>
        <v>69.765640665993942</v>
      </c>
      <c r="N10" s="38">
        <f>'SER_se-appl'!N39</f>
        <v>68.217043320773314</v>
      </c>
      <c r="O10" s="38">
        <f>'SER_se-appl'!O39</f>
        <v>71.911169481620163</v>
      </c>
      <c r="P10" s="38">
        <f>'SER_se-appl'!P39</f>
        <v>83.708311790109633</v>
      </c>
      <c r="Q10" s="38">
        <f>'SER_se-appl'!Q39</f>
        <v>89.623930741039771</v>
      </c>
      <c r="R10" s="38">
        <f>'SER_se-appl'!R39</f>
        <v>91.475660846021128</v>
      </c>
      <c r="S10" s="38">
        <f>'SER_se-appl'!S39</f>
        <v>87.818240156831507</v>
      </c>
      <c r="T10" s="38">
        <f>'SER_se-appl'!T39</f>
        <v>75.982043566607672</v>
      </c>
      <c r="U10" s="38">
        <f>'SER_se-appl'!U39</f>
        <v>73.561509850408129</v>
      </c>
      <c r="V10" s="38">
        <f>'SER_se-appl'!V39</f>
        <v>70.725306122843222</v>
      </c>
      <c r="W10" s="38">
        <f>'SER_se-appl'!W39</f>
        <v>87.256072229794881</v>
      </c>
      <c r="X10" s="38">
        <f>'SER_se-appl'!X39</f>
        <v>86.359835373498981</v>
      </c>
      <c r="Y10" s="38">
        <f>'SER_se-appl'!Y39</f>
        <v>94.293052458029933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8760</v>
      </c>
      <c r="E12" s="204">
        <f>'SER_se-appl'!E47</f>
        <v>8760</v>
      </c>
      <c r="F12" s="204">
        <f>'SER_se-appl'!F47</f>
        <v>8759.9999999999982</v>
      </c>
      <c r="G12" s="204">
        <f>'SER_se-appl'!G47</f>
        <v>8760</v>
      </c>
      <c r="H12" s="204">
        <f>'SER_se-appl'!H47</f>
        <v>8760.0000000000018</v>
      </c>
      <c r="I12" s="204">
        <f>'SER_se-appl'!I47</f>
        <v>8760</v>
      </c>
      <c r="J12" s="204">
        <f>'SER_se-appl'!J47</f>
        <v>8760</v>
      </c>
      <c r="K12" s="204">
        <f>'SER_se-appl'!K47</f>
        <v>8759.9999999999964</v>
      </c>
      <c r="L12" s="204">
        <f>'SER_se-appl'!L47</f>
        <v>8759.9999999999982</v>
      </c>
      <c r="M12" s="204">
        <f>'SER_se-appl'!M47</f>
        <v>8759.9999999999982</v>
      </c>
      <c r="N12" s="204">
        <f>'SER_se-appl'!N47</f>
        <v>8760</v>
      </c>
      <c r="O12" s="204">
        <f>'SER_se-appl'!O47</f>
        <v>8759.9999999999982</v>
      </c>
      <c r="P12" s="204">
        <f>'SER_se-appl'!P47</f>
        <v>8760</v>
      </c>
      <c r="Q12" s="204">
        <f>'SER_se-appl'!Q47</f>
        <v>8759.9999999999945</v>
      </c>
      <c r="R12" s="204">
        <f>'SER_se-appl'!R47</f>
        <v>8759.9999999999964</v>
      </c>
      <c r="S12" s="204">
        <f>'SER_se-appl'!S47</f>
        <v>8759.9999999999982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703.99112172462753</v>
      </c>
      <c r="C14" s="59">
        <f>'SER_se-appl'!C55</f>
        <v>693.58358579922958</v>
      </c>
      <c r="D14" s="59">
        <f>'SER_se-appl'!D55</f>
        <v>682.71267294852032</v>
      </c>
      <c r="E14" s="59">
        <f>'SER_se-appl'!E55</f>
        <v>671.65989629876447</v>
      </c>
      <c r="F14" s="59">
        <f>'SER_se-appl'!F55</f>
        <v>659.31267946402056</v>
      </c>
      <c r="G14" s="59">
        <f>'SER_se-appl'!G55</f>
        <v>646.81451087725952</v>
      </c>
      <c r="H14" s="59">
        <f>'SER_se-appl'!H55</f>
        <v>633.87954884085025</v>
      </c>
      <c r="I14" s="59">
        <f>'SER_se-appl'!I55</f>
        <v>621.3071392747147</v>
      </c>
      <c r="J14" s="59">
        <f>'SER_se-appl'!J55</f>
        <v>609.29806812068068</v>
      </c>
      <c r="K14" s="59">
        <f>'SER_se-appl'!K55</f>
        <v>597.03790031732979</v>
      </c>
      <c r="L14" s="59">
        <f>'SER_se-appl'!L55</f>
        <v>584.29325286787935</v>
      </c>
      <c r="M14" s="59">
        <f>'SER_se-appl'!M55</f>
        <v>571.86130441668831</v>
      </c>
      <c r="N14" s="59">
        <f>'SER_se-appl'!N55</f>
        <v>560.3216719820058</v>
      </c>
      <c r="O14" s="59">
        <f>'SER_se-appl'!O55</f>
        <v>547.92975121653865</v>
      </c>
      <c r="P14" s="59">
        <f>'SER_se-appl'!P55</f>
        <v>533.28482316096563</v>
      </c>
      <c r="Q14" s="59">
        <f>'SER_se-appl'!Q55</f>
        <v>518.13176863309036</v>
      </c>
      <c r="R14" s="59">
        <f>'SER_se-appl'!R55</f>
        <v>504.71857287265499</v>
      </c>
      <c r="S14" s="59">
        <f>'SER_se-appl'!S55</f>
        <v>492.63586270247481</v>
      </c>
      <c r="T14" s="59">
        <f>'SER_se-appl'!T55</f>
        <v>482.87032176069158</v>
      </c>
      <c r="U14" s="59">
        <f>'SER_se-appl'!U55</f>
        <v>474.10606378614943</v>
      </c>
      <c r="V14" s="59">
        <f>'SER_se-appl'!V55</f>
        <v>466.43686230185619</v>
      </c>
      <c r="W14" s="59">
        <f>'SER_se-appl'!W55</f>
        <v>458.41615349979611</v>
      </c>
      <c r="X14" s="59">
        <f>'SER_se-appl'!X55</f>
        <v>450.51466915193765</v>
      </c>
      <c r="Y14" s="59">
        <f>'SER_se-appl'!Y55</f>
        <v>442.65908638648887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633.60805426733634</v>
      </c>
      <c r="D15" s="63">
        <f>'SER_se-appl'!D63</f>
        <v>620.32764793107469</v>
      </c>
      <c r="E15" s="63">
        <f>'SER_se-appl'!E63</f>
        <v>613.80515394388271</v>
      </c>
      <c r="F15" s="63">
        <f>'SER_se-appl'!F63</f>
        <v>604.12076159134642</v>
      </c>
      <c r="G15" s="63">
        <f>'SER_se-appl'!G63</f>
        <v>595.20908948620865</v>
      </c>
      <c r="H15" s="63">
        <f>'SER_se-appl'!H63</f>
        <v>580.98433629596707</v>
      </c>
      <c r="I15" s="63">
        <f>'SER_se-appl'!I63</f>
        <v>569.31216273449547</v>
      </c>
      <c r="J15" s="63">
        <f>'SER_se-appl'!J63</f>
        <v>555.83004247062354</v>
      </c>
      <c r="K15" s="63">
        <f>'SER_se-appl'!K63</f>
        <v>543.66640506347801</v>
      </c>
      <c r="L15" s="63">
        <f>'SER_se-appl'!L63</f>
        <v>529.30080186431906</v>
      </c>
      <c r="M15" s="63">
        <f>'SER_se-appl'!M63</f>
        <v>509.70185795383549</v>
      </c>
      <c r="N15" s="63">
        <f>'SER_se-appl'!N63</f>
        <v>500.78591040055113</v>
      </c>
      <c r="O15" s="63">
        <f>'SER_se-appl'!O63</f>
        <v>490.61222697745512</v>
      </c>
      <c r="P15" s="63">
        <f>'SER_se-appl'!P63</f>
        <v>476.75722737711567</v>
      </c>
      <c r="Q15" s="63">
        <f>'SER_se-appl'!Q63</f>
        <v>469.11796668738418</v>
      </c>
      <c r="R15" s="63">
        <f>'SER_se-appl'!R63</f>
        <v>462.38746523655374</v>
      </c>
      <c r="S15" s="63">
        <f>'SER_se-appl'!S63</f>
        <v>454.32290875228625</v>
      </c>
      <c r="T15" s="63">
        <f>'SER_se-appl'!T63</f>
        <v>446.56549327926501</v>
      </c>
      <c r="U15" s="63">
        <f>'SER_se-appl'!U63</f>
        <v>439.06775373138555</v>
      </c>
      <c r="V15" s="63">
        <f>'SER_se-appl'!V63</f>
        <v>431.63627976670381</v>
      </c>
      <c r="W15" s="63">
        <f>'SER_se-appl'!W63</f>
        <v>423.00355417136973</v>
      </c>
      <c r="X15" s="63">
        <f>'SER_se-appl'!X63</f>
        <v>414.37082857603565</v>
      </c>
      <c r="Y15" s="63">
        <f>'SER_se-appl'!Y63</f>
        <v>405.73810298070157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76.024962422115678</v>
      </c>
      <c r="C3" s="198">
        <f>'SER_se-appl'!C8</f>
        <v>81.173205209957842</v>
      </c>
      <c r="D3" s="198">
        <f>'SER_se-appl'!D8</f>
        <v>85.933603208904572</v>
      </c>
      <c r="E3" s="198">
        <f>'SER_se-appl'!E8</f>
        <v>93.416537485428165</v>
      </c>
      <c r="F3" s="198">
        <f>'SER_se-appl'!F8</f>
        <v>103.03338053602157</v>
      </c>
      <c r="G3" s="198">
        <f>'SER_se-appl'!G8</f>
        <v>114.01143926274506</v>
      </c>
      <c r="H3" s="198">
        <f>'SER_se-appl'!H8</f>
        <v>125.63063469479739</v>
      </c>
      <c r="I3" s="198">
        <f>'SER_se-appl'!I8</f>
        <v>138.04591565775075</v>
      </c>
      <c r="J3" s="198">
        <f>'SER_se-appl'!J8</f>
        <v>149.48191163055935</v>
      </c>
      <c r="K3" s="198">
        <f>'SER_se-appl'!K8</f>
        <v>159.3992000140961</v>
      </c>
      <c r="L3" s="198">
        <f>'SER_se-appl'!L8</f>
        <v>165.42088130855493</v>
      </c>
      <c r="M3" s="198">
        <f>'SER_se-appl'!M8</f>
        <v>173.16625890835286</v>
      </c>
      <c r="N3" s="198">
        <f>'SER_se-appl'!N8</f>
        <v>178.81591578341224</v>
      </c>
      <c r="O3" s="198">
        <f>'SER_se-appl'!O8</f>
        <v>182.17990590883826</v>
      </c>
      <c r="P3" s="198">
        <f>'SER_se-appl'!P8</f>
        <v>187.27991569806863</v>
      </c>
      <c r="Q3" s="198">
        <f>'SER_se-appl'!Q8</f>
        <v>190.8285517460607</v>
      </c>
      <c r="R3" s="198">
        <f>'SER_se-appl'!R8</f>
        <v>204.37701767569149</v>
      </c>
      <c r="S3" s="198">
        <f>'SER_se-appl'!S8</f>
        <v>212.96049951494155</v>
      </c>
      <c r="T3" s="198">
        <f>'SER_se-appl'!T8</f>
        <v>220.33971086985517</v>
      </c>
      <c r="U3" s="198">
        <f>'SER_se-appl'!U8</f>
        <v>224.17548340598958</v>
      </c>
      <c r="V3" s="198">
        <f>'SER_se-appl'!V8</f>
        <v>225.9923562793673</v>
      </c>
      <c r="W3" s="198">
        <f>'SER_se-appl'!W8</f>
        <v>249.43987913484054</v>
      </c>
      <c r="X3" s="198">
        <f>'SER_se-appl'!X8</f>
        <v>249.37301597400935</v>
      </c>
      <c r="Y3" s="198">
        <f>'SER_se-appl'!Y8</f>
        <v>250.71869122103692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1065.9918230769586</v>
      </c>
      <c r="C5" s="59">
        <f>'SER_se-appl'!C16</f>
        <v>1132.7673423436688</v>
      </c>
      <c r="D5" s="59">
        <f>'SER_se-appl'!D16</f>
        <v>1193.9925558142777</v>
      </c>
      <c r="E5" s="59">
        <f>'SER_se-appl'!E16</f>
        <v>1292.7789071055636</v>
      </c>
      <c r="F5" s="59">
        <f>'SER_se-appl'!F16</f>
        <v>1420.5914834747639</v>
      </c>
      <c r="G5" s="59">
        <f>'SER_se-appl'!G16</f>
        <v>1566.5401291207877</v>
      </c>
      <c r="H5" s="59">
        <f>'SER_se-appl'!H16</f>
        <v>1720.6289032371224</v>
      </c>
      <c r="I5" s="59">
        <f>'SER_se-appl'!I16</f>
        <v>1884.9454004399668</v>
      </c>
      <c r="J5" s="59">
        <f>'SER_se-appl'!J16</f>
        <v>2035.2730272142569</v>
      </c>
      <c r="K5" s="59">
        <f>'SER_se-appl'!K16</f>
        <v>2164.4428172141061</v>
      </c>
      <c r="L5" s="59">
        <f>'SER_se-appl'!L16</f>
        <v>2240.4563632252521</v>
      </c>
      <c r="M5" s="59">
        <f>'SER_se-appl'!M16</f>
        <v>2341.5483184093964</v>
      </c>
      <c r="N5" s="59">
        <f>'SER_se-appl'!N16</f>
        <v>2414.1962693270193</v>
      </c>
      <c r="O5" s="59">
        <f>'SER_se-appl'!O16</f>
        <v>2455.9717755454008</v>
      </c>
      <c r="P5" s="59">
        <f>'SER_se-appl'!P16</f>
        <v>2521.1459609450726</v>
      </c>
      <c r="Q5" s="59">
        <f>'SER_se-appl'!Q16</f>
        <v>2565.4241574074681</v>
      </c>
      <c r="R5" s="59">
        <f>'SER_se-appl'!R16</f>
        <v>2685.1646846867843</v>
      </c>
      <c r="S5" s="59">
        <f>'SER_se-appl'!S16</f>
        <v>2819.1209444265196</v>
      </c>
      <c r="T5" s="59">
        <f>'SER_se-appl'!T16</f>
        <v>2941.9571306720327</v>
      </c>
      <c r="U5" s="59">
        <f>'SER_se-appl'!U16</f>
        <v>3051.0573568013092</v>
      </c>
      <c r="V5" s="59">
        <f>'SER_se-appl'!V16</f>
        <v>3146.3295054520868</v>
      </c>
      <c r="W5" s="59">
        <f>'SER_se-appl'!W16</f>
        <v>3231.977729541894</v>
      </c>
      <c r="X5" s="59">
        <f>'SER_se-appl'!X16</f>
        <v>3296.7013990149744</v>
      </c>
      <c r="Y5" s="59">
        <f>'SER_se-appl'!Y16</f>
        <v>3348.4774152872837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63.086282378635914</v>
      </c>
      <c r="C6" s="201">
        <f>'SER_se-appl'!C72</f>
        <v>67.563679598874671</v>
      </c>
      <c r="D6" s="201">
        <f>'SER_se-appl'!D72</f>
        <v>71.42696170350257</v>
      </c>
      <c r="E6" s="201">
        <f>'SER_se-appl'!E72</f>
        <v>76.655252423534719</v>
      </c>
      <c r="F6" s="201">
        <f>'SER_se-appl'!F72</f>
        <v>82.787250530891384</v>
      </c>
      <c r="G6" s="201">
        <f>'SER_se-appl'!G72</f>
        <v>90.36284879486638</v>
      </c>
      <c r="H6" s="201">
        <f>'SER_se-appl'!H72</f>
        <v>96.819239042149363</v>
      </c>
      <c r="I6" s="201">
        <f>'SER_se-appl'!I72</f>
        <v>103.28362863615801</v>
      </c>
      <c r="J6" s="201">
        <f>'SER_se-appl'!J72</f>
        <v>108.91557065810133</v>
      </c>
      <c r="K6" s="201">
        <f>'SER_se-appl'!K72</f>
        <v>113.98732153036936</v>
      </c>
      <c r="L6" s="201">
        <f>'SER_se-appl'!L72</f>
        <v>119.29409282860591</v>
      </c>
      <c r="M6" s="201">
        <f>'SER_se-appl'!M72</f>
        <v>123.56278005578362</v>
      </c>
      <c r="N6" s="201">
        <f>'SER_se-appl'!N72</f>
        <v>127.02974150476417</v>
      </c>
      <c r="O6" s="201">
        <f>'SER_se-appl'!O72</f>
        <v>130.70777041465882</v>
      </c>
      <c r="P6" s="201">
        <f>'SER_se-appl'!P72</f>
        <v>134.24324149143567</v>
      </c>
      <c r="Q6" s="201">
        <f>'SER_se-appl'!Q72</f>
        <v>138.16700784909727</v>
      </c>
      <c r="R6" s="201">
        <f>'SER_se-appl'!R72</f>
        <v>145.4566936965067</v>
      </c>
      <c r="S6" s="201">
        <f>'SER_se-appl'!S72</f>
        <v>152.81155325239874</v>
      </c>
      <c r="T6" s="201">
        <f>'SER_se-appl'!T72</f>
        <v>160.11167662137277</v>
      </c>
      <c r="U6" s="201">
        <f>'SER_se-appl'!U72</f>
        <v>167.28319196921098</v>
      </c>
      <c r="V6" s="201">
        <f>'SER_se-appl'!V72</f>
        <v>174.18811749634281</v>
      </c>
      <c r="W6" s="201">
        <f>'SER_se-appl'!W72</f>
        <v>180.68027299554612</v>
      </c>
      <c r="X6" s="201">
        <f>'SER_se-appl'!X72</f>
        <v>186.04778678201868</v>
      </c>
      <c r="Y6" s="201">
        <f>'SER_se-appl'!Y72</f>
        <v>190.45637936612528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19.998285782869473</v>
      </c>
      <c r="C8" s="34">
        <f>'SER_se-appl'!C24</f>
        <v>21.370392392374967</v>
      </c>
      <c r="D8" s="34">
        <f>'SER_se-appl'!D24</f>
        <v>22.655764038452322</v>
      </c>
      <c r="E8" s="34">
        <f>'SER_se-appl'!E24</f>
        <v>24.740317149310872</v>
      </c>
      <c r="F8" s="34">
        <f>'SER_se-appl'!F24</f>
        <v>27.474179368240996</v>
      </c>
      <c r="G8" s="34">
        <f>'SER_se-appl'!G24</f>
        <v>30.654734406707163</v>
      </c>
      <c r="H8" s="34">
        <f>'SER_se-appl'!H24</f>
        <v>34.106201009449926</v>
      </c>
      <c r="I8" s="34">
        <f>'SER_se-appl'!I24</f>
        <v>37.883035684456914</v>
      </c>
      <c r="J8" s="34">
        <f>'SER_se-appl'!J24</f>
        <v>41.474146340420106</v>
      </c>
      <c r="K8" s="34">
        <f>'SER_se-appl'!K24</f>
        <v>44.714198813061422</v>
      </c>
      <c r="L8" s="34">
        <f>'SER_se-appl'!L24</f>
        <v>46.865298220998973</v>
      </c>
      <c r="M8" s="34">
        <f>'SER_se-appl'!M24</f>
        <v>49.79302595143136</v>
      </c>
      <c r="N8" s="34">
        <f>'SER_se-appl'!N24</f>
        <v>52.222274573923947</v>
      </c>
      <c r="O8" s="34">
        <f>'SER_se-appl'!O24</f>
        <v>54.068028912066652</v>
      </c>
      <c r="P8" s="34">
        <f>'SER_se-appl'!P24</f>
        <v>56.752733074632246</v>
      </c>
      <c r="Q8" s="34">
        <f>'SER_se-appl'!Q24</f>
        <v>59.133629616158849</v>
      </c>
      <c r="R8" s="34">
        <f>'SER_se-appl'!R24</f>
        <v>63.208881640701421</v>
      </c>
      <c r="S8" s="34">
        <f>'SER_se-appl'!S24</f>
        <v>67.737602373943105</v>
      </c>
      <c r="T8" s="34">
        <f>'SER_se-appl'!T24</f>
        <v>72.352904355196245</v>
      </c>
      <c r="U8" s="34">
        <f>'SER_se-appl'!U24</f>
        <v>76.910533804636444</v>
      </c>
      <c r="V8" s="34">
        <f>'SER_se-appl'!V24</f>
        <v>81.313533749352985</v>
      </c>
      <c r="W8" s="34">
        <f>'SER_se-appl'!W24</f>
        <v>85.544176625959537</v>
      </c>
      <c r="X8" s="34">
        <f>'SER_se-appl'!X24</f>
        <v>89.282349356915972</v>
      </c>
      <c r="Y8" s="34">
        <f>'SER_se-appl'!Y24</f>
        <v>92.553486189040584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1.9417068752941589</v>
      </c>
      <c r="D9" s="36">
        <f>'SER_se-appl'!D32</f>
        <v>1.9190698705601683</v>
      </c>
      <c r="E9" s="36">
        <f>'SER_se-appl'!E32</f>
        <v>2.7895623319421397</v>
      </c>
      <c r="F9" s="36">
        <f>'SER_se-appl'!F32</f>
        <v>3.5182071683238831</v>
      </c>
      <c r="G9" s="36">
        <f>'SER_se-appl'!G32</f>
        <v>4.0531634827840328</v>
      </c>
      <c r="H9" s="36">
        <f>'SER_se-appl'!H32</f>
        <v>4.4222709633539736</v>
      </c>
      <c r="I9" s="36">
        <f>'SER_se-appl'!I32</f>
        <v>4.8568850833186872</v>
      </c>
      <c r="J9" s="36">
        <f>'SER_se-appl'!J32</f>
        <v>4.7927007309808189</v>
      </c>
      <c r="K9" s="36">
        <f>'SER_se-appl'!K32</f>
        <v>4.5768592524635636</v>
      </c>
      <c r="L9" s="36">
        <f>'SER_se-appl'!L32</f>
        <v>3.6383390279489873</v>
      </c>
      <c r="M9" s="36">
        <f>'SER_se-appl'!M32</f>
        <v>4.5823286201928894</v>
      </c>
      <c r="N9" s="36">
        <f>'SER_se-appl'!N32</f>
        <v>4.270044192728399</v>
      </c>
      <c r="O9" s="36">
        <f>'SER_se-appl'!O32</f>
        <v>3.893697351089024</v>
      </c>
      <c r="P9" s="36">
        <f>'SER_se-appl'!P32</f>
        <v>4.9631052257202555</v>
      </c>
      <c r="Q9" s="36">
        <f>'SER_se-appl'!Q32</f>
        <v>4.9156894394578643</v>
      </c>
      <c r="R9" s="36">
        <f>'SER_se-appl'!R32</f>
        <v>6.0169588998367303</v>
      </c>
      <c r="S9" s="36">
        <f>'SER_se-appl'!S32</f>
        <v>6.4477906038018489</v>
      </c>
      <c r="T9" s="36">
        <f>'SER_se-appl'!T32</f>
        <v>7.4048643131952758</v>
      </c>
      <c r="U9" s="36">
        <f>'SER_se-appl'!U32</f>
        <v>8.0758366177640823</v>
      </c>
      <c r="V9" s="36">
        <f>'SER_se-appl'!V32</f>
        <v>8.4561634275005702</v>
      </c>
      <c r="W9" s="36">
        <f>'SER_se-appl'!W32</f>
        <v>8.652913839960533</v>
      </c>
      <c r="X9" s="36">
        <f>'SER_se-appl'!X32</f>
        <v>8.5950578142751226</v>
      </c>
      <c r="Y9" s="36">
        <f>'SER_se-appl'!Y32</f>
        <v>8.0638375631054231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0.56960026578866518</v>
      </c>
      <c r="D10" s="38">
        <f>'SER_se-appl'!D40</f>
        <v>0.63369822448281354</v>
      </c>
      <c r="E10" s="38">
        <f>'SER_se-appl'!E40</f>
        <v>0.70500922108358921</v>
      </c>
      <c r="F10" s="38">
        <f>'SER_se-appl'!F40</f>
        <v>0.78434494939375909</v>
      </c>
      <c r="G10" s="38">
        <f>'SER_se-appl'!G40</f>
        <v>0.87260844431786566</v>
      </c>
      <c r="H10" s="38">
        <f>'SER_se-appl'!H40</f>
        <v>0.97080436061121134</v>
      </c>
      <c r="I10" s="38">
        <f>'SER_se-appl'!I40</f>
        <v>1.0800504083116991</v>
      </c>
      <c r="J10" s="38">
        <f>'SER_se-appl'!J40</f>
        <v>1.2015900750176272</v>
      </c>
      <c r="K10" s="38">
        <f>'SER_se-appl'!K40</f>
        <v>1.3368067798222469</v>
      </c>
      <c r="L10" s="38">
        <f>'SER_se-appl'!L40</f>
        <v>1.4872396200114366</v>
      </c>
      <c r="M10" s="38">
        <f>'SER_se-appl'!M40</f>
        <v>1.654600889760502</v>
      </c>
      <c r="N10" s="38">
        <f>'SER_se-appl'!N40</f>
        <v>1.8407955702358123</v>
      </c>
      <c r="O10" s="38">
        <f>'SER_se-appl'!O40</f>
        <v>2.0479430129463196</v>
      </c>
      <c r="P10" s="38">
        <f>'SER_se-appl'!P40</f>
        <v>2.2784010631546607</v>
      </c>
      <c r="Q10" s="38">
        <f>'SER_se-appl'!Q40</f>
        <v>2.5347928979312613</v>
      </c>
      <c r="R10" s="38">
        <f>'SER_se-appl'!R40</f>
        <v>1.9417068752941589</v>
      </c>
      <c r="S10" s="38">
        <f>'SER_se-appl'!S40</f>
        <v>1.9190698705601648</v>
      </c>
      <c r="T10" s="38">
        <f>'SER_se-appl'!T40</f>
        <v>2.7895623319421361</v>
      </c>
      <c r="U10" s="38">
        <f>'SER_se-appl'!U40</f>
        <v>3.5182071683238831</v>
      </c>
      <c r="V10" s="38">
        <f>'SER_se-appl'!V40</f>
        <v>4.0531634827840293</v>
      </c>
      <c r="W10" s="38">
        <f>'SER_se-appl'!W40</f>
        <v>4.4222709633539807</v>
      </c>
      <c r="X10" s="38">
        <f>'SER_se-appl'!X40</f>
        <v>4.8568850833186872</v>
      </c>
      <c r="Y10" s="38">
        <f>'SER_se-appl'!Y40</f>
        <v>4.7927007309808118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829.43442325577132</v>
      </c>
      <c r="C12" s="204">
        <f>'SER_se-appl'!C48</f>
        <v>833.39653369473399</v>
      </c>
      <c r="D12" s="204">
        <f>'SER_se-appl'!D48</f>
        <v>837.03018117896488</v>
      </c>
      <c r="E12" s="204">
        <f>'SER_se-appl'!E48</f>
        <v>840.38680162873004</v>
      </c>
      <c r="F12" s="204">
        <f>'SER_se-appl'!F48</f>
        <v>843.50654609229719</v>
      </c>
      <c r="G12" s="204">
        <f>'SER_se-appl'!G48</f>
        <v>846.42136768619469</v>
      </c>
      <c r="H12" s="204">
        <f>'SER_se-appl'!H48</f>
        <v>849.15711851153276</v>
      </c>
      <c r="I12" s="204">
        <f>'SER_se-appl'!I48</f>
        <v>851.7350150964088</v>
      </c>
      <c r="J12" s="204">
        <f>'SER_se-appl'!J48</f>
        <v>854.17268789873901</v>
      </c>
      <c r="K12" s="204">
        <f>'SER_se-appl'!K48</f>
        <v>856.48494911499392</v>
      </c>
      <c r="L12" s="204">
        <f>'SER_se-appl'!L48</f>
        <v>858.6843650233028</v>
      </c>
      <c r="M12" s="204">
        <f>'SER_se-appl'!M48</f>
        <v>860.08201294440653</v>
      </c>
      <c r="N12" s="204">
        <f>'SER_se-appl'!N48</f>
        <v>861.41674849858043</v>
      </c>
      <c r="O12" s="204">
        <f>'SER_se-appl'!O48</f>
        <v>862.69407768306905</v>
      </c>
      <c r="P12" s="204">
        <f>'SER_se-appl'!P48</f>
        <v>863.918810457159</v>
      </c>
      <c r="Q12" s="204">
        <f>'SER_se-appl'!Q48</f>
        <v>865.09517359868971</v>
      </c>
      <c r="R12" s="204">
        <f>'SER_se-appl'!R48</f>
        <v>885.19885916999169</v>
      </c>
      <c r="S12" s="204">
        <f>'SER_se-appl'!S48</f>
        <v>878.54712805257088</v>
      </c>
      <c r="T12" s="204">
        <f>'SER_se-appl'!T48</f>
        <v>871.03609046507449</v>
      </c>
      <c r="U12" s="204">
        <f>'SER_se-appl'!U48</f>
        <v>854.5106063640095</v>
      </c>
      <c r="V12" s="204">
        <f>'SER_se-appl'!V48</f>
        <v>835.35151006105139</v>
      </c>
      <c r="W12" s="204">
        <f>'SER_se-appl'!W48</f>
        <v>897.58842328080834</v>
      </c>
      <c r="X12" s="204">
        <f>'SER_se-appl'!X48</f>
        <v>879.73031972027718</v>
      </c>
      <c r="Y12" s="204">
        <f>'SER_se-appl'!Y48</f>
        <v>870.8012679400116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53.304159899049289</v>
      </c>
      <c r="C14" s="59">
        <f>'SER_se-appl'!C56</f>
        <v>53.006389473121907</v>
      </c>
      <c r="D14" s="59">
        <f>'SER_se-appl'!D56</f>
        <v>52.701491496282493</v>
      </c>
      <c r="E14" s="59">
        <f>'SER_se-appl'!E56</f>
        <v>52.253934309066572</v>
      </c>
      <c r="F14" s="59">
        <f>'SER_se-appl'!F56</f>
        <v>51.706420942891135</v>
      </c>
      <c r="G14" s="59">
        <f>'SER_se-appl'!G56</f>
        <v>51.102714130122536</v>
      </c>
      <c r="H14" s="59">
        <f>'SER_se-appl'!H56</f>
        <v>50.449151541691251</v>
      </c>
      <c r="I14" s="59">
        <f>'SER_se-appl'!I56</f>
        <v>49.756978721041193</v>
      </c>
      <c r="J14" s="59">
        <f>'SER_se-appl'!J56</f>
        <v>49.073295216463784</v>
      </c>
      <c r="K14" s="59">
        <f>'SER_se-appl'!K56</f>
        <v>48.40616347087164</v>
      </c>
      <c r="L14" s="59">
        <f>'SER_se-appl'!L56</f>
        <v>47.806296946199069</v>
      </c>
      <c r="M14" s="59">
        <f>'SER_se-appl'!M56</f>
        <v>47.025628060712101</v>
      </c>
      <c r="N14" s="59">
        <f>'SER_se-appl'!N56</f>
        <v>46.229243919844414</v>
      </c>
      <c r="O14" s="59">
        <f>'SER_se-appl'!O56</f>
        <v>45.423734228219452</v>
      </c>
      <c r="P14" s="59">
        <f>'SER_se-appl'!P56</f>
        <v>44.423340064163234</v>
      </c>
      <c r="Q14" s="59">
        <f>'SER_se-appl'!Q56</f>
        <v>43.383505698193105</v>
      </c>
      <c r="R14" s="59">
        <f>'SER_se-appl'!R56</f>
        <v>42.48081305962792</v>
      </c>
      <c r="S14" s="59">
        <f>'SER_se-appl'!S56</f>
        <v>41.618257003896588</v>
      </c>
      <c r="T14" s="59">
        <f>'SER_se-appl'!T56</f>
        <v>40.661216807957302</v>
      </c>
      <c r="U14" s="59">
        <f>'SER_se-appl'!U56</f>
        <v>39.670214284969383</v>
      </c>
      <c r="V14" s="59">
        <f>'SER_se-appl'!V56</f>
        <v>38.693798687320268</v>
      </c>
      <c r="W14" s="59">
        <f>'SER_se-appl'!W56</f>
        <v>37.781388015149901</v>
      </c>
      <c r="X14" s="59">
        <f>'SER_se-appl'!X56</f>
        <v>36.924447248089869</v>
      </c>
      <c r="Y14" s="59">
        <f>'SER_se-appl'!Y56</f>
        <v>36.178836186116378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50.026903725174542</v>
      </c>
      <c r="D15" s="63">
        <f>'SER_se-appl'!D64</f>
        <v>49.505214173600301</v>
      </c>
      <c r="E15" s="63">
        <f>'SER_se-appl'!E64</f>
        <v>48.884469789670874</v>
      </c>
      <c r="F15" s="63">
        <f>'SER_se-appl'!F64</f>
        <v>48.212460737071027</v>
      </c>
      <c r="G15" s="63">
        <f>'SER_se-appl'!G64</f>
        <v>47.484466518238101</v>
      </c>
      <c r="H15" s="63">
        <f>'SER_se-appl'!H64</f>
        <v>46.545471023995539</v>
      </c>
      <c r="I15" s="63">
        <f>'SER_se-appl'!I64</f>
        <v>45.685181563923237</v>
      </c>
      <c r="J15" s="63">
        <f>'SER_se-appl'!J64</f>
        <v>44.729973411519055</v>
      </c>
      <c r="K15" s="63">
        <f>'SER_se-appl'!K64</f>
        <v>43.791417059142603</v>
      </c>
      <c r="L15" s="63">
        <f>'SER_se-appl'!L64</f>
        <v>42.681455282625713</v>
      </c>
      <c r="M15" s="63">
        <f>'SER_se-appl'!M64</f>
        <v>41.308487729777823</v>
      </c>
      <c r="N15" s="63">
        <f>'SER_se-appl'!N64</f>
        <v>39.992563221182678</v>
      </c>
      <c r="O15" s="63">
        <f>'SER_se-appl'!O64</f>
        <v>38.765053992292671</v>
      </c>
      <c r="P15" s="63">
        <f>'SER_se-appl'!P64</f>
        <v>37.6019510964829</v>
      </c>
      <c r="Q15" s="63">
        <f>'SER_se-appl'!Q64</f>
        <v>36.494006509996737</v>
      </c>
      <c r="R15" s="63">
        <f>'SER_se-appl'!R64</f>
        <v>36.044472598616515</v>
      </c>
      <c r="S15" s="63">
        <f>'SER_se-appl'!S64</f>
        <v>35.509872879698825</v>
      </c>
      <c r="T15" s="63">
        <f>'SER_se-appl'!T64</f>
        <v>35.004349954914019</v>
      </c>
      <c r="U15" s="63">
        <f>'SER_se-appl'!U64</f>
        <v>34.513037384124573</v>
      </c>
      <c r="V15" s="63">
        <f>'SER_se-appl'!V64</f>
        <v>34.026595726169454</v>
      </c>
      <c r="W15" s="63">
        <f>'SER_se-appl'!W64</f>
        <v>33.686329768907761</v>
      </c>
      <c r="X15" s="63">
        <f>'SER_se-appl'!X64</f>
        <v>33.346063811646061</v>
      </c>
      <c r="Y15" s="63">
        <f>'SER_se-appl'!Y64</f>
        <v>33.005797854384369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116.91994499393194</v>
      </c>
      <c r="C3" s="198">
        <f>'SER_se-appl'!C9</f>
        <v>139.23951376841936</v>
      </c>
      <c r="D3" s="198">
        <f>'SER_se-appl'!D9</f>
        <v>161.30354876227926</v>
      </c>
      <c r="E3" s="198">
        <f>'SER_se-appl'!E9</f>
        <v>186.70894706581609</v>
      </c>
      <c r="F3" s="198">
        <f>'SER_se-appl'!F9</f>
        <v>218.47812730618591</v>
      </c>
      <c r="G3" s="198">
        <f>'SER_se-appl'!G9</f>
        <v>250.57231506136841</v>
      </c>
      <c r="H3" s="198">
        <f>'SER_se-appl'!H9</f>
        <v>284.34365883122808</v>
      </c>
      <c r="I3" s="198">
        <f>'SER_se-appl'!I9</f>
        <v>317.65800429576763</v>
      </c>
      <c r="J3" s="198">
        <f>'SER_se-appl'!J9</f>
        <v>350.94211263155245</v>
      </c>
      <c r="K3" s="198">
        <f>'SER_se-appl'!K9</f>
        <v>378.94108165117717</v>
      </c>
      <c r="L3" s="198">
        <f>'SER_se-appl'!L9</f>
        <v>398.52475436118891</v>
      </c>
      <c r="M3" s="198">
        <f>'SER_se-appl'!M9</f>
        <v>408.52268799151227</v>
      </c>
      <c r="N3" s="198">
        <f>'SER_se-appl'!N9</f>
        <v>420.62392434974953</v>
      </c>
      <c r="O3" s="198">
        <f>'SER_se-appl'!O9</f>
        <v>436.93975126026783</v>
      </c>
      <c r="P3" s="198">
        <f>'SER_se-appl'!P9</f>
        <v>463.26850220523278</v>
      </c>
      <c r="Q3" s="198">
        <f>'SER_se-appl'!Q9</f>
        <v>493.24119353886022</v>
      </c>
      <c r="R3" s="198">
        <f>'SER_se-appl'!R9</f>
        <v>515.72926179691103</v>
      </c>
      <c r="S3" s="198">
        <f>'SER_se-appl'!S9</f>
        <v>528.93802022975399</v>
      </c>
      <c r="T3" s="198">
        <f>'SER_se-appl'!T9</f>
        <v>541.17005941880188</v>
      </c>
      <c r="U3" s="198">
        <f>'SER_se-appl'!U9</f>
        <v>548.38973453164999</v>
      </c>
      <c r="V3" s="198">
        <f>'SER_se-appl'!V9</f>
        <v>551.39022749625485</v>
      </c>
      <c r="W3" s="198">
        <f>'SER_se-appl'!W9</f>
        <v>584.71284103989876</v>
      </c>
      <c r="X3" s="198">
        <f>'SER_se-appl'!X9</f>
        <v>581.95968492955865</v>
      </c>
      <c r="Y3" s="198">
        <f>'SER_se-appl'!Y9</f>
        <v>579.3812200252421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480.4652497400503</v>
      </c>
      <c r="C5" s="59">
        <f>'SER_se-appl'!C17</f>
        <v>561.49924754487756</v>
      </c>
      <c r="D5" s="59">
        <f>'SER_se-appl'!D17</f>
        <v>635.24114438792765</v>
      </c>
      <c r="E5" s="59">
        <f>'SER_se-appl'!E17</f>
        <v>732.9142435771048</v>
      </c>
      <c r="F5" s="59">
        <f>'SER_se-appl'!F17</f>
        <v>874.81776763010816</v>
      </c>
      <c r="G5" s="59">
        <f>'SER_se-appl'!G17</f>
        <v>1021.1278347602106</v>
      </c>
      <c r="H5" s="59">
        <f>'SER_se-appl'!H17</f>
        <v>1184.3766436024107</v>
      </c>
      <c r="I5" s="59">
        <f>'SER_se-appl'!I17</f>
        <v>1345.8697251748329</v>
      </c>
      <c r="J5" s="59">
        <f>'SER_se-appl'!J17</f>
        <v>1508.3472994479505</v>
      </c>
      <c r="K5" s="59">
        <f>'SER_se-appl'!K17</f>
        <v>1639.6383193422218</v>
      </c>
      <c r="L5" s="59">
        <f>'SER_se-appl'!L17</f>
        <v>1710.2682290172534</v>
      </c>
      <c r="M5" s="59">
        <f>'SER_se-appl'!M17</f>
        <v>1735.9590514416179</v>
      </c>
      <c r="N5" s="59">
        <f>'SER_se-appl'!N17</f>
        <v>1785.9810869218807</v>
      </c>
      <c r="O5" s="59">
        <f>'SER_se-appl'!O17</f>
        <v>1860.4888614753543</v>
      </c>
      <c r="P5" s="59">
        <f>'SER_se-appl'!P17</f>
        <v>1992.2155479003138</v>
      </c>
      <c r="Q5" s="59">
        <f>'SER_se-appl'!Q17</f>
        <v>2141.9052045979238</v>
      </c>
      <c r="R5" s="59">
        <f>'SER_se-appl'!R17</f>
        <v>2202.9419871345794</v>
      </c>
      <c r="S5" s="59">
        <f>'SER_se-appl'!S17</f>
        <v>2268.3050930851805</v>
      </c>
      <c r="T5" s="59">
        <f>'SER_se-appl'!T17</f>
        <v>2326.7247718002968</v>
      </c>
      <c r="U5" s="59">
        <f>'SER_se-appl'!U17</f>
        <v>2369.3868750810607</v>
      </c>
      <c r="V5" s="59">
        <f>'SER_se-appl'!V17</f>
        <v>2404.9419336625906</v>
      </c>
      <c r="W5" s="59">
        <f>'SER_se-appl'!W17</f>
        <v>2438.2913323719463</v>
      </c>
      <c r="X5" s="59">
        <f>'SER_se-appl'!X17</f>
        <v>2479.9549242927019</v>
      </c>
      <c r="Y5" s="59">
        <f>'SER_se-appl'!Y17</f>
        <v>2497.5937479735412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3.243489560095382E-2</v>
      </c>
      <c r="C6" s="201">
        <f>'SER_se-appl'!C73</f>
        <v>3.8930420187329694E-2</v>
      </c>
      <c r="D6" s="201">
        <f>'SER_se-appl'!D73</f>
        <v>4.5377914474763081E-2</v>
      </c>
      <c r="E6" s="201">
        <f>'SER_se-appl'!E73</f>
        <v>5.4175652038593695E-2</v>
      </c>
      <c r="F6" s="201">
        <f>'SER_se-appl'!F73</f>
        <v>6.7272954520560424E-2</v>
      </c>
      <c r="G6" s="201">
        <f>'SER_se-appl'!G73</f>
        <v>8.1632761167212936E-2</v>
      </c>
      <c r="H6" s="201">
        <f>'SER_se-appl'!H73</f>
        <v>9.9671223766860564E-2</v>
      </c>
      <c r="I6" s="201">
        <f>'SER_se-appl'!I73</f>
        <v>0.11916516151928153</v>
      </c>
      <c r="J6" s="201">
        <f>'SER_se-appl'!J73</f>
        <v>0.14157475897215113</v>
      </c>
      <c r="K6" s="201">
        <f>'SER_se-appl'!K73</f>
        <v>0.16409701748272826</v>
      </c>
      <c r="L6" s="201">
        <f>'SER_se-appl'!L73</f>
        <v>0.18367959431008066</v>
      </c>
      <c r="M6" s="201">
        <f>'SER_se-appl'!M73</f>
        <v>0.20233637163338031</v>
      </c>
      <c r="N6" s="201">
        <f>'SER_se-appl'!N73</f>
        <v>0.22460896417519746</v>
      </c>
      <c r="O6" s="201">
        <f>'SER_se-appl'!O73</f>
        <v>0.25073862352434395</v>
      </c>
      <c r="P6" s="201">
        <f>'SER_se-appl'!P73</f>
        <v>0.28467459660579075</v>
      </c>
      <c r="Q6" s="201">
        <f>'SER_se-appl'!Q73</f>
        <v>0.31637505052500886</v>
      </c>
      <c r="R6" s="201">
        <f>'SER_se-appl'!R73</f>
        <v>0.33429119362009979</v>
      </c>
      <c r="S6" s="201">
        <f>'SER_se-appl'!S73</f>
        <v>0.35198648096780805</v>
      </c>
      <c r="T6" s="201">
        <f>'SER_se-appl'!T73</f>
        <v>0.36948141828312359</v>
      </c>
      <c r="U6" s="201">
        <f>'SER_se-appl'!U73</f>
        <v>0.38643236523204488</v>
      </c>
      <c r="V6" s="201">
        <f>'SER_se-appl'!V73</f>
        <v>0.402315835853712</v>
      </c>
      <c r="W6" s="201">
        <f>'SER_se-appl'!W73</f>
        <v>0.42689376270322632</v>
      </c>
      <c r="X6" s="201">
        <f>'SER_se-appl'!X73</f>
        <v>0.44580177794977865</v>
      </c>
      <c r="Y6" s="201">
        <f>'SER_se-appl'!Y73</f>
        <v>0.46032358338156659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1241.0662381526631</v>
      </c>
      <c r="C8" s="34">
        <f>'SER_se-appl'!C25</f>
        <v>1489.2425419772017</v>
      </c>
      <c r="D8" s="34">
        <f>'SER_se-appl'!D25</f>
        <v>1735.3511447930414</v>
      </c>
      <c r="E8" s="34">
        <f>'SER_se-appl'!E25</f>
        <v>2070.5138368822063</v>
      </c>
      <c r="F8" s="34">
        <f>'SER_se-appl'!F25</f>
        <v>2569.1950350965512</v>
      </c>
      <c r="G8" s="34">
        <f>'SER_se-appl'!G25</f>
        <v>3116.2355553915941</v>
      </c>
      <c r="H8" s="34">
        <f>'SER_se-appl'!H25</f>
        <v>3803.1603671894059</v>
      </c>
      <c r="I8" s="34">
        <f>'SER_se-appl'!I25</f>
        <v>4543.2288630349758</v>
      </c>
      <c r="J8" s="34">
        <f>'SER_se-appl'!J25</f>
        <v>5396.2126876440416</v>
      </c>
      <c r="K8" s="34">
        <f>'SER_se-appl'!K25</f>
        <v>6257.9835106911569</v>
      </c>
      <c r="L8" s="34">
        <f>'SER_se-appl'!L25</f>
        <v>6984.0251524253426</v>
      </c>
      <c r="M8" s="34">
        <f>'SER_se-appl'!M25</f>
        <v>7701.4722546245539</v>
      </c>
      <c r="N8" s="34">
        <f>'SER_se-appl'!N25</f>
        <v>8549.4688937001683</v>
      </c>
      <c r="O8" s="34">
        <f>'SER_se-appl'!O25</f>
        <v>9543.7476337471653</v>
      </c>
      <c r="P8" s="34">
        <f>'SER_se-appl'!P25</f>
        <v>10822.717820617043</v>
      </c>
      <c r="Q8" s="34">
        <f>'SER_se-appl'!Q25</f>
        <v>12024.028049483984</v>
      </c>
      <c r="R8" s="34">
        <f>'SER_se-appl'!R25</f>
        <v>12692.103615033797</v>
      </c>
      <c r="S8" s="34">
        <f>'SER_se-appl'!S25</f>
        <v>13365.96997027726</v>
      </c>
      <c r="T8" s="34">
        <f>'SER_se-appl'!T25</f>
        <v>14031.680174454263</v>
      </c>
      <c r="U8" s="34">
        <f>'SER_se-appl'!U25</f>
        <v>14673.923555671778</v>
      </c>
      <c r="V8" s="34">
        <f>'SER_se-appl'!V25</f>
        <v>15271.160016920549</v>
      </c>
      <c r="W8" s="34">
        <f>'SER_se-appl'!W25</f>
        <v>15826.384865769993</v>
      </c>
      <c r="X8" s="34">
        <f>'SER_se-appl'!X25</f>
        <v>16445.521041942404</v>
      </c>
      <c r="Y8" s="34">
        <f>'SER_se-appl'!Y25</f>
        <v>16918.611458180083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496.38955145507111</v>
      </c>
      <c r="D9" s="36">
        <f>'SER_se-appl'!D33</f>
        <v>494.32185044637231</v>
      </c>
      <c r="E9" s="36">
        <f>'SER_se-appl'!E33</f>
        <v>583.3759397196975</v>
      </c>
      <c r="F9" s="36">
        <f>'SER_se-appl'!F33</f>
        <v>746.89444584487751</v>
      </c>
      <c r="G9" s="36">
        <f>'SER_se-appl'!G33</f>
        <v>795.25376792557563</v>
      </c>
      <c r="H9" s="36">
        <f>'SER_se-appl'!H33</f>
        <v>1183.3143632528831</v>
      </c>
      <c r="I9" s="36">
        <f>'SER_se-appl'!I33</f>
        <v>1234.3903462919425</v>
      </c>
      <c r="J9" s="36">
        <f>'SER_se-appl'!J33</f>
        <v>1436.359764328763</v>
      </c>
      <c r="K9" s="36">
        <f>'SER_se-appl'!K33</f>
        <v>1608.665268891993</v>
      </c>
      <c r="L9" s="36">
        <f>'SER_se-appl'!L33</f>
        <v>1521.2954096597614</v>
      </c>
      <c r="M9" s="36">
        <f>'SER_se-appl'!M33</f>
        <v>1900.7614654520949</v>
      </c>
      <c r="N9" s="36">
        <f>'SER_se-appl'!N33</f>
        <v>2082.3869853675569</v>
      </c>
      <c r="O9" s="36">
        <f>'SER_se-appl'!O33</f>
        <v>2430.63850437576</v>
      </c>
      <c r="P9" s="36">
        <f>'SER_se-appl'!P33</f>
        <v>2887.6354557618706</v>
      </c>
      <c r="Q9" s="36">
        <f>'SER_se-appl'!Q33</f>
        <v>2722.605638526702</v>
      </c>
      <c r="R9" s="36">
        <f>'SER_se-appl'!R33</f>
        <v>2568.8370310019072</v>
      </c>
      <c r="S9" s="36">
        <f>'SER_se-appl'!S33</f>
        <v>2756.2533406110197</v>
      </c>
      <c r="T9" s="36">
        <f>'SER_se-appl'!T33</f>
        <v>3096.3487085527631</v>
      </c>
      <c r="U9" s="36">
        <f>'SER_se-appl'!U33</f>
        <v>3529.8788369793856</v>
      </c>
      <c r="V9" s="36">
        <f>'SER_se-appl'!V33</f>
        <v>3319.8420997754729</v>
      </c>
      <c r="W9" s="36">
        <f>'SER_se-appl'!W33</f>
        <v>3124.0618798513515</v>
      </c>
      <c r="X9" s="36">
        <f>'SER_se-appl'!X33</f>
        <v>3375.3895167834307</v>
      </c>
      <c r="Y9" s="36">
        <f>'SER_se-appl'!Y33</f>
        <v>3569.4391247904423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248.21324763053258</v>
      </c>
      <c r="D10" s="38">
        <f>'SER_se-appl'!D41</f>
        <v>248.21324763053258</v>
      </c>
      <c r="E10" s="38">
        <f>'SER_se-appl'!E41</f>
        <v>248.21324763053235</v>
      </c>
      <c r="F10" s="38">
        <f>'SER_se-appl'!F41</f>
        <v>248.21324763053281</v>
      </c>
      <c r="G10" s="38">
        <f>'SER_se-appl'!G41</f>
        <v>248.21324763053281</v>
      </c>
      <c r="H10" s="38">
        <f>'SER_se-appl'!H41</f>
        <v>496.3895514550718</v>
      </c>
      <c r="I10" s="38">
        <f>'SER_se-appl'!I41</f>
        <v>494.32185044637299</v>
      </c>
      <c r="J10" s="38">
        <f>'SER_se-appl'!J41</f>
        <v>583.37593971969727</v>
      </c>
      <c r="K10" s="38">
        <f>'SER_se-appl'!K41</f>
        <v>746.89444584487774</v>
      </c>
      <c r="L10" s="38">
        <f>'SER_se-appl'!L41</f>
        <v>795.25376792557563</v>
      </c>
      <c r="M10" s="38">
        <f>'SER_se-appl'!M41</f>
        <v>1183.3143632528845</v>
      </c>
      <c r="N10" s="38">
        <f>'SER_se-appl'!N41</f>
        <v>1234.3903462919425</v>
      </c>
      <c r="O10" s="38">
        <f>'SER_se-appl'!O41</f>
        <v>1436.359764328763</v>
      </c>
      <c r="P10" s="38">
        <f>'SER_se-appl'!P41</f>
        <v>1608.665268891993</v>
      </c>
      <c r="Q10" s="38">
        <f>'SER_se-appl'!Q41</f>
        <v>1521.2954096597605</v>
      </c>
      <c r="R10" s="38">
        <f>'SER_se-appl'!R41</f>
        <v>1900.7614654520949</v>
      </c>
      <c r="S10" s="38">
        <f>'SER_se-appl'!S41</f>
        <v>2082.3869853675569</v>
      </c>
      <c r="T10" s="38">
        <f>'SER_se-appl'!T41</f>
        <v>2430.63850437576</v>
      </c>
      <c r="U10" s="38">
        <f>'SER_se-appl'!U41</f>
        <v>2887.6354557618706</v>
      </c>
      <c r="V10" s="38">
        <f>'SER_se-appl'!V41</f>
        <v>2722.6056385267002</v>
      </c>
      <c r="W10" s="38">
        <f>'SER_se-appl'!W41</f>
        <v>2568.8370310019091</v>
      </c>
      <c r="X10" s="38">
        <f>'SER_se-appl'!X41</f>
        <v>2756.2533406110197</v>
      </c>
      <c r="Y10" s="38">
        <f>'SER_se-appl'!Y41</f>
        <v>3096.3487085527631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2830.1296733012841</v>
      </c>
      <c r="C12" s="204">
        <f>'SER_se-appl'!C49</f>
        <v>2883.9852452291857</v>
      </c>
      <c r="D12" s="204">
        <f>'SER_se-appl'!D49</f>
        <v>2953.1466730053312</v>
      </c>
      <c r="E12" s="204">
        <f>'SER_se-appl'!E49</f>
        <v>2962.7273223364509</v>
      </c>
      <c r="F12" s="204">
        <f>'SER_se-appl'!F49</f>
        <v>2904.4913290390436</v>
      </c>
      <c r="G12" s="204">
        <f>'SER_se-appl'!G49</f>
        <v>2853.8601387240024</v>
      </c>
      <c r="H12" s="204">
        <f>'SER_se-appl'!H49</f>
        <v>2792.1158105151708</v>
      </c>
      <c r="I12" s="204">
        <f>'SER_se-appl'!I49</f>
        <v>2744.9629937101586</v>
      </c>
      <c r="J12" s="204">
        <f>'SER_se-appl'!J49</f>
        <v>2705.9131351239553</v>
      </c>
      <c r="K12" s="204">
        <f>'SER_se-appl'!K49</f>
        <v>2687.839584873323</v>
      </c>
      <c r="L12" s="204">
        <f>'SER_se-appl'!L49</f>
        <v>2710.0093509214512</v>
      </c>
      <c r="M12" s="204">
        <f>'SER_se-appl'!M49</f>
        <v>2736.8841778818146</v>
      </c>
      <c r="N12" s="204">
        <f>'SER_se-appl'!N49</f>
        <v>2739.0302596197416</v>
      </c>
      <c r="O12" s="204">
        <f>'SER_se-appl'!O49</f>
        <v>2731.3301425127779</v>
      </c>
      <c r="P12" s="204">
        <f>'SER_se-appl'!P49</f>
        <v>2704.4326033522411</v>
      </c>
      <c r="Q12" s="204">
        <f>'SER_se-appl'!Q49</f>
        <v>2678.1741173899313</v>
      </c>
      <c r="R12" s="204">
        <f>'SER_se-appl'!R49</f>
        <v>2722.6914506721678</v>
      </c>
      <c r="S12" s="204">
        <f>'SER_se-appl'!S49</f>
        <v>2711.9584548060761</v>
      </c>
      <c r="T12" s="204">
        <f>'SER_se-appl'!T49</f>
        <v>2705.0074281758948</v>
      </c>
      <c r="U12" s="204">
        <f>'SER_se-appl'!U49</f>
        <v>2691.7396562285317</v>
      </c>
      <c r="V12" s="204">
        <f>'SER_se-appl'!V49</f>
        <v>2666.4545434638881</v>
      </c>
      <c r="W12" s="204">
        <f>'SER_se-appl'!W49</f>
        <v>2788.9244615731964</v>
      </c>
      <c r="X12" s="204">
        <f>'SER_se-appl'!X49</f>
        <v>2729.1589332661347</v>
      </c>
      <c r="Y12" s="204">
        <f>'SER_se-appl'!Y49</f>
        <v>2697.8781454592868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387.13908651259953</v>
      </c>
      <c r="C14" s="59">
        <f>'SER_se-appl'!C57</f>
        <v>377.03680342048233</v>
      </c>
      <c r="D14" s="59">
        <f>'SER_se-appl'!D57</f>
        <v>366.05913811390991</v>
      </c>
      <c r="E14" s="59">
        <f>'SER_se-appl'!E57</f>
        <v>353.97698412908557</v>
      </c>
      <c r="F14" s="59">
        <f>'SER_se-appl'!F57</f>
        <v>340.50266938852008</v>
      </c>
      <c r="G14" s="59">
        <f>'SER_se-appl'!G57</f>
        <v>327.67992554140955</v>
      </c>
      <c r="H14" s="59">
        <f>'SER_se-appl'!H57</f>
        <v>311.41906447602247</v>
      </c>
      <c r="I14" s="59">
        <f>'SER_se-appl'!I57</f>
        <v>296.23639172686592</v>
      </c>
      <c r="J14" s="59">
        <f>'SER_se-appl'!J57</f>
        <v>279.51961621188195</v>
      </c>
      <c r="K14" s="59">
        <f>'SER_se-appl'!K57</f>
        <v>262.00745280665234</v>
      </c>
      <c r="L14" s="59">
        <f>'SER_se-appl'!L57</f>
        <v>244.88288511150742</v>
      </c>
      <c r="M14" s="59">
        <f>'SER_se-appl'!M57</f>
        <v>225.40612937990073</v>
      </c>
      <c r="N14" s="59">
        <f>'SER_se-appl'!N57</f>
        <v>208.8996531980967</v>
      </c>
      <c r="O14" s="59">
        <f>'SER_se-appl'!O57</f>
        <v>194.94321653022061</v>
      </c>
      <c r="P14" s="59">
        <f>'SER_se-appl'!P57</f>
        <v>184.0771958504902</v>
      </c>
      <c r="Q14" s="59">
        <f>'SER_se-appl'!Q57</f>
        <v>178.13541317294619</v>
      </c>
      <c r="R14" s="59">
        <f>'SER_se-appl'!R57</f>
        <v>173.56791702560596</v>
      </c>
      <c r="S14" s="59">
        <f>'SER_se-appl'!S57</f>
        <v>169.70748087339354</v>
      </c>
      <c r="T14" s="59">
        <f>'SER_se-appl'!T57</f>
        <v>165.8193988797062</v>
      </c>
      <c r="U14" s="59">
        <f>'SER_se-appl'!U57</f>
        <v>161.46921210893476</v>
      </c>
      <c r="V14" s="59">
        <f>'SER_se-appl'!V57</f>
        <v>157.48259667228282</v>
      </c>
      <c r="W14" s="59">
        <f>'SER_se-appl'!W57</f>
        <v>154.06495880468515</v>
      </c>
      <c r="X14" s="59">
        <f>'SER_se-appl'!X57</f>
        <v>150.79819714850402</v>
      </c>
      <c r="Y14" s="59">
        <f>'SER_se-appl'!Y57</f>
        <v>147.62403842343483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356.83073351085505</v>
      </c>
      <c r="D15" s="63">
        <f>'SER_se-appl'!D65</f>
        <v>343.57159538405864</v>
      </c>
      <c r="E15" s="63">
        <f>'SER_se-appl'!E65</f>
        <v>332.14628157323165</v>
      </c>
      <c r="F15" s="63">
        <f>'SER_se-appl'!F65</f>
        <v>318.64820434137084</v>
      </c>
      <c r="G15" s="63">
        <f>'SER_se-appl'!G65</f>
        <v>304.81228364427932</v>
      </c>
      <c r="H15" s="63">
        <f>'SER_se-appl'!H65</f>
        <v>287.64618022497291</v>
      </c>
      <c r="I15" s="63">
        <f>'SER_se-appl'!I65</f>
        <v>268.41430618667545</v>
      </c>
      <c r="J15" s="63">
        <f>'SER_se-appl'!J65</f>
        <v>248.018450709516</v>
      </c>
      <c r="K15" s="63">
        <f>'SER_se-appl'!K65</f>
        <v>229.56148866795655</v>
      </c>
      <c r="L15" s="63">
        <f>'SER_se-appl'!L65</f>
        <v>205.76741687740568</v>
      </c>
      <c r="M15" s="63">
        <f>'SER_se-appl'!M65</f>
        <v>192.58948883011686</v>
      </c>
      <c r="N15" s="63">
        <f>'SER_se-appl'!N65</f>
        <v>183.13121745544964</v>
      </c>
      <c r="O15" s="63">
        <f>'SER_se-appl'!O65</f>
        <v>177.21742545768041</v>
      </c>
      <c r="P15" s="63">
        <f>'SER_se-appl'!P65</f>
        <v>173.50329984366297</v>
      </c>
      <c r="Q15" s="63">
        <f>'SER_se-appl'!Q65</f>
        <v>169.95582353276441</v>
      </c>
      <c r="R15" s="63">
        <f>'SER_se-appl'!R65</f>
        <v>166.26335435124054</v>
      </c>
      <c r="S15" s="63">
        <f>'SER_se-appl'!S65</f>
        <v>162.07260893344278</v>
      </c>
      <c r="T15" s="63">
        <f>'SER_se-appl'!T65</f>
        <v>157.98323209776163</v>
      </c>
      <c r="U15" s="63">
        <f>'SER_se-appl'!U65</f>
        <v>154.02125928669184</v>
      </c>
      <c r="V15" s="63">
        <f>'SER_se-appl'!V65</f>
        <v>150.09079560319546</v>
      </c>
      <c r="W15" s="63">
        <f>'SER_se-appl'!W65</f>
        <v>147.38916128233794</v>
      </c>
      <c r="X15" s="63">
        <f>'SER_se-appl'!X65</f>
        <v>144.68752696148042</v>
      </c>
      <c r="Y15" s="63">
        <f>'SER_se-appl'!Y65</f>
        <v>141.98589264062289</v>
      </c>
      <c r="DA15" s="105" t="s">
        <v>957</v>
      </c>
    </row>
    <row r="17" spans="1:105" ht="12" customHeight="1" x14ac:dyDescent="0.25">
      <c r="A17" s="197" t="s">
        <v>184</v>
      </c>
      <c r="B17" s="198">
        <v>68.871588373350761</v>
      </c>
      <c r="C17" s="198">
        <v>83.253737058756073</v>
      </c>
      <c r="D17" s="198">
        <v>97.717307526755278</v>
      </c>
      <c r="E17" s="198">
        <v>111.83168224288218</v>
      </c>
      <c r="F17" s="198">
        <v>125.33568571228108</v>
      </c>
      <c r="G17" s="198">
        <v>137.74317674670144</v>
      </c>
      <c r="H17" s="198">
        <v>148.35009345938201</v>
      </c>
      <c r="I17" s="198">
        <v>157.8688870773625</v>
      </c>
      <c r="J17" s="198">
        <v>166.74663441420216</v>
      </c>
      <c r="K17" s="198">
        <v>175.23366548495343</v>
      </c>
      <c r="L17" s="198">
        <v>183.65756899560202</v>
      </c>
      <c r="M17" s="198">
        <v>187.78975986697267</v>
      </c>
      <c r="N17" s="198">
        <v>190.06264618520478</v>
      </c>
      <c r="O17" s="198">
        <v>192.33553250343726</v>
      </c>
      <c r="P17" s="198">
        <v>194.60841882166972</v>
      </c>
      <c r="Q17" s="198">
        <v>196.88130513990203</v>
      </c>
      <c r="R17" s="198">
        <v>199.15419145813436</v>
      </c>
      <c r="S17" s="198">
        <v>201.42707777636645</v>
      </c>
      <c r="T17" s="198">
        <v>203.69996409459901</v>
      </c>
      <c r="U17" s="198">
        <v>205.97285041283132</v>
      </c>
      <c r="V17" s="198">
        <v>208.24573673106363</v>
      </c>
      <c r="W17" s="198">
        <v>210.51862304929574</v>
      </c>
      <c r="X17" s="198">
        <v>212.79150936752811</v>
      </c>
      <c r="Y17" s="198">
        <v>213.20509113262221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10786.480823393091</v>
      </c>
      <c r="C3" s="219">
        <v>11371.11296208961</v>
      </c>
      <c r="D3" s="219">
        <v>9859.6059353444489</v>
      </c>
      <c r="E3" s="219">
        <v>9774.6545857672809</v>
      </c>
      <c r="F3" s="219">
        <v>12711.17969755201</v>
      </c>
      <c r="G3" s="219">
        <v>11746.59666622216</v>
      </c>
      <c r="H3" s="219">
        <v>11570.241211981031</v>
      </c>
      <c r="I3" s="219">
        <v>13985.769990214199</v>
      </c>
      <c r="J3" s="219">
        <v>12444.632233182811</v>
      </c>
      <c r="K3" s="219">
        <v>12507.680696944641</v>
      </c>
      <c r="L3" s="219">
        <v>14455.506488811319</v>
      </c>
      <c r="M3" s="219">
        <v>16558.594439532779</v>
      </c>
      <c r="N3" s="219">
        <v>15673.11720903561</v>
      </c>
      <c r="O3" s="219">
        <v>17022.0966699044</v>
      </c>
      <c r="P3" s="219">
        <v>16281.392826148671</v>
      </c>
      <c r="Q3" s="219">
        <v>14204.857016</v>
      </c>
      <c r="R3" s="219">
        <v>15514.30467866216</v>
      </c>
      <c r="S3" s="219">
        <v>18640.511077334999</v>
      </c>
      <c r="T3" s="219">
        <v>16054.064743366011</v>
      </c>
      <c r="U3" s="219">
        <v>16398.250860368629</v>
      </c>
      <c r="V3" s="219">
        <v>17362.51445872301</v>
      </c>
      <c r="W3" s="219">
        <v>16380.38339688337</v>
      </c>
      <c r="X3" s="219">
        <v>21096.0747819961</v>
      </c>
      <c r="Y3" s="219">
        <v>20793.7</v>
      </c>
      <c r="DA3" s="210" t="s">
        <v>974</v>
      </c>
    </row>
    <row r="5" spans="1:105" x14ac:dyDescent="0.25">
      <c r="A5" s="218" t="s">
        <v>120</v>
      </c>
      <c r="B5" s="219">
        <v>41685.150638363681</v>
      </c>
      <c r="C5" s="219">
        <v>42108.960225062088</v>
      </c>
      <c r="D5" s="219">
        <v>38564.894703655023</v>
      </c>
      <c r="E5" s="219">
        <v>35183.337551582074</v>
      </c>
      <c r="F5" s="219">
        <v>36714.692262564611</v>
      </c>
      <c r="G5" s="219">
        <v>33076.964140270669</v>
      </c>
      <c r="H5" s="219">
        <v>29397.788186621761</v>
      </c>
      <c r="I5" s="219">
        <v>29806.772239675989</v>
      </c>
      <c r="J5" s="219">
        <v>29489.591198882179</v>
      </c>
      <c r="K5" s="219">
        <v>25932.335091601079</v>
      </c>
      <c r="L5" s="219">
        <v>29043.026575089581</v>
      </c>
      <c r="M5" s="219">
        <v>31724.280092155161</v>
      </c>
      <c r="N5" s="219">
        <v>30998.539873412319</v>
      </c>
      <c r="O5" s="219">
        <v>30369.838511663838</v>
      </c>
      <c r="P5" s="219">
        <v>29961.608848230961</v>
      </c>
      <c r="Q5" s="219">
        <v>28541.914946943249</v>
      </c>
      <c r="R5" s="219">
        <v>29874.96770699654</v>
      </c>
      <c r="S5" s="219">
        <v>35529.860706533596</v>
      </c>
      <c r="T5" s="219">
        <v>34068.889913728541</v>
      </c>
      <c r="U5" s="219">
        <v>33367.464559769171</v>
      </c>
      <c r="V5" s="219">
        <v>31970.954300486599</v>
      </c>
      <c r="W5" s="219">
        <v>33181.594997887347</v>
      </c>
      <c r="X5" s="219">
        <v>33402.102161637762</v>
      </c>
      <c r="Y5" s="219">
        <v>35304.612717535398</v>
      </c>
      <c r="DA5" s="210" t="s">
        <v>975</v>
      </c>
    </row>
    <row r="6" spans="1:105" x14ac:dyDescent="0.25">
      <c r="A6" s="220" t="s">
        <v>119</v>
      </c>
      <c r="B6" s="221">
        <v>52106.438297954599</v>
      </c>
      <c r="C6" s="221">
        <v>49501.116383056869</v>
      </c>
      <c r="D6" s="221">
        <v>46895.79446815914</v>
      </c>
      <c r="E6" s="221">
        <v>46895.79446815914</v>
      </c>
      <c r="F6" s="221">
        <v>44290.47255326141</v>
      </c>
      <c r="G6" s="221">
        <v>41685.150638363681</v>
      </c>
      <c r="H6" s="221">
        <v>41685.150638363681</v>
      </c>
      <c r="I6" s="221">
        <v>39079.828723465951</v>
      </c>
      <c r="J6" s="221">
        <v>36474.506808568221</v>
      </c>
      <c r="K6" s="221">
        <v>36474.506808568221</v>
      </c>
      <c r="L6" s="221">
        <v>33869.184893670492</v>
      </c>
      <c r="M6" s="221">
        <v>33869.184893670492</v>
      </c>
      <c r="N6" s="221">
        <v>33869.184893670492</v>
      </c>
      <c r="O6" s="221">
        <v>33869.184893670492</v>
      </c>
      <c r="P6" s="221">
        <v>33869.184893670492</v>
      </c>
      <c r="Q6" s="221">
        <v>33869.184893670492</v>
      </c>
      <c r="R6" s="221">
        <v>33869.184893670492</v>
      </c>
      <c r="S6" s="221">
        <v>39079.828723465951</v>
      </c>
      <c r="T6" s="221">
        <v>39079.828723465951</v>
      </c>
      <c r="U6" s="221">
        <v>36474.506808568221</v>
      </c>
      <c r="V6" s="221">
        <v>33869.184893670492</v>
      </c>
      <c r="W6" s="221">
        <v>36474.506808568221</v>
      </c>
      <c r="X6" s="221">
        <v>36474.506808568221</v>
      </c>
      <c r="Y6" s="221">
        <v>39079.828723465951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2605.32191489773</v>
      </c>
      <c r="N7" s="225">
        <v>0</v>
      </c>
      <c r="O7" s="225">
        <v>2605.32191489773</v>
      </c>
      <c r="P7" s="225">
        <v>2605.32191489773</v>
      </c>
      <c r="Q7" s="225">
        <v>0</v>
      </c>
      <c r="R7" s="225">
        <v>2605.32191489773</v>
      </c>
      <c r="S7" s="225">
        <v>7815.9657446931906</v>
      </c>
      <c r="T7" s="225">
        <v>0</v>
      </c>
      <c r="U7" s="225">
        <v>0</v>
      </c>
      <c r="V7" s="225">
        <v>0</v>
      </c>
      <c r="W7" s="225">
        <v>2605.32191489773</v>
      </c>
      <c r="X7" s="225">
        <v>2605.32191489773</v>
      </c>
      <c r="Y7" s="225">
        <v>5210.6438297954601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2605.3219148977296</v>
      </c>
      <c r="D8" s="227">
        <f t="shared" ref="D8" si="1">IF(C6=0,0,C6+D7-D6)</f>
        <v>2605.3219148977296</v>
      </c>
      <c r="E8" s="227">
        <f t="shared" ref="E8" si="2">IF(D6=0,0,D6+E7-E6)</f>
        <v>0</v>
      </c>
      <c r="F8" s="227">
        <f t="shared" ref="F8" si="3">IF(E6=0,0,E6+F7-F6)</f>
        <v>2605.3219148977296</v>
      </c>
      <c r="G8" s="227">
        <f t="shared" ref="G8" si="4">IF(F6=0,0,F6+G7-G6)</f>
        <v>2605.3219148977296</v>
      </c>
      <c r="H8" s="227">
        <f t="shared" ref="H8" si="5">IF(G6=0,0,G6+H7-H6)</f>
        <v>0</v>
      </c>
      <c r="I8" s="227">
        <f t="shared" ref="I8" si="6">IF(H6=0,0,H6+I7-I6)</f>
        <v>2605.3219148977296</v>
      </c>
      <c r="J8" s="227">
        <f t="shared" ref="J8" si="7">IF(I6=0,0,I6+J7-J6)</f>
        <v>2605.3219148977296</v>
      </c>
      <c r="K8" s="227">
        <f t="shared" ref="K8" si="8">IF(J6=0,0,J6+K7-K6)</f>
        <v>0</v>
      </c>
      <c r="L8" s="227">
        <f t="shared" ref="L8" si="9">IF(K6=0,0,K6+L7-L6)</f>
        <v>2605.3219148977296</v>
      </c>
      <c r="M8" s="227">
        <f t="shared" ref="M8" si="10">IF(L6=0,0,L6+M7-M6)</f>
        <v>2605.3219148977296</v>
      </c>
      <c r="N8" s="227">
        <f t="shared" ref="N8" si="11">IF(M6=0,0,M6+N7-N6)</f>
        <v>0</v>
      </c>
      <c r="O8" s="227">
        <f t="shared" ref="O8" si="12">IF(N6=0,0,N6+O7-O6)</f>
        <v>2605.3219148977296</v>
      </c>
      <c r="P8" s="227">
        <f t="shared" ref="P8" si="13">IF(O6=0,0,O6+P7-P6)</f>
        <v>2605.3219148977296</v>
      </c>
      <c r="Q8" s="227">
        <f t="shared" ref="Q8" si="14">IF(P6=0,0,P6+Q7-Q6)</f>
        <v>0</v>
      </c>
      <c r="R8" s="227">
        <f t="shared" ref="R8" si="15">IF(Q6=0,0,Q6+R7-R6)</f>
        <v>2605.3219148977296</v>
      </c>
      <c r="S8" s="227">
        <f t="shared" ref="S8" si="16">IF(R6=0,0,R6+S7-S6)</f>
        <v>2605.3219148977296</v>
      </c>
      <c r="T8" s="227">
        <f t="shared" ref="T8" si="17">IF(S6=0,0,S6+T7-T6)</f>
        <v>0</v>
      </c>
      <c r="U8" s="227">
        <f t="shared" ref="U8" si="18">IF(T6=0,0,T6+U7-U6)</f>
        <v>2605.3219148977296</v>
      </c>
      <c r="V8" s="227">
        <f t="shared" ref="V8" si="19">IF(U6=0,0,U6+V7-V6)</f>
        <v>2605.3219148977296</v>
      </c>
      <c r="W8" s="227">
        <f t="shared" ref="W8" si="20">IF(V6=0,0,V6+W7-W6)</f>
        <v>0</v>
      </c>
      <c r="X8" s="227">
        <f t="shared" ref="X8" si="21">IF(W6=0,0,W6+X7-X6)</f>
        <v>2605.3219148977296</v>
      </c>
      <c r="Y8" s="227">
        <f t="shared" ref="Y8" si="22">IF(X6=0,0,X6+Y7-Y6)</f>
        <v>2605.3219148977296</v>
      </c>
      <c r="DA8" s="213" t="s">
        <v>978</v>
      </c>
    </row>
    <row r="9" spans="1:105" x14ac:dyDescent="0.25">
      <c r="A9" s="222" t="s">
        <v>116</v>
      </c>
      <c r="B9" s="223">
        <f>B6-B5</f>
        <v>10421.287659590918</v>
      </c>
      <c r="C9" s="223">
        <f t="shared" ref="C9:W9" si="23">C6-C5</f>
        <v>7392.1561579947811</v>
      </c>
      <c r="D9" s="223">
        <f t="shared" si="23"/>
        <v>8330.8997645041163</v>
      </c>
      <c r="E9" s="223">
        <f t="shared" si="23"/>
        <v>11712.456916577066</v>
      </c>
      <c r="F9" s="223">
        <f t="shared" si="23"/>
        <v>7575.7802906967991</v>
      </c>
      <c r="G9" s="223">
        <f t="shared" si="23"/>
        <v>8608.1864980930113</v>
      </c>
      <c r="H9" s="223">
        <f t="shared" si="23"/>
        <v>12287.362451741919</v>
      </c>
      <c r="I9" s="223">
        <f t="shared" si="23"/>
        <v>9273.0564837899619</v>
      </c>
      <c r="J9" s="223">
        <f t="shared" si="23"/>
        <v>6984.9156096860424</v>
      </c>
      <c r="K9" s="223">
        <f t="shared" si="23"/>
        <v>10542.171716967143</v>
      </c>
      <c r="L9" s="223">
        <f t="shared" si="23"/>
        <v>4826.1583185809104</v>
      </c>
      <c r="M9" s="223">
        <f t="shared" si="23"/>
        <v>2144.9048015153312</v>
      </c>
      <c r="N9" s="223">
        <f t="shared" si="23"/>
        <v>2870.6450202581727</v>
      </c>
      <c r="O9" s="223">
        <f t="shared" si="23"/>
        <v>3499.3463820066536</v>
      </c>
      <c r="P9" s="223">
        <f t="shared" si="23"/>
        <v>3907.5760454395313</v>
      </c>
      <c r="Q9" s="223">
        <f t="shared" si="23"/>
        <v>5327.2699467272432</v>
      </c>
      <c r="R9" s="223">
        <f t="shared" si="23"/>
        <v>3994.2171866739518</v>
      </c>
      <c r="S9" s="223">
        <f t="shared" si="23"/>
        <v>3549.9680169323547</v>
      </c>
      <c r="T9" s="223">
        <f t="shared" si="23"/>
        <v>5010.9388097374103</v>
      </c>
      <c r="U9" s="223">
        <f t="shared" si="23"/>
        <v>3107.0422487990509</v>
      </c>
      <c r="V9" s="223">
        <f t="shared" si="23"/>
        <v>1898.2305931838928</v>
      </c>
      <c r="W9" s="223">
        <f t="shared" si="23"/>
        <v>3292.9118106808746</v>
      </c>
      <c r="X9" s="223">
        <f t="shared" ref="X9:Y9" si="24">X6-X5</f>
        <v>3072.4046469304594</v>
      </c>
      <c r="Y9" s="223">
        <f t="shared" si="24"/>
        <v>3775.2160059305534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4688.4002579535691</v>
      </c>
      <c r="C12" s="229">
        <f t="shared" ref="C12:W12" si="25">SUM(C13,C14,C18,C19,C26,C27)</f>
        <v>4624.3817712811688</v>
      </c>
      <c r="D12" s="229">
        <f t="shared" si="25"/>
        <v>4389.0346517626831</v>
      </c>
      <c r="E12" s="229">
        <f t="shared" si="25"/>
        <v>4205.7412725709364</v>
      </c>
      <c r="F12" s="229">
        <f t="shared" si="25"/>
        <v>4306.8595872742908</v>
      </c>
      <c r="G12" s="229">
        <f t="shared" si="25"/>
        <v>4442.0389509888219</v>
      </c>
      <c r="H12" s="229">
        <f t="shared" si="25"/>
        <v>3823.3948409286322</v>
      </c>
      <c r="I12" s="229">
        <f t="shared" si="25"/>
        <v>3511.6757523645738</v>
      </c>
      <c r="J12" s="229">
        <f t="shared" si="25"/>
        <v>3641.8521926053299</v>
      </c>
      <c r="K12" s="229">
        <f t="shared" si="25"/>
        <v>3574.3472055030088</v>
      </c>
      <c r="L12" s="229">
        <f t="shared" si="25"/>
        <v>3731.3368873602744</v>
      </c>
      <c r="M12" s="229">
        <f t="shared" si="25"/>
        <v>3680.6926053310399</v>
      </c>
      <c r="N12" s="229">
        <f t="shared" si="25"/>
        <v>3667.5044711951846</v>
      </c>
      <c r="O12" s="229">
        <f t="shared" si="25"/>
        <v>3580.4468615649175</v>
      </c>
      <c r="P12" s="229">
        <f t="shared" si="25"/>
        <v>3421.994840928633</v>
      </c>
      <c r="Q12" s="229">
        <f t="shared" si="25"/>
        <v>3330.1932072226996</v>
      </c>
      <c r="R12" s="229">
        <f t="shared" si="25"/>
        <v>3537.5695614789329</v>
      </c>
      <c r="S12" s="229">
        <f t="shared" si="25"/>
        <v>3881.9876182287185</v>
      </c>
      <c r="T12" s="229">
        <f t="shared" si="25"/>
        <v>3919.2688736027508</v>
      </c>
      <c r="U12" s="229">
        <f t="shared" si="25"/>
        <v>3814.2527944969911</v>
      </c>
      <c r="V12" s="229">
        <f t="shared" si="25"/>
        <v>3869.2138435081688</v>
      </c>
      <c r="W12" s="229">
        <f t="shared" si="25"/>
        <v>3836.2214961306968</v>
      </c>
      <c r="X12" s="229">
        <f t="shared" ref="X12:Y12" si="26">SUM(X13,X14,X18,X19,X26,X27)</f>
        <v>3304.3534823731725</v>
      </c>
      <c r="Y12" s="229">
        <f t="shared" si="26"/>
        <v>3579.1433361994841</v>
      </c>
      <c r="DA12" s="210" t="s">
        <v>980</v>
      </c>
    </row>
    <row r="13" spans="1:105" x14ac:dyDescent="0.25">
      <c r="A13" s="58" t="s">
        <v>29</v>
      </c>
      <c r="B13" s="59">
        <v>897.73439380911418</v>
      </c>
      <c r="C13" s="59">
        <v>1000.721668099742</v>
      </c>
      <c r="D13" s="59">
        <v>837.31014617368862</v>
      </c>
      <c r="E13" s="59">
        <v>813.93619948409275</v>
      </c>
      <c r="F13" s="59">
        <v>854.74815133276002</v>
      </c>
      <c r="G13" s="59">
        <v>930.9900257953567</v>
      </c>
      <c r="H13" s="59">
        <v>1098.5979363714525</v>
      </c>
      <c r="I13" s="59">
        <v>972.30197764402396</v>
      </c>
      <c r="J13" s="59">
        <v>1081.8827171109199</v>
      </c>
      <c r="K13" s="59">
        <v>1072.656233877902</v>
      </c>
      <c r="L13" s="59">
        <v>1191.9597592433361</v>
      </c>
      <c r="M13" s="59">
        <v>1046.9286328460876</v>
      </c>
      <c r="N13" s="59">
        <v>1086.7900257953565</v>
      </c>
      <c r="O13" s="59">
        <v>1062.232932072227</v>
      </c>
      <c r="P13" s="59">
        <v>1010.6032674118658</v>
      </c>
      <c r="Q13" s="59">
        <v>917.91788478073931</v>
      </c>
      <c r="R13" s="59">
        <v>976.23972484952697</v>
      </c>
      <c r="S13" s="59">
        <v>969.30988822012034</v>
      </c>
      <c r="T13" s="59">
        <v>909.69045571797074</v>
      </c>
      <c r="U13" s="59">
        <v>735.06285468615647</v>
      </c>
      <c r="V13" s="59">
        <v>754.24213241616508</v>
      </c>
      <c r="W13" s="59">
        <v>618.62355975924334</v>
      </c>
      <c r="X13" s="59">
        <v>487.35631986242464</v>
      </c>
      <c r="Y13" s="59">
        <v>440.66973344797935</v>
      </c>
      <c r="DA13" s="9" t="s">
        <v>981</v>
      </c>
    </row>
    <row r="14" spans="1:105" x14ac:dyDescent="0.25">
      <c r="A14" s="60" t="s">
        <v>28</v>
      </c>
      <c r="B14" s="55">
        <f>SUM(B15:B17)</f>
        <v>2936.541014617369</v>
      </c>
      <c r="C14" s="55">
        <f t="shared" ref="C14:W14" si="27">SUM(C15:C17)</f>
        <v>2724.7229578675833</v>
      </c>
      <c r="D14" s="55">
        <f t="shared" si="27"/>
        <v>2672.8479793637143</v>
      </c>
      <c r="E14" s="55">
        <f t="shared" si="27"/>
        <v>2756.8285468615641</v>
      </c>
      <c r="F14" s="55">
        <f t="shared" si="27"/>
        <v>2799.6011177987962</v>
      </c>
      <c r="G14" s="55">
        <f t="shared" si="27"/>
        <v>2880.9591573516764</v>
      </c>
      <c r="H14" s="55">
        <f t="shared" si="27"/>
        <v>2059.6517626827167</v>
      </c>
      <c r="I14" s="55">
        <f t="shared" si="27"/>
        <v>1888.0410146173681</v>
      </c>
      <c r="J14" s="55">
        <f t="shared" si="27"/>
        <v>1894.0766981943243</v>
      </c>
      <c r="K14" s="55">
        <f t="shared" si="27"/>
        <v>1843.6753224419604</v>
      </c>
      <c r="L14" s="55">
        <f t="shared" si="27"/>
        <v>1834.0522785898534</v>
      </c>
      <c r="M14" s="55">
        <f t="shared" si="27"/>
        <v>1859.2625107480656</v>
      </c>
      <c r="N14" s="55">
        <f t="shared" si="27"/>
        <v>1873.5191745485815</v>
      </c>
      <c r="O14" s="55">
        <f t="shared" si="27"/>
        <v>1819.241444539982</v>
      </c>
      <c r="P14" s="55">
        <f t="shared" si="27"/>
        <v>1757.5229578675835</v>
      </c>
      <c r="Q14" s="55">
        <f t="shared" si="27"/>
        <v>1741.1148753224415</v>
      </c>
      <c r="R14" s="55">
        <f t="shared" si="27"/>
        <v>1846.8281169389504</v>
      </c>
      <c r="S14" s="55">
        <f t="shared" si="27"/>
        <v>2189.4680997420464</v>
      </c>
      <c r="T14" s="55">
        <f t="shared" si="27"/>
        <v>2297.3311263972482</v>
      </c>
      <c r="U14" s="55">
        <f t="shared" si="27"/>
        <v>2388.1404127257097</v>
      </c>
      <c r="V14" s="55">
        <f t="shared" si="27"/>
        <v>2406.3553740326743</v>
      </c>
      <c r="W14" s="55">
        <f t="shared" si="27"/>
        <v>2408.5235597592437</v>
      </c>
      <c r="X14" s="55">
        <f t="shared" ref="X14:Y14" si="28">SUM(X15:X17)</f>
        <v>2146.9419604471191</v>
      </c>
      <c r="Y14" s="55">
        <f t="shared" si="28"/>
        <v>2503.077042132416</v>
      </c>
      <c r="DA14" s="10"/>
    </row>
    <row r="15" spans="1:105" x14ac:dyDescent="0.25">
      <c r="A15" s="61" t="s">
        <v>52</v>
      </c>
      <c r="B15" s="55">
        <v>45.18968185726569</v>
      </c>
      <c r="C15" s="55">
        <v>56.487016337059323</v>
      </c>
      <c r="D15" s="55">
        <v>67.784436801375747</v>
      </c>
      <c r="E15" s="55">
        <v>79.081857265692165</v>
      </c>
      <c r="F15" s="55">
        <v>79.081857265692165</v>
      </c>
      <c r="G15" s="55">
        <v>79.081857265692165</v>
      </c>
      <c r="H15" s="55">
        <v>56.487016337059323</v>
      </c>
      <c r="I15" s="55">
        <v>56.487016337059323</v>
      </c>
      <c r="J15" s="55">
        <v>57.616766981943243</v>
      </c>
      <c r="K15" s="55">
        <v>49.441100601891662</v>
      </c>
      <c r="L15" s="55">
        <v>54.934565778159929</v>
      </c>
      <c r="M15" s="55">
        <v>56.03327601031814</v>
      </c>
      <c r="N15" s="55">
        <v>54.934565778159929</v>
      </c>
      <c r="O15" s="55">
        <v>54.934565778159929</v>
      </c>
      <c r="P15" s="55">
        <v>58.230610490111772</v>
      </c>
      <c r="Q15" s="55">
        <v>62.625365434221827</v>
      </c>
      <c r="R15" s="55">
        <v>65.921496130696468</v>
      </c>
      <c r="S15" s="55">
        <v>68.118830610490107</v>
      </c>
      <c r="T15" s="55">
        <v>68.118830610490107</v>
      </c>
      <c r="U15" s="55">
        <v>71.414961306964742</v>
      </c>
      <c r="V15" s="55">
        <v>68.118830610490107</v>
      </c>
      <c r="W15" s="55">
        <v>63.724075666380052</v>
      </c>
      <c r="X15" s="55">
        <v>20.486156491831469</v>
      </c>
      <c r="Y15" s="55">
        <v>49.441100601891655</v>
      </c>
      <c r="DA15" s="10" t="s">
        <v>982</v>
      </c>
    </row>
    <row r="16" spans="1:105" x14ac:dyDescent="0.25">
      <c r="A16" s="61" t="s">
        <v>165</v>
      </c>
      <c r="B16" s="55">
        <v>2680.5674978503871</v>
      </c>
      <c r="C16" s="55">
        <v>2503.9171109200338</v>
      </c>
      <c r="D16" s="55">
        <v>2495.7007738607049</v>
      </c>
      <c r="E16" s="55">
        <v>2519.322613929492</v>
      </c>
      <c r="F16" s="55">
        <v>2567.5933791917455</v>
      </c>
      <c r="G16" s="55">
        <v>2618.9452278589852</v>
      </c>
      <c r="H16" s="55">
        <v>1951.3709372312981</v>
      </c>
      <c r="I16" s="55">
        <v>1797.3153912295779</v>
      </c>
      <c r="J16" s="55">
        <v>1797.3153912295779</v>
      </c>
      <c r="K16" s="55">
        <v>1758.144625967326</v>
      </c>
      <c r="L16" s="55">
        <v>1755.0420464316419</v>
      </c>
      <c r="M16" s="55">
        <v>1770.555116079106</v>
      </c>
      <c r="N16" s="55">
        <v>1783.9997420464319</v>
      </c>
      <c r="O16" s="55">
        <v>1747.802579535683</v>
      </c>
      <c r="P16" s="55">
        <v>1685.750472914875</v>
      </c>
      <c r="Q16" s="55">
        <v>1667.908684436801</v>
      </c>
      <c r="R16" s="55">
        <v>1766.5042132416161</v>
      </c>
      <c r="S16" s="55">
        <v>2105.4265692175409</v>
      </c>
      <c r="T16" s="55">
        <v>2218.400687876182</v>
      </c>
      <c r="U16" s="55">
        <v>2305.698882201204</v>
      </c>
      <c r="V16" s="55">
        <v>2327.2666380051592</v>
      </c>
      <c r="W16" s="55">
        <v>2337.4446259673264</v>
      </c>
      <c r="X16" s="55">
        <v>2124.2346517626825</v>
      </c>
      <c r="Y16" s="55">
        <v>2451.2043852106617</v>
      </c>
      <c r="DA16" s="10" t="s">
        <v>983</v>
      </c>
    </row>
    <row r="17" spans="1:105" x14ac:dyDescent="0.25">
      <c r="A17" s="61" t="s">
        <v>113</v>
      </c>
      <c r="B17" s="55">
        <v>210.78383490971621</v>
      </c>
      <c r="C17" s="55">
        <v>164.31883061049012</v>
      </c>
      <c r="D17" s="55">
        <v>109.3627687016337</v>
      </c>
      <c r="E17" s="55">
        <v>158.42407566638002</v>
      </c>
      <c r="F17" s="55">
        <v>152.92588134135858</v>
      </c>
      <c r="G17" s="55">
        <v>182.93207222699911</v>
      </c>
      <c r="H17" s="55">
        <v>51.793809114359412</v>
      </c>
      <c r="I17" s="55">
        <v>34.238607050730863</v>
      </c>
      <c r="J17" s="55">
        <v>39.144539982803089</v>
      </c>
      <c r="K17" s="55">
        <v>36.089595872742905</v>
      </c>
      <c r="L17" s="55">
        <v>24.075666380051594</v>
      </c>
      <c r="M17" s="55">
        <v>32.674118658641447</v>
      </c>
      <c r="N17" s="55">
        <v>34.584866723989677</v>
      </c>
      <c r="O17" s="55">
        <v>16.504299226139292</v>
      </c>
      <c r="P17" s="55">
        <v>13.541874462596732</v>
      </c>
      <c r="Q17" s="55">
        <v>10.580825451418743</v>
      </c>
      <c r="R17" s="55">
        <v>14.402407566638001</v>
      </c>
      <c r="S17" s="55">
        <v>15.922699914015475</v>
      </c>
      <c r="T17" s="55">
        <v>10.811607910576097</v>
      </c>
      <c r="U17" s="55">
        <v>11.026569217540843</v>
      </c>
      <c r="V17" s="55">
        <v>10.969905417024934</v>
      </c>
      <c r="W17" s="55">
        <v>7.3548581255374028</v>
      </c>
      <c r="X17" s="55">
        <v>2.2211521926053313</v>
      </c>
      <c r="Y17" s="55">
        <v>2.431556319862425</v>
      </c>
      <c r="DA17" s="10" t="s">
        <v>984</v>
      </c>
    </row>
    <row r="18" spans="1:105" x14ac:dyDescent="0.25">
      <c r="A18" s="60" t="s">
        <v>149</v>
      </c>
      <c r="B18" s="55">
        <v>12.790197764402411</v>
      </c>
      <c r="C18" s="55">
        <v>18.551160791057612</v>
      </c>
      <c r="D18" s="55">
        <v>21.840068787618229</v>
      </c>
      <c r="E18" s="55">
        <v>28.589853826311259</v>
      </c>
      <c r="F18" s="55">
        <v>28.224419604471191</v>
      </c>
      <c r="G18" s="55">
        <v>25.88134135855546</v>
      </c>
      <c r="H18" s="55">
        <v>35.662080825451419</v>
      </c>
      <c r="I18" s="55">
        <v>43.981083404987103</v>
      </c>
      <c r="J18" s="55">
        <v>45.399828030954424</v>
      </c>
      <c r="K18" s="55">
        <v>37.661220980223547</v>
      </c>
      <c r="L18" s="55">
        <v>35.491057609630268</v>
      </c>
      <c r="M18" s="55">
        <v>36.563198624247633</v>
      </c>
      <c r="N18" s="55">
        <v>42.907480653482367</v>
      </c>
      <c r="O18" s="55">
        <v>35.855116079105763</v>
      </c>
      <c r="P18" s="55">
        <v>34.350128976784177</v>
      </c>
      <c r="Q18" s="55">
        <v>27.32269991401547</v>
      </c>
      <c r="R18" s="55">
        <v>31.168357695614791</v>
      </c>
      <c r="S18" s="55">
        <v>36.282201203783323</v>
      </c>
      <c r="T18" s="55">
        <v>30.25236457437661</v>
      </c>
      <c r="U18" s="55">
        <v>37.21384350816853</v>
      </c>
      <c r="V18" s="55">
        <v>43.128976784178853</v>
      </c>
      <c r="W18" s="55">
        <v>52.061822871883066</v>
      </c>
      <c r="X18" s="55">
        <v>36.589509888220121</v>
      </c>
      <c r="Y18" s="55">
        <v>39.933877901977638</v>
      </c>
      <c r="DA18" s="10" t="s">
        <v>985</v>
      </c>
    </row>
    <row r="19" spans="1:105" x14ac:dyDescent="0.25">
      <c r="A19" s="60" t="s">
        <v>51</v>
      </c>
      <c r="B19" s="55">
        <f>SUM(B20:B25)</f>
        <v>409.02355975924331</v>
      </c>
      <c r="C19" s="55">
        <f t="shared" ref="C19:W19" si="29">SUM(C20:C25)</f>
        <v>455.33585554600165</v>
      </c>
      <c r="D19" s="55">
        <f t="shared" si="29"/>
        <v>454.04608770421322</v>
      </c>
      <c r="E19" s="55">
        <f t="shared" si="29"/>
        <v>454.21324161650898</v>
      </c>
      <c r="F19" s="55">
        <f t="shared" si="29"/>
        <v>474.77790197764398</v>
      </c>
      <c r="G19" s="55">
        <f t="shared" si="29"/>
        <v>454.92975064488388</v>
      </c>
      <c r="H19" s="55">
        <f t="shared" si="29"/>
        <v>477.16629406706801</v>
      </c>
      <c r="I19" s="55">
        <f t="shared" si="29"/>
        <v>455.2880481513327</v>
      </c>
      <c r="J19" s="55">
        <f t="shared" si="29"/>
        <v>456.6255374032674</v>
      </c>
      <c r="K19" s="55">
        <f t="shared" si="29"/>
        <v>456.84049871023217</v>
      </c>
      <c r="L19" s="55">
        <f t="shared" si="29"/>
        <v>504.6097162510747</v>
      </c>
      <c r="M19" s="55">
        <f t="shared" si="29"/>
        <v>576.90834049871012</v>
      </c>
      <c r="N19" s="55">
        <f t="shared" si="29"/>
        <v>506.35331040412723</v>
      </c>
      <c r="O19" s="55">
        <f t="shared" si="29"/>
        <v>506.90257953568351</v>
      </c>
      <c r="P19" s="55">
        <f t="shared" si="29"/>
        <v>469.04557179707649</v>
      </c>
      <c r="Q19" s="55">
        <f t="shared" si="29"/>
        <v>493.00180567497841</v>
      </c>
      <c r="R19" s="55">
        <f t="shared" si="29"/>
        <v>521.42450558899384</v>
      </c>
      <c r="S19" s="55">
        <f t="shared" si="29"/>
        <v>517.62390369733441</v>
      </c>
      <c r="T19" s="55">
        <f t="shared" si="29"/>
        <v>503.80412725709368</v>
      </c>
      <c r="U19" s="55">
        <f t="shared" si="29"/>
        <v>477.14703353396385</v>
      </c>
      <c r="V19" s="55">
        <f t="shared" si="29"/>
        <v>488.16337059329311</v>
      </c>
      <c r="W19" s="55">
        <f t="shared" si="29"/>
        <v>578.99226139294922</v>
      </c>
      <c r="X19" s="55">
        <f t="shared" ref="X19:Y19" si="30">SUM(X20:X25)</f>
        <v>473.08065348237318</v>
      </c>
      <c r="Y19" s="55">
        <f t="shared" si="30"/>
        <v>437.19681857265687</v>
      </c>
      <c r="DA19" s="10"/>
    </row>
    <row r="20" spans="1:105" x14ac:dyDescent="0.25">
      <c r="A20" s="61" t="s">
        <v>164</v>
      </c>
      <c r="B20" s="55">
        <v>409.02355975924331</v>
      </c>
      <c r="C20" s="55">
        <v>455.33585554600165</v>
      </c>
      <c r="D20" s="55">
        <v>454.04608770421322</v>
      </c>
      <c r="E20" s="55">
        <v>454.21324161650898</v>
      </c>
      <c r="F20" s="55">
        <v>474.77790197764398</v>
      </c>
      <c r="G20" s="55">
        <v>454.92975064488388</v>
      </c>
      <c r="H20" s="55">
        <v>477.16629406706801</v>
      </c>
      <c r="I20" s="55">
        <v>455.2880481513327</v>
      </c>
      <c r="J20" s="55">
        <v>454.3803955288048</v>
      </c>
      <c r="K20" s="55">
        <v>454.52373172828891</v>
      </c>
      <c r="L20" s="55">
        <v>503.67824591573509</v>
      </c>
      <c r="M20" s="55">
        <v>571.58211521926046</v>
      </c>
      <c r="N20" s="55">
        <v>500.33439380911432</v>
      </c>
      <c r="O20" s="55">
        <v>500.0716251074806</v>
      </c>
      <c r="P20" s="55">
        <v>461.21143594153051</v>
      </c>
      <c r="Q20" s="55">
        <v>483.80627687016329</v>
      </c>
      <c r="R20" s="55">
        <v>512.51556319862414</v>
      </c>
      <c r="S20" s="55">
        <v>508.17858985382628</v>
      </c>
      <c r="T20" s="55">
        <v>495.23938091143589</v>
      </c>
      <c r="U20" s="55">
        <v>468.55597592433361</v>
      </c>
      <c r="V20" s="55">
        <v>479.31719690455708</v>
      </c>
      <c r="W20" s="55">
        <v>570.6674118658641</v>
      </c>
      <c r="X20" s="55">
        <v>459.04135855546002</v>
      </c>
      <c r="Y20" s="55">
        <v>426.05012897678415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2.2451418744625968</v>
      </c>
      <c r="K21" s="55">
        <v>2.3167669819432501</v>
      </c>
      <c r="L21" s="55">
        <v>0.93147033533963886</v>
      </c>
      <c r="M21" s="55">
        <v>5.3262252794496989</v>
      </c>
      <c r="N21" s="55">
        <v>6.0189165950128984</v>
      </c>
      <c r="O21" s="55">
        <v>6.8309544282029231</v>
      </c>
      <c r="P21" s="55">
        <v>7.8341358555460019</v>
      </c>
      <c r="Q21" s="55">
        <v>9.1955288048151331</v>
      </c>
      <c r="R21" s="55">
        <v>8.9089423903697327</v>
      </c>
      <c r="S21" s="55">
        <v>9.4453138435081687</v>
      </c>
      <c r="T21" s="55">
        <v>8.564746345657781</v>
      </c>
      <c r="U21" s="55">
        <v>8.5910576096302655</v>
      </c>
      <c r="V21" s="55">
        <v>8.8461736887360267</v>
      </c>
      <c r="W21" s="55">
        <v>8.3248495270851244</v>
      </c>
      <c r="X21" s="55">
        <v>14.039294926913151</v>
      </c>
      <c r="Y21" s="55">
        <v>11.14668959587274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23.88460877042132</v>
      </c>
      <c r="C26" s="55">
        <v>28.661478933791919</v>
      </c>
      <c r="D26" s="55">
        <v>23.88460877042132</v>
      </c>
      <c r="E26" s="55">
        <v>23.884522785898543</v>
      </c>
      <c r="F26" s="55">
        <v>23.884608770421323</v>
      </c>
      <c r="G26" s="55">
        <v>20.301891659501287</v>
      </c>
      <c r="H26" s="55">
        <v>21.018400687876177</v>
      </c>
      <c r="I26" s="55">
        <v>22.57093723129837</v>
      </c>
      <c r="J26" s="55">
        <v>23.88460877042132</v>
      </c>
      <c r="K26" s="55">
        <v>25.07884780739467</v>
      </c>
      <c r="L26" s="55">
        <v>26.273086844368009</v>
      </c>
      <c r="M26" s="55">
        <v>23.88460877042132</v>
      </c>
      <c r="N26" s="55">
        <v>23.88460877042132</v>
      </c>
      <c r="O26" s="55">
        <v>23.88460877042132</v>
      </c>
      <c r="P26" s="55">
        <v>21.49613069647463</v>
      </c>
      <c r="Q26" s="55">
        <v>21.257265692175409</v>
      </c>
      <c r="R26" s="55">
        <v>21.49613069647463</v>
      </c>
      <c r="S26" s="55">
        <v>21.49613069647463</v>
      </c>
      <c r="T26" s="55">
        <v>19.10765262252794</v>
      </c>
      <c r="U26" s="55">
        <v>18.39114359415305</v>
      </c>
      <c r="V26" s="55">
        <v>18.51057609630266</v>
      </c>
      <c r="W26" s="55">
        <v>20.30189165950129</v>
      </c>
      <c r="X26" s="55">
        <v>18.51057609630266</v>
      </c>
      <c r="Y26" s="55">
        <v>15.54883920894239</v>
      </c>
      <c r="DA26" s="10" t="s">
        <v>992</v>
      </c>
    </row>
    <row r="27" spans="1:105" x14ac:dyDescent="0.25">
      <c r="A27" s="62" t="s">
        <v>24</v>
      </c>
      <c r="B27" s="63">
        <v>408.42648323301802</v>
      </c>
      <c r="C27" s="63">
        <v>396.38865004299231</v>
      </c>
      <c r="D27" s="63">
        <v>379.10576096302663</v>
      </c>
      <c r="E27" s="63">
        <v>128.2889079965606</v>
      </c>
      <c r="F27" s="63">
        <v>125.62338779019778</v>
      </c>
      <c r="G27" s="63">
        <v>128.97678417884779</v>
      </c>
      <c r="H27" s="63">
        <v>131.29836629406708</v>
      </c>
      <c r="I27" s="63">
        <v>129.49269131556318</v>
      </c>
      <c r="J27" s="63">
        <v>139.98280309544279</v>
      </c>
      <c r="K27" s="63">
        <v>138.43508168529661</v>
      </c>
      <c r="L27" s="63">
        <v>138.95098882201199</v>
      </c>
      <c r="M27" s="63">
        <v>137.14531384350809</v>
      </c>
      <c r="N27" s="63">
        <v>134.04987102321579</v>
      </c>
      <c r="O27" s="63">
        <v>132.33018056749782</v>
      </c>
      <c r="P27" s="63">
        <v>128.97678417884779</v>
      </c>
      <c r="Q27" s="63">
        <v>129.57867583834908</v>
      </c>
      <c r="R27" s="63">
        <v>140.4127257093723</v>
      </c>
      <c r="S27" s="63">
        <v>147.80739466895955</v>
      </c>
      <c r="T27" s="63">
        <v>159.08314703353392</v>
      </c>
      <c r="U27" s="63">
        <v>158.29750644883924</v>
      </c>
      <c r="V27" s="63">
        <v>158.81341358555454</v>
      </c>
      <c r="W27" s="63">
        <v>157.71840068787614</v>
      </c>
      <c r="X27" s="63">
        <v>141.87446259673254</v>
      </c>
      <c r="Y27" s="63">
        <v>142.71702493551163</v>
      </c>
      <c r="DA27" s="11" t="s">
        <v>993</v>
      </c>
    </row>
    <row r="29" spans="1:105" x14ac:dyDescent="0.25">
      <c r="A29" s="218" t="s">
        <v>84</v>
      </c>
      <c r="B29" s="219">
        <v>12754.961396233977</v>
      </c>
      <c r="C29" s="219">
        <v>12526.652446534881</v>
      </c>
      <c r="D29" s="219">
        <v>11706.824761862139</v>
      </c>
      <c r="E29" s="219">
        <v>11892.902421924078</v>
      </c>
      <c r="F29" s="219">
        <v>12182.903692319358</v>
      </c>
      <c r="G29" s="219">
        <v>12720.939415598217</v>
      </c>
      <c r="H29" s="219">
        <v>10857.850209074008</v>
      </c>
      <c r="I29" s="219">
        <v>9833.2929994828901</v>
      </c>
      <c r="J29" s="219">
        <v>10295.262300322402</v>
      </c>
      <c r="K29" s="219">
        <v>10082.898784455256</v>
      </c>
      <c r="L29" s="219">
        <v>10510.362559421375</v>
      </c>
      <c r="M29" s="219">
        <v>10018.080841396197</v>
      </c>
      <c r="N29" s="219">
        <v>10224.175592103004</v>
      </c>
      <c r="O29" s="219">
        <v>9948.6151798765732</v>
      </c>
      <c r="P29" s="219">
        <v>9543.5369989472019</v>
      </c>
      <c r="Q29" s="219">
        <v>9098.2962199926242</v>
      </c>
      <c r="R29" s="219">
        <v>9664.3275794757701</v>
      </c>
      <c r="S29" s="219">
        <v>10709.423416579286</v>
      </c>
      <c r="T29" s="219">
        <v>10791.867943177343</v>
      </c>
      <c r="U29" s="219">
        <v>10392.950446060448</v>
      </c>
      <c r="V29" s="219">
        <v>10533.273936602202</v>
      </c>
      <c r="W29" s="219">
        <v>10027.224060860761</v>
      </c>
      <c r="X29" s="219">
        <v>8674.9863164283852</v>
      </c>
      <c r="Y29" s="219">
        <v>9588.4572557452266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434.65522580688599</v>
      </c>
      <c r="C31" s="59">
        <f t="shared" si="31"/>
        <v>406.67802586241919</v>
      </c>
      <c r="D31" s="59">
        <f t="shared" si="31"/>
        <v>445.15315120546455</v>
      </c>
      <c r="E31" s="59">
        <f t="shared" si="31"/>
        <v>430.27006587985721</v>
      </c>
      <c r="F31" s="59">
        <f t="shared" si="31"/>
        <v>338.82453790687339</v>
      </c>
      <c r="G31" s="59">
        <f t="shared" si="31"/>
        <v>378.15539915166192</v>
      </c>
      <c r="H31" s="59">
        <f t="shared" si="31"/>
        <v>330.45074608898318</v>
      </c>
      <c r="I31" s="59">
        <f t="shared" si="31"/>
        <v>251.0891967207871</v>
      </c>
      <c r="J31" s="59">
        <f t="shared" si="31"/>
        <v>292.64442085275653</v>
      </c>
      <c r="K31" s="59">
        <f t="shared" si="31"/>
        <v>285.77218207818061</v>
      </c>
      <c r="L31" s="59">
        <f t="shared" si="31"/>
        <v>258.12564161956971</v>
      </c>
      <c r="M31" s="59">
        <f t="shared" si="31"/>
        <v>222.28291288683167</v>
      </c>
      <c r="N31" s="59">
        <f t="shared" si="31"/>
        <v>233.99968380768917</v>
      </c>
      <c r="O31" s="59">
        <f t="shared" si="31"/>
        <v>210.34111901709852</v>
      </c>
      <c r="P31" s="59">
        <f t="shared" si="31"/>
        <v>210.17826161854845</v>
      </c>
      <c r="Q31" s="59">
        <f t="shared" si="31"/>
        <v>234.44045958869225</v>
      </c>
      <c r="R31" s="59">
        <f t="shared" si="31"/>
        <v>228.01985875296003</v>
      </c>
      <c r="S31" s="59">
        <f t="shared" si="31"/>
        <v>208.25542830468999</v>
      </c>
      <c r="T31" s="59">
        <f t="shared" si="31"/>
        <v>244.12938008253036</v>
      </c>
      <c r="U31" s="59">
        <f t="shared" si="31"/>
        <v>232.6011979555268</v>
      </c>
      <c r="V31" s="59">
        <f t="shared" si="31"/>
        <v>222.84870389635628</v>
      </c>
      <c r="W31" s="59">
        <f t="shared" si="31"/>
        <v>234.19607485259471</v>
      </c>
      <c r="X31" s="59">
        <f t="shared" si="31"/>
        <v>156.6335688757222</v>
      </c>
      <c r="Y31" s="59">
        <f t="shared" si="31"/>
        <v>172.12633327399567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109.81942433546162</v>
      </c>
      <c r="D32" s="55">
        <f t="shared" si="32"/>
        <v>113.80906613357637</v>
      </c>
      <c r="E32" s="55">
        <f t="shared" si="32"/>
        <v>119.53787119840253</v>
      </c>
      <c r="F32" s="55">
        <f t="shared" si="32"/>
        <v>117.30616060932348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117.81469406104159</v>
      </c>
      <c r="J32" s="55">
        <f t="shared" si="32"/>
        <v>123.49619118298854</v>
      </c>
      <c r="K32" s="55">
        <f t="shared" si="32"/>
        <v>137.83360398812147</v>
      </c>
      <c r="L32" s="55">
        <f t="shared" si="32"/>
        <v>128.47617233393538</v>
      </c>
      <c r="M32" s="55">
        <f t="shared" si="32"/>
        <v>116.02131221383361</v>
      </c>
      <c r="N32" s="55">
        <f t="shared" si="32"/>
        <v>118.31216844961239</v>
      </c>
      <c r="O32" s="55">
        <f t="shared" si="32"/>
        <v>117.89482713876833</v>
      </c>
      <c r="P32" s="55">
        <f t="shared" si="32"/>
        <v>114.21265320772919</v>
      </c>
      <c r="Q32" s="55">
        <f t="shared" si="32"/>
        <v>116.6772871901979</v>
      </c>
      <c r="R32" s="55">
        <f t="shared" si="32"/>
        <v>118.41249825520163</v>
      </c>
      <c r="S32" s="55">
        <f t="shared" si="32"/>
        <v>109.25986032686187</v>
      </c>
      <c r="T32" s="55">
        <f t="shared" si="32"/>
        <v>115.03952384499108</v>
      </c>
      <c r="U32" s="55">
        <f t="shared" si="32"/>
        <v>114.31053707016741</v>
      </c>
      <c r="V32" s="55">
        <f t="shared" si="32"/>
        <v>121.02278233994657</v>
      </c>
      <c r="W32" s="55">
        <f t="shared" si="32"/>
        <v>115.6129323010225</v>
      </c>
      <c r="X32" s="55">
        <f t="shared" si="32"/>
        <v>98.926512660278448</v>
      </c>
      <c r="Y32" s="55">
        <f t="shared" si="32"/>
        <v>101.37891512464502</v>
      </c>
      <c r="DA32" s="216"/>
    </row>
    <row r="33" spans="1:105" x14ac:dyDescent="0.25">
      <c r="A33" s="35" t="s">
        <v>111</v>
      </c>
      <c r="B33" s="55">
        <f>IF(AGR_ued!B$5=0,"",AGR_ued!B$5/B$5*1000)</f>
        <v>44.846601350748266</v>
      </c>
      <c r="C33" s="55">
        <f>IF(AGR_ued!C$5=0,"",AGR_ued!C$5/C$5*1000)</f>
        <v>43.455418205249636</v>
      </c>
      <c r="D33" s="55">
        <f>IF(AGR_ued!D$5=0,"",AGR_ued!D$5/D$5*1000)</f>
        <v>45.365842202676376</v>
      </c>
      <c r="E33" s="55">
        <f>IF(AGR_ued!E$5=0,"",AGR_ued!E$5/E$5*1000)</f>
        <v>46.380270138988081</v>
      </c>
      <c r="F33" s="55">
        <f>IF(AGR_ued!F$5=0,"",AGR_ued!F$5/F$5*1000)</f>
        <v>45.426490695351433</v>
      </c>
      <c r="G33" s="55">
        <f>IF(AGR_ued!G$5=0,"",AGR_ued!G$5/G$5*1000)</f>
        <v>51.864794384448423</v>
      </c>
      <c r="H33" s="55">
        <f>IF(AGR_ued!H$5=0,"",AGR_ued!H$5/H$5*1000)</f>
        <v>49.270467029577105</v>
      </c>
      <c r="I33" s="55">
        <f>IF(AGR_ued!I$5=0,"",AGR_ued!I$5/I$5*1000)</f>
        <v>44.831963343318705</v>
      </c>
      <c r="J33" s="55">
        <f>IF(AGR_ued!J$5=0,"",AGR_ued!J$5/J$5*1000)</f>
        <v>46.794113903202927</v>
      </c>
      <c r="K33" s="55">
        <f>IF(AGR_ued!K$5=0,"",AGR_ued!K$5/K$5*1000)</f>
        <v>52.160383189218017</v>
      </c>
      <c r="L33" s="55">
        <f>IF(AGR_ued!L$5=0,"",AGR_ued!L$5/L$5*1000)</f>
        <v>48.177868428069374</v>
      </c>
      <c r="M33" s="55">
        <f>IF(AGR_ued!M$5=0,"",AGR_ued!M$5/M$5*1000)</f>
        <v>43.668675554876685</v>
      </c>
      <c r="N33" s="55">
        <f>IF(AGR_ued!N$5=0,"",AGR_ued!N$5/N$5*1000)</f>
        <v>44.656873847810523</v>
      </c>
      <c r="O33" s="55">
        <f>IF(AGR_ued!O$5=0,"",AGR_ued!O$5/O$5*1000)</f>
        <v>44.501507001249095</v>
      </c>
      <c r="P33" s="55">
        <f>IF(AGR_ued!P$5=0,"",AGR_ued!P$5/P$5*1000)</f>
        <v>43.20382165433405</v>
      </c>
      <c r="Q33" s="55">
        <f>IF(AGR_ued!Q$5=0,"",AGR_ued!Q$5/Q$5*1000)</f>
        <v>44.25828266010403</v>
      </c>
      <c r="R33" s="55">
        <f>IF(AGR_ued!R$5=0,"",AGR_ued!R$5/R$5*1000)</f>
        <v>44.91627348407269</v>
      </c>
      <c r="S33" s="55">
        <f>IF(AGR_ued!S$5=0,"",AGR_ued!S$5/S$5*1000)</f>
        <v>41.949063411752917</v>
      </c>
      <c r="T33" s="55">
        <f>IF(AGR_ued!T$5=0,"",AGR_ued!T$5/T$5*1000)</f>
        <v>44.478773757405051</v>
      </c>
      <c r="U33" s="55">
        <f>IF(AGR_ued!U$5=0,"",AGR_ued!U$5/U$5*1000)</f>
        <v>44.729698435379774</v>
      </c>
      <c r="V33" s="55">
        <f>IF(AGR_ued!V$5=0,"",AGR_ued!V$5/V$5*1000)</f>
        <v>47.326777610893664</v>
      </c>
      <c r="W33" s="55">
        <f>IF(AGR_ued!W$5=0,"",AGR_ued!W$5/W$5*1000)</f>
        <v>45.332661185308254</v>
      </c>
      <c r="X33" s="55">
        <f>IF(AGR_ued!X$5=0,"",AGR_ued!X$5/X$5*1000)</f>
        <v>39.112931745054723</v>
      </c>
      <c r="Y33" s="55">
        <f>IF(AGR_ued!Y$5=0,"",AGR_ued!Y$5/Y$5*1000)</f>
        <v>40.393849719579535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2.720535938585023</v>
      </c>
      <c r="C34" s="217">
        <f t="shared" si="33"/>
        <v>2.7088274857256036</v>
      </c>
      <c r="D34" s="217">
        <f t="shared" si="33"/>
        <v>2.6672892083822015</v>
      </c>
      <c r="E34" s="217">
        <f t="shared" si="33"/>
        <v>2.8277779471332152</v>
      </c>
      <c r="F34" s="217">
        <f t="shared" si="33"/>
        <v>2.82872089174136</v>
      </c>
      <c r="G34" s="217">
        <f t="shared" si="33"/>
        <v>2.8637613393206443</v>
      </c>
      <c r="H34" s="217">
        <f t="shared" si="33"/>
        <v>2.8398453889310673</v>
      </c>
      <c r="I34" s="217">
        <f t="shared" si="33"/>
        <v>2.800171112854505</v>
      </c>
      <c r="J34" s="217">
        <f t="shared" si="33"/>
        <v>2.8269302969589538</v>
      </c>
      <c r="K34" s="217">
        <f t="shared" si="33"/>
        <v>2.8209063654845234</v>
      </c>
      <c r="L34" s="217">
        <f t="shared" si="33"/>
        <v>2.816781994417263</v>
      </c>
      <c r="M34" s="217">
        <f t="shared" si="33"/>
        <v>2.7217923134592152</v>
      </c>
      <c r="N34" s="217">
        <f t="shared" si="33"/>
        <v>2.7877745405368515</v>
      </c>
      <c r="O34" s="217">
        <f t="shared" si="33"/>
        <v>2.7785959586978199</v>
      </c>
      <c r="P34" s="217">
        <f t="shared" si="33"/>
        <v>2.7888811767925854</v>
      </c>
      <c r="Q34" s="217">
        <f t="shared" si="33"/>
        <v>2.7320625723035401</v>
      </c>
      <c r="R34" s="217">
        <f t="shared" si="33"/>
        <v>2.7319116731192858</v>
      </c>
      <c r="S34" s="217">
        <f t="shared" si="33"/>
        <v>2.758747443266139</v>
      </c>
      <c r="T34" s="217">
        <f t="shared" si="33"/>
        <v>2.753541104531831</v>
      </c>
      <c r="U34" s="217">
        <f t="shared" si="33"/>
        <v>2.7247670791655092</v>
      </c>
      <c r="V34" s="217">
        <f t="shared" si="33"/>
        <v>2.722329228268193</v>
      </c>
      <c r="W34" s="217">
        <f t="shared" si="33"/>
        <v>2.6138282346247355</v>
      </c>
      <c r="X34" s="217">
        <f t="shared" si="33"/>
        <v>2.6253203123408113</v>
      </c>
      <c r="Y34" s="217">
        <f t="shared" si="33"/>
        <v>2.6789810731432557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4688.4002579535672</v>
      </c>
      <c r="C5" s="80">
        <f t="shared" ref="C5:W5" si="1">SUM(C6:C9,C16:C17,C25:C27)</f>
        <v>4624.3817712811679</v>
      </c>
      <c r="D5" s="80">
        <f t="shared" si="1"/>
        <v>4389.0346517626831</v>
      </c>
      <c r="E5" s="80">
        <f t="shared" si="1"/>
        <v>4205.7412725709355</v>
      </c>
      <c r="F5" s="80">
        <f t="shared" si="1"/>
        <v>4306.8595872742908</v>
      </c>
      <c r="G5" s="80">
        <f t="shared" si="1"/>
        <v>4442.0389509888209</v>
      </c>
      <c r="H5" s="80">
        <f t="shared" si="1"/>
        <v>3823.3948409286318</v>
      </c>
      <c r="I5" s="80">
        <f t="shared" si="1"/>
        <v>3511.6757523645724</v>
      </c>
      <c r="J5" s="80">
        <f t="shared" si="1"/>
        <v>3641.8521926053281</v>
      </c>
      <c r="K5" s="80">
        <f t="shared" si="1"/>
        <v>3574.3472055030088</v>
      </c>
      <c r="L5" s="80">
        <f t="shared" si="1"/>
        <v>3731.3368873602744</v>
      </c>
      <c r="M5" s="80">
        <f t="shared" si="1"/>
        <v>3680.6926053310399</v>
      </c>
      <c r="N5" s="80">
        <f t="shared" si="1"/>
        <v>3667.5044711951846</v>
      </c>
      <c r="O5" s="80">
        <f t="shared" si="1"/>
        <v>3580.4468615649175</v>
      </c>
      <c r="P5" s="80">
        <f t="shared" si="1"/>
        <v>3421.994840928633</v>
      </c>
      <c r="Q5" s="80">
        <f t="shared" si="1"/>
        <v>3330.1932072226987</v>
      </c>
      <c r="R5" s="80">
        <f t="shared" si="1"/>
        <v>3537.5695614789338</v>
      </c>
      <c r="S5" s="80">
        <f t="shared" si="1"/>
        <v>3881.9876182287171</v>
      </c>
      <c r="T5" s="80">
        <f t="shared" si="1"/>
        <v>3919.2688736027503</v>
      </c>
      <c r="U5" s="80">
        <f t="shared" si="1"/>
        <v>3814.2527944969902</v>
      </c>
      <c r="V5" s="80">
        <f t="shared" si="1"/>
        <v>3869.2138435081683</v>
      </c>
      <c r="W5" s="80">
        <f t="shared" si="1"/>
        <v>3836.2214961306968</v>
      </c>
      <c r="X5" s="80">
        <f t="shared" ref="X5:Y5" si="2">SUM(X6:X9,X16:X17,X25:X27)</f>
        <v>3304.353482373172</v>
      </c>
      <c r="Y5" s="80">
        <f t="shared" si="2"/>
        <v>3579.1433361994837</v>
      </c>
      <c r="DA5" s="103"/>
    </row>
    <row r="6" spans="1:105" x14ac:dyDescent="0.25">
      <c r="A6" s="238" t="s">
        <v>125</v>
      </c>
      <c r="B6" s="239">
        <v>73.785596908448511</v>
      </c>
      <c r="C6" s="239">
        <v>71.379412126266701</v>
      </c>
      <c r="D6" s="239">
        <v>68.585296825401741</v>
      </c>
      <c r="E6" s="239">
        <v>25.30369908129812</v>
      </c>
      <c r="F6" s="239">
        <v>24.804057019722201</v>
      </c>
      <c r="G6" s="239">
        <v>25.46185045181598</v>
      </c>
      <c r="H6" s="239">
        <v>25.69119003389552</v>
      </c>
      <c r="I6" s="239">
        <v>25.26955599754379</v>
      </c>
      <c r="J6" s="239">
        <v>27.224837283540388</v>
      </c>
      <c r="K6" s="239">
        <v>26.905973875248431</v>
      </c>
      <c r="L6" s="239">
        <v>27.008770554767409</v>
      </c>
      <c r="M6" s="239">
        <v>26.684056527269291</v>
      </c>
      <c r="N6" s="239">
        <v>26.123297845623309</v>
      </c>
      <c r="O6" s="239">
        <v>25.77464280390716</v>
      </c>
      <c r="P6" s="239">
        <v>25.105324341619951</v>
      </c>
      <c r="Q6" s="239">
        <v>25.19455389330605</v>
      </c>
      <c r="R6" s="239">
        <v>27.26822696234726</v>
      </c>
      <c r="S6" s="239">
        <v>28.85496782123036</v>
      </c>
      <c r="T6" s="239">
        <v>31.00269374717135</v>
      </c>
      <c r="U6" s="239">
        <v>30.892265341939801</v>
      </c>
      <c r="V6" s="239">
        <v>31.006285317245339</v>
      </c>
      <c r="W6" s="239">
        <v>30.808890558266899</v>
      </c>
      <c r="X6" s="239">
        <v>27.707035080090861</v>
      </c>
      <c r="Y6" s="239">
        <v>28.002569551876441</v>
      </c>
      <c r="DA6" s="267" t="s">
        <v>995</v>
      </c>
    </row>
    <row r="7" spans="1:105" x14ac:dyDescent="0.25">
      <c r="A7" s="240" t="s">
        <v>124</v>
      </c>
      <c r="B7" s="241">
        <v>47.96063799049152</v>
      </c>
      <c r="C7" s="241">
        <v>46.39661788207335</v>
      </c>
      <c r="D7" s="241">
        <v>44.580442936511112</v>
      </c>
      <c r="E7" s="241">
        <v>16.44740440284377</v>
      </c>
      <c r="F7" s="241">
        <v>16.122637062819429</v>
      </c>
      <c r="G7" s="241">
        <v>16.550202793680391</v>
      </c>
      <c r="H7" s="241">
        <v>16.69927352203208</v>
      </c>
      <c r="I7" s="241">
        <v>16.425211398403459</v>
      </c>
      <c r="J7" s="241">
        <v>17.696144234301251</v>
      </c>
      <c r="K7" s="241">
        <v>17.48888301891148</v>
      </c>
      <c r="L7" s="241">
        <v>17.555700860598819</v>
      </c>
      <c r="M7" s="241">
        <v>17.344636742725029</v>
      </c>
      <c r="N7" s="241">
        <v>16.98014359965515</v>
      </c>
      <c r="O7" s="241">
        <v>16.753517822539649</v>
      </c>
      <c r="P7" s="241">
        <v>16.318460822052959</v>
      </c>
      <c r="Q7" s="241">
        <v>16.376460030648929</v>
      </c>
      <c r="R7" s="241">
        <v>17.724347525525719</v>
      </c>
      <c r="S7" s="241">
        <v>18.755729083799729</v>
      </c>
      <c r="T7" s="241">
        <v>20.151750935661369</v>
      </c>
      <c r="U7" s="241">
        <v>20.07997247226087</v>
      </c>
      <c r="V7" s="241">
        <v>20.154085456209469</v>
      </c>
      <c r="W7" s="241">
        <v>20.02577886287348</v>
      </c>
      <c r="X7" s="241">
        <v>18.009572802059051</v>
      </c>
      <c r="Y7" s="241">
        <v>18.20167020871969</v>
      </c>
      <c r="DA7" s="268" t="s">
        <v>996</v>
      </c>
    </row>
    <row r="8" spans="1:105" x14ac:dyDescent="0.25">
      <c r="A8" s="240" t="s">
        <v>123</v>
      </c>
      <c r="B8" s="241">
        <v>66.407037217603659</v>
      </c>
      <c r="C8" s="241">
        <v>64.241470913640043</v>
      </c>
      <c r="D8" s="241">
        <v>61.726767142861547</v>
      </c>
      <c r="E8" s="241">
        <v>22.7733291731683</v>
      </c>
      <c r="F8" s="241">
        <v>22.323651317749981</v>
      </c>
      <c r="G8" s="241">
        <v>22.915665406634389</v>
      </c>
      <c r="H8" s="241">
        <v>23.122071030505971</v>
      </c>
      <c r="I8" s="241">
        <v>22.74260039778941</v>
      </c>
      <c r="J8" s="241">
        <v>24.50235355518635</v>
      </c>
      <c r="K8" s="241">
        <v>24.215376487723582</v>
      </c>
      <c r="L8" s="241">
        <v>24.307893499290671</v>
      </c>
      <c r="M8" s="241">
        <v>24.015650874542349</v>
      </c>
      <c r="N8" s="241">
        <v>23.510968061060979</v>
      </c>
      <c r="O8" s="241">
        <v>23.197178523516449</v>
      </c>
      <c r="P8" s="241">
        <v>22.59479190745795</v>
      </c>
      <c r="Q8" s="241">
        <v>22.675098503975441</v>
      </c>
      <c r="R8" s="241">
        <v>24.54140426611254</v>
      </c>
      <c r="S8" s="241">
        <v>25.969471039107329</v>
      </c>
      <c r="T8" s="241">
        <v>27.902424372454199</v>
      </c>
      <c r="U8" s="241">
        <v>27.803038807745821</v>
      </c>
      <c r="V8" s="241">
        <v>27.905656785520812</v>
      </c>
      <c r="W8" s="241">
        <v>27.7280015024402</v>
      </c>
      <c r="X8" s="241">
        <v>24.93633157208178</v>
      </c>
      <c r="Y8" s="241">
        <v>25.202312596688799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807.08925879511696</v>
      </c>
      <c r="C9" s="243">
        <f t="shared" ref="C9:W9" si="4">SUM(C10:C15)</f>
        <v>777.48860677666744</v>
      </c>
      <c r="D9" s="243">
        <f t="shared" si="4"/>
        <v>756.29063517219026</v>
      </c>
      <c r="E9" s="243">
        <f t="shared" si="4"/>
        <v>770.00419975636635</v>
      </c>
      <c r="F9" s="243">
        <f t="shared" si="4"/>
        <v>786.95289320211521</v>
      </c>
      <c r="G9" s="243">
        <f t="shared" si="4"/>
        <v>804.19724513968549</v>
      </c>
      <c r="H9" s="243">
        <f t="shared" si="4"/>
        <v>638.62561918915151</v>
      </c>
      <c r="I9" s="243">
        <f t="shared" si="4"/>
        <v>591.06377089021998</v>
      </c>
      <c r="J9" s="243">
        <f t="shared" si="4"/>
        <v>599.81725842042817</v>
      </c>
      <c r="K9" s="243">
        <f t="shared" si="4"/>
        <v>586.23052449667739</v>
      </c>
      <c r="L9" s="243">
        <f t="shared" si="4"/>
        <v>594.12665933615199</v>
      </c>
      <c r="M9" s="243">
        <f t="shared" si="4"/>
        <v>595.26627420241618</v>
      </c>
      <c r="N9" s="243">
        <f t="shared" si="4"/>
        <v>599.71854112232484</v>
      </c>
      <c r="O9" s="243">
        <f t="shared" si="4"/>
        <v>585.37917720656276</v>
      </c>
      <c r="P9" s="243">
        <f t="shared" si="4"/>
        <v>562.08481000036682</v>
      </c>
      <c r="Q9" s="243">
        <f t="shared" si="4"/>
        <v>550.95358759879161</v>
      </c>
      <c r="R9" s="243">
        <f t="shared" si="4"/>
        <v>583.72846023932368</v>
      </c>
      <c r="S9" s="243">
        <f t="shared" si="4"/>
        <v>672.76398959225219</v>
      </c>
      <c r="T9" s="243">
        <f t="shared" si="4"/>
        <v>691.32003988401357</v>
      </c>
      <c r="U9" s="243">
        <f t="shared" si="4"/>
        <v>697.99536632300908</v>
      </c>
      <c r="V9" s="243">
        <f t="shared" si="4"/>
        <v>707.61606367503009</v>
      </c>
      <c r="W9" s="243">
        <f t="shared" si="4"/>
        <v>708.87340094277931</v>
      </c>
      <c r="X9" s="243">
        <f t="shared" ref="X9:Y9" si="5">SUM(X10:X15)</f>
        <v>625.87195677106035</v>
      </c>
      <c r="Y9" s="243">
        <f t="shared" si="5"/>
        <v>697.03226071791926</v>
      </c>
      <c r="DA9" s="269"/>
    </row>
    <row r="10" spans="1:105" x14ac:dyDescent="0.25">
      <c r="A10" s="253" t="s">
        <v>166</v>
      </c>
      <c r="B10" s="254">
        <v>736.78947094113767</v>
      </c>
      <c r="C10" s="254">
        <v>698.86281044857515</v>
      </c>
      <c r="D10" s="254">
        <v>684.39896111328471</v>
      </c>
      <c r="E10" s="254">
        <v>728.2369593950117</v>
      </c>
      <c r="F10" s="254">
        <v>745.45224723059164</v>
      </c>
      <c r="G10" s="254">
        <v>767.34651209361164</v>
      </c>
      <c r="H10" s="254">
        <v>592.11246460597602</v>
      </c>
      <c r="I10" s="254">
        <v>537.76512070463207</v>
      </c>
      <c r="J10" s="254">
        <v>541.49108991228411</v>
      </c>
      <c r="K10" s="254">
        <v>531.48660244717155</v>
      </c>
      <c r="L10" s="254">
        <v>539.64048180703844</v>
      </c>
      <c r="M10" s="254">
        <v>540.16075515438297</v>
      </c>
      <c r="N10" s="254">
        <v>540.6047677484222</v>
      </c>
      <c r="O10" s="254">
        <v>530.3294012619283</v>
      </c>
      <c r="P10" s="254">
        <v>509.94838145751311</v>
      </c>
      <c r="Q10" s="254">
        <v>502.82364085621953</v>
      </c>
      <c r="R10" s="254">
        <v>532.59222773259194</v>
      </c>
      <c r="S10" s="254">
        <v>620.25087734687827</v>
      </c>
      <c r="T10" s="254">
        <v>645.57485847004011</v>
      </c>
      <c r="U10" s="254">
        <v>650.69305612996959</v>
      </c>
      <c r="V10" s="254">
        <v>656.78664384949036</v>
      </c>
      <c r="W10" s="254">
        <v>652.27776942715116</v>
      </c>
      <c r="X10" s="254">
        <v>578.03119465355417</v>
      </c>
      <c r="Y10" s="254">
        <v>653.81685128895435</v>
      </c>
      <c r="DA10" s="270" t="s">
        <v>998</v>
      </c>
    </row>
    <row r="11" spans="1:105" x14ac:dyDescent="0.25">
      <c r="A11" s="253" t="s">
        <v>169</v>
      </c>
      <c r="B11" s="255">
        <v>6.9166803918955919</v>
      </c>
      <c r="C11" s="255">
        <v>10.4727279817981</v>
      </c>
      <c r="D11" s="255">
        <v>11.827788451595501</v>
      </c>
      <c r="E11" s="255">
        <v>16.112304984600939</v>
      </c>
      <c r="F11" s="255">
        <v>16.012934508690691</v>
      </c>
      <c r="G11" s="255">
        <v>14.88130946595931</v>
      </c>
      <c r="H11" s="255">
        <v>22.65233777015235</v>
      </c>
      <c r="I11" s="255">
        <v>27.582801625479089</v>
      </c>
      <c r="J11" s="255">
        <v>30.582943059078911</v>
      </c>
      <c r="K11" s="255">
        <v>25.759861932188791</v>
      </c>
      <c r="L11" s="255">
        <v>24.30595463566053</v>
      </c>
      <c r="M11" s="255">
        <v>27.49587906952533</v>
      </c>
      <c r="N11" s="255">
        <v>31.79578280741487</v>
      </c>
      <c r="O11" s="255">
        <v>27.708200625321879</v>
      </c>
      <c r="P11" s="255">
        <v>27.190135374760121</v>
      </c>
      <c r="Q11" s="255">
        <v>23.266774677759209</v>
      </c>
      <c r="R11" s="255">
        <v>25.56851091178368</v>
      </c>
      <c r="S11" s="255">
        <v>27.484425985563071</v>
      </c>
      <c r="T11" s="255">
        <v>22.56785049326345</v>
      </c>
      <c r="U11" s="255">
        <v>25.074986859230979</v>
      </c>
      <c r="V11" s="255">
        <v>28.53685672937883</v>
      </c>
      <c r="W11" s="255">
        <v>32.619791959049742</v>
      </c>
      <c r="X11" s="255">
        <v>25.9908988239868</v>
      </c>
      <c r="Y11" s="255">
        <v>24.962393043309731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23.884608770419831</v>
      </c>
      <c r="C14" s="254">
        <v>28.661478933790761</v>
      </c>
      <c r="D14" s="254">
        <v>23.884608770419721</v>
      </c>
      <c r="E14" s="254">
        <v>23.884522785894291</v>
      </c>
      <c r="F14" s="254">
        <v>23.884608770416961</v>
      </c>
      <c r="G14" s="254">
        <v>20.30189165949761</v>
      </c>
      <c r="H14" s="254">
        <v>21.018400687873559</v>
      </c>
      <c r="I14" s="254">
        <v>22.57093723129314</v>
      </c>
      <c r="J14" s="254">
        <v>23.884608770416609</v>
      </c>
      <c r="K14" s="254">
        <v>25.078847807389881</v>
      </c>
      <c r="L14" s="254">
        <v>26.273086844363181</v>
      </c>
      <c r="M14" s="254">
        <v>23.88460877041663</v>
      </c>
      <c r="N14" s="254">
        <v>23.88460877041625</v>
      </c>
      <c r="O14" s="254">
        <v>23.88460877041636</v>
      </c>
      <c r="P14" s="254">
        <v>21.49613069647026</v>
      </c>
      <c r="Q14" s="254">
        <v>21.257265692171242</v>
      </c>
      <c r="R14" s="254">
        <v>21.49613069647063</v>
      </c>
      <c r="S14" s="254">
        <v>21.49613069647209</v>
      </c>
      <c r="T14" s="254">
        <v>19.107652622525801</v>
      </c>
      <c r="U14" s="254">
        <v>18.391143594150819</v>
      </c>
      <c r="V14" s="254">
        <v>18.51057609630038</v>
      </c>
      <c r="W14" s="254">
        <v>20.301891659498729</v>
      </c>
      <c r="X14" s="254">
        <v>18.510576096297839</v>
      </c>
      <c r="Y14" s="254">
        <v>15.54883920893999</v>
      </c>
      <c r="DA14" s="270" t="s">
        <v>1002</v>
      </c>
    </row>
    <row r="15" spans="1:105" x14ac:dyDescent="0.25">
      <c r="A15" s="253" t="s">
        <v>24</v>
      </c>
      <c r="B15" s="255">
        <v>39.498498691663869</v>
      </c>
      <c r="C15" s="255">
        <v>39.491589412503288</v>
      </c>
      <c r="D15" s="255">
        <v>36.179276836890217</v>
      </c>
      <c r="E15" s="255">
        <v>1.770412590859419</v>
      </c>
      <c r="F15" s="255">
        <v>1.603102692415878</v>
      </c>
      <c r="G15" s="255">
        <v>1.6675319206168979</v>
      </c>
      <c r="H15" s="255">
        <v>2.842416125149609</v>
      </c>
      <c r="I15" s="255">
        <v>3.1449113288157209</v>
      </c>
      <c r="J15" s="255">
        <v>3.858616678648497</v>
      </c>
      <c r="K15" s="255">
        <v>3.905212309927105</v>
      </c>
      <c r="L15" s="255">
        <v>3.9071360490897731</v>
      </c>
      <c r="M15" s="255">
        <v>3.7250312080911629</v>
      </c>
      <c r="N15" s="255">
        <v>3.4333817960715942</v>
      </c>
      <c r="O15" s="255">
        <v>3.4569665488962462</v>
      </c>
      <c r="P15" s="255">
        <v>3.4501624716233912</v>
      </c>
      <c r="Q15" s="255">
        <v>3.6059063726415972</v>
      </c>
      <c r="R15" s="255">
        <v>4.0715908984773987</v>
      </c>
      <c r="S15" s="255">
        <v>3.5325555633387888</v>
      </c>
      <c r="T15" s="255">
        <v>4.069678298184205</v>
      </c>
      <c r="U15" s="255">
        <v>3.836179739657716</v>
      </c>
      <c r="V15" s="255">
        <v>3.7819869998604831</v>
      </c>
      <c r="W15" s="255">
        <v>3.6739478970796839</v>
      </c>
      <c r="X15" s="255">
        <v>3.3392871972215081</v>
      </c>
      <c r="Y15" s="255">
        <v>2.7041771767152891</v>
      </c>
      <c r="DA15" s="271" t="s">
        <v>1003</v>
      </c>
    </row>
    <row r="16" spans="1:105" x14ac:dyDescent="0.25">
      <c r="A16" s="256" t="s">
        <v>168</v>
      </c>
      <c r="B16" s="257">
        <v>1105.6501179751749</v>
      </c>
      <c r="C16" s="257">
        <v>1061.9116700613961</v>
      </c>
      <c r="D16" s="257">
        <v>1033.3818380166099</v>
      </c>
      <c r="E16" s="257">
        <v>1029.3354407348049</v>
      </c>
      <c r="F16" s="257">
        <v>1051.587045105349</v>
      </c>
      <c r="G16" s="257">
        <v>1077.363722566359</v>
      </c>
      <c r="H16" s="257">
        <v>854.91586370731591</v>
      </c>
      <c r="I16" s="257">
        <v>788.35412178606941</v>
      </c>
      <c r="J16" s="257">
        <v>800.0027218008654</v>
      </c>
      <c r="K16" s="257">
        <v>782.86967509912347</v>
      </c>
      <c r="L16" s="257">
        <v>793.84553063267572</v>
      </c>
      <c r="M16" s="257">
        <v>794.88683806671736</v>
      </c>
      <c r="N16" s="257">
        <v>798.66348914968682</v>
      </c>
      <c r="O16" s="257">
        <v>780.76856672487543</v>
      </c>
      <c r="P16" s="257">
        <v>750.39414320174217</v>
      </c>
      <c r="Q16" s="257">
        <v>737.07055943191847</v>
      </c>
      <c r="R16" s="257">
        <v>781.51852662828196</v>
      </c>
      <c r="S16" s="257">
        <v>900.44865837623968</v>
      </c>
      <c r="T16" s="257">
        <v>929.40696439870624</v>
      </c>
      <c r="U16" s="257">
        <v>937.01220548781475</v>
      </c>
      <c r="V16" s="257">
        <v>948.73196825096829</v>
      </c>
      <c r="W16" s="257">
        <v>947.8017475178184</v>
      </c>
      <c r="X16" s="257">
        <v>837.35730557500187</v>
      </c>
      <c r="Y16" s="257">
        <v>933.85109899721829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2194.2730122878438</v>
      </c>
      <c r="C17" s="257">
        <f t="shared" ref="C17:W17" si="7">SUM(C18:C24)</f>
        <v>2224.02925672942</v>
      </c>
      <c r="D17" s="257">
        <f t="shared" si="7"/>
        <v>2057.8627623517086</v>
      </c>
      <c r="E17" s="257">
        <f t="shared" si="7"/>
        <v>2082.0877535373706</v>
      </c>
      <c r="F17" s="257">
        <f t="shared" si="7"/>
        <v>2142.2281495137572</v>
      </c>
      <c r="G17" s="257">
        <f t="shared" si="7"/>
        <v>2226.1443132793574</v>
      </c>
      <c r="H17" s="257">
        <f t="shared" si="7"/>
        <v>2037.1182000174417</v>
      </c>
      <c r="I17" s="257">
        <f t="shared" si="7"/>
        <v>1854.4212652727531</v>
      </c>
      <c r="J17" s="257">
        <f t="shared" si="7"/>
        <v>1952.1808359694476</v>
      </c>
      <c r="K17" s="257">
        <f t="shared" si="7"/>
        <v>1920.2822042399234</v>
      </c>
      <c r="L17" s="257">
        <f t="shared" si="7"/>
        <v>2055.7768102160308</v>
      </c>
      <c r="M17" s="257">
        <f t="shared" si="7"/>
        <v>2004.3750801225601</v>
      </c>
      <c r="N17" s="257">
        <f t="shared" si="7"/>
        <v>1985.0361064128915</v>
      </c>
      <c r="O17" s="257">
        <f t="shared" si="7"/>
        <v>1935.3947168070722</v>
      </c>
      <c r="P17" s="257">
        <f t="shared" si="7"/>
        <v>1839.7947778236221</v>
      </c>
      <c r="Q17" s="257">
        <f t="shared" si="7"/>
        <v>1774.5620401871142</v>
      </c>
      <c r="R17" s="257">
        <f t="shared" si="7"/>
        <v>1885.8061419473213</v>
      </c>
      <c r="S17" s="257">
        <f t="shared" si="7"/>
        <v>1991.4714173553962</v>
      </c>
      <c r="T17" s="257">
        <f t="shared" si="7"/>
        <v>1964.9351069527149</v>
      </c>
      <c r="U17" s="257">
        <f t="shared" si="7"/>
        <v>1844.7291918897463</v>
      </c>
      <c r="V17" s="257">
        <f t="shared" si="7"/>
        <v>1875.5276308250004</v>
      </c>
      <c r="W17" s="257">
        <f t="shared" si="7"/>
        <v>1843.3738903739004</v>
      </c>
      <c r="X17" s="257">
        <f t="shared" ref="X17:Y17" si="8">SUM(X18:X24)</f>
        <v>1541.683860054733</v>
      </c>
      <c r="Y17" s="257">
        <f t="shared" si="8"/>
        <v>1628.799857594204</v>
      </c>
      <c r="DA17" s="272"/>
    </row>
    <row r="18" spans="1:105" x14ac:dyDescent="0.25">
      <c r="A18" s="61" t="s">
        <v>29</v>
      </c>
      <c r="B18" s="55">
        <v>897.73439380887487</v>
      </c>
      <c r="C18" s="55">
        <v>1000.721668099475</v>
      </c>
      <c r="D18" s="55">
        <v>837.31014617345545</v>
      </c>
      <c r="E18" s="55">
        <v>813.9361994839295</v>
      </c>
      <c r="F18" s="55">
        <v>854.74815133258539</v>
      </c>
      <c r="G18" s="55">
        <v>930.99002579516718</v>
      </c>
      <c r="H18" s="55">
        <v>1098.5979363712729</v>
      </c>
      <c r="I18" s="55">
        <v>972.30197764372122</v>
      </c>
      <c r="J18" s="55">
        <v>1081.88271711061</v>
      </c>
      <c r="K18" s="55">
        <v>1072.6562338776</v>
      </c>
      <c r="L18" s="55">
        <v>1191.9597592429959</v>
      </c>
      <c r="M18" s="55">
        <v>1046.9286328457831</v>
      </c>
      <c r="N18" s="55">
        <v>1086.790025795028</v>
      </c>
      <c r="O18" s="55">
        <v>1062.23293207191</v>
      </c>
      <c r="P18" s="55">
        <v>1010.60326741157</v>
      </c>
      <c r="Q18" s="55">
        <v>917.9178847804792</v>
      </c>
      <c r="R18" s="55">
        <v>976.23972484925969</v>
      </c>
      <c r="S18" s="55">
        <v>969.30988821997221</v>
      </c>
      <c r="T18" s="55">
        <v>909.69045571783954</v>
      </c>
      <c r="U18" s="55">
        <v>735.06285468604642</v>
      </c>
      <c r="V18" s="55">
        <v>754.24213241605082</v>
      </c>
      <c r="W18" s="55">
        <v>618.62355975914807</v>
      </c>
      <c r="X18" s="55">
        <v>487.35631986227219</v>
      </c>
      <c r="Y18" s="55">
        <v>440.66973344790159</v>
      </c>
      <c r="DA18" s="101" t="s">
        <v>1005</v>
      </c>
    </row>
    <row r="19" spans="1:105" x14ac:dyDescent="0.25">
      <c r="A19" s="61" t="s">
        <v>27</v>
      </c>
      <c r="B19" s="55">
        <v>45.189681857253653</v>
      </c>
      <c r="C19" s="55">
        <v>56.487016337044231</v>
      </c>
      <c r="D19" s="55">
        <v>67.78443680135689</v>
      </c>
      <c r="E19" s="55">
        <v>79.081857265676319</v>
      </c>
      <c r="F19" s="55">
        <v>79.081857265676007</v>
      </c>
      <c r="G19" s="55">
        <v>79.081857265676064</v>
      </c>
      <c r="H19" s="55">
        <v>56.487016337050093</v>
      </c>
      <c r="I19" s="55">
        <v>56.487016337041737</v>
      </c>
      <c r="J19" s="55">
        <v>57.616766981926752</v>
      </c>
      <c r="K19" s="55">
        <v>49.441100601877757</v>
      </c>
      <c r="L19" s="55">
        <v>54.934565778144233</v>
      </c>
      <c r="M19" s="55">
        <v>56.033276010301833</v>
      </c>
      <c r="N19" s="55">
        <v>54.934565778143323</v>
      </c>
      <c r="O19" s="55">
        <v>54.934565778143543</v>
      </c>
      <c r="P19" s="55">
        <v>58.230610490094769</v>
      </c>
      <c r="Q19" s="55">
        <v>62.625365434204099</v>
      </c>
      <c r="R19" s="55">
        <v>65.92149613067842</v>
      </c>
      <c r="S19" s="55">
        <v>68.118830610479691</v>
      </c>
      <c r="T19" s="55">
        <v>68.118830610480273</v>
      </c>
      <c r="U19" s="55">
        <v>71.414961306954055</v>
      </c>
      <c r="V19" s="55">
        <v>68.118830610479762</v>
      </c>
      <c r="W19" s="55">
        <v>63.724075666370233</v>
      </c>
      <c r="X19" s="55">
        <v>20.48615649182506</v>
      </c>
      <c r="Y19" s="55">
        <v>49.441100601882937</v>
      </c>
      <c r="DA19" s="101" t="s">
        <v>1006</v>
      </c>
    </row>
    <row r="20" spans="1:105" x14ac:dyDescent="0.25">
      <c r="A20" s="61" t="s">
        <v>166</v>
      </c>
      <c r="B20" s="55">
        <v>625.66802458041582</v>
      </c>
      <c r="C20" s="55">
        <v>539.08745332731769</v>
      </c>
      <c r="D20" s="55">
        <v>579.34704263518722</v>
      </c>
      <c r="E20" s="55">
        <v>563.95483066329359</v>
      </c>
      <c r="F20" s="55">
        <v>568.4828725008465</v>
      </c>
      <c r="G20" s="55">
        <v>567.21057545416977</v>
      </c>
      <c r="H20" s="55">
        <v>340.06340107248349</v>
      </c>
      <c r="I20" s="55">
        <v>319.70733431058238</v>
      </c>
      <c r="J20" s="55">
        <v>302.09438951911699</v>
      </c>
      <c r="K20" s="55">
        <v>293.35341612958263</v>
      </c>
      <c r="L20" s="55">
        <v>269.01199958995301</v>
      </c>
      <c r="M20" s="55">
        <v>282.7633925545868</v>
      </c>
      <c r="N20" s="55">
        <v>291.26163986570953</v>
      </c>
      <c r="O20" s="55">
        <v>286.6734247415763</v>
      </c>
      <c r="P20" s="55">
        <v>281.21346006040869</v>
      </c>
      <c r="Q20" s="55">
        <v>286.38023360992588</v>
      </c>
      <c r="R20" s="55">
        <v>302.21816102807321</v>
      </c>
      <c r="S20" s="55">
        <v>411.69831969545999</v>
      </c>
      <c r="T20" s="55">
        <v>464.82557137569017</v>
      </c>
      <c r="U20" s="55">
        <v>537.93891649638158</v>
      </c>
      <c r="V20" s="55">
        <v>539.44127173343327</v>
      </c>
      <c r="W20" s="55">
        <v>555.23710451715965</v>
      </c>
      <c r="X20" s="55">
        <v>547.94096696158272</v>
      </c>
      <c r="Y20" s="55">
        <v>684.08916379331617</v>
      </c>
      <c r="DA20" s="101" t="s">
        <v>1007</v>
      </c>
    </row>
    <row r="21" spans="1:105" x14ac:dyDescent="0.25">
      <c r="A21" s="61" t="s">
        <v>129</v>
      </c>
      <c r="B21" s="55">
        <v>210.78383490965999</v>
      </c>
      <c r="C21" s="55">
        <v>164.31883061044621</v>
      </c>
      <c r="D21" s="55">
        <v>109.3627687016032</v>
      </c>
      <c r="E21" s="55">
        <v>158.4240756663483</v>
      </c>
      <c r="F21" s="55">
        <v>152.92588134132731</v>
      </c>
      <c r="G21" s="55">
        <v>182.93207222696191</v>
      </c>
      <c r="H21" s="55">
        <v>51.793809114350957</v>
      </c>
      <c r="I21" s="55">
        <v>34.238607050720198</v>
      </c>
      <c r="J21" s="55">
        <v>39.144539982791883</v>
      </c>
      <c r="K21" s="55">
        <v>36.089595872732758</v>
      </c>
      <c r="L21" s="55">
        <v>24.075666380044719</v>
      </c>
      <c r="M21" s="55">
        <v>32.674118658631933</v>
      </c>
      <c r="N21" s="55">
        <v>34.584866723979218</v>
      </c>
      <c r="O21" s="55">
        <v>16.504299226134371</v>
      </c>
      <c r="P21" s="55">
        <v>13.54187446259278</v>
      </c>
      <c r="Q21" s="55">
        <v>10.58082545141575</v>
      </c>
      <c r="R21" s="55">
        <v>14.402407566634061</v>
      </c>
      <c r="S21" s="55">
        <v>15.922699914013039</v>
      </c>
      <c r="T21" s="55">
        <v>10.811607910574541</v>
      </c>
      <c r="U21" s="55">
        <v>11.026569217539191</v>
      </c>
      <c r="V21" s="55">
        <v>10.96990541702327</v>
      </c>
      <c r="W21" s="55">
        <v>7.3548581255362686</v>
      </c>
      <c r="X21" s="55">
        <v>2.2211521926046371</v>
      </c>
      <c r="Y21" s="55">
        <v>2.4315563198619961</v>
      </c>
      <c r="DA21" s="101" t="s">
        <v>1008</v>
      </c>
    </row>
    <row r="22" spans="1:105" x14ac:dyDescent="0.25">
      <c r="A22" s="61" t="s">
        <v>169</v>
      </c>
      <c r="B22" s="55">
        <v>5.8735173725048231</v>
      </c>
      <c r="C22" s="55">
        <v>8.0784328092569293</v>
      </c>
      <c r="D22" s="55">
        <v>10.012280336019151</v>
      </c>
      <c r="E22" s="55">
        <v>12.47754884170496</v>
      </c>
      <c r="F22" s="55">
        <v>12.21148509577508</v>
      </c>
      <c r="G22" s="55">
        <v>11.00003189259122</v>
      </c>
      <c r="H22" s="55">
        <v>13.00974305529412</v>
      </c>
      <c r="I22" s="55">
        <v>16.398281779496521</v>
      </c>
      <c r="J22" s="55">
        <v>17.062026846327189</v>
      </c>
      <c r="K22" s="55">
        <v>14.218126029969101</v>
      </c>
      <c r="L22" s="55">
        <v>12.11657330930144</v>
      </c>
      <c r="M22" s="55">
        <v>14.393544834162419</v>
      </c>
      <c r="N22" s="55">
        <v>17.130614441068481</v>
      </c>
      <c r="O22" s="55">
        <v>14.977869881976581</v>
      </c>
      <c r="P22" s="55">
        <v>14.99412945756014</v>
      </c>
      <c r="Q22" s="55">
        <v>13.25145404106307</v>
      </c>
      <c r="R22" s="55">
        <v>14.50878917419211</v>
      </c>
      <c r="S22" s="55">
        <v>18.24308906172239</v>
      </c>
      <c r="T22" s="55">
        <v>16.249260426766071</v>
      </c>
      <c r="U22" s="55">
        <v>20.729914258561649</v>
      </c>
      <c r="V22" s="55">
        <v>23.43829374352897</v>
      </c>
      <c r="W22" s="55">
        <v>27.76688043991004</v>
      </c>
      <c r="X22" s="55">
        <v>24.637905991132001</v>
      </c>
      <c r="Y22" s="55">
        <v>26.118174454532198</v>
      </c>
      <c r="DA22" s="101" t="s">
        <v>1009</v>
      </c>
    </row>
    <row r="23" spans="1:105" x14ac:dyDescent="0.25">
      <c r="A23" s="61" t="s">
        <v>164</v>
      </c>
      <c r="B23" s="55">
        <v>409.02355975913429</v>
      </c>
      <c r="C23" s="55">
        <v>455.33585554588001</v>
      </c>
      <c r="D23" s="55">
        <v>454.04608770408669</v>
      </c>
      <c r="E23" s="55">
        <v>454.21324161641797</v>
      </c>
      <c r="F23" s="55">
        <v>474.77790197754689</v>
      </c>
      <c r="G23" s="55">
        <v>454.92975064479128</v>
      </c>
      <c r="H23" s="55">
        <v>477.16629406699008</v>
      </c>
      <c r="I23" s="55">
        <v>455.28804815119088</v>
      </c>
      <c r="J23" s="55">
        <v>454.3803955286748</v>
      </c>
      <c r="K23" s="55">
        <v>454.52373172816112</v>
      </c>
      <c r="L23" s="55">
        <v>503.67824591559122</v>
      </c>
      <c r="M23" s="55">
        <v>571.58211521909413</v>
      </c>
      <c r="N23" s="55">
        <v>500.33439380896311</v>
      </c>
      <c r="O23" s="55">
        <v>500.07162510733139</v>
      </c>
      <c r="P23" s="55">
        <v>461.21143594139568</v>
      </c>
      <c r="Q23" s="55">
        <v>483.8062768700263</v>
      </c>
      <c r="R23" s="55">
        <v>512.51556319848373</v>
      </c>
      <c r="S23" s="55">
        <v>508.17858985374858</v>
      </c>
      <c r="T23" s="55">
        <v>495.23938091136438</v>
      </c>
      <c r="U23" s="55">
        <v>468.55597592426341</v>
      </c>
      <c r="V23" s="55">
        <v>479.31719690448432</v>
      </c>
      <c r="W23" s="55">
        <v>570.66741186577622</v>
      </c>
      <c r="X23" s="55">
        <v>459.04135855531649</v>
      </c>
      <c r="Y23" s="55">
        <v>426.050128976709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212.45988435318949</v>
      </c>
      <c r="C25" s="257">
        <v>204.05517708235089</v>
      </c>
      <c r="D25" s="257">
        <v>198.57293209516479</v>
      </c>
      <c r="E25" s="257">
        <v>197.79538313590291</v>
      </c>
      <c r="F25" s="257">
        <v>202.0712143544591</v>
      </c>
      <c r="G25" s="257">
        <v>207.02441774433899</v>
      </c>
      <c r="H25" s="257">
        <v>164.279207845245</v>
      </c>
      <c r="I25" s="257">
        <v>151.48881442781089</v>
      </c>
      <c r="J25" s="257">
        <v>153.72718999688561</v>
      </c>
      <c r="K25" s="257">
        <v>150.43493229104271</v>
      </c>
      <c r="L25" s="257">
        <v>152.54403440157861</v>
      </c>
      <c r="M25" s="257">
        <v>152.74413030299979</v>
      </c>
      <c r="N25" s="257">
        <v>153.4698452821647</v>
      </c>
      <c r="O25" s="257">
        <v>150.03118680687109</v>
      </c>
      <c r="P25" s="257">
        <v>144.19448819480209</v>
      </c>
      <c r="Q25" s="257">
        <v>141.63425053834439</v>
      </c>
      <c r="R25" s="257">
        <v>150.1752978522704</v>
      </c>
      <c r="S25" s="257">
        <v>173.02871379867739</v>
      </c>
      <c r="T25" s="257">
        <v>178.59329363145929</v>
      </c>
      <c r="U25" s="257">
        <v>180.05470408672079</v>
      </c>
      <c r="V25" s="257">
        <v>182.30675417094309</v>
      </c>
      <c r="W25" s="257">
        <v>182.12800450486449</v>
      </c>
      <c r="X25" s="257">
        <v>160.90518457192229</v>
      </c>
      <c r="Y25" s="257">
        <v>179.4472711307599</v>
      </c>
      <c r="DA25" s="272" t="s">
        <v>1012</v>
      </c>
    </row>
    <row r="26" spans="1:105" x14ac:dyDescent="0.25">
      <c r="A26" s="256" t="s">
        <v>170</v>
      </c>
      <c r="B26" s="257">
        <v>73.785596908448511</v>
      </c>
      <c r="C26" s="257">
        <v>71.379412126266701</v>
      </c>
      <c r="D26" s="257">
        <v>68.585296825401741</v>
      </c>
      <c r="E26" s="257">
        <v>25.30369908129812</v>
      </c>
      <c r="F26" s="257">
        <v>24.804057019722201</v>
      </c>
      <c r="G26" s="257">
        <v>25.46185045181598</v>
      </c>
      <c r="H26" s="257">
        <v>25.69119003389552</v>
      </c>
      <c r="I26" s="257">
        <v>25.26955599754379</v>
      </c>
      <c r="J26" s="257">
        <v>27.224837283540388</v>
      </c>
      <c r="K26" s="257">
        <v>26.905973875248431</v>
      </c>
      <c r="L26" s="257">
        <v>27.008770554767409</v>
      </c>
      <c r="M26" s="257">
        <v>26.684056527269291</v>
      </c>
      <c r="N26" s="257">
        <v>26.123297845623309</v>
      </c>
      <c r="O26" s="257">
        <v>25.77464280390716</v>
      </c>
      <c r="P26" s="257">
        <v>25.105324341619951</v>
      </c>
      <c r="Q26" s="257">
        <v>25.19455389330605</v>
      </c>
      <c r="R26" s="257">
        <v>27.26822696234726</v>
      </c>
      <c r="S26" s="257">
        <v>28.85496782123036</v>
      </c>
      <c r="T26" s="257">
        <v>31.00269374717135</v>
      </c>
      <c r="U26" s="257">
        <v>30.892265341939801</v>
      </c>
      <c r="V26" s="257">
        <v>31.006285317245339</v>
      </c>
      <c r="W26" s="257">
        <v>30.808890558266899</v>
      </c>
      <c r="X26" s="257">
        <v>27.707035080090861</v>
      </c>
      <c r="Y26" s="257">
        <v>28.002569551876441</v>
      </c>
      <c r="DA26" s="272" t="s">
        <v>1013</v>
      </c>
    </row>
    <row r="27" spans="1:105" x14ac:dyDescent="0.25">
      <c r="A27" s="128" t="s">
        <v>33</v>
      </c>
      <c r="B27" s="258">
        <v>106.9891155172504</v>
      </c>
      <c r="C27" s="258">
        <v>103.5001475830867</v>
      </c>
      <c r="D27" s="258">
        <v>99.448680396832529</v>
      </c>
      <c r="E27" s="258">
        <v>36.690363667882274</v>
      </c>
      <c r="F27" s="258">
        <v>35.96588267859719</v>
      </c>
      <c r="G27" s="258">
        <v>36.919683155133178</v>
      </c>
      <c r="H27" s="258">
        <v>37.252225549148513</v>
      </c>
      <c r="I27" s="258">
        <v>36.640856196438477</v>
      </c>
      <c r="J27" s="258">
        <v>39.476014061133547</v>
      </c>
      <c r="K27" s="258">
        <v>39.013662119110222</v>
      </c>
      <c r="L27" s="258">
        <v>39.162717304412737</v>
      </c>
      <c r="M27" s="258">
        <v>38.691881964540457</v>
      </c>
      <c r="N27" s="258">
        <v>37.878781876153802</v>
      </c>
      <c r="O27" s="258">
        <v>37.373232065665377</v>
      </c>
      <c r="P27" s="258">
        <v>36.402720295348921</v>
      </c>
      <c r="Q27" s="258">
        <v>36.532103145293767</v>
      </c>
      <c r="R27" s="258">
        <v>39.538929095403539</v>
      </c>
      <c r="S27" s="258">
        <v>41.839703340784027</v>
      </c>
      <c r="T27" s="258">
        <v>44.953905933398453</v>
      </c>
      <c r="U27" s="258">
        <v>44.793784745812722</v>
      </c>
      <c r="V27" s="258">
        <v>44.959113710005752</v>
      </c>
      <c r="W27" s="258">
        <v>44.672891309487007</v>
      </c>
      <c r="X27" s="258">
        <v>40.175200866131753</v>
      </c>
      <c r="Y27" s="258">
        <v>40.603725850220847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0.99999999999999978</v>
      </c>
      <c r="E31" s="235">
        <f t="shared" si="9"/>
        <v>1.0000000000000002</v>
      </c>
      <c r="F31" s="235">
        <f t="shared" si="9"/>
        <v>1.0000000000000002</v>
      </c>
      <c r="G31" s="235">
        <f t="shared" si="9"/>
        <v>0.99999999999999989</v>
      </c>
      <c r="H31" s="235">
        <f t="shared" si="9"/>
        <v>1</v>
      </c>
      <c r="I31" s="235">
        <f t="shared" si="9"/>
        <v>0.99999999999999989</v>
      </c>
      <c r="J31" s="235">
        <f t="shared" si="9"/>
        <v>1.0000000000000002</v>
      </c>
      <c r="K31" s="235">
        <f t="shared" si="9"/>
        <v>1</v>
      </c>
      <c r="L31" s="235">
        <f t="shared" si="9"/>
        <v>0.99999999999999989</v>
      </c>
      <c r="M31" s="235">
        <f t="shared" si="9"/>
        <v>1</v>
      </c>
      <c r="N31" s="235">
        <f t="shared" si="9"/>
        <v>0.99999999999999989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0.99999999999999989</v>
      </c>
      <c r="S31" s="235">
        <f t="shared" si="10"/>
        <v>1</v>
      </c>
      <c r="T31" s="235">
        <f t="shared" si="10"/>
        <v>1.0000000000000002</v>
      </c>
      <c r="U31" s="235">
        <f t="shared" si="10"/>
        <v>1</v>
      </c>
      <c r="V31" s="235">
        <f t="shared" si="10"/>
        <v>1</v>
      </c>
      <c r="W31" s="235">
        <f t="shared" si="10"/>
        <v>1.0000000000000002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1.5737904796689666E-2</v>
      </c>
      <c r="C32" s="244">
        <f t="shared" si="12"/>
        <v>1.5435449678820807E-2</v>
      </c>
      <c r="D32" s="244">
        <f t="shared" si="12"/>
        <v>1.5626510671966819E-2</v>
      </c>
      <c r="E32" s="244">
        <f t="shared" si="12"/>
        <v>6.0164659310652686E-3</v>
      </c>
      <c r="F32" s="244">
        <f t="shared" si="12"/>
        <v>5.7591979764123448E-3</v>
      </c>
      <c r="G32" s="244">
        <f t="shared" si="12"/>
        <v>5.7320187267038804E-3</v>
      </c>
      <c r="H32" s="244">
        <f t="shared" si="12"/>
        <v>6.7194708113524591E-3</v>
      </c>
      <c r="I32" s="244">
        <f t="shared" si="12"/>
        <v>7.1958682348530157E-3</v>
      </c>
      <c r="J32" s="244">
        <f t="shared" si="12"/>
        <v>7.4755470139122081E-3</v>
      </c>
      <c r="K32" s="244">
        <f t="shared" si="12"/>
        <v>7.5275210628179649E-3</v>
      </c>
      <c r="L32" s="244">
        <f t="shared" si="12"/>
        <v>7.2383629165885099E-3</v>
      </c>
      <c r="M32" s="244">
        <f t="shared" si="12"/>
        <v>7.2497378587444792E-3</v>
      </c>
      <c r="N32" s="244">
        <f t="shared" si="12"/>
        <v>7.1229082475010915E-3</v>
      </c>
      <c r="O32" s="244">
        <f t="shared" si="12"/>
        <v>7.1987223384294982E-3</v>
      </c>
      <c r="P32" s="244">
        <f t="shared" si="12"/>
        <v>7.3364588518219608E-3</v>
      </c>
      <c r="Q32" s="244">
        <f t="shared" si="12"/>
        <v>7.5654931487646945E-3</v>
      </c>
      <c r="R32" s="244">
        <f t="shared" si="12"/>
        <v>7.7081811363583106E-3</v>
      </c>
      <c r="S32" s="244">
        <f t="shared" si="12"/>
        <v>7.4330396330311785E-3</v>
      </c>
      <c r="T32" s="244">
        <f t="shared" si="12"/>
        <v>7.91032581509837E-3</v>
      </c>
      <c r="U32" s="244">
        <f t="shared" si="12"/>
        <v>8.0991656836457166E-3</v>
      </c>
      <c r="V32" s="244">
        <f t="shared" si="12"/>
        <v>8.0135879202614252E-3</v>
      </c>
      <c r="W32" s="244">
        <f t="shared" si="12"/>
        <v>8.0310510196925471E-3</v>
      </c>
      <c r="X32" s="244">
        <f t="shared" si="12"/>
        <v>8.3850094210235013E-3</v>
      </c>
      <c r="Y32" s="244">
        <f t="shared" si="12"/>
        <v>7.8238189760824143E-3</v>
      </c>
      <c r="DA32" s="275"/>
    </row>
    <row r="33" spans="1:105" x14ac:dyDescent="0.25">
      <c r="A33" s="240" t="s">
        <v>124</v>
      </c>
      <c r="B33" s="245">
        <f t="shared" ref="B33:Y33" si="13">IF(B$7=0,0,B$7/B$5)</f>
        <v>1.0229638117848281E-2</v>
      </c>
      <c r="C33" s="245">
        <f t="shared" si="13"/>
        <v>1.0033042291233524E-2</v>
      </c>
      <c r="D33" s="245">
        <f t="shared" si="13"/>
        <v>1.0157231936778428E-2</v>
      </c>
      <c r="E33" s="245">
        <f t="shared" si="13"/>
        <v>3.9107028551924224E-3</v>
      </c>
      <c r="F33" s="245">
        <f t="shared" si="13"/>
        <v>3.7434786846680234E-3</v>
      </c>
      <c r="G33" s="245">
        <f t="shared" si="13"/>
        <v>3.725812172357523E-3</v>
      </c>
      <c r="H33" s="245">
        <f t="shared" si="13"/>
        <v>4.3676560273790965E-3</v>
      </c>
      <c r="I33" s="245">
        <f t="shared" si="13"/>
        <v>4.6773143526544587E-3</v>
      </c>
      <c r="J33" s="245">
        <f t="shared" si="13"/>
        <v>4.8591055590429351E-3</v>
      </c>
      <c r="K33" s="245">
        <f t="shared" si="13"/>
        <v>4.8928886908316772E-3</v>
      </c>
      <c r="L33" s="245">
        <f t="shared" si="13"/>
        <v>4.7049358957825327E-3</v>
      </c>
      <c r="M33" s="245">
        <f t="shared" si="13"/>
        <v>4.712329608183909E-3</v>
      </c>
      <c r="N33" s="245">
        <f t="shared" si="13"/>
        <v>4.6298903608757089E-3</v>
      </c>
      <c r="O33" s="245">
        <f t="shared" si="13"/>
        <v>4.6791695199791721E-3</v>
      </c>
      <c r="P33" s="245">
        <f t="shared" si="13"/>
        <v>4.7686982536842715E-3</v>
      </c>
      <c r="Q33" s="245">
        <f t="shared" si="13"/>
        <v>4.9175705466970501E-3</v>
      </c>
      <c r="R33" s="245">
        <f t="shared" si="13"/>
        <v>5.0103177386329025E-3</v>
      </c>
      <c r="S33" s="245">
        <f t="shared" si="13"/>
        <v>4.8314757614702645E-3</v>
      </c>
      <c r="T33" s="245">
        <f t="shared" si="13"/>
        <v>5.1417117798139384E-3</v>
      </c>
      <c r="U33" s="245">
        <f t="shared" si="13"/>
        <v>5.2644576943697155E-3</v>
      </c>
      <c r="V33" s="245">
        <f t="shared" si="13"/>
        <v>5.208832148169926E-3</v>
      </c>
      <c r="W33" s="245">
        <f t="shared" si="13"/>
        <v>5.2201831628001542E-3</v>
      </c>
      <c r="X33" s="245">
        <f t="shared" si="13"/>
        <v>5.450256123665273E-3</v>
      </c>
      <c r="Y33" s="245">
        <f t="shared" si="13"/>
        <v>5.0854823344535704E-3</v>
      </c>
      <c r="DA33" s="276"/>
    </row>
    <row r="34" spans="1:105" x14ac:dyDescent="0.25">
      <c r="A34" s="240" t="s">
        <v>123</v>
      </c>
      <c r="B34" s="245">
        <f t="shared" ref="B34:Y34" si="14">IF(B$8=0,0,B$8/B$5)</f>
        <v>1.4164114317020698E-2</v>
      </c>
      <c r="C34" s="245">
        <f t="shared" si="14"/>
        <v>1.389190471093873E-2</v>
      </c>
      <c r="D34" s="245">
        <f t="shared" si="14"/>
        <v>1.4063859604770133E-2</v>
      </c>
      <c r="E34" s="245">
        <f t="shared" si="14"/>
        <v>5.4148193379587395E-3</v>
      </c>
      <c r="F34" s="245">
        <f t="shared" si="14"/>
        <v>5.1832781787711103E-3</v>
      </c>
      <c r="G34" s="245">
        <f t="shared" si="14"/>
        <v>5.1588168540334933E-3</v>
      </c>
      <c r="H34" s="245">
        <f t="shared" si="14"/>
        <v>6.0475237302172139E-3</v>
      </c>
      <c r="I34" s="245">
        <f t="shared" si="14"/>
        <v>6.4762814113677137E-3</v>
      </c>
      <c r="J34" s="245">
        <f t="shared" si="14"/>
        <v>6.7279923125209869E-3</v>
      </c>
      <c r="K34" s="245">
        <f t="shared" si="14"/>
        <v>6.7747689565361667E-3</v>
      </c>
      <c r="L34" s="245">
        <f t="shared" si="14"/>
        <v>6.5145266249296598E-3</v>
      </c>
      <c r="M34" s="245">
        <f t="shared" si="14"/>
        <v>6.5247640728700275E-3</v>
      </c>
      <c r="N34" s="245">
        <f t="shared" si="14"/>
        <v>6.4106174227509822E-3</v>
      </c>
      <c r="O34" s="245">
        <f t="shared" si="14"/>
        <v>6.4788501045865499E-3</v>
      </c>
      <c r="P34" s="245">
        <f t="shared" si="14"/>
        <v>6.6028129666397626E-3</v>
      </c>
      <c r="Q34" s="245">
        <f t="shared" si="14"/>
        <v>6.8089438338882237E-3</v>
      </c>
      <c r="R34" s="245">
        <f t="shared" si="14"/>
        <v>6.9373630227224812E-3</v>
      </c>
      <c r="S34" s="245">
        <f t="shared" si="14"/>
        <v>6.6897356697280617E-3</v>
      </c>
      <c r="T34" s="245">
        <f t="shared" si="14"/>
        <v>7.1192932335885301E-3</v>
      </c>
      <c r="U34" s="245">
        <f t="shared" si="14"/>
        <v>7.2892491152811451E-3</v>
      </c>
      <c r="V34" s="245">
        <f t="shared" si="14"/>
        <v>7.2122291282352849E-3</v>
      </c>
      <c r="W34" s="245">
        <f t="shared" si="14"/>
        <v>7.2279459177232901E-3</v>
      </c>
      <c r="X34" s="245">
        <f t="shared" si="14"/>
        <v>7.5465084789211523E-3</v>
      </c>
      <c r="Y34" s="245">
        <f t="shared" si="14"/>
        <v>7.0414370784741736E-3</v>
      </c>
      <c r="DA34" s="276"/>
    </row>
    <row r="35" spans="1:105" x14ac:dyDescent="0.25">
      <c r="A35" s="242" t="s">
        <v>122</v>
      </c>
      <c r="B35" s="246">
        <f t="shared" ref="B35:Y35" si="15">IF(B$9=0,0,B$9/B$5)</f>
        <v>0.1721459803748501</v>
      </c>
      <c r="C35" s="246">
        <f t="shared" si="15"/>
        <v>0.16812811857470564</v>
      </c>
      <c r="D35" s="246">
        <f t="shared" si="15"/>
        <v>0.17231366238324317</v>
      </c>
      <c r="E35" s="246">
        <f t="shared" si="15"/>
        <v>0.18308406291613583</v>
      </c>
      <c r="F35" s="246">
        <f t="shared" si="15"/>
        <v>0.18272081484322525</v>
      </c>
      <c r="G35" s="246">
        <f t="shared" si="15"/>
        <v>0.1810423668078523</v>
      </c>
      <c r="H35" s="246">
        <f t="shared" si="15"/>
        <v>0.16703104067432417</v>
      </c>
      <c r="I35" s="246">
        <f t="shared" si="15"/>
        <v>0.16831387991679744</v>
      </c>
      <c r="J35" s="246">
        <f t="shared" si="15"/>
        <v>0.16470115389041301</v>
      </c>
      <c r="K35" s="246">
        <f t="shared" si="15"/>
        <v>0.1640105145896644</v>
      </c>
      <c r="L35" s="246">
        <f t="shared" si="15"/>
        <v>0.15922621764567216</v>
      </c>
      <c r="M35" s="246">
        <f t="shared" si="15"/>
        <v>0.16172670147467483</v>
      </c>
      <c r="N35" s="246">
        <f t="shared" si="15"/>
        <v>0.16352223857736309</v>
      </c>
      <c r="O35" s="246">
        <f t="shared" si="15"/>
        <v>0.1634933291401256</v>
      </c>
      <c r="P35" s="246">
        <f t="shared" si="15"/>
        <v>0.16425647498867438</v>
      </c>
      <c r="Q35" s="246">
        <f t="shared" si="15"/>
        <v>0.16544192883579681</v>
      </c>
      <c r="R35" s="246">
        <f t="shared" si="15"/>
        <v>0.16500833413867549</v>
      </c>
      <c r="S35" s="246">
        <f t="shared" si="15"/>
        <v>0.17330400190694648</v>
      </c>
      <c r="T35" s="246">
        <f t="shared" si="15"/>
        <v>0.17639005186406725</v>
      </c>
      <c r="U35" s="246">
        <f t="shared" si="15"/>
        <v>0.18299661924087499</v>
      </c>
      <c r="V35" s="246">
        <f t="shared" si="15"/>
        <v>0.18288367929373564</v>
      </c>
      <c r="W35" s="246">
        <f t="shared" si="15"/>
        <v>0.18478427318593718</v>
      </c>
      <c r="X35" s="246">
        <f t="shared" si="15"/>
        <v>0.18940829427291231</v>
      </c>
      <c r="Y35" s="246">
        <f t="shared" si="15"/>
        <v>0.19474835044132754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0.23582673345764604</v>
      </c>
      <c r="C36" s="259">
        <f t="shared" si="16"/>
        <v>0.22963321857554969</v>
      </c>
      <c r="D36" s="259">
        <f t="shared" si="16"/>
        <v>0.23544627008164373</v>
      </c>
      <c r="E36" s="259">
        <f t="shared" si="16"/>
        <v>0.24474530743199535</v>
      </c>
      <c r="F36" s="259">
        <f t="shared" si="16"/>
        <v>0.24416562086503346</v>
      </c>
      <c r="G36" s="259">
        <f t="shared" si="16"/>
        <v>0.24253810793949301</v>
      </c>
      <c r="H36" s="259">
        <f t="shared" si="16"/>
        <v>0.22360124948530627</v>
      </c>
      <c r="I36" s="259">
        <f t="shared" si="16"/>
        <v>0.22449513490966083</v>
      </c>
      <c r="J36" s="259">
        <f t="shared" si="16"/>
        <v>0.2196691901514419</v>
      </c>
      <c r="K36" s="259">
        <f t="shared" si="16"/>
        <v>0.2190245183494848</v>
      </c>
      <c r="L36" s="259">
        <f t="shared" si="16"/>
        <v>0.21275096690459377</v>
      </c>
      <c r="M36" s="259">
        <f t="shared" si="16"/>
        <v>0.21596121254880657</v>
      </c>
      <c r="N36" s="259">
        <f t="shared" si="16"/>
        <v>0.21776755704660788</v>
      </c>
      <c r="O36" s="259">
        <f t="shared" si="16"/>
        <v>0.21806455923315179</v>
      </c>
      <c r="P36" s="259">
        <f t="shared" si="16"/>
        <v>0.2192855857719839</v>
      </c>
      <c r="Q36" s="259">
        <f t="shared" si="16"/>
        <v>0.22132966875114662</v>
      </c>
      <c r="R36" s="259">
        <f t="shared" si="16"/>
        <v>0.2209196209562467</v>
      </c>
      <c r="S36" s="259">
        <f t="shared" si="16"/>
        <v>0.23195557197245739</v>
      </c>
      <c r="T36" s="259">
        <f t="shared" si="16"/>
        <v>0.23713784238139238</v>
      </c>
      <c r="U36" s="259">
        <f t="shared" si="16"/>
        <v>0.2456607508657235</v>
      </c>
      <c r="V36" s="259">
        <f t="shared" si="16"/>
        <v>0.24520018965681276</v>
      </c>
      <c r="W36" s="259">
        <f t="shared" si="16"/>
        <v>0.24706648155582089</v>
      </c>
      <c r="X36" s="259">
        <f t="shared" si="16"/>
        <v>0.25341032974886679</v>
      </c>
      <c r="Y36" s="259">
        <f t="shared" si="16"/>
        <v>0.26091469697573744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0.46802169003497557</v>
      </c>
      <c r="C37" s="259">
        <f t="shared" si="17"/>
        <v>0.48093547780620649</v>
      </c>
      <c r="D37" s="259">
        <f t="shared" si="17"/>
        <v>0.46886455123457477</v>
      </c>
      <c r="E37" s="259">
        <f t="shared" si="17"/>
        <v>0.49505844953334643</v>
      </c>
      <c r="F37" s="259">
        <f t="shared" si="17"/>
        <v>0.49739911555127397</v>
      </c>
      <c r="G37" s="259">
        <f t="shared" si="17"/>
        <v>0.50115371293261757</v>
      </c>
      <c r="H37" s="259">
        <f t="shared" si="17"/>
        <v>0.5328035122636362</v>
      </c>
      <c r="I37" s="259">
        <f t="shared" si="17"/>
        <v>0.52807303294562036</v>
      </c>
      <c r="J37" s="259">
        <f t="shared" si="17"/>
        <v>0.53604065533831724</v>
      </c>
      <c r="K37" s="259">
        <f t="shared" si="17"/>
        <v>0.53723997525575773</v>
      </c>
      <c r="L37" s="259">
        <f t="shared" si="17"/>
        <v>0.55094912956797781</v>
      </c>
      <c r="M37" s="259">
        <f t="shared" si="17"/>
        <v>0.54456464993014198</v>
      </c>
      <c r="N37" s="259">
        <f t="shared" si="17"/>
        <v>0.54124981223703816</v>
      </c>
      <c r="O37" s="259">
        <f t="shared" si="17"/>
        <v>0.54054557758781063</v>
      </c>
      <c r="P37" s="259">
        <f t="shared" si="17"/>
        <v>0.53763809220833125</v>
      </c>
      <c r="Q37" s="259">
        <f t="shared" si="17"/>
        <v>0.53287059631806066</v>
      </c>
      <c r="R37" s="259">
        <f t="shared" si="17"/>
        <v>0.53307959297312923</v>
      </c>
      <c r="S37" s="259">
        <f t="shared" si="17"/>
        <v>0.51300303174693529</v>
      </c>
      <c r="T37" s="259">
        <f t="shared" si="17"/>
        <v>0.50135246402384925</v>
      </c>
      <c r="U37" s="259">
        <f t="shared" si="17"/>
        <v>0.48364104092713195</v>
      </c>
      <c r="V37" s="259">
        <f t="shared" si="17"/>
        <v>0.48473093157458641</v>
      </c>
      <c r="W37" s="259">
        <f t="shared" si="17"/>
        <v>0.48051810674466283</v>
      </c>
      <c r="X37" s="259">
        <f t="shared" si="17"/>
        <v>0.46656142215980551</v>
      </c>
      <c r="Y37" s="259">
        <f t="shared" si="17"/>
        <v>0.45508092428724761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4.5316072149080074E-2</v>
      </c>
      <c r="C38" s="259">
        <f t="shared" si="18"/>
        <v>4.412593664943415E-2</v>
      </c>
      <c r="D38" s="259">
        <f t="shared" si="18"/>
        <v>4.5242962940704005E-2</v>
      </c>
      <c r="E38" s="259">
        <f t="shared" si="18"/>
        <v>4.7029850463196042E-2</v>
      </c>
      <c r="F38" s="259">
        <f t="shared" si="18"/>
        <v>4.6918458858405732E-2</v>
      </c>
      <c r="G38" s="259">
        <f t="shared" si="18"/>
        <v>4.660571868651766E-2</v>
      </c>
      <c r="H38" s="259">
        <f t="shared" si="18"/>
        <v>4.2966843519971015E-2</v>
      </c>
      <c r="I38" s="259">
        <f t="shared" si="18"/>
        <v>4.3138611053656226E-2</v>
      </c>
      <c r="J38" s="259">
        <f t="shared" si="18"/>
        <v>4.2211265550266996E-2</v>
      </c>
      <c r="K38" s="259">
        <f t="shared" si="18"/>
        <v>4.2087386491003298E-2</v>
      </c>
      <c r="L38" s="259">
        <f t="shared" si="18"/>
        <v>4.0881871298813634E-2</v>
      </c>
      <c r="M38" s="259">
        <f t="shared" si="18"/>
        <v>4.1498746752654192E-2</v>
      </c>
      <c r="N38" s="259">
        <f t="shared" si="18"/>
        <v>4.1845850901485383E-2</v>
      </c>
      <c r="O38" s="259">
        <f t="shared" si="18"/>
        <v>4.1902922346764411E-2</v>
      </c>
      <c r="P38" s="259">
        <f t="shared" si="18"/>
        <v>4.2137552771900663E-2</v>
      </c>
      <c r="Q38" s="259">
        <f t="shared" si="18"/>
        <v>4.2530340351172584E-2</v>
      </c>
      <c r="R38" s="259">
        <f t="shared" si="18"/>
        <v>4.245154625015695E-2</v>
      </c>
      <c r="S38" s="259">
        <f t="shared" si="18"/>
        <v>4.4572196208504999E-2</v>
      </c>
      <c r="T38" s="259">
        <f t="shared" si="18"/>
        <v>4.5568012655199414E-2</v>
      </c>
      <c r="U38" s="259">
        <f t="shared" si="18"/>
        <v>4.7205760548040904E-2</v>
      </c>
      <c r="V38" s="259">
        <f t="shared" si="18"/>
        <v>4.7117259873558144E-2</v>
      </c>
      <c r="W38" s="259">
        <f t="shared" si="18"/>
        <v>4.7475883415116431E-2</v>
      </c>
      <c r="X38" s="259">
        <f t="shared" si="18"/>
        <v>4.8694906713297785E-2</v>
      </c>
      <c r="Y38" s="259">
        <f t="shared" si="18"/>
        <v>5.0136933415275323E-2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1.5737904796689666E-2</v>
      </c>
      <c r="C39" s="259">
        <f t="shared" si="19"/>
        <v>1.5435449678820807E-2</v>
      </c>
      <c r="D39" s="259">
        <f t="shared" si="19"/>
        <v>1.5626510671966819E-2</v>
      </c>
      <c r="E39" s="259">
        <f t="shared" si="19"/>
        <v>6.0164659310652686E-3</v>
      </c>
      <c r="F39" s="259">
        <f t="shared" si="19"/>
        <v>5.7591979764123448E-3</v>
      </c>
      <c r="G39" s="259">
        <f t="shared" si="19"/>
        <v>5.7320187267038804E-3</v>
      </c>
      <c r="H39" s="259">
        <f t="shared" si="19"/>
        <v>6.7194708113524591E-3</v>
      </c>
      <c r="I39" s="259">
        <f t="shared" si="19"/>
        <v>7.1958682348530157E-3</v>
      </c>
      <c r="J39" s="259">
        <f t="shared" si="19"/>
        <v>7.4755470139122081E-3</v>
      </c>
      <c r="K39" s="259">
        <f t="shared" si="19"/>
        <v>7.5275210628179649E-3</v>
      </c>
      <c r="L39" s="259">
        <f t="shared" si="19"/>
        <v>7.2383629165885099E-3</v>
      </c>
      <c r="M39" s="259">
        <f t="shared" si="19"/>
        <v>7.2497378587444792E-3</v>
      </c>
      <c r="N39" s="259">
        <f t="shared" si="19"/>
        <v>7.1229082475010915E-3</v>
      </c>
      <c r="O39" s="259">
        <f t="shared" si="19"/>
        <v>7.1987223384294982E-3</v>
      </c>
      <c r="P39" s="259">
        <f t="shared" si="19"/>
        <v>7.3364588518219608E-3</v>
      </c>
      <c r="Q39" s="259">
        <f t="shared" si="19"/>
        <v>7.5654931487646945E-3</v>
      </c>
      <c r="R39" s="259">
        <f t="shared" si="19"/>
        <v>7.7081811363583106E-3</v>
      </c>
      <c r="S39" s="259">
        <f t="shared" si="19"/>
        <v>7.4330396330311785E-3</v>
      </c>
      <c r="T39" s="259">
        <f t="shared" si="19"/>
        <v>7.91032581509837E-3</v>
      </c>
      <c r="U39" s="259">
        <f t="shared" si="19"/>
        <v>8.0991656836457166E-3</v>
      </c>
      <c r="V39" s="259">
        <f t="shared" si="19"/>
        <v>8.0135879202614252E-3</v>
      </c>
      <c r="W39" s="259">
        <f t="shared" si="19"/>
        <v>8.0310510196925471E-3</v>
      </c>
      <c r="X39" s="259">
        <f t="shared" si="19"/>
        <v>8.3850094210235013E-3</v>
      </c>
      <c r="Y39" s="259">
        <f t="shared" si="19"/>
        <v>7.8238189760824143E-3</v>
      </c>
      <c r="DA39" s="278"/>
    </row>
    <row r="40" spans="1:105" x14ac:dyDescent="0.25">
      <c r="A40" s="260" t="s">
        <v>33</v>
      </c>
      <c r="B40" s="261">
        <f t="shared" ref="B40:Y40" si="20">IF(B$27=0,0,B$27/B$5)</f>
        <v>2.2819961955200026E-2</v>
      </c>
      <c r="C40" s="261">
        <f t="shared" si="20"/>
        <v>2.238140203429017E-2</v>
      </c>
      <c r="D40" s="261">
        <f t="shared" si="20"/>
        <v>2.265844047435189E-2</v>
      </c>
      <c r="E40" s="261">
        <f t="shared" si="20"/>
        <v>8.7238756000446397E-3</v>
      </c>
      <c r="F40" s="261">
        <f t="shared" si="20"/>
        <v>8.3508370657979E-3</v>
      </c>
      <c r="G40" s="261">
        <f t="shared" si="20"/>
        <v>8.3114271537206279E-3</v>
      </c>
      <c r="H40" s="261">
        <f t="shared" si="20"/>
        <v>9.7432326764610687E-3</v>
      </c>
      <c r="I40" s="261">
        <f t="shared" si="20"/>
        <v>1.0434008940536867E-2</v>
      </c>
      <c r="J40" s="261">
        <f t="shared" si="20"/>
        <v>1.0839543170172697E-2</v>
      </c>
      <c r="K40" s="261">
        <f t="shared" si="20"/>
        <v>1.0914905541086048E-2</v>
      </c>
      <c r="L40" s="261">
        <f t="shared" si="20"/>
        <v>1.0495626229053338E-2</v>
      </c>
      <c r="M40" s="261">
        <f t="shared" si="20"/>
        <v>1.051211989517949E-2</v>
      </c>
      <c r="N40" s="261">
        <f t="shared" si="20"/>
        <v>1.0328216958876583E-2</v>
      </c>
      <c r="O40" s="261">
        <f t="shared" si="20"/>
        <v>1.043814739072277E-2</v>
      </c>
      <c r="P40" s="261">
        <f t="shared" si="20"/>
        <v>1.0637865335141839E-2</v>
      </c>
      <c r="Q40" s="261">
        <f t="shared" si="20"/>
        <v>1.0969965065708805E-2</v>
      </c>
      <c r="R40" s="261">
        <f t="shared" si="20"/>
        <v>1.1176862647719554E-2</v>
      </c>
      <c r="S40" s="261">
        <f t="shared" si="20"/>
        <v>1.0777907467895208E-2</v>
      </c>
      <c r="T40" s="261">
        <f t="shared" si="20"/>
        <v>1.1469972431892636E-2</v>
      </c>
      <c r="U40" s="261">
        <f t="shared" si="20"/>
        <v>1.1743790241286292E-2</v>
      </c>
      <c r="V40" s="261">
        <f t="shared" si="20"/>
        <v>1.1619702484379069E-2</v>
      </c>
      <c r="W40" s="261">
        <f t="shared" si="20"/>
        <v>1.1645023978554193E-2</v>
      </c>
      <c r="X40" s="261">
        <f t="shared" si="20"/>
        <v>1.2158263660484078E-2</v>
      </c>
      <c r="Y40" s="261">
        <f t="shared" si="20"/>
        <v>1.1344537515319502E-2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109.81942433546159</v>
      </c>
      <c r="D44" s="236">
        <f t="shared" si="21"/>
        <v>113.80906613357634</v>
      </c>
      <c r="E44" s="236">
        <f t="shared" si="21"/>
        <v>119.53787119840248</v>
      </c>
      <c r="F44" s="236">
        <f t="shared" si="21"/>
        <v>117.30616060932353</v>
      </c>
      <c r="G44" s="236">
        <f t="shared" si="21"/>
        <v>134.29403412451356</v>
      </c>
      <c r="H44" s="236">
        <f t="shared" si="21"/>
        <v>130.05722800154635</v>
      </c>
      <c r="I44" s="236">
        <f t="shared" si="21"/>
        <v>117.81469406104152</v>
      </c>
      <c r="J44" s="236">
        <f t="shared" si="21"/>
        <v>123.49619118298851</v>
      </c>
      <c r="K44" s="236">
        <f t="shared" si="21"/>
        <v>137.83360398812147</v>
      </c>
      <c r="L44" s="236">
        <f t="shared" si="21"/>
        <v>128.47617233393538</v>
      </c>
      <c r="M44" s="236">
        <f t="shared" si="21"/>
        <v>116.02131221383361</v>
      </c>
      <c r="N44" s="236">
        <f t="shared" si="21"/>
        <v>118.31216844961237</v>
      </c>
      <c r="O44" s="236">
        <f t="shared" si="21"/>
        <v>117.89482713876832</v>
      </c>
      <c r="P44" s="236">
        <f t="shared" si="21"/>
        <v>114.21265320772919</v>
      </c>
      <c r="Q44" s="236">
        <f t="shared" si="21"/>
        <v>116.67728719019787</v>
      </c>
      <c r="R44" s="236">
        <f t="shared" si="21"/>
        <v>118.41249825520165</v>
      </c>
      <c r="S44" s="236">
        <f t="shared" si="21"/>
        <v>109.25986032686184</v>
      </c>
      <c r="T44" s="236">
        <f t="shared" si="21"/>
        <v>115.03952384499108</v>
      </c>
      <c r="U44" s="236">
        <f t="shared" si="21"/>
        <v>114.31053707016737</v>
      </c>
      <c r="V44" s="236">
        <f t="shared" si="21"/>
        <v>121.02278233994659</v>
      </c>
      <c r="W44" s="236">
        <f t="shared" si="21"/>
        <v>115.61293230102251</v>
      </c>
      <c r="X44" s="236">
        <f t="shared" si="21"/>
        <v>98.926512660278433</v>
      </c>
      <c r="Y44" s="236">
        <f t="shared" si="21"/>
        <v>101.378915124645</v>
      </c>
      <c r="DA44" s="280"/>
    </row>
    <row r="45" spans="1:105" x14ac:dyDescent="0.25">
      <c r="A45" s="238" t="s">
        <v>125</v>
      </c>
      <c r="B45" s="247">
        <f>IF(B$6=0,0,B$6/AGR!B$5*1000)</f>
        <v>1.7700690960330161</v>
      </c>
      <c r="C45" s="247">
        <f>IF(C$6=0,0,C$6/AGR!C$5*1000)</f>
        <v>1.6951121980870867</v>
      </c>
      <c r="D45" s="247">
        <f>IF(D$6=0,0,D$6/AGR!D$5*1000)</f>
        <v>1.7784385865029086</v>
      </c>
      <c r="E45" s="247">
        <f>IF(E$6=0,0,E$6/AGR!E$5*1000)</f>
        <v>0.71919552953725674</v>
      </c>
      <c r="F45" s="247">
        <f>IF(F$6=0,0,F$6/AGR!F$5*1000)</f>
        <v>0.67558940280191737</v>
      </c>
      <c r="G45" s="247">
        <f>IF(G$6=0,0,G$6/AGR!G$5*1000)</f>
        <v>0.76977591848632176</v>
      </c>
      <c r="H45" s="247">
        <f>IF(H$6=0,0,H$6/AGR!H$5*1000)</f>
        <v>0.87391574736180233</v>
      </c>
      <c r="I45" s="247">
        <f>IF(I$6=0,0,I$6/AGR!I$5*1000)</f>
        <v>0.84777901459277505</v>
      </c>
      <c r="J45" s="247">
        <f>IF(J$6=0,0,J$6/AGR!J$5*1000)</f>
        <v>0.92320158322752077</v>
      </c>
      <c r="K45" s="247">
        <f>IF(K$6=0,0,K$6/AGR!K$5*1000)</f>
        <v>1.0375453571846946</v>
      </c>
      <c r="L45" s="247">
        <f>IF(L$6=0,0,L$6/AGR!L$5*1000)</f>
        <v>0.92995716148719265</v>
      </c>
      <c r="M45" s="247">
        <f>IF(M$6=0,0,M$6/AGR!M$5*1000)</f>
        <v>0.84112409957784273</v>
      </c>
      <c r="N45" s="247">
        <f>IF(N$6=0,0,N$6/AGR!N$5*1000)</f>
        <v>0.84272672042948249</v>
      </c>
      <c r="O45" s="247">
        <f>IF(O$6=0,0,O$6/AGR!O$5*1000)</f>
        <v>0.84869212570913577</v>
      </c>
      <c r="P45" s="247">
        <f>IF(P$6=0,0,P$6/AGR!P$5*1000)</f>
        <v>0.83791643061591659</v>
      </c>
      <c r="Q45" s="247">
        <f>IF(Q$6=0,0,Q$6/AGR!Q$5*1000)</f>
        <v>0.8827212168538926</v>
      </c>
      <c r="R45" s="247">
        <f>IF(R$6=0,0,R$6/AGR!R$5*1000)</f>
        <v>0.91274498535980686</v>
      </c>
      <c r="S45" s="247">
        <f>IF(S$6=0,0,S$6/AGR!S$5*1000)</f>
        <v>0.81213287210901475</v>
      </c>
      <c r="T45" s="247">
        <f>IF(T$6=0,0,T$6/AGR!T$5*1000)</f>
        <v>0.91000011522765745</v>
      </c>
      <c r="U45" s="247">
        <f>IF(U$6=0,0,U$6/AGR!U$5*1000)</f>
        <v>0.92581997911781133</v>
      </c>
      <c r="V45" s="247">
        <f>IF(V$6=0,0,V$6/AGR!V$5*1000)</f>
        <v>0.9698267066358236</v>
      </c>
      <c r="W45" s="247">
        <f>IF(W$6=0,0,W$6/AGR!W$5*1000)</f>
        <v>0.92849335784577214</v>
      </c>
      <c r="X45" s="247">
        <f>IF(X$6=0,0,X$6/AGR!X$5*1000)</f>
        <v>0.82949974064543541</v>
      </c>
      <c r="Y45" s="247">
        <f>IF(Y$6=0,0,Y$6/AGR!Y$5*1000)</f>
        <v>0.79317027992684608</v>
      </c>
      <c r="DA45" s="281"/>
    </row>
    <row r="46" spans="1:105" x14ac:dyDescent="0.25">
      <c r="A46" s="240" t="s">
        <v>124</v>
      </c>
      <c r="B46" s="248">
        <f>IF(B$7=0,0,B$7/AGR!B$5*1000)</f>
        <v>1.1505449124214604</v>
      </c>
      <c r="C46" s="248">
        <f>IF(C$7=0,0,C$7/AGR!C$5*1000)</f>
        <v>1.1018229287566064</v>
      </c>
      <c r="D46" s="248">
        <f>IF(D$7=0,0,D$7/AGR!D$5*1000)</f>
        <v>1.1559850812268899</v>
      </c>
      <c r="E46" s="248">
        <f>IF(E$7=0,0,E$7/AGR!E$5*1000)</f>
        <v>0.46747709419921668</v>
      </c>
      <c r="F46" s="248">
        <f>IF(F$7=0,0,F$7/AGR!F$5*1000)</f>
        <v>0.43913311182124626</v>
      </c>
      <c r="G46" s="248">
        <f>IF(G$7=0,0,G$7/AGR!G$5*1000)</f>
        <v>0.50035434701610926</v>
      </c>
      <c r="H46" s="248">
        <f>IF(H$7=0,0,H$7/AGR!H$5*1000)</f>
        <v>0.56804523578517119</v>
      </c>
      <c r="I46" s="248">
        <f>IF(I$7=0,0,I$7/AGR!I$5*1000)</f>
        <v>0.55105635948530363</v>
      </c>
      <c r="J46" s="248">
        <f>IF(J$7=0,0,J$7/AGR!J$5*1000)</f>
        <v>0.60008102909788841</v>
      </c>
      <c r="K46" s="248">
        <f>IF(K$7=0,0,K$7/AGR!K$5*1000)</f>
        <v>0.67440448217005144</v>
      </c>
      <c r="L46" s="248">
        <f>IF(L$7=0,0,L$7/AGR!L$5*1000)</f>
        <v>0.60447215496667539</v>
      </c>
      <c r="M46" s="248">
        <f>IF(M$7=0,0,M$7/AGR!M$5*1000)</f>
        <v>0.54673066472559739</v>
      </c>
      <c r="N46" s="248">
        <f>IF(N$7=0,0,N$7/AGR!N$5*1000)</f>
        <v>0.54777236827916365</v>
      </c>
      <c r="O46" s="248">
        <f>IF(O$7=0,0,O$7/AGR!O$5*1000)</f>
        <v>0.55164988171093809</v>
      </c>
      <c r="P46" s="248">
        <f>IF(P$7=0,0,P$7/AGR!P$5*1000)</f>
        <v>0.54464567990034551</v>
      </c>
      <c r="Q46" s="248">
        <f>IF(Q$7=0,0,Q$7/AGR!Q$5*1000)</f>
        <v>0.57376879095503008</v>
      </c>
      <c r="R46" s="248">
        <f>IF(R$7=0,0,R$7/AGR!R$5*1000)</f>
        <v>0.59328424048387451</v>
      </c>
      <c r="S46" s="248">
        <f>IF(S$7=0,0,S$7/AGR!S$5*1000)</f>
        <v>0.52788636687085955</v>
      </c>
      <c r="T46" s="248">
        <f>IF(T$7=0,0,T$7/AGR!T$5*1000)</f>
        <v>0.59150007489797718</v>
      </c>
      <c r="U46" s="248">
        <f>IF(U$7=0,0,U$7/AGR!U$5*1000)</f>
        <v>0.60178298642657724</v>
      </c>
      <c r="V46" s="248">
        <f>IF(V$7=0,0,V$7/AGR!V$5*1000)</f>
        <v>0.63038735931328527</v>
      </c>
      <c r="W46" s="248">
        <f>IF(W$7=0,0,W$7/AGR!W$5*1000)</f>
        <v>0.60352068259975178</v>
      </c>
      <c r="X46" s="248">
        <f>IF(X$7=0,0,X$7/AGR!X$5*1000)</f>
        <v>0.53917483141953271</v>
      </c>
      <c r="Y46" s="248">
        <f>IF(Y$7=0,0,Y$7/AGR!Y$5*1000)</f>
        <v>0.51556068195244997</v>
      </c>
      <c r="DA46" s="282"/>
    </row>
    <row r="47" spans="1:105" x14ac:dyDescent="0.25">
      <c r="A47" s="240" t="s">
        <v>123</v>
      </c>
      <c r="B47" s="248">
        <f>IF(B$8=0,0,B$8/AGR!B$5*1000)</f>
        <v>1.5930621864297148</v>
      </c>
      <c r="C47" s="248">
        <f>IF(C$8=0,0,C$8/AGR!C$5*1000)</f>
        <v>1.5256009782783782</v>
      </c>
      <c r="D47" s="248">
        <f>IF(D$8=0,0,D$8/AGR!D$5*1000)</f>
        <v>1.6005947278526171</v>
      </c>
      <c r="E47" s="248">
        <f>IF(E$8=0,0,E$8/AGR!E$5*1000)</f>
        <v>0.64727597658353087</v>
      </c>
      <c r="F47" s="248">
        <f>IF(F$8=0,0,F$8/AGR!F$5*1000)</f>
        <v>0.60803046252172566</v>
      </c>
      <c r="G47" s="248">
        <f>IF(G$8=0,0,G$8/AGR!G$5*1000)</f>
        <v>0.69279832663768981</v>
      </c>
      <c r="H47" s="248">
        <f>IF(H$8=0,0,H$8/AGR!H$5*1000)</f>
        <v>0.78652417262562213</v>
      </c>
      <c r="I47" s="248">
        <f>IF(I$8=0,0,I$8/AGR!I$5*1000)</f>
        <v>0.76300111313349739</v>
      </c>
      <c r="J47" s="248">
        <f>IF(J$8=0,0,J$8/AGR!J$5*1000)</f>
        <v>0.83088142490476857</v>
      </c>
      <c r="K47" s="248">
        <f>IF(K$8=0,0,K$8/AGR!K$5*1000)</f>
        <v>0.93379082146622494</v>
      </c>
      <c r="L47" s="248">
        <f>IF(L$8=0,0,L$8/AGR!L$5*1000)</f>
        <v>0.8369614453384735</v>
      </c>
      <c r="M47" s="248">
        <f>IF(M$8=0,0,M$8/AGR!M$5*1000)</f>
        <v>0.75701168962005805</v>
      </c>
      <c r="N47" s="248">
        <f>IF(N$8=0,0,N$8/AGR!N$5*1000)</f>
        <v>0.75845404838653419</v>
      </c>
      <c r="O47" s="248">
        <f>IF(O$8=0,0,O$8/AGR!O$5*1000)</f>
        <v>0.76382291313822237</v>
      </c>
      <c r="P47" s="248">
        <f>IF(P$8=0,0,P$8/AGR!P$5*1000)</f>
        <v>0.75412478755432466</v>
      </c>
      <c r="Q47" s="248">
        <f>IF(Q$8=0,0,Q$8/AGR!Q$5*1000)</f>
        <v>0.79444909516850315</v>
      </c>
      <c r="R47" s="248">
        <f>IF(R$8=0,0,R$8/AGR!R$5*1000)</f>
        <v>0.8214704868238264</v>
      </c>
      <c r="S47" s="248">
        <f>IF(S$8=0,0,S$8/AGR!S$5*1000)</f>
        <v>0.73091958489811348</v>
      </c>
      <c r="T47" s="248">
        <f>IF(T$8=0,0,T$8/AGR!T$5*1000)</f>
        <v>0.81900010370489129</v>
      </c>
      <c r="U47" s="248">
        <f>IF(U$8=0,0,U$8/AGR!U$5*1000)</f>
        <v>0.83323798120603021</v>
      </c>
      <c r="V47" s="248">
        <f>IF(V$8=0,0,V$8/AGR!V$5*1000)</f>
        <v>0.87284403597224147</v>
      </c>
      <c r="W47" s="248">
        <f>IF(W$8=0,0,W$8/AGR!W$5*1000)</f>
        <v>0.83564402206119459</v>
      </c>
      <c r="X47" s="248">
        <f>IF(X$8=0,0,X$8/AGR!X$5*1000)</f>
        <v>0.74654976658089212</v>
      </c>
      <c r="Y47" s="248">
        <f>IF(Y$8=0,0,Y$8/AGR!Y$5*1000)</f>
        <v>0.71385325193416149</v>
      </c>
      <c r="DA47" s="282"/>
    </row>
    <row r="48" spans="1:105" x14ac:dyDescent="0.25">
      <c r="A48" s="242" t="s">
        <v>122</v>
      </c>
      <c r="B48" s="249">
        <f>IF(B$9=0,0,B$9/AGR!B$5*1000)</f>
        <v>19.361553129481475</v>
      </c>
      <c r="C48" s="249">
        <f>IF(C$9=0,0,C$9/AGR!C$5*1000)</f>
        <v>18.463733196478398</v>
      </c>
      <c r="D48" s="249">
        <f>IF(D$9=0,0,D$9/AGR!D$5*1000)</f>
        <v>19.610856997893272</v>
      </c>
      <c r="E48" s="249">
        <f>IF(E$9=0,0,E$9/AGR!E$5*1000)</f>
        <v>21.885479131349264</v>
      </c>
      <c r="F48" s="249">
        <f>IF(F$9=0,0,F$9/AGR!F$5*1000)</f>
        <v>21.43427725266584</v>
      </c>
      <c r="G48" s="249">
        <f>IF(G$9=0,0,G$9/AGR!G$5*1000)</f>
        <v>24.312909786076418</v>
      </c>
      <c r="H48" s="249">
        <f>IF(H$9=0,0,H$9/AGR!H$5*1000)</f>
        <v>21.723594140316141</v>
      </c>
      <c r="I48" s="249">
        <f>IF(I$9=0,0,I$9/AGR!I$5*1000)</f>
        <v>19.829848268624374</v>
      </c>
      <c r="J48" s="249">
        <f>IF(J$9=0,0,J$9/AGR!J$5*1000)</f>
        <v>20.33996518890925</v>
      </c>
      <c r="K48" s="249">
        <f>IF(K$9=0,0,K$9/AGR!K$5*1000)</f>
        <v>22.606160317839819</v>
      </c>
      <c r="L48" s="249">
        <f>IF(L$9=0,0,L$9/AGR!L$5*1000)</f>
        <v>20.456774978326081</v>
      </c>
      <c r="M48" s="249">
        <f>IF(M$9=0,0,M$9/AGR!M$5*1000)</f>
        <v>18.763744125106712</v>
      </c>
      <c r="N48" s="249">
        <f>IF(N$9=0,0,N$9/AGR!N$5*1000)</f>
        <v>19.346670635822687</v>
      </c>
      <c r="O48" s="249">
        <f>IF(O$9=0,0,O$9/AGR!O$5*1000)</f>
        <v>19.275017777316862</v>
      </c>
      <c r="P48" s="249">
        <f>IF(P$9=0,0,P$9/AGR!P$5*1000)</f>
        <v>18.760167815005513</v>
      </c>
      <c r="Q48" s="249">
        <f>IF(Q$9=0,0,Q$9/AGR!Q$5*1000)</f>
        <v>19.303315444074542</v>
      </c>
      <c r="R48" s="249">
        <f>IF(R$9=0,0,R$9/AGR!R$5*1000)</f>
        <v>19.539049078289644</v>
      </c>
      <c r="S48" s="249">
        <f>IF(S$9=0,0,S$9/AGR!S$5*1000)</f>
        <v>18.935171042439169</v>
      </c>
      <c r="T48" s="249">
        <f>IF(T$9=0,0,T$9/AGR!T$5*1000)</f>
        <v>20.291827577435576</v>
      </c>
      <c r="U48" s="249">
        <f>IF(U$9=0,0,U$9/AGR!U$5*1000)</f>
        <v>20.918441827449346</v>
      </c>
      <c r="V48" s="249">
        <f>IF(V$9=0,0,V$9/AGR!V$5*1000)</f>
        <v>22.133091712694362</v>
      </c>
      <c r="W48" s="249">
        <f>IF(W$9=0,0,W$9/AGR!W$5*1000)</f>
        <v>21.363451666139401</v>
      </c>
      <c r="X48" s="249">
        <f>IF(X$9=0,0,X$9/AGR!X$5*1000)</f>
        <v>18.737502021351006</v>
      </c>
      <c r="Y48" s="249">
        <f>IF(Y$9=0,0,Y$9/AGR!Y$5*1000)</f>
        <v>19.743376490055969</v>
      </c>
      <c r="DA48" s="283"/>
    </row>
    <row r="49" spans="1:105" x14ac:dyDescent="0.25">
      <c r="A49" s="127" t="s">
        <v>168</v>
      </c>
      <c r="B49" s="262">
        <f>IF(B$16=0,0,B$16/AGR!B$5*1000)</f>
        <v>26.523836451189958</v>
      </c>
      <c r="C49" s="262">
        <f>IF(C$16=0,0,C$16/AGR!C$5*1000)</f>
        <v>25.218187872266093</v>
      </c>
      <c r="D49" s="262">
        <f>IF(D$16=0,0,D$16/AGR!D$5*1000)</f>
        <v>26.795920122625674</v>
      </c>
      <c r="E49" s="262">
        <f>IF(E$16=0,0,E$16/AGR!E$5*1000)</f>
        <v>29.256333036219281</v>
      </c>
      <c r="F49" s="262">
        <f>IF(F$16=0,0,F$16/AGR!F$5*1000)</f>
        <v>28.642131536468806</v>
      </c>
      <c r="G49" s="262">
        <f>IF(G$16=0,0,G$16/AGR!G$5*1000)</f>
        <v>32.571420944121229</v>
      </c>
      <c r="H49" s="262">
        <f>IF(H$16=0,0,H$16/AGR!H$5*1000)</f>
        <v>29.080958685741123</v>
      </c>
      <c r="I49" s="262">
        <f>IF(I$16=0,0,I$16/AGR!I$5*1000)</f>
        <v>26.448825637573936</v>
      </c>
      <c r="J49" s="262">
        <f>IF(J$16=0,0,J$16/AGR!J$5*1000)</f>
        <v>27.128308303954718</v>
      </c>
      <c r="K49" s="262">
        <f>IF(K$16=0,0,K$16/AGR!K$5*1000)</f>
        <v>30.188938725871935</v>
      </c>
      <c r="L49" s="262">
        <f>IF(L$16=0,0,L$16/AGR!L$5*1000)</f>
        <v>27.333429888245977</v>
      </c>
      <c r="M49" s="262">
        <f>IF(M$16=0,0,M$16/AGR!M$5*1000)</f>
        <v>25.05610326720317</v>
      </c>
      <c r="N49" s="262">
        <f>IF(N$16=0,0,N$16/AGR!N$5*1000)</f>
        <v>25.764551892158845</v>
      </c>
      <c r="O49" s="262">
        <f>IF(O$16=0,0,O$16/AGR!O$5*1000)</f>
        <v>25.70868351588414</v>
      </c>
      <c r="P49" s="262">
        <f>IF(P$16=0,0,P$16/AGR!P$5*1000)</f>
        <v>25.045188561229352</v>
      </c>
      <c r="Q49" s="262">
        <f>IF(Q$16=0,0,Q$16/AGR!Q$5*1000)</f>
        <v>25.824145324588898</v>
      </c>
      <c r="R49" s="262">
        <f>IF(R$16=0,0,R$16/AGR!R$5*1000)</f>
        <v>26.159644231021375</v>
      </c>
      <c r="S49" s="262">
        <f>IF(S$16=0,0,S$16/AGR!S$5*1000)</f>
        <v>25.34343339574804</v>
      </c>
      <c r="T49" s="262">
        <f>IF(T$16=0,0,T$16/AGR!T$5*1000)</f>
        <v>27.280224473183921</v>
      </c>
      <c r="U49" s="262">
        <f>IF(U$16=0,0,U$16/AGR!U$5*1000)</f>
        <v>28.081612368521441</v>
      </c>
      <c r="V49" s="262">
        <f>IF(V$16=0,0,V$16/AGR!V$5*1000)</f>
        <v>29.674809182550067</v>
      </c>
      <c r="W49" s="262">
        <f>IF(W$16=0,0,W$16/AGR!W$5*1000)</f>
        <v>28.564080405964944</v>
      </c>
      <c r="X49" s="262">
        <f>IF(X$16=0,0,X$16/AGR!X$5*1000)</f>
        <v>25.069000194146607</v>
      </c>
      <c r="Y49" s="262">
        <f>IF(Y$16=0,0,Y$16/AGR!Y$5*1000)</f>
        <v>26.451248919475759</v>
      </c>
      <c r="DA49" s="284"/>
    </row>
    <row r="50" spans="1:105" x14ac:dyDescent="0.25">
      <c r="A50" s="127" t="s">
        <v>121</v>
      </c>
      <c r="B50" s="262">
        <f>IF(B$17=0,0,B$17/AGR!B$5*1000)</f>
        <v>52.639200738989537</v>
      </c>
      <c r="C50" s="262">
        <f>IF(C$17=0,0,C$17/AGR!C$5*1000)</f>
        <v>52.816057315177765</v>
      </c>
      <c r="D50" s="262">
        <f>IF(D$17=0,0,D$17/AGR!D$5*1000)</f>
        <v>53.361036719145318</v>
      </c>
      <c r="E50" s="262">
        <f>IF(E$17=0,0,E$17/AGR!E$5*1000)</f>
        <v>59.178233175998002</v>
      </c>
      <c r="F50" s="262">
        <f>IF(F$17=0,0,F$17/AGR!F$5*1000)</f>
        <v>58.347980535793205</v>
      </c>
      <c r="G50" s="262">
        <f>IF(G$17=0,0,G$17/AGR!G$5*1000)</f>
        <v>67.301953826199636</v>
      </c>
      <c r="H50" s="262">
        <f>IF(H$17=0,0,H$17/AGR!H$5*1000)</f>
        <v>69.29494787449643</v>
      </c>
      <c r="I50" s="262">
        <f>IF(I$17=0,0,I$17/AGR!I$5*1000)</f>
        <v>62.214762818374567</v>
      </c>
      <c r="J50" s="262">
        <f>IF(J$17=0,0,J$17/AGR!J$5*1000)</f>
        <v>66.198979253515262</v>
      </c>
      <c r="K50" s="262">
        <f>IF(K$17=0,0,K$17/AGR!K$5*1000)</f>
        <v>74.049721995990296</v>
      </c>
      <c r="L50" s="262">
        <f>IF(L$17=0,0,L$17/AGR!L$5*1000)</f>
        <v>70.783835317607213</v>
      </c>
      <c r="M50" s="262">
        <f>IF(M$17=0,0,M$17/AGR!M$5*1000)</f>
        <v>63.181105270162007</v>
      </c>
      <c r="N50" s="262">
        <f>IF(N$17=0,0,N$17/AGR!N$5*1000)</f>
        <v>64.036438958709525</v>
      </c>
      <c r="O50" s="262">
        <f>IF(O$17=0,0,O$17/AGR!O$5*1000)</f>
        <v>63.727527430340615</v>
      </c>
      <c r="P50" s="262">
        <f>IF(P$17=0,0,P$17/AGR!P$5*1000)</f>
        <v>61.405072976655262</v>
      </c>
      <c r="Q50" s="262">
        <f>IF(Q$17=0,0,Q$17/AGR!Q$5*1000)</f>
        <v>62.173895601814358</v>
      </c>
      <c r="R50" s="262">
        <f>IF(R$17=0,0,R$17/AGR!R$5*1000)</f>
        <v>63.123286372814277</v>
      </c>
      <c r="S50" s="262">
        <f>IF(S$17=0,0,S$17/AGR!S$5*1000)</f>
        <v>56.050639595926818</v>
      </c>
      <c r="T50" s="262">
        <f>IF(T$17=0,0,T$17/AGR!T$5*1000)</f>
        <v>57.675348739816634</v>
      </c>
      <c r="U50" s="262">
        <f>IF(U$17=0,0,U$17/AGR!U$5*1000)</f>
        <v>55.285267137555259</v>
      </c>
      <c r="V50" s="262">
        <f>IF(V$17=0,0,V$17/AGR!V$5*1000)</f>
        <v>58.663486025390704</v>
      </c>
      <c r="W50" s="262">
        <f>IF(W$17=0,0,W$17/AGR!W$5*1000)</f>
        <v>55.554107344486212</v>
      </c>
      <c r="X50" s="262">
        <f>IF(X$17=0,0,X$17/AGR!X$5*1000)</f>
        <v>46.15529443608952</v>
      </c>
      <c r="Y50" s="262">
        <f>IF(Y$17=0,0,Y$17/AGR!Y$5*1000)</f>
        <v>46.135610398161873</v>
      </c>
      <c r="DA50" s="284"/>
    </row>
    <row r="51" spans="1:105" x14ac:dyDescent="0.25">
      <c r="A51" s="127" t="s">
        <v>167</v>
      </c>
      <c r="B51" s="262">
        <f>IF(B$25=0,0,B$25/AGR!B$5*1000)</f>
        <v>5.0967762164606016</v>
      </c>
      <c r="C51" s="262">
        <f>IF(C$25=0,0,C$25/AGR!C$5*1000)</f>
        <v>4.8458849611039057</v>
      </c>
      <c r="D51" s="262">
        <f>IF(D$25=0,0,D$25/AGR!D$5*1000)</f>
        <v>5.1490593613975264</v>
      </c>
      <c r="E51" s="262">
        <f>IF(E$25=0,0,E$25/AGR!E$5*1000)</f>
        <v>5.6218482071496583</v>
      </c>
      <c r="F51" s="262">
        <f>IF(F$25=0,0,F$25/AGR!F$5*1000)</f>
        <v>5.5038242703860787</v>
      </c>
      <c r="G51" s="262">
        <f>IF(G$25=0,0,G$25/AGR!G$5*1000)</f>
        <v>6.2588699756846822</v>
      </c>
      <c r="H51" s="262">
        <f>IF(H$25=0,0,H$25/AGR!H$5*1000)</f>
        <v>5.5881485641836344</v>
      </c>
      <c r="I51" s="262">
        <f>IF(I$25=0,0,I$25/AGR!I$5*1000)</f>
        <v>5.0823622635047725</v>
      </c>
      <c r="J51" s="262">
        <f>IF(J$25=0,0,J$25/AGR!J$5*1000)</f>
        <v>5.2129305204716685</v>
      </c>
      <c r="K51" s="262">
        <f>IF(K$25=0,0,K$25/AGR!K$5*1000)</f>
        <v>5.8010561624959616</v>
      </c>
      <c r="L51" s="262">
        <f>IF(L$25=0,0,L$25/AGR!L$5*1000)</f>
        <v>5.2523463423201475</v>
      </c>
      <c r="M51" s="262">
        <f>IF(M$25=0,0,M$25/AGR!M$5*1000)</f>
        <v>4.814739053472505</v>
      </c>
      <c r="N51" s="262">
        <f>IF(N$25=0,0,N$25/AGR!N$5*1000)</f>
        <v>4.9508733607739037</v>
      </c>
      <c r="O51" s="262">
        <f>IF(O$25=0,0,O$25/AGR!O$5*1000)</f>
        <v>4.9401377866810234</v>
      </c>
      <c r="P51" s="262">
        <f>IF(P$25=0,0,P$25/AGR!P$5*1000)</f>
        <v>4.8126417017594783</v>
      </c>
      <c r="Q51" s="262">
        <f>IF(Q$25=0,0,Q$25/AGR!Q$5*1000)</f>
        <v>4.9623247354506246</v>
      </c>
      <c r="R51" s="262">
        <f>IF(R$25=0,0,R$25/AGR!R$5*1000)</f>
        <v>5.0267936462773219</v>
      </c>
      <c r="S51" s="262">
        <f>IF(S$25=0,0,S$25/AGR!S$5*1000)</f>
        <v>4.8699519322027367</v>
      </c>
      <c r="T51" s="262">
        <f>IF(T$25=0,0,T$25/AGR!T$5*1000)</f>
        <v>5.2421224784166682</v>
      </c>
      <c r="U51" s="262">
        <f>IF(U$25=0,0,U$25/AGR!U$5*1000)</f>
        <v>5.3961158410522749</v>
      </c>
      <c r="V51" s="262">
        <f>IF(V$25=0,0,V$25/AGR!V$5*1000)</f>
        <v>5.7022618861323258</v>
      </c>
      <c r="W51" s="262">
        <f>IF(W$25=0,0,W$25/AGR!W$5*1000)</f>
        <v>5.4888260952030929</v>
      </c>
      <c r="X51" s="262">
        <f>IF(X$25=0,0,X$25/AGR!X$5*1000)</f>
        <v>4.8172173054641307</v>
      </c>
      <c r="Y51" s="262">
        <f>IF(Y$25=0,0,Y$25/AGR!Y$5*1000)</f>
        <v>5.0828279173171751</v>
      </c>
      <c r="DA51" s="284"/>
    </row>
    <row r="52" spans="1:105" x14ac:dyDescent="0.25">
      <c r="A52" s="127" t="s">
        <v>170</v>
      </c>
      <c r="B52" s="262">
        <f>IF(B$26=0,0,B$26/AGR!B$5*1000)</f>
        <v>1.7700690960330161</v>
      </c>
      <c r="C52" s="262">
        <f>IF(C$26=0,0,C$26/AGR!C$5*1000)</f>
        <v>1.6951121980870867</v>
      </c>
      <c r="D52" s="262">
        <f>IF(D$26=0,0,D$26/AGR!D$5*1000)</f>
        <v>1.7784385865029086</v>
      </c>
      <c r="E52" s="262">
        <f>IF(E$26=0,0,E$26/AGR!E$5*1000)</f>
        <v>0.71919552953725674</v>
      </c>
      <c r="F52" s="262">
        <f>IF(F$26=0,0,F$26/AGR!F$5*1000)</f>
        <v>0.67558940280191737</v>
      </c>
      <c r="G52" s="262">
        <f>IF(G$26=0,0,G$26/AGR!G$5*1000)</f>
        <v>0.76977591848632176</v>
      </c>
      <c r="H52" s="262">
        <f>IF(H$26=0,0,H$26/AGR!H$5*1000)</f>
        <v>0.87391574736180233</v>
      </c>
      <c r="I52" s="262">
        <f>IF(I$26=0,0,I$26/AGR!I$5*1000)</f>
        <v>0.84777901459277505</v>
      </c>
      <c r="J52" s="262">
        <f>IF(J$26=0,0,J$26/AGR!J$5*1000)</f>
        <v>0.92320158322752077</v>
      </c>
      <c r="K52" s="262">
        <f>IF(K$26=0,0,K$26/AGR!K$5*1000)</f>
        <v>1.0375453571846946</v>
      </c>
      <c r="L52" s="262">
        <f>IF(L$26=0,0,L$26/AGR!L$5*1000)</f>
        <v>0.92995716148719265</v>
      </c>
      <c r="M52" s="262">
        <f>IF(M$26=0,0,M$26/AGR!M$5*1000)</f>
        <v>0.84112409957784273</v>
      </c>
      <c r="N52" s="262">
        <f>IF(N$26=0,0,N$26/AGR!N$5*1000)</f>
        <v>0.84272672042948249</v>
      </c>
      <c r="O52" s="262">
        <f>IF(O$26=0,0,O$26/AGR!O$5*1000)</f>
        <v>0.84869212570913577</v>
      </c>
      <c r="P52" s="262">
        <f>IF(P$26=0,0,P$26/AGR!P$5*1000)</f>
        <v>0.83791643061591659</v>
      </c>
      <c r="Q52" s="262">
        <f>IF(Q$26=0,0,Q$26/AGR!Q$5*1000)</f>
        <v>0.8827212168538926</v>
      </c>
      <c r="R52" s="262">
        <f>IF(R$26=0,0,R$26/AGR!R$5*1000)</f>
        <v>0.91274498535980686</v>
      </c>
      <c r="S52" s="262">
        <f>IF(S$26=0,0,S$26/AGR!S$5*1000)</f>
        <v>0.81213287210901475</v>
      </c>
      <c r="T52" s="262">
        <f>IF(T$26=0,0,T$26/AGR!T$5*1000)</f>
        <v>0.91000011522765745</v>
      </c>
      <c r="U52" s="262">
        <f>IF(U$26=0,0,U$26/AGR!U$5*1000)</f>
        <v>0.92581997911781133</v>
      </c>
      <c r="V52" s="262">
        <f>IF(V$26=0,0,V$26/AGR!V$5*1000)</f>
        <v>0.9698267066358236</v>
      </c>
      <c r="W52" s="262">
        <f>IF(W$26=0,0,W$26/AGR!W$5*1000)</f>
        <v>0.92849335784577214</v>
      </c>
      <c r="X52" s="262">
        <f>IF(X$26=0,0,X$26/AGR!X$5*1000)</f>
        <v>0.82949974064543541</v>
      </c>
      <c r="Y52" s="262">
        <f>IF(Y$26=0,0,Y$26/AGR!Y$5*1000)</f>
        <v>0.79317027992684608</v>
      </c>
      <c r="DA52" s="284"/>
    </row>
    <row r="53" spans="1:105" x14ac:dyDescent="0.25">
      <c r="A53" s="260" t="s">
        <v>33</v>
      </c>
      <c r="B53" s="263">
        <f>IF(B$27=0,0,B$27/AGR!B$5*1000)</f>
        <v>2.5666001892478749</v>
      </c>
      <c r="C53" s="263">
        <f>IF(C$27=0,0,C$27/AGR!C$5*1000)</f>
        <v>2.4579126872262753</v>
      </c>
      <c r="D53" s="263">
        <f>IF(D$27=0,0,D$27/AGR!D$5*1000)</f>
        <v>2.5787359504292175</v>
      </c>
      <c r="E53" s="263">
        <f>IF(E$27=0,0,E$27/AGR!E$5*1000)</f>
        <v>1.0428335178290222</v>
      </c>
      <c r="F53" s="263">
        <f>IF(F$27=0,0,F$27/AGR!F$5*1000)</f>
        <v>0.9796046340627802</v>
      </c>
      <c r="G53" s="263">
        <f>IF(G$27=0,0,G$27/AGR!G$5*1000)</f>
        <v>1.1161750818051666</v>
      </c>
      <c r="H53" s="263">
        <f>IF(H$27=0,0,H$27/AGR!H$5*1000)</f>
        <v>1.2671778336746138</v>
      </c>
      <c r="I53" s="263">
        <f>IF(I$27=0,0,I$27/AGR!I$5*1000)</f>
        <v>1.229279571159523</v>
      </c>
      <c r="J53" s="263">
        <f>IF(J$27=0,0,J$27/AGR!J$5*1000)</f>
        <v>1.3386422956799044</v>
      </c>
      <c r="K53" s="263">
        <f>IF(K$27=0,0,K$27/AGR!K$5*1000)</f>
        <v>1.5044407679178071</v>
      </c>
      <c r="L53" s="263">
        <f>IF(L$27=0,0,L$27/AGR!L$5*1000)</f>
        <v>1.3484378841564291</v>
      </c>
      <c r="M53" s="263">
        <f>IF(M$27=0,0,M$27/AGR!M$5*1000)</f>
        <v>1.2196299443878715</v>
      </c>
      <c r="N53" s="263">
        <f>IF(N$27=0,0,N$27/AGR!N$5*1000)</f>
        <v>1.2219537446227497</v>
      </c>
      <c r="O53" s="263">
        <f>IF(O$27=0,0,O$27/AGR!O$5*1000)</f>
        <v>1.2306035822782466</v>
      </c>
      <c r="P53" s="263">
        <f>IF(P$27=0,0,P$27/AGR!P$5*1000)</f>
        <v>1.2149788243930788</v>
      </c>
      <c r="Q53" s="263">
        <f>IF(Q$27=0,0,Q$27/AGR!Q$5*1000)</f>
        <v>1.279945764438144</v>
      </c>
      <c r="R53" s="263">
        <f>IF(R$27=0,0,R$27/AGR!R$5*1000)</f>
        <v>1.3234802287717204</v>
      </c>
      <c r="S53" s="263">
        <f>IF(S$27=0,0,S$27/AGR!S$5*1000)</f>
        <v>1.1775926645580717</v>
      </c>
      <c r="T53" s="263">
        <f>IF(T$27=0,0,T$27/AGR!T$5*1000)</f>
        <v>1.3195001670801032</v>
      </c>
      <c r="U53" s="263">
        <f>IF(U$27=0,0,U$27/AGR!U$5*1000)</f>
        <v>1.3424389697208268</v>
      </c>
      <c r="V53" s="263">
        <f>IF(V$27=0,0,V$27/AGR!V$5*1000)</f>
        <v>1.4062487246219446</v>
      </c>
      <c r="W53" s="263">
        <f>IF(W$27=0,0,W$27/AGR!W$5*1000)</f>
        <v>1.3463153688763696</v>
      </c>
      <c r="X53" s="263">
        <f>IF(X$27=0,0,X$27/AGR!X$5*1000)</f>
        <v>1.2027746239358814</v>
      </c>
      <c r="Y53" s="263">
        <f>IF(Y$27=0,0,Y$27/AGR!Y$5*1000)</f>
        <v>1.1500969058939272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1869.4373329245855</v>
      </c>
      <c r="C5" s="80">
        <f t="shared" ref="C5:W5" si="1">SUM(C6:C9,C16:C17,C25:C27)</f>
        <v>1829.8624767682961</v>
      </c>
      <c r="D5" s="80">
        <f t="shared" si="1"/>
        <v>1749.5289276888439</v>
      </c>
      <c r="E5" s="80">
        <f t="shared" si="1"/>
        <v>1631.8127000335801</v>
      </c>
      <c r="F5" s="80">
        <f t="shared" si="1"/>
        <v>1667.8196264480823</v>
      </c>
      <c r="G5" s="80">
        <f t="shared" si="1"/>
        <v>1715.5299439969122</v>
      </c>
      <c r="H5" s="80">
        <f t="shared" si="1"/>
        <v>1448.4427535914388</v>
      </c>
      <c r="I5" s="80">
        <f t="shared" si="1"/>
        <v>1336.2961204318035</v>
      </c>
      <c r="J5" s="80">
        <f t="shared" si="1"/>
        <v>1379.9392895193832</v>
      </c>
      <c r="K5" s="80">
        <f t="shared" si="1"/>
        <v>1352.6405353691173</v>
      </c>
      <c r="L5" s="80">
        <f t="shared" si="1"/>
        <v>1399.231113087588</v>
      </c>
      <c r="M5" s="80">
        <f t="shared" si="1"/>
        <v>1385.3572945563571</v>
      </c>
      <c r="N5" s="80">
        <f t="shared" si="1"/>
        <v>1384.2978845932982</v>
      </c>
      <c r="O5" s="80">
        <f t="shared" si="1"/>
        <v>1351.5035811536127</v>
      </c>
      <c r="P5" s="80">
        <f t="shared" si="1"/>
        <v>1294.4560051558874</v>
      </c>
      <c r="Q5" s="80">
        <f t="shared" si="1"/>
        <v>1263.2161393824624</v>
      </c>
      <c r="R5" s="80">
        <f t="shared" si="1"/>
        <v>1341.8722198552966</v>
      </c>
      <c r="S5" s="80">
        <f t="shared" si="1"/>
        <v>1490.4443797891263</v>
      </c>
      <c r="T5" s="80">
        <f t="shared" si="1"/>
        <v>1515.3424466386705</v>
      </c>
      <c r="U5" s="80">
        <f t="shared" si="1"/>
        <v>1492.516627311697</v>
      </c>
      <c r="V5" s="80">
        <f t="shared" si="1"/>
        <v>1513.0822441871737</v>
      </c>
      <c r="W5" s="80">
        <f t="shared" si="1"/>
        <v>1504.2100036273462</v>
      </c>
      <c r="X5" s="80">
        <f t="shared" ref="X5:Y5" si="2">SUM(X6:X9,X16:X17,X25:X27)</f>
        <v>1306.4541419894827</v>
      </c>
      <c r="Y5" s="80">
        <f t="shared" si="2"/>
        <v>1426.0892205200814</v>
      </c>
      <c r="DA5" s="103"/>
    </row>
    <row r="6" spans="1:105" x14ac:dyDescent="0.25">
      <c r="A6" s="238" t="s">
        <v>125</v>
      </c>
      <c r="B6" s="239">
        <v>38.942141323726553</v>
      </c>
      <c r="C6" s="239">
        <v>37.672218848816073</v>
      </c>
      <c r="D6" s="239">
        <v>36.197556618244469</v>
      </c>
      <c r="E6" s="239">
        <v>13.35464192096458</v>
      </c>
      <c r="F6" s="239">
        <v>13.09094368460946</v>
      </c>
      <c r="G6" s="239">
        <v>13.438110148901931</v>
      </c>
      <c r="H6" s="239">
        <v>13.559149684945091</v>
      </c>
      <c r="I6" s="239">
        <v>13.336622079037451</v>
      </c>
      <c r="J6" s="239">
        <v>14.368569279537761</v>
      </c>
      <c r="K6" s="239">
        <v>14.20028136930946</v>
      </c>
      <c r="L6" s="239">
        <v>14.25453481427928</v>
      </c>
      <c r="M6" s="239">
        <v>14.08315909762935</v>
      </c>
      <c r="N6" s="239">
        <v>13.78720508025846</v>
      </c>
      <c r="O6" s="239">
        <v>13.60319391172937</v>
      </c>
      <c r="P6" s="239">
        <v>13.24994483276199</v>
      </c>
      <c r="Q6" s="239">
        <v>13.297037896416731</v>
      </c>
      <c r="R6" s="239">
        <v>14.391469236641649</v>
      </c>
      <c r="S6" s="239">
        <v>15.228910273371699</v>
      </c>
      <c r="T6" s="239">
        <v>16.362424807873609</v>
      </c>
      <c r="U6" s="239">
        <v>16.304143534253001</v>
      </c>
      <c r="V6" s="239">
        <v>16.364320346234152</v>
      </c>
      <c r="W6" s="239">
        <v>16.260140466653599</v>
      </c>
      <c r="X6" s="239">
        <v>14.62306088123283</v>
      </c>
      <c r="Y6" s="239">
        <v>14.779036378464181</v>
      </c>
      <c r="DA6" s="267" t="s">
        <v>1016</v>
      </c>
    </row>
    <row r="7" spans="1:105" x14ac:dyDescent="0.25">
      <c r="A7" s="240" t="s">
        <v>124</v>
      </c>
      <c r="B7" s="241">
        <v>25.100474333028728</v>
      </c>
      <c r="C7" s="241">
        <v>24.281935459641051</v>
      </c>
      <c r="D7" s="241">
        <v>23.331429909351819</v>
      </c>
      <c r="E7" s="241">
        <v>8.6078432096831445</v>
      </c>
      <c r="F7" s="241">
        <v>8.4378743638954106</v>
      </c>
      <c r="G7" s="241">
        <v>8.6616433357611715</v>
      </c>
      <c r="H7" s="241">
        <v>8.7396603544576159</v>
      </c>
      <c r="I7" s="241">
        <v>8.5962283738163325</v>
      </c>
      <c r="J7" s="241">
        <v>9.2613783460243884</v>
      </c>
      <c r="K7" s="241">
        <v>9.1529070029585498</v>
      </c>
      <c r="L7" s="241">
        <v>9.1878765027511502</v>
      </c>
      <c r="M7" s="241">
        <v>9.0774148889092992</v>
      </c>
      <c r="N7" s="241">
        <v>8.8866553167784108</v>
      </c>
      <c r="O7" s="241">
        <v>8.7680494195253758</v>
      </c>
      <c r="P7" s="241">
        <v>8.5403598488343953</v>
      </c>
      <c r="Q7" s="241">
        <v>8.5707140665365813</v>
      </c>
      <c r="R7" s="241">
        <v>9.2761386998717885</v>
      </c>
      <c r="S7" s="241">
        <v>9.8159181401734088</v>
      </c>
      <c r="T7" s="241">
        <v>10.546534164671399</v>
      </c>
      <c r="U7" s="241">
        <v>10.508968495119509</v>
      </c>
      <c r="V7" s="241">
        <v>10.54775594935886</v>
      </c>
      <c r="W7" s="241">
        <v>10.48060595953956</v>
      </c>
      <c r="X7" s="241">
        <v>9.4254129804636246</v>
      </c>
      <c r="Y7" s="241">
        <v>9.5259482574606178</v>
      </c>
      <c r="DA7" s="268" t="s">
        <v>1017</v>
      </c>
    </row>
    <row r="8" spans="1:105" x14ac:dyDescent="0.25">
      <c r="A8" s="240" t="s">
        <v>123</v>
      </c>
      <c r="B8" s="241">
        <v>49.880471643998327</v>
      </c>
      <c r="C8" s="241">
        <v>48.253844811301427</v>
      </c>
      <c r="D8" s="241">
        <v>46.364969544658443</v>
      </c>
      <c r="E8" s="241">
        <v>17.105783478027789</v>
      </c>
      <c r="F8" s="241">
        <v>16.76801590916866</v>
      </c>
      <c r="G8" s="241">
        <v>17.21269682267911</v>
      </c>
      <c r="H8" s="241">
        <v>17.367734756911169</v>
      </c>
      <c r="I8" s="241">
        <v>17.082702101818839</v>
      </c>
      <c r="J8" s="241">
        <v>18.40450956599382</v>
      </c>
      <c r="K8" s="241">
        <v>18.188951816757871</v>
      </c>
      <c r="L8" s="241">
        <v>18.258444333897859</v>
      </c>
      <c r="M8" s="241">
        <v>18.038931454424571</v>
      </c>
      <c r="N8" s="241">
        <v>17.65984788404058</v>
      </c>
      <c r="O8" s="241">
        <v>17.4241504220625</v>
      </c>
      <c r="P8" s="241">
        <v>16.97167836819613</v>
      </c>
      <c r="Q8" s="241">
        <v>17.031999248004251</v>
      </c>
      <c r="R8" s="241">
        <v>18.433841816921522</v>
      </c>
      <c r="S8" s="241">
        <v>19.506508919094539</v>
      </c>
      <c r="T8" s="241">
        <v>20.958412632510349</v>
      </c>
      <c r="U8" s="241">
        <v>20.88376092314385</v>
      </c>
      <c r="V8" s="241">
        <v>20.960840602422369</v>
      </c>
      <c r="W8" s="241">
        <v>20.827397978245791</v>
      </c>
      <c r="X8" s="241">
        <v>18.73048447878714</v>
      </c>
      <c r="Y8" s="241">
        <v>18.930271421732321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558.93220205459022</v>
      </c>
      <c r="C9" s="243">
        <f t="shared" ref="C9:W9" si="4">SUM(C10:C15)</f>
        <v>539.62195533005297</v>
      </c>
      <c r="D9" s="243">
        <f t="shared" si="4"/>
        <v>524.0750040934895</v>
      </c>
      <c r="E9" s="243">
        <f t="shared" si="4"/>
        <v>524.7691627435936</v>
      </c>
      <c r="F9" s="243">
        <f t="shared" si="4"/>
        <v>536.18331863189519</v>
      </c>
      <c r="G9" s="243">
        <f t="shared" si="4"/>
        <v>547.44243429422545</v>
      </c>
      <c r="H9" s="243">
        <f t="shared" si="4"/>
        <v>436.38990214883643</v>
      </c>
      <c r="I9" s="243">
        <f t="shared" si="4"/>
        <v>404.80703826039303</v>
      </c>
      <c r="J9" s="243">
        <f t="shared" si="4"/>
        <v>411.25903160632345</v>
      </c>
      <c r="K9" s="243">
        <f t="shared" si="4"/>
        <v>401.83634728632285</v>
      </c>
      <c r="L9" s="243">
        <f t="shared" si="4"/>
        <v>407.18335001317229</v>
      </c>
      <c r="M9" s="243">
        <f t="shared" si="4"/>
        <v>407.9175258274264</v>
      </c>
      <c r="N9" s="243">
        <f t="shared" si="4"/>
        <v>411.17204230608149</v>
      </c>
      <c r="O9" s="243">
        <f t="shared" si="4"/>
        <v>401.17588137520153</v>
      </c>
      <c r="P9" s="243">
        <f t="shared" si="4"/>
        <v>385.15282686862832</v>
      </c>
      <c r="Q9" s="243">
        <f t="shared" si="4"/>
        <v>377.35054477628228</v>
      </c>
      <c r="R9" s="243">
        <f t="shared" si="4"/>
        <v>399.83415809257656</v>
      </c>
      <c r="S9" s="243">
        <f t="shared" si="4"/>
        <v>460.0637473906545</v>
      </c>
      <c r="T9" s="243">
        <f t="shared" si="4"/>
        <v>472.16511578750834</v>
      </c>
      <c r="U9" s="243">
        <f t="shared" si="4"/>
        <v>476.7380385919754</v>
      </c>
      <c r="V9" s="243">
        <f t="shared" si="4"/>
        <v>483.49936253156881</v>
      </c>
      <c r="W9" s="243">
        <f t="shared" si="4"/>
        <v>484.79340659275186</v>
      </c>
      <c r="X9" s="243">
        <f t="shared" ref="X9:Y9" si="5">SUM(X10:X15)</f>
        <v>427.9014393893919</v>
      </c>
      <c r="Y9" s="243">
        <f t="shared" si="5"/>
        <v>475.51685225113636</v>
      </c>
      <c r="DA9" s="269"/>
    </row>
    <row r="10" spans="1:105" x14ac:dyDescent="0.25">
      <c r="A10" s="253" t="s">
        <v>166</v>
      </c>
      <c r="B10" s="254">
        <v>498.39390095049498</v>
      </c>
      <c r="C10" s="254">
        <v>472.73878911947457</v>
      </c>
      <c r="D10" s="254">
        <v>462.95486226209482</v>
      </c>
      <c r="E10" s="254">
        <v>492.60863967775572</v>
      </c>
      <c r="F10" s="254">
        <v>504.25374971088439</v>
      </c>
      <c r="G10" s="254">
        <v>519.06390716276212</v>
      </c>
      <c r="H10" s="254">
        <v>400.52858065334692</v>
      </c>
      <c r="I10" s="254">
        <v>363.76586104133878</v>
      </c>
      <c r="J10" s="254">
        <v>366.28625581007918</v>
      </c>
      <c r="K10" s="254">
        <v>359.51881988516209</v>
      </c>
      <c r="L10" s="254">
        <v>365.03443038493327</v>
      </c>
      <c r="M10" s="254">
        <v>365.38636411006149</v>
      </c>
      <c r="N10" s="254">
        <v>365.68671200799179</v>
      </c>
      <c r="O10" s="254">
        <v>358.73604266637091</v>
      </c>
      <c r="P10" s="254">
        <v>344.94950476607119</v>
      </c>
      <c r="Q10" s="254">
        <v>340.13004493176692</v>
      </c>
      <c r="R10" s="254">
        <v>360.26670910009108</v>
      </c>
      <c r="S10" s="254">
        <v>419.56252976038269</v>
      </c>
      <c r="T10" s="254">
        <v>436.69268462463111</v>
      </c>
      <c r="U10" s="254">
        <v>440.15483846663642</v>
      </c>
      <c r="V10" s="254">
        <v>444.2767852018913</v>
      </c>
      <c r="W10" s="254">
        <v>441.22680199654621</v>
      </c>
      <c r="X10" s="254">
        <v>391.00344580992947</v>
      </c>
      <c r="Y10" s="254">
        <v>442.26789859637472</v>
      </c>
      <c r="DA10" s="270" t="s">
        <v>1019</v>
      </c>
    </row>
    <row r="11" spans="1:105" x14ac:dyDescent="0.25">
      <c r="A11" s="253" t="s">
        <v>169</v>
      </c>
      <c r="B11" s="255">
        <v>5.1906550630554626</v>
      </c>
      <c r="C11" s="255">
        <v>7.8593075641340828</v>
      </c>
      <c r="D11" s="255">
        <v>8.8762190143930315</v>
      </c>
      <c r="E11" s="255">
        <v>12.09155443177735</v>
      </c>
      <c r="F11" s="255">
        <v>12.01698139461546</v>
      </c>
      <c r="G11" s="255">
        <v>11.167748102816031</v>
      </c>
      <c r="H11" s="255">
        <v>16.999552541773522</v>
      </c>
      <c r="I11" s="255">
        <v>20.69964214022464</v>
      </c>
      <c r="J11" s="255">
        <v>22.95111227327347</v>
      </c>
      <c r="K11" s="255">
        <v>19.331608544265929</v>
      </c>
      <c r="L11" s="255">
        <v>18.240517031814321</v>
      </c>
      <c r="M11" s="255">
        <v>20.6344107026576</v>
      </c>
      <c r="N11" s="255">
        <v>23.861293519721031</v>
      </c>
      <c r="O11" s="255">
        <v>20.793748404582139</v>
      </c>
      <c r="P11" s="255">
        <v>20.404963920775089</v>
      </c>
      <c r="Q11" s="255">
        <v>17.46065958513708</v>
      </c>
      <c r="R11" s="255">
        <v>19.18800827844326</v>
      </c>
      <c r="S11" s="255">
        <v>20.625815682375041</v>
      </c>
      <c r="T11" s="255">
        <v>16.936148670740099</v>
      </c>
      <c r="U11" s="255">
        <v>18.817640851154891</v>
      </c>
      <c r="V11" s="255">
        <v>21.415617243150258</v>
      </c>
      <c r="W11" s="255">
        <v>24.479675031168231</v>
      </c>
      <c r="X11" s="255">
        <v>19.504991257390721</v>
      </c>
      <c r="Y11" s="255">
        <v>18.733144296801271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18.413565383658479</v>
      </c>
      <c r="C14" s="254">
        <v>22.096238687121261</v>
      </c>
      <c r="D14" s="254">
        <v>18.413565383658391</v>
      </c>
      <c r="E14" s="254">
        <v>18.413499094874009</v>
      </c>
      <c r="F14" s="254">
        <v>18.41356538365627</v>
      </c>
      <c r="G14" s="254">
        <v>15.651510689473151</v>
      </c>
      <c r="H14" s="254">
        <v>16.203895112797749</v>
      </c>
      <c r="I14" s="254">
        <v>17.400805366910031</v>
      </c>
      <c r="J14" s="254">
        <v>18.413565383656</v>
      </c>
      <c r="K14" s="254">
        <v>19.334250281717161</v>
      </c>
      <c r="L14" s="254">
        <v>20.254935179778339</v>
      </c>
      <c r="M14" s="254">
        <v>18.41356538365601</v>
      </c>
      <c r="N14" s="254">
        <v>18.41356538365573</v>
      </c>
      <c r="O14" s="254">
        <v>18.413565383655811</v>
      </c>
      <c r="P14" s="254">
        <v>16.57219558753383</v>
      </c>
      <c r="Q14" s="254">
        <v>16.388045350165271</v>
      </c>
      <c r="R14" s="254">
        <v>16.572195587534111</v>
      </c>
      <c r="S14" s="254">
        <v>16.572195587535241</v>
      </c>
      <c r="T14" s="254">
        <v>14.730825791413119</v>
      </c>
      <c r="U14" s="254">
        <v>14.17844136808926</v>
      </c>
      <c r="V14" s="254">
        <v>14.27051648677357</v>
      </c>
      <c r="W14" s="254">
        <v>15.65151068947401</v>
      </c>
      <c r="X14" s="254">
        <v>14.27051648677161</v>
      </c>
      <c r="Y14" s="254">
        <v>11.987199378722609</v>
      </c>
      <c r="DA14" s="270" t="s">
        <v>1023</v>
      </c>
    </row>
    <row r="15" spans="1:105" x14ac:dyDescent="0.25">
      <c r="A15" s="253" t="s">
        <v>24</v>
      </c>
      <c r="B15" s="255">
        <v>36.93408065738128</v>
      </c>
      <c r="C15" s="255">
        <v>36.927619959323032</v>
      </c>
      <c r="D15" s="255">
        <v>33.830357433343252</v>
      </c>
      <c r="E15" s="255">
        <v>1.655469539186444</v>
      </c>
      <c r="F15" s="255">
        <v>1.49902214273904</v>
      </c>
      <c r="G15" s="255">
        <v>1.559268339174134</v>
      </c>
      <c r="H15" s="255">
        <v>2.657873840918243</v>
      </c>
      <c r="I15" s="255">
        <v>2.9407297119195639</v>
      </c>
      <c r="J15" s="255">
        <v>3.6080981393147948</v>
      </c>
      <c r="K15" s="255">
        <v>3.6516685751776881</v>
      </c>
      <c r="L15" s="255">
        <v>3.6534674166463819</v>
      </c>
      <c r="M15" s="255">
        <v>3.4831856310512821</v>
      </c>
      <c r="N15" s="255">
        <v>3.2104713947129282</v>
      </c>
      <c r="O15" s="255">
        <v>3.2325249205927342</v>
      </c>
      <c r="P15" s="255">
        <v>3.2261625942482208</v>
      </c>
      <c r="Q15" s="255">
        <v>3.3717949092130342</v>
      </c>
      <c r="R15" s="255">
        <v>3.8072451265080982</v>
      </c>
      <c r="S15" s="255">
        <v>3.3032063603615329</v>
      </c>
      <c r="T15" s="255">
        <v>3.8054567007239801</v>
      </c>
      <c r="U15" s="255">
        <v>3.5871179060948131</v>
      </c>
      <c r="V15" s="255">
        <v>3.536443599753698</v>
      </c>
      <c r="W15" s="255">
        <v>3.4354188755633759</v>
      </c>
      <c r="X15" s="255">
        <v>3.1224858353000968</v>
      </c>
      <c r="Y15" s="255">
        <v>2.5286099792377899</v>
      </c>
      <c r="DA15" s="271" t="s">
        <v>1024</v>
      </c>
    </row>
    <row r="16" spans="1:105" x14ac:dyDescent="0.25">
      <c r="A16" s="256" t="s">
        <v>168</v>
      </c>
      <c r="B16" s="257">
        <v>417.56488345177502</v>
      </c>
      <c r="C16" s="257">
        <v>401.04642104802139</v>
      </c>
      <c r="D16" s="257">
        <v>390.27171411406221</v>
      </c>
      <c r="E16" s="257">
        <v>388.743533198683</v>
      </c>
      <c r="F16" s="257">
        <v>397.14717593750618</v>
      </c>
      <c r="G16" s="257">
        <v>406.88211391181949</v>
      </c>
      <c r="H16" s="257">
        <v>322.87143752471798</v>
      </c>
      <c r="I16" s="257">
        <v>297.7334254575801</v>
      </c>
      <c r="J16" s="257">
        <v>302.13268904782183</v>
      </c>
      <c r="K16" s="257">
        <v>295.6621442227659</v>
      </c>
      <c r="L16" s="257">
        <v>299.80733605347319</v>
      </c>
      <c r="M16" s="257">
        <v>300.20060098445282</v>
      </c>
      <c r="N16" s="257">
        <v>301.62690831591328</v>
      </c>
      <c r="O16" s="257">
        <v>294.86863001863492</v>
      </c>
      <c r="P16" s="257">
        <v>283.39728622537473</v>
      </c>
      <c r="Q16" s="257">
        <v>278.36544060481339</v>
      </c>
      <c r="R16" s="257">
        <v>295.15186330787202</v>
      </c>
      <c r="S16" s="257">
        <v>340.0675611356682</v>
      </c>
      <c r="T16" s="257">
        <v>351.00408751290638</v>
      </c>
      <c r="U16" s="257">
        <v>353.87631766724502</v>
      </c>
      <c r="V16" s="257">
        <v>358.30245690670063</v>
      </c>
      <c r="W16" s="257">
        <v>357.95114548755703</v>
      </c>
      <c r="X16" s="257">
        <v>316.24019210548181</v>
      </c>
      <c r="Y16" s="257">
        <v>352.68247972351833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625.38058658054319</v>
      </c>
      <c r="C17" s="257">
        <f t="shared" ref="C17:W17" si="7">SUM(C18:C24)</f>
        <v>630.74997082852553</v>
      </c>
      <c r="D17" s="257">
        <f t="shared" si="7"/>
        <v>586.19241862911485</v>
      </c>
      <c r="E17" s="257">
        <f t="shared" si="7"/>
        <v>593.51574399300557</v>
      </c>
      <c r="F17" s="257">
        <f t="shared" si="7"/>
        <v>610.00594447509991</v>
      </c>
      <c r="G17" s="257">
        <f t="shared" si="7"/>
        <v>633.52820299448592</v>
      </c>
      <c r="H17" s="257">
        <f t="shared" si="7"/>
        <v>572.14751888887315</v>
      </c>
      <c r="I17" s="257">
        <f t="shared" si="7"/>
        <v>521.31106058662283</v>
      </c>
      <c r="J17" s="257">
        <f t="shared" si="7"/>
        <v>547.90942472320432</v>
      </c>
      <c r="K17" s="257">
        <f t="shared" si="7"/>
        <v>538.28778847308672</v>
      </c>
      <c r="L17" s="257">
        <f t="shared" si="7"/>
        <v>574.5340902224076</v>
      </c>
      <c r="M17" s="257">
        <f t="shared" si="7"/>
        <v>560.41022470923895</v>
      </c>
      <c r="N17" s="257">
        <f t="shared" si="7"/>
        <v>556.08468740237697</v>
      </c>
      <c r="O17" s="257">
        <f t="shared" si="7"/>
        <v>541.95276700340241</v>
      </c>
      <c r="P17" s="257">
        <f t="shared" si="7"/>
        <v>515.86017882372062</v>
      </c>
      <c r="Q17" s="257">
        <f t="shared" si="7"/>
        <v>497.87563956508734</v>
      </c>
      <c r="R17" s="257">
        <f t="shared" si="7"/>
        <v>529.06274138075855</v>
      </c>
      <c r="S17" s="257">
        <f t="shared" si="7"/>
        <v>561.90201979529888</v>
      </c>
      <c r="T17" s="257">
        <f t="shared" si="7"/>
        <v>556.13796531522837</v>
      </c>
      <c r="U17" s="257">
        <f t="shared" si="7"/>
        <v>525.79701973618717</v>
      </c>
      <c r="V17" s="257">
        <f t="shared" si="7"/>
        <v>534.25314727615068</v>
      </c>
      <c r="W17" s="257">
        <f t="shared" si="7"/>
        <v>525.05095702458016</v>
      </c>
      <c r="X17" s="257">
        <f t="shared" ref="X17:Y17" si="8">SUM(X18:X24)</f>
        <v>440.39527776365412</v>
      </c>
      <c r="Y17" s="257">
        <f t="shared" si="8"/>
        <v>470.22407938252724</v>
      </c>
      <c r="DA17" s="272"/>
    </row>
    <row r="18" spans="1:105" x14ac:dyDescent="0.25">
      <c r="A18" s="61" t="s">
        <v>29</v>
      </c>
      <c r="B18" s="55">
        <v>247.84462825709221</v>
      </c>
      <c r="C18" s="55">
        <v>276.27713890589229</v>
      </c>
      <c r="D18" s="55">
        <v>231.16282872240339</v>
      </c>
      <c r="E18" s="55">
        <v>224.7097985521012</v>
      </c>
      <c r="F18" s="55">
        <v>235.97707660687291</v>
      </c>
      <c r="G18" s="55">
        <v>257.02577337522388</v>
      </c>
      <c r="H18" s="55">
        <v>303.29861373442583</v>
      </c>
      <c r="I18" s="55">
        <v>268.43109038111288</v>
      </c>
      <c r="J18" s="55">
        <v>298.68391106461058</v>
      </c>
      <c r="K18" s="55">
        <v>296.13668292811963</v>
      </c>
      <c r="L18" s="55">
        <v>329.07374994689991</v>
      </c>
      <c r="M18" s="55">
        <v>289.03386080427981</v>
      </c>
      <c r="N18" s="55">
        <v>300.03871055209822</v>
      </c>
      <c r="O18" s="55">
        <v>293.25903963066042</v>
      </c>
      <c r="P18" s="55">
        <v>279.00523011525428</v>
      </c>
      <c r="Q18" s="55">
        <v>253.41684410543891</v>
      </c>
      <c r="R18" s="55">
        <v>269.51821536936961</v>
      </c>
      <c r="S18" s="55">
        <v>267.60504060953758</v>
      </c>
      <c r="T18" s="55">
        <v>251.1454327485786</v>
      </c>
      <c r="U18" s="55">
        <v>202.93461097363959</v>
      </c>
      <c r="V18" s="55">
        <v>208.22958573679259</v>
      </c>
      <c r="W18" s="55">
        <v>170.78829468599719</v>
      </c>
      <c r="X18" s="55">
        <v>134.54831045575929</v>
      </c>
      <c r="Y18" s="55">
        <v>121.65917561335991</v>
      </c>
      <c r="DA18" s="101" t="s">
        <v>1026</v>
      </c>
    </row>
    <row r="19" spans="1:105" x14ac:dyDescent="0.25">
      <c r="A19" s="61" t="s">
        <v>27</v>
      </c>
      <c r="B19" s="55">
        <v>14.4801390999829</v>
      </c>
      <c r="C19" s="55">
        <v>18.100146322940201</v>
      </c>
      <c r="D19" s="55">
        <v>21.72018109793569</v>
      </c>
      <c r="E19" s="55">
        <v>25.340215872933339</v>
      </c>
      <c r="F19" s="55">
        <v>25.34021587293325</v>
      </c>
      <c r="G19" s="55">
        <v>25.34021587293326</v>
      </c>
      <c r="H19" s="55">
        <v>18.100146322942081</v>
      </c>
      <c r="I19" s="55">
        <v>18.100146322939409</v>
      </c>
      <c r="J19" s="55">
        <v>18.462152555643272</v>
      </c>
      <c r="K19" s="55">
        <v>15.84242208725626</v>
      </c>
      <c r="L19" s="55">
        <v>17.602694269400029</v>
      </c>
      <c r="M19" s="55">
        <v>17.954754216236381</v>
      </c>
      <c r="N19" s="55">
        <v>17.602694269399731</v>
      </c>
      <c r="O19" s="55">
        <v>17.602694269399809</v>
      </c>
      <c r="P19" s="55">
        <v>18.658846557870849</v>
      </c>
      <c r="Q19" s="55">
        <v>20.067058793178411</v>
      </c>
      <c r="R19" s="55">
        <v>21.123238633687961</v>
      </c>
      <c r="S19" s="55">
        <v>21.827330975325101</v>
      </c>
      <c r="T19" s="55">
        <v>21.827330975325289</v>
      </c>
      <c r="U19" s="55">
        <v>22.883510815834669</v>
      </c>
      <c r="V19" s="55">
        <v>21.827330975325129</v>
      </c>
      <c r="W19" s="55">
        <v>20.419118740017499</v>
      </c>
      <c r="X19" s="55">
        <v>6.5643833599600558</v>
      </c>
      <c r="Y19" s="55">
        <v>15.842422087257919</v>
      </c>
      <c r="DA19" s="101" t="s">
        <v>1027</v>
      </c>
    </row>
    <row r="20" spans="1:105" x14ac:dyDescent="0.25">
      <c r="A20" s="61" t="s">
        <v>166</v>
      </c>
      <c r="B20" s="55">
        <v>191.64536925717749</v>
      </c>
      <c r="C20" s="55">
        <v>165.1252900835218</v>
      </c>
      <c r="D20" s="55">
        <v>177.45701162902219</v>
      </c>
      <c r="E20" s="55">
        <v>172.74229706610919</v>
      </c>
      <c r="F20" s="55">
        <v>174.12925982571599</v>
      </c>
      <c r="G20" s="55">
        <v>173.73954862467019</v>
      </c>
      <c r="H20" s="55">
        <v>104.1631879990878</v>
      </c>
      <c r="I20" s="55">
        <v>97.928018903105198</v>
      </c>
      <c r="J20" s="55">
        <v>92.533082330263255</v>
      </c>
      <c r="K20" s="55">
        <v>89.85567673002042</v>
      </c>
      <c r="L20" s="55">
        <v>82.399774274227738</v>
      </c>
      <c r="M20" s="55">
        <v>86.611897443339871</v>
      </c>
      <c r="N20" s="55">
        <v>89.214954783646064</v>
      </c>
      <c r="O20" s="55">
        <v>87.809560633472657</v>
      </c>
      <c r="P20" s="55">
        <v>86.137145061084652</v>
      </c>
      <c r="Q20" s="55">
        <v>87.719754665322455</v>
      </c>
      <c r="R20" s="55">
        <v>92.570994187039602</v>
      </c>
      <c r="S20" s="55">
        <v>126.1053360582199</v>
      </c>
      <c r="T20" s="55">
        <v>142.3784894972257</v>
      </c>
      <c r="U20" s="55">
        <v>164.77348728008181</v>
      </c>
      <c r="V20" s="55">
        <v>165.23366650108849</v>
      </c>
      <c r="W20" s="55">
        <v>170.07201221740019</v>
      </c>
      <c r="X20" s="55">
        <v>167.8371673459088</v>
      </c>
      <c r="Y20" s="55">
        <v>209.54006797442389</v>
      </c>
      <c r="DA20" s="101" t="s">
        <v>1028</v>
      </c>
    </row>
    <row r="21" spans="1:105" x14ac:dyDescent="0.25">
      <c r="A21" s="61" t="s">
        <v>129</v>
      </c>
      <c r="B21" s="55">
        <v>60.186028579512787</v>
      </c>
      <c r="C21" s="55">
        <v>46.918673054369037</v>
      </c>
      <c r="D21" s="55">
        <v>31.226828781392879</v>
      </c>
      <c r="E21" s="55">
        <v>45.235517941042808</v>
      </c>
      <c r="F21" s="55">
        <v>43.665594512506402</v>
      </c>
      <c r="G21" s="55">
        <v>52.233393191086932</v>
      </c>
      <c r="H21" s="55">
        <v>14.788912427436321</v>
      </c>
      <c r="I21" s="55">
        <v>9.7762989432303673</v>
      </c>
      <c r="J21" s="55">
        <v>11.177111390662059</v>
      </c>
      <c r="K21" s="55">
        <v>10.30481986225508</v>
      </c>
      <c r="L21" s="55">
        <v>6.8744301262059411</v>
      </c>
      <c r="M21" s="55">
        <v>9.3295837427080119</v>
      </c>
      <c r="N21" s="55">
        <v>9.8751679793669993</v>
      </c>
      <c r="O21" s="55">
        <v>4.7125446091949366</v>
      </c>
      <c r="P21" s="55">
        <v>3.8666705337014968</v>
      </c>
      <c r="Q21" s="55">
        <v>3.0211892827866942</v>
      </c>
      <c r="R21" s="55">
        <v>4.1123823076411012</v>
      </c>
      <c r="S21" s="55">
        <v>4.5464780185753968</v>
      </c>
      <c r="T21" s="55">
        <v>3.087085605854039</v>
      </c>
      <c r="U21" s="55">
        <v>3.1484644462665838</v>
      </c>
      <c r="V21" s="55">
        <v>3.1322849839338258</v>
      </c>
      <c r="W21" s="55">
        <v>2.100064748947696</v>
      </c>
      <c r="X21" s="55">
        <v>0.63421528221481116</v>
      </c>
      <c r="Y21" s="55">
        <v>0.69429289121071092</v>
      </c>
      <c r="DA21" s="101" t="s">
        <v>1029</v>
      </c>
    </row>
    <row r="22" spans="1:105" x14ac:dyDescent="0.25">
      <c r="A22" s="61" t="s">
        <v>169</v>
      </c>
      <c r="B22" s="55">
        <v>1.9481483419140659</v>
      </c>
      <c r="C22" s="55">
        <v>2.6794822394313358</v>
      </c>
      <c r="D22" s="55">
        <v>3.3209074049399172</v>
      </c>
      <c r="E22" s="55">
        <v>4.1385960993170334</v>
      </c>
      <c r="F22" s="55">
        <v>4.0503471655685512</v>
      </c>
      <c r="G22" s="55">
        <v>3.6485282214147121</v>
      </c>
      <c r="H22" s="55">
        <v>4.3151160973055367</v>
      </c>
      <c r="I22" s="55">
        <v>5.4390382172892036</v>
      </c>
      <c r="J22" s="55">
        <v>5.6591914524618687</v>
      </c>
      <c r="K22" s="55">
        <v>4.7159166975609024</v>
      </c>
      <c r="L22" s="55">
        <v>4.0188664994327388</v>
      </c>
      <c r="M22" s="55">
        <v>4.7741002068375611</v>
      </c>
      <c r="N22" s="55">
        <v>5.6819408205997126</v>
      </c>
      <c r="O22" s="55">
        <v>4.967911138319077</v>
      </c>
      <c r="P22" s="55">
        <v>4.9733041699906311</v>
      </c>
      <c r="Q22" s="55">
        <v>4.3952876242261034</v>
      </c>
      <c r="R22" s="55">
        <v>4.8123248439170094</v>
      </c>
      <c r="S22" s="55">
        <v>6.0509302097847737</v>
      </c>
      <c r="T22" s="55">
        <v>5.3896103050486346</v>
      </c>
      <c r="U22" s="55">
        <v>6.8757689012529566</v>
      </c>
      <c r="V22" s="55">
        <v>7.7740934771898127</v>
      </c>
      <c r="W22" s="55">
        <v>9.2098139255299252</v>
      </c>
      <c r="X22" s="55">
        <v>8.1719849726755918</v>
      </c>
      <c r="Y22" s="55">
        <v>8.6629654822524209</v>
      </c>
      <c r="DA22" s="101" t="s">
        <v>1030</v>
      </c>
    </row>
    <row r="23" spans="1:105" x14ac:dyDescent="0.25">
      <c r="A23" s="61" t="s">
        <v>164</v>
      </c>
      <c r="B23" s="55">
        <v>109.2762730448637</v>
      </c>
      <c r="C23" s="55">
        <v>121.64924022237091</v>
      </c>
      <c r="D23" s="55">
        <v>121.3046609934207</v>
      </c>
      <c r="E23" s="55">
        <v>121.34931846150199</v>
      </c>
      <c r="F23" s="55">
        <v>126.84345049150279</v>
      </c>
      <c r="G23" s="55">
        <v>121.540743709157</v>
      </c>
      <c r="H23" s="55">
        <v>127.4815423076756</v>
      </c>
      <c r="I23" s="55">
        <v>121.6364678189458</v>
      </c>
      <c r="J23" s="55">
        <v>121.3939759295633</v>
      </c>
      <c r="K23" s="55">
        <v>121.43227016787441</v>
      </c>
      <c r="L23" s="55">
        <v>134.56457510624119</v>
      </c>
      <c r="M23" s="55">
        <v>152.7060282958374</v>
      </c>
      <c r="N23" s="55">
        <v>133.67121899726621</v>
      </c>
      <c r="O23" s="55">
        <v>133.6010167223555</v>
      </c>
      <c r="P23" s="55">
        <v>123.21898238581871</v>
      </c>
      <c r="Q23" s="55">
        <v>129.2555050941348</v>
      </c>
      <c r="R23" s="55">
        <v>136.92558603910331</v>
      </c>
      <c r="S23" s="55">
        <v>135.7669039238562</v>
      </c>
      <c r="T23" s="55">
        <v>132.3100161831961</v>
      </c>
      <c r="U23" s="55">
        <v>125.1811773191115</v>
      </c>
      <c r="V23" s="55">
        <v>128.0561856018208</v>
      </c>
      <c r="W23" s="55">
        <v>152.46165270668769</v>
      </c>
      <c r="X23" s="55">
        <v>122.6392163471355</v>
      </c>
      <c r="Y23" s="55">
        <v>113.8251553340224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56.167000558377673</v>
      </c>
      <c r="C25" s="257">
        <v>53.945088410532229</v>
      </c>
      <c r="D25" s="257">
        <v>52.49577359896729</v>
      </c>
      <c r="E25" s="257">
        <v>52.290216710136363</v>
      </c>
      <c r="F25" s="257">
        <v>53.420597700276289</v>
      </c>
      <c r="G25" s="257">
        <v>54.730052322319928</v>
      </c>
      <c r="H25" s="257">
        <v>43.429706209548719</v>
      </c>
      <c r="I25" s="257">
        <v>40.04837125115894</v>
      </c>
      <c r="J25" s="257">
        <v>40.640119863942118</v>
      </c>
      <c r="K25" s="257">
        <v>39.769761485628223</v>
      </c>
      <c r="L25" s="257">
        <v>40.327334694240243</v>
      </c>
      <c r="M25" s="257">
        <v>40.380233087934982</v>
      </c>
      <c r="N25" s="257">
        <v>40.572086876070429</v>
      </c>
      <c r="O25" s="257">
        <v>39.663025228551049</v>
      </c>
      <c r="P25" s="257">
        <v>38.120005212319718</v>
      </c>
      <c r="Q25" s="257">
        <v>37.443167463313017</v>
      </c>
      <c r="R25" s="257">
        <v>39.701123174391753</v>
      </c>
      <c r="S25" s="257">
        <v>45.742771131277728</v>
      </c>
      <c r="T25" s="257">
        <v>47.213852411052073</v>
      </c>
      <c r="U25" s="257">
        <v>47.600198483425153</v>
      </c>
      <c r="V25" s="257">
        <v>48.195562162187819</v>
      </c>
      <c r="W25" s="257">
        <v>48.148306970342958</v>
      </c>
      <c r="X25" s="257">
        <v>42.537731860350362</v>
      </c>
      <c r="Y25" s="257">
        <v>47.439614346422083</v>
      </c>
      <c r="DA25" s="272" t="s">
        <v>1033</v>
      </c>
    </row>
    <row r="26" spans="1:105" x14ac:dyDescent="0.25">
      <c r="A26" s="256" t="s">
        <v>170</v>
      </c>
      <c r="B26" s="257">
        <v>38.616114358505747</v>
      </c>
      <c r="C26" s="257">
        <v>37.356823784063167</v>
      </c>
      <c r="D26" s="257">
        <v>35.894507552848971</v>
      </c>
      <c r="E26" s="257">
        <v>13.24283570720484</v>
      </c>
      <c r="F26" s="257">
        <v>12.98134517522371</v>
      </c>
      <c r="G26" s="257">
        <v>13.32560513194027</v>
      </c>
      <c r="H26" s="257">
        <v>13.445631314550189</v>
      </c>
      <c r="I26" s="257">
        <v>13.22496672894821</v>
      </c>
      <c r="J26" s="257">
        <v>14.24827437849906</v>
      </c>
      <c r="K26" s="257">
        <v>14.081395389167</v>
      </c>
      <c r="L26" s="257">
        <v>14.135194619617151</v>
      </c>
      <c r="M26" s="257">
        <v>13.96525367524508</v>
      </c>
      <c r="N26" s="257">
        <v>13.67177741042833</v>
      </c>
      <c r="O26" s="257">
        <v>13.48930679926981</v>
      </c>
      <c r="P26" s="257">
        <v>13.13901515205292</v>
      </c>
      <c r="Q26" s="257">
        <v>13.185713948517821</v>
      </c>
      <c r="R26" s="257">
        <v>14.27098261518737</v>
      </c>
      <c r="S26" s="257">
        <v>15.10141252334371</v>
      </c>
      <c r="T26" s="257">
        <v>16.22543717641754</v>
      </c>
      <c r="U26" s="257">
        <v>16.1676438386454</v>
      </c>
      <c r="V26" s="257">
        <v>16.227316845167479</v>
      </c>
      <c r="W26" s="257">
        <v>16.124009168522409</v>
      </c>
      <c r="X26" s="257">
        <v>14.50063535455943</v>
      </c>
      <c r="Y26" s="257">
        <v>14.65530501147787</v>
      </c>
      <c r="DA26" s="272" t="s">
        <v>1034</v>
      </c>
    </row>
    <row r="27" spans="1:105" x14ac:dyDescent="0.25">
      <c r="A27" s="128" t="s">
        <v>33</v>
      </c>
      <c r="B27" s="258">
        <v>58.853458620040072</v>
      </c>
      <c r="C27" s="258">
        <v>56.93421824734218</v>
      </c>
      <c r="D27" s="258">
        <v>54.705553628106053</v>
      </c>
      <c r="E27" s="258">
        <v>20.182939072281311</v>
      </c>
      <c r="F27" s="258">
        <v>19.784410570407481</v>
      </c>
      <c r="G27" s="258">
        <v>20.30908503477891</v>
      </c>
      <c r="H27" s="258">
        <v>20.492012708598541</v>
      </c>
      <c r="I27" s="258">
        <v>20.155705592427651</v>
      </c>
      <c r="J27" s="258">
        <v>21.715292708036699</v>
      </c>
      <c r="K27" s="258">
        <v>21.460958323120909</v>
      </c>
      <c r="L27" s="258">
        <v>21.54295183374947</v>
      </c>
      <c r="M27" s="258">
        <v>21.283950831095531</v>
      </c>
      <c r="N27" s="258">
        <v>20.836674001350179</v>
      </c>
      <c r="O27" s="258">
        <v>20.558576975235852</v>
      </c>
      <c r="P27" s="258">
        <v>20.024709823998659</v>
      </c>
      <c r="Q27" s="258">
        <v>20.095881813490841</v>
      </c>
      <c r="R27" s="258">
        <v>21.749901531075249</v>
      </c>
      <c r="S27" s="258">
        <v>23.015530480243662</v>
      </c>
      <c r="T27" s="258">
        <v>24.728616830502361</v>
      </c>
      <c r="U27" s="258">
        <v>24.640536041702411</v>
      </c>
      <c r="V27" s="258">
        <v>24.73148156738311</v>
      </c>
      <c r="W27" s="258">
        <v>24.57403397915305</v>
      </c>
      <c r="X27" s="258">
        <v>22.099907175561711</v>
      </c>
      <c r="Y27" s="258">
        <v>22.335633747342509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0.99999999999999978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1.0000000000000002</v>
      </c>
      <c r="I31" s="235">
        <f t="shared" si="9"/>
        <v>0.99999999999999989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1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1.0000000000000002</v>
      </c>
      <c r="Q31" s="235">
        <f t="shared" si="9"/>
        <v>0.99999999999999989</v>
      </c>
      <c r="R31" s="235">
        <f t="shared" ref="R31:W31" si="10">SUM(R32:R40)</f>
        <v>0.99999999999999989</v>
      </c>
      <c r="S31" s="235">
        <f t="shared" si="10"/>
        <v>1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1.0000000000000002</v>
      </c>
      <c r="W31" s="235">
        <f t="shared" si="10"/>
        <v>1.0000000000000002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2.0830942357829497E-2</v>
      </c>
      <c r="C32" s="244">
        <f t="shared" si="12"/>
        <v>2.0587459072524752E-2</v>
      </c>
      <c r="D32" s="244">
        <f t="shared" si="12"/>
        <v>2.0689887457912472E-2</v>
      </c>
      <c r="E32" s="244">
        <f t="shared" si="12"/>
        <v>8.1839306194208209E-3</v>
      </c>
      <c r="F32" s="244">
        <f t="shared" si="12"/>
        <v>7.8491363676352378E-3</v>
      </c>
      <c r="G32" s="244">
        <f t="shared" si="12"/>
        <v>7.8332122362103854E-3</v>
      </c>
      <c r="H32" s="244">
        <f t="shared" si="12"/>
        <v>9.3611912872116933E-3</v>
      </c>
      <c r="I32" s="244">
        <f t="shared" si="12"/>
        <v>9.9802894546516582E-3</v>
      </c>
      <c r="J32" s="244">
        <f t="shared" si="12"/>
        <v>1.0412464800927702E-2</v>
      </c>
      <c r="K32" s="244">
        <f t="shared" si="12"/>
        <v>1.049819297736364E-2</v>
      </c>
      <c r="L32" s="244">
        <f t="shared" si="12"/>
        <v>1.018740555505857E-2</v>
      </c>
      <c r="M32" s="244">
        <f t="shared" si="12"/>
        <v>1.0165723422374803E-2</v>
      </c>
      <c r="N32" s="244">
        <f t="shared" si="12"/>
        <v>9.9597097082244623E-3</v>
      </c>
      <c r="O32" s="244">
        <f t="shared" si="12"/>
        <v>1.0065229646019875E-2</v>
      </c>
      <c r="P32" s="244">
        <f t="shared" si="12"/>
        <v>1.0235917466477619E-2</v>
      </c>
      <c r="Q32" s="244">
        <f t="shared" si="12"/>
        <v>1.0526336295004225E-2</v>
      </c>
      <c r="R32" s="244">
        <f t="shared" si="12"/>
        <v>1.0724917785535184E-2</v>
      </c>
      <c r="S32" s="244">
        <f t="shared" si="12"/>
        <v>1.0217697808707456E-2</v>
      </c>
      <c r="T32" s="244">
        <f t="shared" si="12"/>
        <v>1.0797839685787663E-2</v>
      </c>
      <c r="U32" s="244">
        <f t="shared" si="12"/>
        <v>1.0923927570321162E-2</v>
      </c>
      <c r="V32" s="244">
        <f t="shared" si="12"/>
        <v>1.0815221980894402E-2</v>
      </c>
      <c r="W32" s="244">
        <f t="shared" si="12"/>
        <v>1.0809754241391082E-2</v>
      </c>
      <c r="X32" s="244">
        <f t="shared" si="12"/>
        <v>1.1192938512916093E-2</v>
      </c>
      <c r="Y32" s="244">
        <f t="shared" si="12"/>
        <v>1.0363332227610839E-2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1.3426753542875406E-2</v>
      </c>
      <c r="C33" s="245">
        <f t="shared" si="13"/>
        <v>1.3269814408416725E-2</v>
      </c>
      <c r="D33" s="245">
        <f t="shared" si="13"/>
        <v>1.3335835458389943E-2</v>
      </c>
      <c r="E33" s="245">
        <f t="shared" si="13"/>
        <v>5.275019130262933E-3</v>
      </c>
      <c r="F33" s="245">
        <f t="shared" si="13"/>
        <v>5.0592247687271559E-3</v>
      </c>
      <c r="G33" s="245">
        <f t="shared" si="13"/>
        <v>5.0489607401319496E-3</v>
      </c>
      <c r="H33" s="245">
        <f t="shared" si="13"/>
        <v>6.0338320812386116E-3</v>
      </c>
      <c r="I33" s="245">
        <f t="shared" si="13"/>
        <v>6.4328768469660708E-3</v>
      </c>
      <c r="J33" s="245">
        <f t="shared" si="13"/>
        <v>6.711438986022362E-3</v>
      </c>
      <c r="K33" s="245">
        <f t="shared" si="13"/>
        <v>6.7666957803100627E-3</v>
      </c>
      <c r="L33" s="245">
        <f t="shared" si="13"/>
        <v>6.5663752162263521E-3</v>
      </c>
      <c r="M33" s="245">
        <f t="shared" si="13"/>
        <v>6.5523998210268381E-3</v>
      </c>
      <c r="N33" s="245">
        <f t="shared" si="13"/>
        <v>6.4196120038060144E-3</v>
      </c>
      <c r="O33" s="245">
        <f t="shared" si="13"/>
        <v>6.4876257390610601E-3</v>
      </c>
      <c r="P33" s="245">
        <f t="shared" si="13"/>
        <v>6.5976439638100372E-3</v>
      </c>
      <c r="Q33" s="245">
        <f t="shared" si="13"/>
        <v>6.7848357848930528E-3</v>
      </c>
      <c r="R33" s="245">
        <f t="shared" si="13"/>
        <v>6.9128331018523496E-3</v>
      </c>
      <c r="S33" s="245">
        <f t="shared" si="13"/>
        <v>6.5859003350143145E-3</v>
      </c>
      <c r="T33" s="245">
        <f t="shared" si="13"/>
        <v>6.9598355065323353E-3</v>
      </c>
      <c r="U33" s="245">
        <f t="shared" si="13"/>
        <v>7.0411064793617318E-3</v>
      </c>
      <c r="V33" s="245">
        <f t="shared" si="13"/>
        <v>6.9710394064039158E-3</v>
      </c>
      <c r="W33" s="245">
        <f t="shared" si="13"/>
        <v>6.9675151303780526E-3</v>
      </c>
      <c r="X33" s="245">
        <f t="shared" si="13"/>
        <v>7.214499673222745E-3</v>
      </c>
      <c r="Y33" s="245">
        <f t="shared" si="13"/>
        <v>6.6797701857577978E-3</v>
      </c>
      <c r="DA33" s="276"/>
    </row>
    <row r="34" spans="1:105" x14ac:dyDescent="0.25">
      <c r="A34" s="240" t="s">
        <v>123</v>
      </c>
      <c r="B34" s="245">
        <f t="shared" ref="B34:Y34" si="14">IF(B$8=0,0,B$8/B$5)</f>
        <v>2.6682077417360821E-2</v>
      </c>
      <c r="C34" s="245">
        <f t="shared" si="14"/>
        <v>2.6370202910834105E-2</v>
      </c>
      <c r="D34" s="245">
        <f t="shared" si="14"/>
        <v>2.6501402069360077E-2</v>
      </c>
      <c r="E34" s="245">
        <f t="shared" si="14"/>
        <v>1.0482688042368942E-2</v>
      </c>
      <c r="F34" s="245">
        <f t="shared" si="14"/>
        <v>1.005385453154735E-2</v>
      </c>
      <c r="G34" s="245">
        <f t="shared" si="14"/>
        <v>1.0033457523088323E-2</v>
      </c>
      <c r="H34" s="245">
        <f t="shared" si="14"/>
        <v>1.1990625596936828E-2</v>
      </c>
      <c r="I34" s="245">
        <f t="shared" si="14"/>
        <v>1.278362021757485E-2</v>
      </c>
      <c r="J34" s="245">
        <f t="shared" si="14"/>
        <v>1.3337187879043502E-2</v>
      </c>
      <c r="K34" s="245">
        <f t="shared" si="14"/>
        <v>1.344699596171303E-2</v>
      </c>
      <c r="L34" s="245">
        <f t="shared" si="14"/>
        <v>1.3048912479946356E-2</v>
      </c>
      <c r="M34" s="245">
        <f t="shared" si="14"/>
        <v>1.3021140124144874E-2</v>
      </c>
      <c r="N34" s="245">
        <f t="shared" si="14"/>
        <v>1.275725989368898E-2</v>
      </c>
      <c r="O34" s="245">
        <f t="shared" si="14"/>
        <v>1.2892418980636101E-2</v>
      </c>
      <c r="P34" s="245">
        <f t="shared" si="14"/>
        <v>1.3111050743012531E-2</v>
      </c>
      <c r="Q34" s="245">
        <f t="shared" si="14"/>
        <v>1.3483044363516871E-2</v>
      </c>
      <c r="R34" s="245">
        <f t="shared" si="14"/>
        <v>1.3737404757443575E-2</v>
      </c>
      <c r="S34" s="245">
        <f t="shared" si="14"/>
        <v>1.3087713425343919E-2</v>
      </c>
      <c r="T34" s="245">
        <f t="shared" si="14"/>
        <v>1.3830809451025579E-2</v>
      </c>
      <c r="U34" s="245">
        <f t="shared" si="14"/>
        <v>1.3992313747793503E-2</v>
      </c>
      <c r="V34" s="245">
        <f t="shared" si="14"/>
        <v>1.3853074201979359E-2</v>
      </c>
      <c r="W34" s="245">
        <f t="shared" si="14"/>
        <v>1.3846070647064772E-2</v>
      </c>
      <c r="X34" s="245">
        <f t="shared" si="14"/>
        <v>1.4336886291518931E-2</v>
      </c>
      <c r="Y34" s="245">
        <f t="shared" si="14"/>
        <v>1.3274254618395214E-2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0.29898418749356281</v>
      </c>
      <c r="C35" s="246">
        <f t="shared" si="15"/>
        <v>0.29489754677251728</v>
      </c>
      <c r="D35" s="246">
        <f t="shared" si="15"/>
        <v>0.29955206558704983</v>
      </c>
      <c r="E35" s="246">
        <f t="shared" si="15"/>
        <v>0.32158663965098122</v>
      </c>
      <c r="F35" s="246">
        <f t="shared" si="15"/>
        <v>0.32148759381959824</v>
      </c>
      <c r="G35" s="246">
        <f t="shared" si="15"/>
        <v>0.31910980989277959</v>
      </c>
      <c r="H35" s="246">
        <f t="shared" si="15"/>
        <v>0.30128211906670122</v>
      </c>
      <c r="I35" s="246">
        <f t="shared" si="15"/>
        <v>0.30293213612682335</v>
      </c>
      <c r="J35" s="246">
        <f t="shared" si="15"/>
        <v>0.29802690214694894</v>
      </c>
      <c r="K35" s="246">
        <f t="shared" si="15"/>
        <v>0.29707548811308332</v>
      </c>
      <c r="L35" s="246">
        <f t="shared" si="15"/>
        <v>0.29100507143145815</v>
      </c>
      <c r="M35" s="246">
        <f t="shared" si="15"/>
        <v>0.29444932901447401</v>
      </c>
      <c r="N35" s="246">
        <f t="shared" si="15"/>
        <v>0.29702569575686549</v>
      </c>
      <c r="O35" s="246">
        <f t="shared" si="15"/>
        <v>0.29683671354593594</v>
      </c>
      <c r="P35" s="246">
        <f t="shared" si="15"/>
        <v>0.29754029904032586</v>
      </c>
      <c r="Q35" s="246">
        <f t="shared" si="15"/>
        <v>0.29872207377017396</v>
      </c>
      <c r="R35" s="246">
        <f t="shared" si="15"/>
        <v>0.29796738629531616</v>
      </c>
      <c r="S35" s="246">
        <f t="shared" si="15"/>
        <v>0.30867555584714007</v>
      </c>
      <c r="T35" s="246">
        <f t="shared" si="15"/>
        <v>0.31158971151033488</v>
      </c>
      <c r="U35" s="246">
        <f t="shared" si="15"/>
        <v>0.31941891290730223</v>
      </c>
      <c r="V35" s="246">
        <f t="shared" si="15"/>
        <v>0.31954598924746763</v>
      </c>
      <c r="W35" s="246">
        <f t="shared" si="15"/>
        <v>0.32229104009658938</v>
      </c>
      <c r="X35" s="246">
        <f t="shared" si="15"/>
        <v>0.32752886277185278</v>
      </c>
      <c r="Y35" s="246">
        <f t="shared" si="15"/>
        <v>0.3334411658183068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0.22336393742524019</v>
      </c>
      <c r="C36" s="259">
        <f t="shared" si="16"/>
        <v>0.21916752004025236</v>
      </c>
      <c r="D36" s="259">
        <f t="shared" si="16"/>
        <v>0.22307245564074066</v>
      </c>
      <c r="E36" s="259">
        <f t="shared" si="16"/>
        <v>0.23822803511131105</v>
      </c>
      <c r="F36" s="259">
        <f t="shared" si="16"/>
        <v>0.23812357741784196</v>
      </c>
      <c r="G36" s="259">
        <f t="shared" si="16"/>
        <v>0.23717575745944067</v>
      </c>
      <c r="H36" s="259">
        <f t="shared" si="16"/>
        <v>0.22290935332042131</v>
      </c>
      <c r="I36" s="259">
        <f t="shared" si="16"/>
        <v>0.22280497631121771</v>
      </c>
      <c r="J36" s="259">
        <f t="shared" si="16"/>
        <v>0.21894636332374529</v>
      </c>
      <c r="K36" s="259">
        <f t="shared" si="16"/>
        <v>0.21858146084767724</v>
      </c>
      <c r="L36" s="259">
        <f t="shared" si="16"/>
        <v>0.21426577300150848</v>
      </c>
      <c r="M36" s="259">
        <f t="shared" si="16"/>
        <v>0.21669543457421805</v>
      </c>
      <c r="N36" s="259">
        <f t="shared" si="16"/>
        <v>0.2178916197683349</v>
      </c>
      <c r="O36" s="259">
        <f t="shared" si="16"/>
        <v>0.21817820842690019</v>
      </c>
      <c r="P36" s="259">
        <f t="shared" si="16"/>
        <v>0.2189315705567344</v>
      </c>
      <c r="Q36" s="259">
        <f t="shared" si="16"/>
        <v>0.22036247948897764</v>
      </c>
      <c r="R36" s="259">
        <f t="shared" si="16"/>
        <v>0.21995526767794649</v>
      </c>
      <c r="S36" s="259">
        <f t="shared" si="16"/>
        <v>0.22816521417846014</v>
      </c>
      <c r="T36" s="259">
        <f t="shared" si="16"/>
        <v>0.23163350851254971</v>
      </c>
      <c r="U36" s="259">
        <f t="shared" si="16"/>
        <v>0.23710041897800682</v>
      </c>
      <c r="V36" s="259">
        <f t="shared" si="16"/>
        <v>0.23680302791417684</v>
      </c>
      <c r="W36" s="259">
        <f t="shared" si="16"/>
        <v>0.23796620460199788</v>
      </c>
      <c r="X36" s="259">
        <f t="shared" si="16"/>
        <v>0.24205992536707624</v>
      </c>
      <c r="Y36" s="259">
        <f t="shared" si="16"/>
        <v>0.24730744377613226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0.33452877802658687</v>
      </c>
      <c r="C37" s="259">
        <f t="shared" si="17"/>
        <v>0.34469801902407848</v>
      </c>
      <c r="D37" s="259">
        <f t="shared" si="17"/>
        <v>0.33505728848021082</v>
      </c>
      <c r="E37" s="259">
        <f t="shared" si="17"/>
        <v>0.36371560533925984</v>
      </c>
      <c r="F37" s="259">
        <f t="shared" si="17"/>
        <v>0.36575054928104889</v>
      </c>
      <c r="G37" s="259">
        <f t="shared" si="17"/>
        <v>0.36929008742247066</v>
      </c>
      <c r="H37" s="259">
        <f t="shared" si="17"/>
        <v>0.39500872055193309</v>
      </c>
      <c r="I37" s="259">
        <f t="shared" si="17"/>
        <v>0.39011642151454362</v>
      </c>
      <c r="J37" s="259">
        <f t="shared" si="17"/>
        <v>0.39705328262233536</v>
      </c>
      <c r="K37" s="259">
        <f t="shared" si="17"/>
        <v>0.39795331752807134</v>
      </c>
      <c r="L37" s="259">
        <f t="shared" si="17"/>
        <v>0.41060700040797571</v>
      </c>
      <c r="M37" s="259">
        <f t="shared" si="17"/>
        <v>0.40452396425912862</v>
      </c>
      <c r="N37" s="259">
        <f t="shared" si="17"/>
        <v>0.40170883275296826</v>
      </c>
      <c r="O37" s="259">
        <f t="shared" si="17"/>
        <v>0.40099987492508443</v>
      </c>
      <c r="P37" s="259">
        <f t="shared" si="17"/>
        <v>0.39851503393628057</v>
      </c>
      <c r="Q37" s="259">
        <f t="shared" si="17"/>
        <v>0.39413337436337659</v>
      </c>
      <c r="R37" s="259">
        <f t="shared" si="17"/>
        <v>0.39427207267008707</v>
      </c>
      <c r="S37" s="259">
        <f t="shared" si="17"/>
        <v>0.37700301159497068</v>
      </c>
      <c r="T37" s="259">
        <f t="shared" si="17"/>
        <v>0.36700480907721716</v>
      </c>
      <c r="U37" s="259">
        <f t="shared" si="17"/>
        <v>0.35228888584192625</v>
      </c>
      <c r="V37" s="259">
        <f t="shared" si="17"/>
        <v>0.35308929790736587</v>
      </c>
      <c r="W37" s="259">
        <f t="shared" si="17"/>
        <v>0.34905429146092593</v>
      </c>
      <c r="X37" s="259">
        <f t="shared" si="17"/>
        <v>0.33709202918750397</v>
      </c>
      <c r="Y37" s="259">
        <f t="shared" si="17"/>
        <v>0.3297297761012743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3.0044869420955064E-2</v>
      </c>
      <c r="C38" s="259">
        <f t="shared" si="18"/>
        <v>2.9480405820334746E-2</v>
      </c>
      <c r="D38" s="259">
        <f t="shared" si="18"/>
        <v>3.0005661963140591E-2</v>
      </c>
      <c r="E38" s="259">
        <f t="shared" si="18"/>
        <v>3.204425159153395E-2</v>
      </c>
      <c r="F38" s="259">
        <f t="shared" si="18"/>
        <v>3.2030200900108684E-2</v>
      </c>
      <c r="G38" s="259">
        <f t="shared" si="18"/>
        <v>3.1902708847394178E-2</v>
      </c>
      <c r="H38" s="259">
        <f t="shared" si="18"/>
        <v>2.9983722934071103E-2</v>
      </c>
      <c r="I38" s="259">
        <f t="shared" si="18"/>
        <v>2.9969683095553645E-2</v>
      </c>
      <c r="J38" s="259">
        <f t="shared" si="18"/>
        <v>2.9450657846039442E-2</v>
      </c>
      <c r="K38" s="259">
        <f t="shared" si="18"/>
        <v>2.9401574509798047E-2</v>
      </c>
      <c r="L38" s="259">
        <f t="shared" si="18"/>
        <v>2.8821067740019489E-2</v>
      </c>
      <c r="M38" s="259">
        <f t="shared" si="18"/>
        <v>2.9147883543549125E-2</v>
      </c>
      <c r="N38" s="259">
        <f t="shared" si="18"/>
        <v>2.9308783411158907E-2</v>
      </c>
      <c r="O38" s="259">
        <f t="shared" si="18"/>
        <v>2.9347332690525019E-2</v>
      </c>
      <c r="P38" s="259">
        <f t="shared" si="18"/>
        <v>2.9448668058617445E-2</v>
      </c>
      <c r="Q38" s="259">
        <f t="shared" si="18"/>
        <v>2.9641140811910095E-2</v>
      </c>
      <c r="R38" s="259">
        <f t="shared" si="18"/>
        <v>2.9586366411753422E-2</v>
      </c>
      <c r="S38" s="259">
        <f t="shared" si="18"/>
        <v>3.0690693159411683E-2</v>
      </c>
      <c r="T38" s="259">
        <f t="shared" si="18"/>
        <v>3.1157216321486766E-2</v>
      </c>
      <c r="U38" s="259">
        <f t="shared" si="18"/>
        <v>3.1892575005453748E-2</v>
      </c>
      <c r="V38" s="259">
        <f t="shared" si="18"/>
        <v>3.1852572685550501E-2</v>
      </c>
      <c r="W38" s="259">
        <f t="shared" si="18"/>
        <v>3.2009032551462306E-2</v>
      </c>
      <c r="X38" s="259">
        <f t="shared" si="18"/>
        <v>3.2559682344129919E-2</v>
      </c>
      <c r="Y38" s="259">
        <f t="shared" si="18"/>
        <v>3.3265530419703544E-2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2.0656543912116018E-2</v>
      </c>
      <c r="C39" s="259">
        <f t="shared" si="19"/>
        <v>2.041509908987189E-2</v>
      </c>
      <c r="D39" s="259">
        <f t="shared" si="19"/>
        <v>2.0516669935984538E-2</v>
      </c>
      <c r="E39" s="259">
        <f t="shared" si="19"/>
        <v>8.1154140465583609E-3</v>
      </c>
      <c r="F39" s="259">
        <f t="shared" si="19"/>
        <v>7.783422721118702E-3</v>
      </c>
      <c r="G39" s="259">
        <f t="shared" si="19"/>
        <v>7.7676319078953107E-3</v>
      </c>
      <c r="H39" s="259">
        <f t="shared" si="19"/>
        <v>9.2828185865209481E-3</v>
      </c>
      <c r="I39" s="259">
        <f t="shared" si="19"/>
        <v>9.8967336107170373E-3</v>
      </c>
      <c r="J39" s="259">
        <f t="shared" si="19"/>
        <v>1.0325290747726711E-2</v>
      </c>
      <c r="K39" s="259">
        <f t="shared" si="19"/>
        <v>1.0410301200477019E-2</v>
      </c>
      <c r="L39" s="259">
        <f t="shared" si="19"/>
        <v>1.0102115717271308E-2</v>
      </c>
      <c r="M39" s="259">
        <f t="shared" si="19"/>
        <v>1.0080615109272061E-2</v>
      </c>
      <c r="N39" s="259">
        <f t="shared" si="19"/>
        <v>9.8763261597015657E-3</v>
      </c>
      <c r="O39" s="259">
        <f t="shared" si="19"/>
        <v>9.9809626754785545E-3</v>
      </c>
      <c r="P39" s="259">
        <f t="shared" si="19"/>
        <v>1.0150221482784676E-2</v>
      </c>
      <c r="Q39" s="259">
        <f t="shared" si="19"/>
        <v>1.0438208899835467E-2</v>
      </c>
      <c r="R39" s="259">
        <f t="shared" si="19"/>
        <v>1.0635127849003617E-2</v>
      </c>
      <c r="S39" s="259">
        <f t="shared" si="19"/>
        <v>1.0132154361560486E-2</v>
      </c>
      <c r="T39" s="259">
        <f t="shared" si="19"/>
        <v>1.0707439240818978E-2</v>
      </c>
      <c r="U39" s="259">
        <f t="shared" si="19"/>
        <v>1.0832471506710357E-2</v>
      </c>
      <c r="V39" s="259">
        <f t="shared" si="19"/>
        <v>1.0724676009852179E-2</v>
      </c>
      <c r="W39" s="259">
        <f t="shared" si="19"/>
        <v>1.0719254046735472E-2</v>
      </c>
      <c r="X39" s="259">
        <f t="shared" si="19"/>
        <v>1.1099230266496537E-2</v>
      </c>
      <c r="Y39" s="259">
        <f t="shared" si="19"/>
        <v>1.0276569516550456E-2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3.1481910403473402E-2</v>
      </c>
      <c r="C40" s="261">
        <f t="shared" si="20"/>
        <v>3.1113932861169546E-2</v>
      </c>
      <c r="D40" s="261">
        <f t="shared" si="20"/>
        <v>3.1268733407210925E-2</v>
      </c>
      <c r="E40" s="261">
        <f t="shared" si="20"/>
        <v>1.2368416468302997E-2</v>
      </c>
      <c r="F40" s="261">
        <f t="shared" si="20"/>
        <v>1.1862440192373735E-2</v>
      </c>
      <c r="G40" s="261">
        <f t="shared" si="20"/>
        <v>1.1838373970588919E-2</v>
      </c>
      <c r="H40" s="261">
        <f t="shared" si="20"/>
        <v>1.4147616574965246E-2</v>
      </c>
      <c r="I40" s="261">
        <f t="shared" si="20"/>
        <v>1.5083262821951953E-2</v>
      </c>
      <c r="J40" s="261">
        <f t="shared" si="20"/>
        <v>1.573641164721086E-2</v>
      </c>
      <c r="K40" s="261">
        <f t="shared" si="20"/>
        <v>1.5865973081506467E-2</v>
      </c>
      <c r="L40" s="261">
        <f t="shared" si="20"/>
        <v>1.5396278450535669E-2</v>
      </c>
      <c r="M40" s="261">
        <f t="shared" si="20"/>
        <v>1.5363510131811477E-2</v>
      </c>
      <c r="N40" s="261">
        <f t="shared" si="20"/>
        <v>1.505216054525137E-2</v>
      </c>
      <c r="O40" s="261">
        <f t="shared" si="20"/>
        <v>1.5211633370358899E-2</v>
      </c>
      <c r="P40" s="261">
        <f t="shared" si="20"/>
        <v>1.5469594751956939E-2</v>
      </c>
      <c r="Q40" s="261">
        <f t="shared" si="20"/>
        <v>1.5908506222311995E-2</v>
      </c>
      <c r="R40" s="261">
        <f t="shared" si="20"/>
        <v>1.6208623451062047E-2</v>
      </c>
      <c r="S40" s="261">
        <f t="shared" si="20"/>
        <v>1.5442059289391253E-2</v>
      </c>
      <c r="T40" s="261">
        <f t="shared" si="20"/>
        <v>1.631883069424692E-2</v>
      </c>
      <c r="U40" s="261">
        <f t="shared" si="20"/>
        <v>1.6509387963124168E-2</v>
      </c>
      <c r="V40" s="261">
        <f t="shared" si="20"/>
        <v>1.6345100646309438E-2</v>
      </c>
      <c r="W40" s="261">
        <f t="shared" si="20"/>
        <v>1.6336837223455292E-2</v>
      </c>
      <c r="X40" s="261">
        <f t="shared" si="20"/>
        <v>1.6915945585283025E-2</v>
      </c>
      <c r="Y40" s="261">
        <f t="shared" si="20"/>
        <v>1.5662157336268842E-2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0.39873671829814578</v>
      </c>
      <c r="C44" s="237">
        <f>IF(C$5=0,0,C$5/AGR_fec!C$5)</f>
        <v>0.39569883441118647</v>
      </c>
      <c r="D44" s="237">
        <f>IF(D$5=0,0,D$5/AGR_fec!D$5)</f>
        <v>0.3986136056105673</v>
      </c>
      <c r="E44" s="237">
        <f>IF(E$5=0,0,E$5/AGR_fec!E$5)</f>
        <v>0.38799645396067511</v>
      </c>
      <c r="F44" s="237">
        <f>IF(F$5=0,0,F$5/AGR_fec!F$5)</f>
        <v>0.38724727209033666</v>
      </c>
      <c r="G44" s="237">
        <f>IF(G$5=0,0,G$5/AGR_fec!G$5)</f>
        <v>0.38620326452000747</v>
      </c>
      <c r="H44" s="237">
        <f>IF(H$5=0,0,H$5/AGR_fec!H$5)</f>
        <v>0.37883682273307634</v>
      </c>
      <c r="I44" s="237">
        <f>IF(I$5=0,0,I$5/AGR_fec!I$5)</f>
        <v>0.38052947215642391</v>
      </c>
      <c r="J44" s="237">
        <f>IF(J$5=0,0,J$5/AGR_fec!J$5)</f>
        <v>0.37891139358190007</v>
      </c>
      <c r="K44" s="237">
        <f>IF(K$5=0,0,K$5/AGR_fec!K$5)</f>
        <v>0.37843009019566237</v>
      </c>
      <c r="L44" s="237">
        <f>IF(L$5=0,0,L$5/AGR_fec!L$5)</f>
        <v>0.37499458111847705</v>
      </c>
      <c r="M44" s="237">
        <f>IF(M$5=0,0,M$5/AGR_fec!M$5)</f>
        <v>0.3763849479170942</v>
      </c>
      <c r="N44" s="237">
        <f>IF(N$5=0,0,N$5/AGR_fec!N$5)</f>
        <v>0.37744954245200318</v>
      </c>
      <c r="O44" s="237">
        <f>IF(O$5=0,0,O$5/AGR_fec!O$5)</f>
        <v>0.37746785063663996</v>
      </c>
      <c r="P44" s="237">
        <f>IF(P$5=0,0,P$5/AGR_fec!P$5)</f>
        <v>0.37827526496346453</v>
      </c>
      <c r="Q44" s="237">
        <f>IF(Q$5=0,0,Q$5/AGR_fec!Q$5)</f>
        <v>0.37932217765705983</v>
      </c>
      <c r="R44" s="237">
        <f>IF(R$5=0,0,R$5/AGR_fec!R$5)</f>
        <v>0.37932037703713928</v>
      </c>
      <c r="S44" s="237">
        <f>IF(S$5=0,0,S$5/AGR_fec!S$5)</f>
        <v>0.38393846821932676</v>
      </c>
      <c r="T44" s="237">
        <f>IF(T$5=0,0,T$5/AGR_fec!T$5)</f>
        <v>0.38663906343473353</v>
      </c>
      <c r="U44" s="237">
        <f>IF(U$5=0,0,U$5/AGR_fec!U$5)</f>
        <v>0.39129987122642318</v>
      </c>
      <c r="V44" s="237">
        <f>IF(V$5=0,0,V$5/AGR_fec!V$5)</f>
        <v>0.39105676382447779</v>
      </c>
      <c r="W44" s="237">
        <f>IF(W$5=0,0,W$5/AGR_fec!W$5)</f>
        <v>0.39210718284763479</v>
      </c>
      <c r="X44" s="237">
        <f>IF(X$5=0,0,X$5/AGR_fec!X$5)</f>
        <v>0.39537360302360663</v>
      </c>
      <c r="Y44" s="237">
        <f>IF(Y$5=0,0,Y$5/AGR_fec!Y$5)</f>
        <v>0.39844428863650244</v>
      </c>
      <c r="DA44" s="286"/>
    </row>
    <row r="45" spans="1:105" x14ac:dyDescent="0.25">
      <c r="A45" s="238" t="s">
        <v>125</v>
      </c>
      <c r="B45" s="250">
        <f>IF(B$6=0,0,B$6/AGR_fec!B$6)</f>
        <v>0.52777429410844334</v>
      </c>
      <c r="C45" s="250">
        <f>IF(C$6=0,0,C$6/AGR_fec!C$6)</f>
        <v>0.52777429410844334</v>
      </c>
      <c r="D45" s="250">
        <f>IF(D$6=0,0,D$6/AGR_fec!D$6)</f>
        <v>0.52777429410844345</v>
      </c>
      <c r="E45" s="250">
        <f>IF(E$6=0,0,E$6/AGR_fec!E$6)</f>
        <v>0.52777429410844323</v>
      </c>
      <c r="F45" s="250">
        <f>IF(F$6=0,0,F$6/AGR_fec!F$6)</f>
        <v>0.52777429410844323</v>
      </c>
      <c r="G45" s="250">
        <f>IF(G$6=0,0,G$6/AGR_fec!G$6)</f>
        <v>0.52777429410844345</v>
      </c>
      <c r="H45" s="250">
        <f>IF(H$6=0,0,H$6/AGR_fec!H$6)</f>
        <v>0.52777429410844368</v>
      </c>
      <c r="I45" s="250">
        <f>IF(I$6=0,0,I$6/AGR_fec!I$6)</f>
        <v>0.52777429410844323</v>
      </c>
      <c r="J45" s="250">
        <f>IF(J$6=0,0,J$6/AGR_fec!J$6)</f>
        <v>0.52777429410844345</v>
      </c>
      <c r="K45" s="250">
        <f>IF(K$6=0,0,K$6/AGR_fec!K$6)</f>
        <v>0.52777429410844334</v>
      </c>
      <c r="L45" s="250">
        <f>IF(L$6=0,0,L$6/AGR_fec!L$6)</f>
        <v>0.52777429410844334</v>
      </c>
      <c r="M45" s="250">
        <f>IF(M$6=0,0,M$6/AGR_fec!M$6)</f>
        <v>0.52777429410844334</v>
      </c>
      <c r="N45" s="250">
        <f>IF(N$6=0,0,N$6/AGR_fec!N$6)</f>
        <v>0.52777429410844334</v>
      </c>
      <c r="O45" s="250">
        <f>IF(O$6=0,0,O$6/AGR_fec!O$6)</f>
        <v>0.52777429410844334</v>
      </c>
      <c r="P45" s="250">
        <f>IF(P$6=0,0,P$6/AGR_fec!P$6)</f>
        <v>0.52777429410844334</v>
      </c>
      <c r="Q45" s="250">
        <f>IF(Q$6=0,0,Q$6/AGR_fec!Q$6)</f>
        <v>0.52777429410844323</v>
      </c>
      <c r="R45" s="250">
        <f>IF(R$6=0,0,R$6/AGR_fec!R$6)</f>
        <v>0.52777429410844345</v>
      </c>
      <c r="S45" s="250">
        <f>IF(S$6=0,0,S$6/AGR_fec!S$6)</f>
        <v>0.52777429410844334</v>
      </c>
      <c r="T45" s="250">
        <f>IF(T$6=0,0,T$6/AGR_fec!T$6)</f>
        <v>0.52777429410844334</v>
      </c>
      <c r="U45" s="250">
        <f>IF(U$6=0,0,U$6/AGR_fec!U$6)</f>
        <v>0.52777429410844312</v>
      </c>
      <c r="V45" s="250">
        <f>IF(V$6=0,0,V$6/AGR_fec!V$6)</f>
        <v>0.52777429410844334</v>
      </c>
      <c r="W45" s="250">
        <f>IF(W$6=0,0,W$6/AGR_fec!W$6)</f>
        <v>0.52777429410844334</v>
      </c>
      <c r="X45" s="250">
        <f>IF(X$6=0,0,X$6/AGR_fec!X$6)</f>
        <v>0.52777429410844323</v>
      </c>
      <c r="Y45" s="250">
        <f>IF(Y$6=0,0,Y$6/AGR_fec!Y$6)</f>
        <v>0.52777429410844345</v>
      </c>
      <c r="DA45" s="287"/>
    </row>
    <row r="46" spans="1:105" x14ac:dyDescent="0.25">
      <c r="A46" s="240" t="s">
        <v>124</v>
      </c>
      <c r="B46" s="251">
        <f>IF(B$7=0,0,B$7/AGR_fec!B$7)</f>
        <v>0.52335572220713678</v>
      </c>
      <c r="C46" s="251">
        <f>IF(C$7=0,0,C$7/AGR_fec!C$7)</f>
        <v>0.52335572220713666</v>
      </c>
      <c r="D46" s="251">
        <f>IF(D$7=0,0,D$7/AGR_fec!D$7)</f>
        <v>0.52335572220713666</v>
      </c>
      <c r="E46" s="251">
        <f>IF(E$7=0,0,E$7/AGR_fec!E$7)</f>
        <v>0.52335572220713689</v>
      </c>
      <c r="F46" s="251">
        <f>IF(F$7=0,0,F$7/AGR_fec!F$7)</f>
        <v>0.52335572220713666</v>
      </c>
      <c r="G46" s="251">
        <f>IF(G$7=0,0,G$7/AGR_fec!G$7)</f>
        <v>0.52335572220713666</v>
      </c>
      <c r="H46" s="251">
        <f>IF(H$7=0,0,H$7/AGR_fec!H$7)</f>
        <v>0.52335572220713678</v>
      </c>
      <c r="I46" s="251">
        <f>IF(I$7=0,0,I$7/AGR_fec!I$7)</f>
        <v>0.52335572220713655</v>
      </c>
      <c r="J46" s="251">
        <f>IF(J$7=0,0,J$7/AGR_fec!J$7)</f>
        <v>0.52335572220713666</v>
      </c>
      <c r="K46" s="251">
        <f>IF(K$7=0,0,K$7/AGR_fec!K$7)</f>
        <v>0.52335572220713689</v>
      </c>
      <c r="L46" s="251">
        <f>IF(L$7=0,0,L$7/AGR_fec!L$7)</f>
        <v>0.52335572220713689</v>
      </c>
      <c r="M46" s="251">
        <f>IF(M$7=0,0,M$7/AGR_fec!M$7)</f>
        <v>0.52335572220713689</v>
      </c>
      <c r="N46" s="251">
        <f>IF(N$7=0,0,N$7/AGR_fec!N$7)</f>
        <v>0.52335572220713666</v>
      </c>
      <c r="O46" s="251">
        <f>IF(O$7=0,0,O$7/AGR_fec!O$7)</f>
        <v>0.52335572220713678</v>
      </c>
      <c r="P46" s="251">
        <f>IF(P$7=0,0,P$7/AGR_fec!P$7)</f>
        <v>0.52335572220713689</v>
      </c>
      <c r="Q46" s="251">
        <f>IF(Q$7=0,0,Q$7/AGR_fec!Q$7)</f>
        <v>0.52335572220713689</v>
      </c>
      <c r="R46" s="251">
        <f>IF(R$7=0,0,R$7/AGR_fec!R$7)</f>
        <v>0.52335572220713666</v>
      </c>
      <c r="S46" s="251">
        <f>IF(S$7=0,0,S$7/AGR_fec!S$7)</f>
        <v>0.52335572220713689</v>
      </c>
      <c r="T46" s="251">
        <f>IF(T$7=0,0,T$7/AGR_fec!T$7)</f>
        <v>0.52335572220713678</v>
      </c>
      <c r="U46" s="251">
        <f>IF(U$7=0,0,U$7/AGR_fec!U$7)</f>
        <v>0.52335572220713655</v>
      </c>
      <c r="V46" s="251">
        <f>IF(V$7=0,0,V$7/AGR_fec!V$7)</f>
        <v>0.52335572220713689</v>
      </c>
      <c r="W46" s="251">
        <f>IF(W$7=0,0,W$7/AGR_fec!W$7)</f>
        <v>0.52335572220713655</v>
      </c>
      <c r="X46" s="251">
        <f>IF(X$7=0,0,X$7/AGR_fec!X$7)</f>
        <v>0.52335572220713689</v>
      </c>
      <c r="Y46" s="251">
        <f>IF(Y$7=0,0,Y$7/AGR_fec!Y$7)</f>
        <v>0.52335572220713666</v>
      </c>
      <c r="DA46" s="288"/>
    </row>
    <row r="47" spans="1:105" x14ac:dyDescent="0.25">
      <c r="A47" s="240" t="s">
        <v>123</v>
      </c>
      <c r="B47" s="251">
        <f>IF(B$8=0,0,B$8/AGR_fec!B$8)</f>
        <v>0.75113231569945194</v>
      </c>
      <c r="C47" s="251">
        <f>IF(C$8=0,0,C$8/AGR_fec!C$8)</f>
        <v>0.75113231569945182</v>
      </c>
      <c r="D47" s="251">
        <f>IF(D$8=0,0,D$8/AGR_fec!D$8)</f>
        <v>0.75113231569945205</v>
      </c>
      <c r="E47" s="251">
        <f>IF(E$8=0,0,E$8/AGR_fec!E$8)</f>
        <v>0.75113231569945182</v>
      </c>
      <c r="F47" s="251">
        <f>IF(F$8=0,0,F$8/AGR_fec!F$8)</f>
        <v>0.75113231569945171</v>
      </c>
      <c r="G47" s="251">
        <f>IF(G$8=0,0,G$8/AGR_fec!G$8)</f>
        <v>0.75113231569945182</v>
      </c>
      <c r="H47" s="251">
        <f>IF(H$8=0,0,H$8/AGR_fec!H$8)</f>
        <v>0.75113231569945216</v>
      </c>
      <c r="I47" s="251">
        <f>IF(I$8=0,0,I$8/AGR_fec!I$8)</f>
        <v>0.75113231569945205</v>
      </c>
      <c r="J47" s="251">
        <f>IF(J$8=0,0,J$8/AGR_fec!J$8)</f>
        <v>0.75113231569945182</v>
      </c>
      <c r="K47" s="251">
        <f>IF(K$8=0,0,K$8/AGR_fec!K$8)</f>
        <v>0.75113231569945182</v>
      </c>
      <c r="L47" s="251">
        <f>IF(L$8=0,0,L$8/AGR_fec!L$8)</f>
        <v>0.75113231569945205</v>
      </c>
      <c r="M47" s="251">
        <f>IF(M$8=0,0,M$8/AGR_fec!M$8)</f>
        <v>0.75113231569945227</v>
      </c>
      <c r="N47" s="251">
        <f>IF(N$8=0,0,N$8/AGR_fec!N$8)</f>
        <v>0.75113231569945171</v>
      </c>
      <c r="O47" s="251">
        <f>IF(O$8=0,0,O$8/AGR_fec!O$8)</f>
        <v>0.75113231569945171</v>
      </c>
      <c r="P47" s="251">
        <f>IF(P$8=0,0,P$8/AGR_fec!P$8)</f>
        <v>0.75113231569945216</v>
      </c>
      <c r="Q47" s="251">
        <f>IF(Q$8=0,0,Q$8/AGR_fec!Q$8)</f>
        <v>0.75113231569945194</v>
      </c>
      <c r="R47" s="251">
        <f>IF(R$8=0,0,R$8/AGR_fec!R$8)</f>
        <v>0.75113231569945194</v>
      </c>
      <c r="S47" s="251">
        <f>IF(S$8=0,0,S$8/AGR_fec!S$8)</f>
        <v>0.75113231569945194</v>
      </c>
      <c r="T47" s="251">
        <f>IF(T$8=0,0,T$8/AGR_fec!T$8)</f>
        <v>0.75113231569945194</v>
      </c>
      <c r="U47" s="251">
        <f>IF(U$8=0,0,U$8/AGR_fec!U$8)</f>
        <v>0.75113231569945205</v>
      </c>
      <c r="V47" s="251">
        <f>IF(V$8=0,0,V$8/AGR_fec!V$8)</f>
        <v>0.75113231569945182</v>
      </c>
      <c r="W47" s="251">
        <f>IF(W$8=0,0,W$8/AGR_fec!W$8)</f>
        <v>0.75113231569945194</v>
      </c>
      <c r="X47" s="251">
        <f>IF(X$8=0,0,X$8/AGR_fec!X$8)</f>
        <v>0.75113231569945182</v>
      </c>
      <c r="Y47" s="251">
        <f>IF(Y$8=0,0,Y$8/AGR_fec!Y$8)</f>
        <v>0.75113231569945182</v>
      </c>
      <c r="DA47" s="288"/>
    </row>
    <row r="48" spans="1:105" x14ac:dyDescent="0.25">
      <c r="A48" s="242" t="s">
        <v>122</v>
      </c>
      <c r="B48" s="252">
        <f>IF(B$9=0,0,B$9/AGR_fec!B$9)</f>
        <v>0.69252836159535303</v>
      </c>
      <c r="C48" s="252">
        <f>IF(C$9=0,0,C$9/AGR_fec!C$9)</f>
        <v>0.69405770145910139</v>
      </c>
      <c r="D48" s="252">
        <f>IF(D$9=0,0,D$9/AGR_fec!D$9)</f>
        <v>0.69295450680037773</v>
      </c>
      <c r="E48" s="252">
        <f>IF(E$9=0,0,E$9/AGR_fec!E$9)</f>
        <v>0.68151467603635607</v>
      </c>
      <c r="F48" s="252">
        <f>IF(F$9=0,0,F$9/AGR_fec!F$9)</f>
        <v>0.68134106026367425</v>
      </c>
      <c r="G48" s="252">
        <f>IF(G$9=0,0,G$9/AGR_fec!G$9)</f>
        <v>0.68073154639958644</v>
      </c>
      <c r="H48" s="252">
        <f>IF(H$9=0,0,H$9/AGR_fec!H$9)</f>
        <v>0.68332664559074663</v>
      </c>
      <c r="I48" s="252">
        <f>IF(I$9=0,0,I$9/AGR_fec!I$9)</f>
        <v>0.68487878668438817</v>
      </c>
      <c r="J48" s="252">
        <f>IF(J$9=0,0,J$9/AGR_fec!J$9)</f>
        <v>0.68564054440404387</v>
      </c>
      <c r="K48" s="252">
        <f>IF(K$9=0,0,K$9/AGR_fec!K$9)</f>
        <v>0.68545790520090932</v>
      </c>
      <c r="L48" s="252">
        <f>IF(L$9=0,0,L$9/AGR_fec!L$9)</f>
        <v>0.68534771772089642</v>
      </c>
      <c r="M48" s="252">
        <f>IF(M$9=0,0,M$9/AGR_fec!M$9)</f>
        <v>0.68526900230318921</v>
      </c>
      <c r="N48" s="252">
        <f>IF(N$9=0,0,N$9/AGR_fec!N$9)</f>
        <v>0.68560835477356796</v>
      </c>
      <c r="O48" s="252">
        <f>IF(O$9=0,0,O$9/AGR_fec!O$9)</f>
        <v>0.68532653192349302</v>
      </c>
      <c r="P48" s="252">
        <f>IF(P$9=0,0,P$9/AGR_fec!P$9)</f>
        <v>0.68522190960537965</v>
      </c>
      <c r="Q48" s="252">
        <f>IF(Q$9=0,0,Q$9/AGR_fec!Q$9)</f>
        <v>0.68490441530815782</v>
      </c>
      <c r="R48" s="252">
        <f>IF(R$9=0,0,R$9/AGR_fec!R$9)</f>
        <v>0.68496601643964383</v>
      </c>
      <c r="S48" s="252">
        <f>IF(S$9=0,0,S$9/AGR_fec!S$9)</f>
        <v>0.68384121996406089</v>
      </c>
      <c r="T48" s="252">
        <f>IF(T$9=0,0,T$9/AGR_fec!T$9)</f>
        <v>0.68299063899077195</v>
      </c>
      <c r="U48" s="252">
        <f>IF(U$9=0,0,U$9/AGR_fec!U$9)</f>
        <v>0.68301032011630414</v>
      </c>
      <c r="V48" s="252">
        <f>IF(V$9=0,0,V$9/AGR_fec!V$9)</f>
        <v>0.68327923481626052</v>
      </c>
      <c r="W48" s="252">
        <f>IF(W$9=0,0,W$9/AGR_fec!W$9)</f>
        <v>0.68389278811702048</v>
      </c>
      <c r="X48" s="252">
        <f>IF(X$9=0,0,X$9/AGR_fec!X$9)</f>
        <v>0.68368846816045359</v>
      </c>
      <c r="Y48" s="252">
        <f>IF(Y$9=0,0,Y$9/AGR_fec!Y$9)</f>
        <v>0.68220207162487767</v>
      </c>
      <c r="DA48" s="289"/>
    </row>
    <row r="49" spans="1:105" x14ac:dyDescent="0.25">
      <c r="A49" s="127" t="s">
        <v>168</v>
      </c>
      <c r="B49" s="264">
        <f>IF(B$16=0,0,B$16/AGR_fec!B$16)</f>
        <v>0.37766457640006384</v>
      </c>
      <c r="C49" s="264">
        <f>IF(C$16=0,0,C$16/AGR_fec!C$16)</f>
        <v>0.37766457640006373</v>
      </c>
      <c r="D49" s="264">
        <f>IF(D$16=0,0,D$16/AGR_fec!D$16)</f>
        <v>0.37766457640006368</v>
      </c>
      <c r="E49" s="264">
        <f>IF(E$16=0,0,E$16/AGR_fec!E$16)</f>
        <v>0.37766457640006373</v>
      </c>
      <c r="F49" s="264">
        <f>IF(F$16=0,0,F$16/AGR_fec!F$16)</f>
        <v>0.37766457640006357</v>
      </c>
      <c r="G49" s="264">
        <f>IF(G$16=0,0,G$16/AGR_fec!G$16)</f>
        <v>0.37766457640006346</v>
      </c>
      <c r="H49" s="264">
        <f>IF(H$16=0,0,H$16/AGR_fec!H$16)</f>
        <v>0.37766457640006362</v>
      </c>
      <c r="I49" s="264">
        <f>IF(I$16=0,0,I$16/AGR_fec!I$16)</f>
        <v>0.37766457640006368</v>
      </c>
      <c r="J49" s="264">
        <f>IF(J$16=0,0,J$16/AGR_fec!J$16)</f>
        <v>0.37766457640006368</v>
      </c>
      <c r="K49" s="264">
        <f>IF(K$16=0,0,K$16/AGR_fec!K$16)</f>
        <v>0.37766457640006362</v>
      </c>
      <c r="L49" s="264">
        <f>IF(L$16=0,0,L$16/AGR_fec!L$16)</f>
        <v>0.37766457640006362</v>
      </c>
      <c r="M49" s="264">
        <f>IF(M$16=0,0,M$16/AGR_fec!M$16)</f>
        <v>0.37766457640006368</v>
      </c>
      <c r="N49" s="264">
        <f>IF(N$16=0,0,N$16/AGR_fec!N$16)</f>
        <v>0.37766457640006362</v>
      </c>
      <c r="O49" s="264">
        <f>IF(O$16=0,0,O$16/AGR_fec!O$16)</f>
        <v>0.37766457640006368</v>
      </c>
      <c r="P49" s="264">
        <f>IF(P$16=0,0,P$16/AGR_fec!P$16)</f>
        <v>0.37766457640006373</v>
      </c>
      <c r="Q49" s="264">
        <f>IF(Q$16=0,0,Q$16/AGR_fec!Q$16)</f>
        <v>0.37766457640006357</v>
      </c>
      <c r="R49" s="264">
        <f>IF(R$16=0,0,R$16/AGR_fec!R$16)</f>
        <v>0.37766457640006373</v>
      </c>
      <c r="S49" s="264">
        <f>IF(S$16=0,0,S$16/AGR_fec!S$16)</f>
        <v>0.37766457640006368</v>
      </c>
      <c r="T49" s="264">
        <f>IF(T$16=0,0,T$16/AGR_fec!T$16)</f>
        <v>0.37766457640006362</v>
      </c>
      <c r="U49" s="264">
        <f>IF(U$16=0,0,U$16/AGR_fec!U$16)</f>
        <v>0.37766457640006373</v>
      </c>
      <c r="V49" s="264">
        <f>IF(V$16=0,0,V$16/AGR_fec!V$16)</f>
        <v>0.37766457640006368</v>
      </c>
      <c r="W49" s="264">
        <f>IF(W$16=0,0,W$16/AGR_fec!W$16)</f>
        <v>0.37766457640006373</v>
      </c>
      <c r="X49" s="264">
        <f>IF(X$16=0,0,X$16/AGR_fec!X$16)</f>
        <v>0.37766457640006373</v>
      </c>
      <c r="Y49" s="264">
        <f>IF(Y$16=0,0,Y$16/AGR_fec!Y$16)</f>
        <v>0.37766457640006362</v>
      </c>
      <c r="DA49" s="290"/>
    </row>
    <row r="50" spans="1:105" x14ac:dyDescent="0.25">
      <c r="A50" s="127" t="s">
        <v>121</v>
      </c>
      <c r="B50" s="264">
        <f>IF(B$17=0,0,B$17/AGR_fec!B$17)</f>
        <v>0.28500582337677954</v>
      </c>
      <c r="C50" s="264">
        <f>IF(C$17=0,0,C$17/AGR_fec!C$17)</f>
        <v>0.28360686754457737</v>
      </c>
      <c r="D50" s="264">
        <f>IF(D$17=0,0,D$17/AGR_fec!D$17)</f>
        <v>0.28485496183390724</v>
      </c>
      <c r="E50" s="264">
        <f>IF(E$17=0,0,E$17/AGR_fec!E$17)</f>
        <v>0.28505798710196045</v>
      </c>
      <c r="F50" s="264">
        <f>IF(F$17=0,0,F$17/AGR_fec!F$17)</f>
        <v>0.28475302437490563</v>
      </c>
      <c r="G50" s="264">
        <f>IF(G$17=0,0,G$17/AGR_fec!G$17)</f>
        <v>0.28458541488769368</v>
      </c>
      <c r="H50" s="264">
        <f>IF(H$17=0,0,H$17/AGR_fec!H$17)</f>
        <v>0.28086122782859357</v>
      </c>
      <c r="I50" s="264">
        <f>IF(I$17=0,0,I$17/AGR_fec!I$17)</f>
        <v>0.28111792630351823</v>
      </c>
      <c r="J50" s="264">
        <f>IF(J$17=0,0,J$17/AGR_fec!J$17)</f>
        <v>0.28066530242886745</v>
      </c>
      <c r="K50" s="264">
        <f>IF(K$17=0,0,K$17/AGR_fec!K$17)</f>
        <v>0.28031702178177981</v>
      </c>
      <c r="L50" s="264">
        <f>IF(L$17=0,0,L$17/AGR_fec!L$17)</f>
        <v>0.27947298917241548</v>
      </c>
      <c r="M50" s="264">
        <f>IF(M$17=0,0,M$17/AGR_fec!M$17)</f>
        <v>0.27959349039351056</v>
      </c>
      <c r="N50" s="264">
        <f>IF(N$17=0,0,N$17/AGR_fec!N$17)</f>
        <v>0.28013832373420328</v>
      </c>
      <c r="O50" s="264">
        <f>IF(O$17=0,0,O$17/AGR_fec!O$17)</f>
        <v>0.28002182825914285</v>
      </c>
      <c r="P50" s="264">
        <f>IF(P$17=0,0,P$17/AGR_fec!P$17)</f>
        <v>0.28039006580611964</v>
      </c>
      <c r="Q50" s="264">
        <f>IF(Q$17=0,0,Q$17/AGR_fec!Q$17)</f>
        <v>0.28056254348401938</v>
      </c>
      <c r="R50" s="264">
        <f>IF(R$17=0,0,R$17/AGR_fec!R$17)</f>
        <v>0.28054990892883491</v>
      </c>
      <c r="S50" s="264">
        <f>IF(S$17=0,0,S$17/AGR_fec!S$17)</f>
        <v>0.28215419759400062</v>
      </c>
      <c r="T50" s="264">
        <f>IF(T$17=0,0,T$17/AGR_fec!T$17)</f>
        <v>0.28303121225092526</v>
      </c>
      <c r="U50" s="264">
        <f>IF(U$17=0,0,U$17/AGR_fec!U$17)</f>
        <v>0.28502667060716869</v>
      </c>
      <c r="V50" s="264">
        <f>IF(V$17=0,0,V$17/AGR_fec!V$17)</f>
        <v>0.28485485284007539</v>
      </c>
      <c r="W50" s="264">
        <f>IF(W$17=0,0,W$17/AGR_fec!W$17)</f>
        <v>0.28483150367182514</v>
      </c>
      <c r="X50" s="264">
        <f>IF(X$17=0,0,X$17/AGR_fec!X$17)</f>
        <v>0.28565861599408532</v>
      </c>
      <c r="Y50" s="264">
        <f>IF(Y$17=0,0,Y$17/AGR_fec!Y$17)</f>
        <v>0.28869359067667472</v>
      </c>
      <c r="DA50" s="290"/>
    </row>
    <row r="51" spans="1:105" x14ac:dyDescent="0.25">
      <c r="A51" s="127" t="s">
        <v>167</v>
      </c>
      <c r="B51" s="264">
        <f>IF(B$25=0,0,B$25/AGR_fec!B$25)</f>
        <v>0.26436520348004455</v>
      </c>
      <c r="C51" s="264">
        <f>IF(C$25=0,0,C$25/AGR_fec!C$25)</f>
        <v>0.26436520348004461</v>
      </c>
      <c r="D51" s="264">
        <f>IF(D$25=0,0,D$25/AGR_fec!D$25)</f>
        <v>0.26436520348004444</v>
      </c>
      <c r="E51" s="264">
        <f>IF(E$25=0,0,E$25/AGR_fec!E$25)</f>
        <v>0.26436520348004466</v>
      </c>
      <c r="F51" s="264">
        <f>IF(F$25=0,0,F$25/AGR_fec!F$25)</f>
        <v>0.26436520348004461</v>
      </c>
      <c r="G51" s="264">
        <f>IF(G$25=0,0,G$25/AGR_fec!G$25)</f>
        <v>0.26436520348004455</v>
      </c>
      <c r="H51" s="264">
        <f>IF(H$25=0,0,H$25/AGR_fec!H$25)</f>
        <v>0.2643652034800445</v>
      </c>
      <c r="I51" s="264">
        <f>IF(I$25=0,0,I$25/AGR_fec!I$25)</f>
        <v>0.26436520348004461</v>
      </c>
      <c r="J51" s="264">
        <f>IF(J$25=0,0,J$25/AGR_fec!J$25)</f>
        <v>0.26436520348004444</v>
      </c>
      <c r="K51" s="264">
        <f>IF(K$25=0,0,K$25/AGR_fec!K$25)</f>
        <v>0.2643652034800445</v>
      </c>
      <c r="L51" s="264">
        <f>IF(L$25=0,0,L$25/AGR_fec!L$25)</f>
        <v>0.26436520348004455</v>
      </c>
      <c r="M51" s="264">
        <f>IF(M$25=0,0,M$25/AGR_fec!M$25)</f>
        <v>0.26436520348004455</v>
      </c>
      <c r="N51" s="264">
        <f>IF(N$25=0,0,N$25/AGR_fec!N$25)</f>
        <v>0.26436520348004455</v>
      </c>
      <c r="O51" s="264">
        <f>IF(O$25=0,0,O$25/AGR_fec!O$25)</f>
        <v>0.26436520348004455</v>
      </c>
      <c r="P51" s="264">
        <f>IF(P$25=0,0,P$25/AGR_fec!P$25)</f>
        <v>0.26436520348004444</v>
      </c>
      <c r="Q51" s="264">
        <f>IF(Q$25=0,0,Q$25/AGR_fec!Q$25)</f>
        <v>0.2643652034800445</v>
      </c>
      <c r="R51" s="264">
        <f>IF(R$25=0,0,R$25/AGR_fec!R$25)</f>
        <v>0.2643652034800445</v>
      </c>
      <c r="S51" s="264">
        <f>IF(S$25=0,0,S$25/AGR_fec!S$25)</f>
        <v>0.2643652034800445</v>
      </c>
      <c r="T51" s="264">
        <f>IF(T$25=0,0,T$25/AGR_fec!T$25)</f>
        <v>0.2643652034800445</v>
      </c>
      <c r="U51" s="264">
        <f>IF(U$25=0,0,U$25/AGR_fec!U$25)</f>
        <v>0.26436520348004455</v>
      </c>
      <c r="V51" s="264">
        <f>IF(V$25=0,0,V$25/AGR_fec!V$25)</f>
        <v>0.2643652034800445</v>
      </c>
      <c r="W51" s="264">
        <f>IF(W$25=0,0,W$25/AGR_fec!W$25)</f>
        <v>0.2643652034800445</v>
      </c>
      <c r="X51" s="264">
        <f>IF(X$25=0,0,X$25/AGR_fec!X$25)</f>
        <v>0.26436520348004455</v>
      </c>
      <c r="Y51" s="264">
        <f>IF(Y$25=0,0,Y$25/AGR_fec!Y$25)</f>
        <v>0.26436520348004466</v>
      </c>
      <c r="DA51" s="290"/>
    </row>
    <row r="52" spans="1:105" x14ac:dyDescent="0.25">
      <c r="A52" s="127" t="s">
        <v>170</v>
      </c>
      <c r="B52" s="264">
        <f>IF(B$26=0,0,B$26/AGR_fec!B$26)</f>
        <v>0.52335572220713678</v>
      </c>
      <c r="C52" s="264">
        <f>IF(C$26=0,0,C$26/AGR_fec!C$26)</f>
        <v>0.52335572220713678</v>
      </c>
      <c r="D52" s="264">
        <f>IF(D$26=0,0,D$26/AGR_fec!D$26)</f>
        <v>0.52335572220713678</v>
      </c>
      <c r="E52" s="264">
        <f>IF(E$26=0,0,E$26/AGR_fec!E$26)</f>
        <v>0.52335572220713678</v>
      </c>
      <c r="F52" s="264">
        <f>IF(F$26=0,0,F$26/AGR_fec!F$26)</f>
        <v>0.52335572220713666</v>
      </c>
      <c r="G52" s="264">
        <f>IF(G$26=0,0,G$26/AGR_fec!G$26)</f>
        <v>0.523355722207137</v>
      </c>
      <c r="H52" s="264">
        <f>IF(H$26=0,0,H$26/AGR_fec!H$26)</f>
        <v>0.523355722207137</v>
      </c>
      <c r="I52" s="264">
        <f>IF(I$26=0,0,I$26/AGR_fec!I$26)</f>
        <v>0.52335572220713655</v>
      </c>
      <c r="J52" s="264">
        <f>IF(J$26=0,0,J$26/AGR_fec!J$26)</f>
        <v>0.52335572220713666</v>
      </c>
      <c r="K52" s="264">
        <f>IF(K$26=0,0,K$26/AGR_fec!K$26)</f>
        <v>0.52335572220713689</v>
      </c>
      <c r="L52" s="264">
        <f>IF(L$26=0,0,L$26/AGR_fec!L$26)</f>
        <v>0.52335572220713689</v>
      </c>
      <c r="M52" s="264">
        <f>IF(M$26=0,0,M$26/AGR_fec!M$26)</f>
        <v>0.52335572220713666</v>
      </c>
      <c r="N52" s="264">
        <f>IF(N$26=0,0,N$26/AGR_fec!N$26)</f>
        <v>0.52335572220713689</v>
      </c>
      <c r="O52" s="264">
        <f>IF(O$26=0,0,O$26/AGR_fec!O$26)</f>
        <v>0.52335572220713666</v>
      </c>
      <c r="P52" s="264">
        <f>IF(P$26=0,0,P$26/AGR_fec!P$26)</f>
        <v>0.52335572220713678</v>
      </c>
      <c r="Q52" s="264">
        <f>IF(Q$26=0,0,Q$26/AGR_fec!Q$26)</f>
        <v>0.52335572220713689</v>
      </c>
      <c r="R52" s="264">
        <f>IF(R$26=0,0,R$26/AGR_fec!R$26)</f>
        <v>0.52335572220713678</v>
      </c>
      <c r="S52" s="264">
        <f>IF(S$26=0,0,S$26/AGR_fec!S$26)</f>
        <v>0.52335572220713689</v>
      </c>
      <c r="T52" s="264">
        <f>IF(T$26=0,0,T$26/AGR_fec!T$26)</f>
        <v>0.52335572220713655</v>
      </c>
      <c r="U52" s="264">
        <f>IF(U$26=0,0,U$26/AGR_fec!U$26)</f>
        <v>0.52335572220713655</v>
      </c>
      <c r="V52" s="264">
        <f>IF(V$26=0,0,V$26/AGR_fec!V$26)</f>
        <v>0.52335572220713689</v>
      </c>
      <c r="W52" s="264">
        <f>IF(W$26=0,0,W$26/AGR_fec!W$26)</f>
        <v>0.52335572220713678</v>
      </c>
      <c r="X52" s="264">
        <f>IF(X$26=0,0,X$26/AGR_fec!X$26)</f>
        <v>0.52335572220713689</v>
      </c>
      <c r="Y52" s="264">
        <f>IF(Y$26=0,0,Y$26/AGR_fec!Y$26)</f>
        <v>0.52335572220713666</v>
      </c>
      <c r="DA52" s="290"/>
    </row>
    <row r="53" spans="1:105" x14ac:dyDescent="0.25">
      <c r="A53" s="260" t="s">
        <v>33</v>
      </c>
      <c r="B53" s="265">
        <f>IF(B$27=0,0,B$27/AGR_fec!B$27)</f>
        <v>0.55008828080788119</v>
      </c>
      <c r="C53" s="265">
        <f>IF(C$27=0,0,C$27/AGR_fec!C$27)</f>
        <v>0.55008828080788152</v>
      </c>
      <c r="D53" s="265">
        <f>IF(D$27=0,0,D$27/AGR_fec!D$27)</f>
        <v>0.5500882808078813</v>
      </c>
      <c r="E53" s="265">
        <f>IF(E$27=0,0,E$27/AGR_fec!E$27)</f>
        <v>0.5500882808078813</v>
      </c>
      <c r="F53" s="265">
        <f>IF(F$27=0,0,F$27/AGR_fec!F$27)</f>
        <v>0.55008828080788119</v>
      </c>
      <c r="G53" s="265">
        <f>IF(G$27=0,0,G$27/AGR_fec!G$27)</f>
        <v>0.55008828080788141</v>
      </c>
      <c r="H53" s="265">
        <f>IF(H$27=0,0,H$27/AGR_fec!H$27)</f>
        <v>0.55008828080788141</v>
      </c>
      <c r="I53" s="265">
        <f>IF(I$27=0,0,I$27/AGR_fec!I$27)</f>
        <v>0.55008828080788141</v>
      </c>
      <c r="J53" s="265">
        <f>IF(J$27=0,0,J$27/AGR_fec!J$27)</f>
        <v>0.55008828080788119</v>
      </c>
      <c r="K53" s="265">
        <f>IF(K$27=0,0,K$27/AGR_fec!K$27)</f>
        <v>0.55008828080788141</v>
      </c>
      <c r="L53" s="265">
        <f>IF(L$27=0,0,L$27/AGR_fec!L$27)</f>
        <v>0.55008828080788141</v>
      </c>
      <c r="M53" s="265">
        <f>IF(M$27=0,0,M$27/AGR_fec!M$27)</f>
        <v>0.5500882808078813</v>
      </c>
      <c r="N53" s="265">
        <f>IF(N$27=0,0,N$27/AGR_fec!N$27)</f>
        <v>0.5500882808078813</v>
      </c>
      <c r="O53" s="265">
        <f>IF(O$27=0,0,O$27/AGR_fec!O$27)</f>
        <v>0.5500882808078813</v>
      </c>
      <c r="P53" s="265">
        <f>IF(P$27=0,0,P$27/AGR_fec!P$27)</f>
        <v>0.55008828080788141</v>
      </c>
      <c r="Q53" s="265">
        <f>IF(Q$27=0,0,Q$27/AGR_fec!Q$27)</f>
        <v>0.5500882808078813</v>
      </c>
      <c r="R53" s="265">
        <f>IF(R$27=0,0,R$27/AGR_fec!R$27)</f>
        <v>0.5500882808078813</v>
      </c>
      <c r="S53" s="265">
        <f>IF(S$27=0,0,S$27/AGR_fec!S$27)</f>
        <v>0.55008828080788152</v>
      </c>
      <c r="T53" s="265">
        <f>IF(T$27=0,0,T$27/AGR_fec!T$27)</f>
        <v>0.55008828080788108</v>
      </c>
      <c r="U53" s="265">
        <f>IF(U$27=0,0,U$27/AGR_fec!U$27)</f>
        <v>0.55008828080788108</v>
      </c>
      <c r="V53" s="265">
        <f>IF(V$27=0,0,V$27/AGR_fec!V$27)</f>
        <v>0.5500882808078813</v>
      </c>
      <c r="W53" s="265">
        <f>IF(W$27=0,0,W$27/AGR_fec!W$27)</f>
        <v>0.5500882808078813</v>
      </c>
      <c r="X53" s="265">
        <f>IF(X$27=0,0,X$27/AGR_fec!X$27)</f>
        <v>0.55008828080788108</v>
      </c>
      <c r="Y53" s="265">
        <f>IF(Y$27=0,0,Y$27/AGR_fec!Y$27)</f>
        <v>0.55008828080788119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12754.961396231345</v>
      </c>
      <c r="C5" s="80">
        <f t="shared" ref="C5:W5" si="0">SUM(C6:C9,C16:C17,C25:C27)</f>
        <v>12526.652446532395</v>
      </c>
      <c r="D5" s="80">
        <f t="shared" si="0"/>
        <v>11706.824761859622</v>
      </c>
      <c r="E5" s="80">
        <f t="shared" si="0"/>
        <v>11892.902421921777</v>
      </c>
      <c r="F5" s="80">
        <f t="shared" si="0"/>
        <v>12182.903692316948</v>
      </c>
      <c r="G5" s="80">
        <f t="shared" si="0"/>
        <v>12720.939415595711</v>
      </c>
      <c r="H5" s="80">
        <f t="shared" si="0"/>
        <v>10857.850209072363</v>
      </c>
      <c r="I5" s="80">
        <f t="shared" si="0"/>
        <v>9833.2929994800706</v>
      </c>
      <c r="J5" s="80">
        <f t="shared" si="0"/>
        <v>10295.262300319737</v>
      </c>
      <c r="K5" s="80">
        <f t="shared" si="0"/>
        <v>10082.898784452698</v>
      </c>
      <c r="L5" s="80">
        <f t="shared" si="0"/>
        <v>10510.362559418707</v>
      </c>
      <c r="M5" s="80">
        <f t="shared" si="0"/>
        <v>10018.080841393587</v>
      </c>
      <c r="N5" s="80">
        <f t="shared" si="0"/>
        <v>10224.1755921002</v>
      </c>
      <c r="O5" s="80">
        <f t="shared" si="0"/>
        <v>9948.615179873892</v>
      </c>
      <c r="P5" s="80">
        <f t="shared" si="0"/>
        <v>9543.536998944679</v>
      </c>
      <c r="Q5" s="80">
        <f t="shared" si="0"/>
        <v>9098.2962199902977</v>
      </c>
      <c r="R5" s="80">
        <f t="shared" si="0"/>
        <v>9664.3275794733909</v>
      </c>
      <c r="S5" s="80">
        <f t="shared" si="0"/>
        <v>10709.423416577763</v>
      </c>
      <c r="T5" s="80">
        <f t="shared" si="0"/>
        <v>10791.867943175892</v>
      </c>
      <c r="U5" s="80">
        <f t="shared" si="0"/>
        <v>10392.950446058978</v>
      </c>
      <c r="V5" s="80">
        <f t="shared" si="0"/>
        <v>10533.273936600694</v>
      </c>
      <c r="W5" s="80">
        <f t="shared" si="0"/>
        <v>10027.224060859302</v>
      </c>
      <c r="X5" s="80">
        <f t="shared" ref="X5:Y5" si="1">SUM(X6:X9,X16:X17,X25:X27)</f>
        <v>8674.9863164258077</v>
      </c>
      <c r="Y5" s="80">
        <f t="shared" si="1"/>
        <v>9588.4572557435949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2302.0753692275857</v>
      </c>
      <c r="C9" s="243">
        <f t="shared" ref="C9:W9" si="2">SUM(C10:C15)</f>
        <v>2192.7634107819576</v>
      </c>
      <c r="D9" s="243">
        <f t="shared" si="2"/>
        <v>2151.0732516689318</v>
      </c>
      <c r="E9" s="243">
        <f t="shared" si="2"/>
        <v>2297.140531845766</v>
      </c>
      <c r="F9" s="243">
        <f t="shared" si="2"/>
        <v>2350.3161636171894</v>
      </c>
      <c r="G9" s="243">
        <f t="shared" si="2"/>
        <v>2415.5833875244839</v>
      </c>
      <c r="H9" s="243">
        <f t="shared" si="2"/>
        <v>1890.1865350702924</v>
      </c>
      <c r="I9" s="243">
        <f t="shared" si="2"/>
        <v>1733.1589614856769</v>
      </c>
      <c r="J9" s="243">
        <f t="shared" si="2"/>
        <v>1748.3802541371804</v>
      </c>
      <c r="K9" s="243">
        <f t="shared" si="2"/>
        <v>1705.8923493990308</v>
      </c>
      <c r="L9" s="243">
        <f t="shared" si="2"/>
        <v>1729.8204629229874</v>
      </c>
      <c r="M9" s="243">
        <f t="shared" si="2"/>
        <v>1732.1754587679177</v>
      </c>
      <c r="N9" s="243">
        <f t="shared" si="2"/>
        <v>1742.676826314593</v>
      </c>
      <c r="O9" s="243">
        <f t="shared" si="2"/>
        <v>1699.9700379335516</v>
      </c>
      <c r="P9" s="243">
        <f t="shared" si="2"/>
        <v>1634.0771563930837</v>
      </c>
      <c r="Q9" s="243">
        <f t="shared" si="2"/>
        <v>1600.8574506458024</v>
      </c>
      <c r="R9" s="243">
        <f t="shared" si="2"/>
        <v>1699.0294195561733</v>
      </c>
      <c r="S9" s="243">
        <f t="shared" si="2"/>
        <v>1975.4989496782721</v>
      </c>
      <c r="T9" s="243">
        <f t="shared" si="2"/>
        <v>2044.1551181929231</v>
      </c>
      <c r="U9" s="243">
        <f t="shared" si="2"/>
        <v>2066.5719765679073</v>
      </c>
      <c r="V9" s="243">
        <f t="shared" si="2"/>
        <v>2093.2464152299917</v>
      </c>
      <c r="W9" s="243">
        <f t="shared" si="2"/>
        <v>2089.6936380292309</v>
      </c>
      <c r="X9" s="243">
        <f t="shared" ref="X9:Y9" si="3">SUM(X10:X15)</f>
        <v>1837.4138079189577</v>
      </c>
      <c r="Y9" s="243">
        <f t="shared" si="3"/>
        <v>2074.2507841128099</v>
      </c>
      <c r="DA9" s="269"/>
    </row>
    <row r="10" spans="1:105" x14ac:dyDescent="0.25">
      <c r="A10" s="253" t="s">
        <v>166</v>
      </c>
      <c r="B10" s="254">
        <v>2285.8295062898392</v>
      </c>
      <c r="C10" s="254">
        <v>2168.1651217564959</v>
      </c>
      <c r="D10" s="254">
        <v>2123.2922036583241</v>
      </c>
      <c r="E10" s="254">
        <v>2259.296033681921</v>
      </c>
      <c r="F10" s="254">
        <v>2312.705066310436</v>
      </c>
      <c r="G10" s="254">
        <v>2380.6302452336481</v>
      </c>
      <c r="H10" s="254">
        <v>1836.980841907915</v>
      </c>
      <c r="I10" s="254">
        <v>1668.3726204583199</v>
      </c>
      <c r="J10" s="254">
        <v>1679.932137376361</v>
      </c>
      <c r="K10" s="254">
        <v>1648.8940273802309</v>
      </c>
      <c r="L10" s="254">
        <v>1674.1907759992141</v>
      </c>
      <c r="M10" s="254">
        <v>1675.8048818131549</v>
      </c>
      <c r="N10" s="254">
        <v>1677.182394832339</v>
      </c>
      <c r="O10" s="254">
        <v>1645.30390466775</v>
      </c>
      <c r="P10" s="254">
        <v>1582.07344566336</v>
      </c>
      <c r="Q10" s="254">
        <v>1559.9695164767829</v>
      </c>
      <c r="R10" s="254">
        <v>1652.3241400514751</v>
      </c>
      <c r="S10" s="254">
        <v>1924.277982597449</v>
      </c>
      <c r="T10" s="254">
        <v>2002.8435777247921</v>
      </c>
      <c r="U10" s="254">
        <v>2018.7223703670729</v>
      </c>
      <c r="V10" s="254">
        <v>2037.627231467563</v>
      </c>
      <c r="W10" s="254">
        <v>2023.6388146928589</v>
      </c>
      <c r="X10" s="254">
        <v>1793.2948452796461</v>
      </c>
      <c r="Y10" s="254">
        <v>2028.4136911956559</v>
      </c>
      <c r="DA10" s="270" t="s">
        <v>1040</v>
      </c>
    </row>
    <row r="11" spans="1:105" x14ac:dyDescent="0.25">
      <c r="A11" s="253" t="s">
        <v>169</v>
      </c>
      <c r="B11" s="255">
        <v>16.245862937746331</v>
      </c>
      <c r="C11" s="255">
        <v>24.59828902546187</v>
      </c>
      <c r="D11" s="255">
        <v>27.781048010607559</v>
      </c>
      <c r="E11" s="255">
        <v>37.844498163844769</v>
      </c>
      <c r="F11" s="255">
        <v>37.611097306753273</v>
      </c>
      <c r="G11" s="255">
        <v>34.953142290835999</v>
      </c>
      <c r="H11" s="255">
        <v>53.205693162377443</v>
      </c>
      <c r="I11" s="255">
        <v>64.786341027356826</v>
      </c>
      <c r="J11" s="255">
        <v>68.448116760819431</v>
      </c>
      <c r="K11" s="255">
        <v>56.998322018799747</v>
      </c>
      <c r="L11" s="255">
        <v>55.62968692377332</v>
      </c>
      <c r="M11" s="255">
        <v>56.37057695476279</v>
      </c>
      <c r="N11" s="255">
        <v>65.494431482253901</v>
      </c>
      <c r="O11" s="255">
        <v>54.666133265801633</v>
      </c>
      <c r="P11" s="255">
        <v>52.003710729723728</v>
      </c>
      <c r="Q11" s="255">
        <v>40.887934169019417</v>
      </c>
      <c r="R11" s="255">
        <v>46.705279504698247</v>
      </c>
      <c r="S11" s="255">
        <v>51.2209670808232</v>
      </c>
      <c r="T11" s="255">
        <v>41.311540468131028</v>
      </c>
      <c r="U11" s="255">
        <v>47.849606200834572</v>
      </c>
      <c r="V11" s="255">
        <v>55.61918376242857</v>
      </c>
      <c r="W11" s="255">
        <v>66.054823336372095</v>
      </c>
      <c r="X11" s="255">
        <v>44.118962639311498</v>
      </c>
      <c r="Y11" s="255">
        <v>45.837092917154131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3430.1897122284022</v>
      </c>
      <c r="C16" s="257">
        <v>3294.494729137873</v>
      </c>
      <c r="D16" s="257">
        <v>3205.9832418412861</v>
      </c>
      <c r="E16" s="257">
        <v>3193.4296228419448</v>
      </c>
      <c r="F16" s="257">
        <v>3262.4634185712821</v>
      </c>
      <c r="G16" s="257">
        <v>3342.4334673278559</v>
      </c>
      <c r="H16" s="257">
        <v>2652.3070479838152</v>
      </c>
      <c r="I16" s="257">
        <v>2445.8046484865908</v>
      </c>
      <c r="J16" s="257">
        <v>2481.943484166175</v>
      </c>
      <c r="K16" s="257">
        <v>2428.789597977413</v>
      </c>
      <c r="L16" s="257">
        <v>2462.8412985307891</v>
      </c>
      <c r="M16" s="257">
        <v>2466.0718702907402</v>
      </c>
      <c r="N16" s="257">
        <v>2477.7886236115851</v>
      </c>
      <c r="O16" s="257">
        <v>2422.271079856308</v>
      </c>
      <c r="P16" s="257">
        <v>2328.036897278977</v>
      </c>
      <c r="Q16" s="257">
        <v>2286.701560508101</v>
      </c>
      <c r="R16" s="257">
        <v>2424.5977695598831</v>
      </c>
      <c r="S16" s="257">
        <v>2793.5688461812242</v>
      </c>
      <c r="T16" s="257">
        <v>2883.4096392014771</v>
      </c>
      <c r="U16" s="257">
        <v>2907.0042821348602</v>
      </c>
      <c r="V16" s="257">
        <v>2943.3638944628069</v>
      </c>
      <c r="W16" s="257">
        <v>2940.4779601721339</v>
      </c>
      <c r="X16" s="257">
        <v>2597.833047133231</v>
      </c>
      <c r="Y16" s="257">
        <v>2897.1972059296309</v>
      </c>
      <c r="DA16" s="272" t="s">
        <v>1046</v>
      </c>
    </row>
    <row r="17" spans="1:105" x14ac:dyDescent="0.25">
      <c r="A17" s="256" t="s">
        <v>121</v>
      </c>
      <c r="B17" s="257">
        <f>SUM(B18:B24)</f>
        <v>6363.5567753121968</v>
      </c>
      <c r="C17" s="257">
        <f t="shared" ref="C17:W17" si="4">SUM(C18:C24)</f>
        <v>6406.3296889949488</v>
      </c>
      <c r="D17" s="257">
        <f t="shared" si="4"/>
        <v>5733.7118706462406</v>
      </c>
      <c r="E17" s="257">
        <f t="shared" si="4"/>
        <v>5788.6881520400366</v>
      </c>
      <c r="F17" s="257">
        <f t="shared" si="4"/>
        <v>5943.214575776371</v>
      </c>
      <c r="G17" s="257">
        <f t="shared" si="4"/>
        <v>6320.6461150742798</v>
      </c>
      <c r="H17" s="257">
        <f t="shared" si="4"/>
        <v>5805.6937231500606</v>
      </c>
      <c r="I17" s="257">
        <f t="shared" si="4"/>
        <v>5184.3476436372521</v>
      </c>
      <c r="J17" s="257">
        <f t="shared" si="4"/>
        <v>5588.0124376988724</v>
      </c>
      <c r="K17" s="257">
        <f t="shared" si="4"/>
        <v>5481.5046749597977</v>
      </c>
      <c r="L17" s="257">
        <f t="shared" si="4"/>
        <v>5844.4453178096255</v>
      </c>
      <c r="M17" s="257">
        <f t="shared" si="4"/>
        <v>5345.9572508932524</v>
      </c>
      <c r="N17" s="257">
        <f t="shared" si="4"/>
        <v>5527.5824089375437</v>
      </c>
      <c r="O17" s="257">
        <f t="shared" si="4"/>
        <v>5360.9144875480824</v>
      </c>
      <c r="P17" s="257">
        <f t="shared" si="4"/>
        <v>5134.0712542406854</v>
      </c>
      <c r="Q17" s="257">
        <f t="shared" si="4"/>
        <v>4771.3284472423247</v>
      </c>
      <c r="R17" s="257">
        <f t="shared" si="4"/>
        <v>5074.7937230048519</v>
      </c>
      <c r="S17" s="257">
        <f t="shared" si="4"/>
        <v>5403.5480860894304</v>
      </c>
      <c r="T17" s="257">
        <f t="shared" si="4"/>
        <v>5310.2319940653333</v>
      </c>
      <c r="U17" s="257">
        <f t="shared" si="4"/>
        <v>4860.7690883691303</v>
      </c>
      <c r="V17" s="257">
        <f t="shared" si="4"/>
        <v>4931.0717254009833</v>
      </c>
      <c r="W17" s="257">
        <f t="shared" si="4"/>
        <v>4432.015117475562</v>
      </c>
      <c r="X17" s="257">
        <f t="shared" ref="X17:Y17" si="5">SUM(X18:X24)</f>
        <v>3740.5441917402168</v>
      </c>
      <c r="Y17" s="257">
        <f t="shared" si="5"/>
        <v>4060.2886781363868</v>
      </c>
      <c r="DA17" s="272"/>
    </row>
    <row r="18" spans="1:105" x14ac:dyDescent="0.25">
      <c r="A18" s="61" t="s">
        <v>29</v>
      </c>
      <c r="B18" s="55">
        <v>3625.5183507366</v>
      </c>
      <c r="C18" s="55">
        <v>4042.737006077346</v>
      </c>
      <c r="D18" s="55">
        <v>3383.6621169011978</v>
      </c>
      <c r="E18" s="55">
        <v>3291.4036468434192</v>
      </c>
      <c r="F18" s="55">
        <v>3448.1614169986519</v>
      </c>
      <c r="G18" s="55">
        <v>3735.5068652774548</v>
      </c>
      <c r="H18" s="55">
        <v>4405.5556841532889</v>
      </c>
      <c r="I18" s="55">
        <v>3895.5751028416798</v>
      </c>
      <c r="J18" s="55">
        <v>4335.5702312011636</v>
      </c>
      <c r="K18" s="55">
        <v>4294.6665278540459</v>
      </c>
      <c r="L18" s="55">
        <v>4759.5776741800173</v>
      </c>
      <c r="M18" s="55">
        <v>4185.8830275149776</v>
      </c>
      <c r="N18" s="55">
        <v>4332.0762136216927</v>
      </c>
      <c r="O18" s="55">
        <v>4244.2072103953114</v>
      </c>
      <c r="P18" s="55">
        <v>4035.8229955460251</v>
      </c>
      <c r="Q18" s="55">
        <v>3660.1816627915891</v>
      </c>
      <c r="R18" s="55">
        <v>3890.2036328747058</v>
      </c>
      <c r="S18" s="55">
        <v>3861.1939774986949</v>
      </c>
      <c r="T18" s="55">
        <v>3623.7650375768221</v>
      </c>
      <c r="U18" s="55">
        <v>2928.3141094600069</v>
      </c>
      <c r="V18" s="55">
        <v>2996.7030332417462</v>
      </c>
      <c r="W18" s="55">
        <v>2461.5524837003791</v>
      </c>
      <c r="X18" s="55">
        <v>1937.936249027779</v>
      </c>
      <c r="Y18" s="55">
        <v>1752.157730584918</v>
      </c>
      <c r="DA18" s="101" t="s">
        <v>1047</v>
      </c>
    </row>
    <row r="19" spans="1:105" x14ac:dyDescent="0.25">
      <c r="A19" s="61" t="s">
        <v>27</v>
      </c>
      <c r="B19" s="55">
        <v>119.38530095996821</v>
      </c>
      <c r="C19" s="55">
        <v>149.23139903996011</v>
      </c>
      <c r="D19" s="55">
        <v>179.07772427995019</v>
      </c>
      <c r="E19" s="55">
        <v>208.92404951995809</v>
      </c>
      <c r="F19" s="55">
        <v>208.92404951995729</v>
      </c>
      <c r="G19" s="55">
        <v>208.92404951995749</v>
      </c>
      <c r="H19" s="55">
        <v>149.2313990399756</v>
      </c>
      <c r="I19" s="55">
        <v>149.2313990399536</v>
      </c>
      <c r="J19" s="55">
        <v>152.21605427995641</v>
      </c>
      <c r="K19" s="55">
        <v>130.6169999999633</v>
      </c>
      <c r="L19" s="55">
        <v>145.13002523995851</v>
      </c>
      <c r="M19" s="55">
        <v>148.0326757199569</v>
      </c>
      <c r="N19" s="55">
        <v>145.13002523995621</v>
      </c>
      <c r="O19" s="55">
        <v>145.13002523995669</v>
      </c>
      <c r="P19" s="55">
        <v>153.83774951995511</v>
      </c>
      <c r="Q19" s="55">
        <v>165.44812427995319</v>
      </c>
      <c r="R19" s="55">
        <v>174.1560757199523</v>
      </c>
      <c r="S19" s="55">
        <v>179.96114951997251</v>
      </c>
      <c r="T19" s="55">
        <v>179.96114951997399</v>
      </c>
      <c r="U19" s="55">
        <v>188.66910095997179</v>
      </c>
      <c r="V19" s="55">
        <v>179.96114951997271</v>
      </c>
      <c r="W19" s="55">
        <v>168.35077475997409</v>
      </c>
      <c r="X19" s="55">
        <v>54.121778639983077</v>
      </c>
      <c r="Y19" s="55">
        <v>130.616999999977</v>
      </c>
      <c r="DA19" s="101" t="s">
        <v>1048</v>
      </c>
    </row>
    <row r="20" spans="1:105" x14ac:dyDescent="0.25">
      <c r="A20" s="61" t="s">
        <v>166</v>
      </c>
      <c r="B20" s="55">
        <v>1941.0842420171441</v>
      </c>
      <c r="C20" s="55">
        <v>1672.4750500467931</v>
      </c>
      <c r="D20" s="55">
        <v>1797.377156795807</v>
      </c>
      <c r="E20" s="55">
        <v>1749.6240690006191</v>
      </c>
      <c r="F20" s="55">
        <v>1763.671951124629</v>
      </c>
      <c r="G20" s="55">
        <v>1759.7247528478349</v>
      </c>
      <c r="H20" s="55">
        <v>1055.0190886792129</v>
      </c>
      <c r="I20" s="55">
        <v>991.86604446303591</v>
      </c>
      <c r="J20" s="55">
        <v>937.22331341863173</v>
      </c>
      <c r="K20" s="55">
        <v>910.10515324464041</v>
      </c>
      <c r="L20" s="55">
        <v>834.58788495346255</v>
      </c>
      <c r="M20" s="55">
        <v>877.25046501313011</v>
      </c>
      <c r="N20" s="55">
        <v>903.61558723820679</v>
      </c>
      <c r="O20" s="55">
        <v>889.38102237865144</v>
      </c>
      <c r="P20" s="55">
        <v>872.44192530446105</v>
      </c>
      <c r="Q20" s="55">
        <v>888.47142069982613</v>
      </c>
      <c r="R20" s="55">
        <v>937.60730447492188</v>
      </c>
      <c r="S20" s="55">
        <v>1277.260606951605</v>
      </c>
      <c r="T20" s="55">
        <v>1442.083591356683</v>
      </c>
      <c r="U20" s="55">
        <v>1668.9118077900041</v>
      </c>
      <c r="V20" s="55">
        <v>1673.572742921712</v>
      </c>
      <c r="W20" s="55">
        <v>1722.578031511601</v>
      </c>
      <c r="X20" s="55">
        <v>1699.942357191793</v>
      </c>
      <c r="Y20" s="55">
        <v>2122.3310826286629</v>
      </c>
      <c r="DA20" s="101" t="s">
        <v>1049</v>
      </c>
    </row>
    <row r="21" spans="1:105" x14ac:dyDescent="0.25">
      <c r="A21" s="61" t="s">
        <v>129</v>
      </c>
      <c r="B21" s="55">
        <v>662.06193731982341</v>
      </c>
      <c r="C21" s="55">
        <v>521.33990219986083</v>
      </c>
      <c r="D21" s="55">
        <v>350.07808067990248</v>
      </c>
      <c r="E21" s="55">
        <v>509.42918483989791</v>
      </c>
      <c r="F21" s="55">
        <v>493.77488543989921</v>
      </c>
      <c r="G21" s="55">
        <v>590.65362971987986</v>
      </c>
      <c r="H21" s="55">
        <v>165.330334439973</v>
      </c>
      <c r="I21" s="55">
        <v>109.158898319966</v>
      </c>
      <c r="J21" s="55">
        <v>124.8160755599643</v>
      </c>
      <c r="K21" s="55">
        <v>114.6558358799678</v>
      </c>
      <c r="L21" s="55">
        <v>77.418208799977904</v>
      </c>
      <c r="M21" s="55">
        <v>105.2822087999694</v>
      </c>
      <c r="N21" s="55">
        <v>111.4741468799663</v>
      </c>
      <c r="O21" s="55">
        <v>52.646052599984301</v>
      </c>
      <c r="P21" s="55">
        <v>43.290890279987373</v>
      </c>
      <c r="Q21" s="55">
        <v>33.939758159990397</v>
      </c>
      <c r="R21" s="55">
        <v>46.323912959987318</v>
      </c>
      <c r="S21" s="55">
        <v>51.133873679992192</v>
      </c>
      <c r="T21" s="55">
        <v>34.677159479995012</v>
      </c>
      <c r="U21" s="55">
        <v>35.315994239994723</v>
      </c>
      <c r="V21" s="55">
        <v>35.152867079994671</v>
      </c>
      <c r="W21" s="55">
        <v>23.306111999996411</v>
      </c>
      <c r="X21" s="55">
        <v>6.7210041599979</v>
      </c>
      <c r="Y21" s="55">
        <v>7.2234730799987279</v>
      </c>
      <c r="DA21" s="101" t="s">
        <v>1050</v>
      </c>
    </row>
    <row r="22" spans="1:105" x14ac:dyDescent="0.25">
      <c r="A22" s="61" t="s">
        <v>169</v>
      </c>
      <c r="B22" s="55">
        <v>13.795687062248991</v>
      </c>
      <c r="C22" s="55">
        <v>18.974580974532071</v>
      </c>
      <c r="D22" s="55">
        <v>23.516791989384028</v>
      </c>
      <c r="E22" s="55">
        <v>29.307201836142621</v>
      </c>
      <c r="F22" s="55">
        <v>28.682272693234012</v>
      </c>
      <c r="G22" s="55">
        <v>25.83681770915242</v>
      </c>
      <c r="H22" s="55">
        <v>30.557216837610952</v>
      </c>
      <c r="I22" s="55">
        <v>38.516198972616188</v>
      </c>
      <c r="J22" s="55">
        <v>38.186763239156107</v>
      </c>
      <c r="K22" s="55">
        <v>31.460157981180529</v>
      </c>
      <c r="L22" s="55">
        <v>27.73152463620854</v>
      </c>
      <c r="M22" s="55">
        <v>29.508873845217561</v>
      </c>
      <c r="N22" s="55">
        <v>35.286435957721558</v>
      </c>
      <c r="O22" s="55">
        <v>29.5501769341782</v>
      </c>
      <c r="P22" s="55">
        <v>28.677693590257309</v>
      </c>
      <c r="Q22" s="55">
        <v>23.287481310965941</v>
      </c>
      <c r="R22" s="55">
        <v>26.502796975285811</v>
      </c>
      <c r="S22" s="55">
        <v>33.998478439165588</v>
      </c>
      <c r="T22" s="55">
        <v>29.74505613186005</v>
      </c>
      <c r="U22" s="55">
        <v>39.558075919153701</v>
      </c>
      <c r="V22" s="55">
        <v>45.681932637557658</v>
      </c>
      <c r="W22" s="55">
        <v>56.227715503610902</v>
      </c>
      <c r="X22" s="55">
        <v>41.822287920663932</v>
      </c>
      <c r="Y22" s="55">
        <v>47.95939184283035</v>
      </c>
      <c r="DA22" s="101" t="s">
        <v>1051</v>
      </c>
    </row>
    <row r="23" spans="1:105" x14ac:dyDescent="0.25">
      <c r="A23" s="61" t="s">
        <v>164</v>
      </c>
      <c r="B23" s="55">
        <v>1.7112572164117039</v>
      </c>
      <c r="C23" s="55">
        <v>1.571750656456723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5.1479999999983904E-4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659.13953946316099</v>
      </c>
      <c r="C25" s="257">
        <v>633.06461761761466</v>
      </c>
      <c r="D25" s="257">
        <v>616.05639770316259</v>
      </c>
      <c r="E25" s="257">
        <v>613.64411519402825</v>
      </c>
      <c r="F25" s="257">
        <v>626.90953435210395</v>
      </c>
      <c r="G25" s="257">
        <v>642.276445669091</v>
      </c>
      <c r="H25" s="257">
        <v>509.6629028681956</v>
      </c>
      <c r="I25" s="257">
        <v>469.98174587055189</v>
      </c>
      <c r="J25" s="257">
        <v>476.92612431750968</v>
      </c>
      <c r="K25" s="257">
        <v>466.71216211645782</v>
      </c>
      <c r="L25" s="257">
        <v>473.25548015530433</v>
      </c>
      <c r="M25" s="257">
        <v>473.87626144167632</v>
      </c>
      <c r="N25" s="257">
        <v>476.12773323647912</v>
      </c>
      <c r="O25" s="257">
        <v>465.45957453594889</v>
      </c>
      <c r="P25" s="257">
        <v>447.35169103193198</v>
      </c>
      <c r="Q25" s="257">
        <v>439.40876159406992</v>
      </c>
      <c r="R25" s="257">
        <v>465.90666735248328</v>
      </c>
      <c r="S25" s="257">
        <v>536.80753462883627</v>
      </c>
      <c r="T25" s="257">
        <v>554.07119171615955</v>
      </c>
      <c r="U25" s="257">
        <v>558.6050989870796</v>
      </c>
      <c r="V25" s="257">
        <v>565.59190150691234</v>
      </c>
      <c r="W25" s="257">
        <v>565.03734518237627</v>
      </c>
      <c r="X25" s="257">
        <v>499.19526963340161</v>
      </c>
      <c r="Y25" s="257">
        <v>556.7205875647669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0.99999999999999989</v>
      </c>
      <c r="F31" s="235">
        <f t="shared" si="6"/>
        <v>0.99999999999999989</v>
      </c>
      <c r="G31" s="235">
        <f t="shared" si="6"/>
        <v>1</v>
      </c>
      <c r="H31" s="235">
        <f t="shared" si="6"/>
        <v>1</v>
      </c>
      <c r="I31" s="235">
        <f t="shared" si="6"/>
        <v>1.0000000000000002</v>
      </c>
      <c r="J31" s="235">
        <f t="shared" si="6"/>
        <v>1</v>
      </c>
      <c r="K31" s="235">
        <f t="shared" si="6"/>
        <v>1.0000000000000002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0.99999999999999989</v>
      </c>
      <c r="P31" s="235">
        <f t="shared" si="6"/>
        <v>0.99999999999999989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0.18048469906837744</v>
      </c>
      <c r="C35" s="246">
        <f t="shared" si="12"/>
        <v>0.17504783661407916</v>
      </c>
      <c r="D35" s="246">
        <f t="shared" si="12"/>
        <v>0.18374523369283227</v>
      </c>
      <c r="E35" s="246">
        <f t="shared" si="12"/>
        <v>0.1931522222541342</v>
      </c>
      <c r="F35" s="246">
        <f t="shared" si="12"/>
        <v>0.19291921063936487</v>
      </c>
      <c r="G35" s="246">
        <f t="shared" si="12"/>
        <v>0.18989033031342081</v>
      </c>
      <c r="H35" s="246">
        <f t="shared" si="12"/>
        <v>0.17408478646085318</v>
      </c>
      <c r="I35" s="246">
        <f t="shared" si="12"/>
        <v>0.17625417666058732</v>
      </c>
      <c r="J35" s="246">
        <f t="shared" si="12"/>
        <v>0.16982376972395172</v>
      </c>
      <c r="K35" s="246">
        <f t="shared" si="12"/>
        <v>0.16918669778074411</v>
      </c>
      <c r="L35" s="246">
        <f t="shared" si="12"/>
        <v>0.16458237792880268</v>
      </c>
      <c r="M35" s="246">
        <f t="shared" si="12"/>
        <v>0.17290491923470641</v>
      </c>
      <c r="N35" s="246">
        <f t="shared" si="12"/>
        <v>0.17044668400072155</v>
      </c>
      <c r="O35" s="246">
        <f t="shared" si="12"/>
        <v>0.17087504212371196</v>
      </c>
      <c r="P35" s="246">
        <f t="shared" si="12"/>
        <v>0.1712234317919844</v>
      </c>
      <c r="Q35" s="246">
        <f t="shared" si="12"/>
        <v>0.17595134428888815</v>
      </c>
      <c r="R35" s="246">
        <f t="shared" si="12"/>
        <v>0.17580420423298124</v>
      </c>
      <c r="S35" s="246">
        <f t="shared" si="12"/>
        <v>0.184463614224112</v>
      </c>
      <c r="T35" s="246">
        <f t="shared" si="12"/>
        <v>0.18941624646968738</v>
      </c>
      <c r="U35" s="246">
        <f t="shared" si="12"/>
        <v>0.1988436284088658</v>
      </c>
      <c r="V35" s="246">
        <f t="shared" si="12"/>
        <v>0.19872704610448266</v>
      </c>
      <c r="W35" s="246">
        <f t="shared" si="12"/>
        <v>0.20840200890555852</v>
      </c>
      <c r="X35" s="246">
        <f t="shared" si="12"/>
        <v>0.21180596036674706</v>
      </c>
      <c r="Y35" s="246">
        <f t="shared" si="12"/>
        <v>0.21632789600958069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0.26892983880311122</v>
      </c>
      <c r="C36" s="259">
        <f t="shared" si="13"/>
        <v>0.26299881338608139</v>
      </c>
      <c r="D36" s="259">
        <f t="shared" si="13"/>
        <v>0.27385591798437564</v>
      </c>
      <c r="E36" s="259">
        <f t="shared" si="13"/>
        <v>0.26851558261805009</v>
      </c>
      <c r="F36" s="259">
        <f t="shared" si="13"/>
        <v>0.2677902986813176</v>
      </c>
      <c r="G36" s="259">
        <f t="shared" si="13"/>
        <v>0.26275052165016011</v>
      </c>
      <c r="H36" s="259">
        <f t="shared" si="13"/>
        <v>0.2442755238755881</v>
      </c>
      <c r="I36" s="259">
        <f t="shared" si="13"/>
        <v>0.24872691667134411</v>
      </c>
      <c r="J36" s="259">
        <f t="shared" si="13"/>
        <v>0.24107627486956734</v>
      </c>
      <c r="K36" s="259">
        <f t="shared" si="13"/>
        <v>0.24088207666256448</v>
      </c>
      <c r="L36" s="259">
        <f t="shared" si="13"/>
        <v>0.23432505630585979</v>
      </c>
      <c r="M36" s="259">
        <f t="shared" si="13"/>
        <v>0.24616210523089491</v>
      </c>
      <c r="N36" s="259">
        <f t="shared" si="13"/>
        <v>0.2423460553167798</v>
      </c>
      <c r="O36" s="259">
        <f t="shared" si="13"/>
        <v>0.24347821642117357</v>
      </c>
      <c r="P36" s="259">
        <f t="shared" si="13"/>
        <v>0.24393858351850164</v>
      </c>
      <c r="Q36" s="259">
        <f t="shared" si="13"/>
        <v>0.25133294247816207</v>
      </c>
      <c r="R36" s="259">
        <f t="shared" si="13"/>
        <v>0.25088116577397712</v>
      </c>
      <c r="S36" s="259">
        <f t="shared" si="13"/>
        <v>0.26085147047756935</v>
      </c>
      <c r="T36" s="259">
        <f t="shared" si="13"/>
        <v>0.26718355472694294</v>
      </c>
      <c r="U36" s="259">
        <f t="shared" si="13"/>
        <v>0.27970924110748557</v>
      </c>
      <c r="V36" s="259">
        <f t="shared" si="13"/>
        <v>0.27943485683357167</v>
      </c>
      <c r="W36" s="259">
        <f t="shared" si="13"/>
        <v>0.29324945192459817</v>
      </c>
      <c r="X36" s="259">
        <f t="shared" si="13"/>
        <v>0.29946249508363115</v>
      </c>
      <c r="Y36" s="259">
        <f t="shared" si="13"/>
        <v>0.30215467709304089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0.49890835241511672</v>
      </c>
      <c r="C37" s="259">
        <f t="shared" si="14"/>
        <v>0.51141593624786308</v>
      </c>
      <c r="D37" s="259">
        <f t="shared" si="14"/>
        <v>0.48977515144212719</v>
      </c>
      <c r="E37" s="259">
        <f t="shared" si="14"/>
        <v>0.48673468819267762</v>
      </c>
      <c r="F37" s="259">
        <f t="shared" si="14"/>
        <v>0.48783235309693962</v>
      </c>
      <c r="G37" s="259">
        <f t="shared" si="14"/>
        <v>0.49686944561069507</v>
      </c>
      <c r="H37" s="259">
        <f t="shared" si="14"/>
        <v>0.5347001120257735</v>
      </c>
      <c r="I37" s="259">
        <f t="shared" si="14"/>
        <v>0.52722395680789447</v>
      </c>
      <c r="J37" s="259">
        <f t="shared" si="14"/>
        <v>0.54277514012686467</v>
      </c>
      <c r="K37" s="259">
        <f t="shared" si="14"/>
        <v>0.54364372708094533</v>
      </c>
      <c r="L37" s="259">
        <f t="shared" si="14"/>
        <v>0.55606505339553791</v>
      </c>
      <c r="M37" s="259">
        <f t="shared" si="14"/>
        <v>0.53363087556694055</v>
      </c>
      <c r="N37" s="259">
        <f t="shared" si="14"/>
        <v>0.54063844650794912</v>
      </c>
      <c r="O37" s="259">
        <f t="shared" si="14"/>
        <v>0.53886037308923607</v>
      </c>
      <c r="P37" s="259">
        <f t="shared" si="14"/>
        <v>0.53796315294931107</v>
      </c>
      <c r="Q37" s="259">
        <f t="shared" si="14"/>
        <v>0.52441999379609261</v>
      </c>
      <c r="R37" s="259">
        <f t="shared" si="14"/>
        <v>0.52510572321487647</v>
      </c>
      <c r="S37" s="259">
        <f t="shared" si="14"/>
        <v>0.50456013138157862</v>
      </c>
      <c r="T37" s="259">
        <f t="shared" si="14"/>
        <v>0.49205865212826244</v>
      </c>
      <c r="U37" s="259">
        <f t="shared" si="14"/>
        <v>0.46769866878489169</v>
      </c>
      <c r="V37" s="259">
        <f t="shared" si="14"/>
        <v>0.46814236058806447</v>
      </c>
      <c r="W37" s="259">
        <f t="shared" si="14"/>
        <v>0.44199821312218207</v>
      </c>
      <c r="X37" s="259">
        <f t="shared" si="14"/>
        <v>0.43118733048115782</v>
      </c>
      <c r="Y37" s="259">
        <f t="shared" si="14"/>
        <v>0.42345588761990127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5.1677109713394676E-2</v>
      </c>
      <c r="C38" s="259">
        <f t="shared" si="15"/>
        <v>5.0537413751976366E-2</v>
      </c>
      <c r="D38" s="259">
        <f t="shared" si="15"/>
        <v>5.2623696880664886E-2</v>
      </c>
      <c r="E38" s="259">
        <f t="shared" si="15"/>
        <v>5.1597506935137982E-2</v>
      </c>
      <c r="F38" s="259">
        <f t="shared" si="15"/>
        <v>5.1458137582377793E-2</v>
      </c>
      <c r="G38" s="259">
        <f t="shared" si="15"/>
        <v>5.0489702425724016E-2</v>
      </c>
      <c r="H38" s="259">
        <f t="shared" si="15"/>
        <v>4.6939577637785307E-2</v>
      </c>
      <c r="I38" s="259">
        <f t="shared" si="15"/>
        <v>4.7794949860174192E-2</v>
      </c>
      <c r="J38" s="259">
        <f t="shared" si="15"/>
        <v>4.6324815279616328E-2</v>
      </c>
      <c r="K38" s="259">
        <f t="shared" si="15"/>
        <v>4.628749847574623E-2</v>
      </c>
      <c r="L38" s="259">
        <f t="shared" si="15"/>
        <v>4.5027512369799592E-2</v>
      </c>
      <c r="M38" s="259">
        <f t="shared" si="15"/>
        <v>4.7302099967458114E-2</v>
      </c>
      <c r="N38" s="259">
        <f t="shared" si="15"/>
        <v>4.6568814174549528E-2</v>
      </c>
      <c r="O38" s="259">
        <f t="shared" si="15"/>
        <v>4.6786368365878336E-2</v>
      </c>
      <c r="P38" s="259">
        <f t="shared" si="15"/>
        <v>4.6874831740202814E-2</v>
      </c>
      <c r="Q38" s="259">
        <f t="shared" si="15"/>
        <v>4.8295719436857211E-2</v>
      </c>
      <c r="R38" s="259">
        <f t="shared" si="15"/>
        <v>4.8208906778165167E-2</v>
      </c>
      <c r="S38" s="259">
        <f t="shared" si="15"/>
        <v>5.0124783916740044E-2</v>
      </c>
      <c r="T38" s="259">
        <f t="shared" si="15"/>
        <v>5.1341546675107326E-2</v>
      </c>
      <c r="U38" s="259">
        <f t="shared" si="15"/>
        <v>5.3748461698756918E-2</v>
      </c>
      <c r="V38" s="259">
        <f t="shared" si="15"/>
        <v>5.3695736473881227E-2</v>
      </c>
      <c r="W38" s="259">
        <f t="shared" si="15"/>
        <v>5.6350326047661325E-2</v>
      </c>
      <c r="X38" s="259">
        <f t="shared" si="15"/>
        <v>5.7544214068463877E-2</v>
      </c>
      <c r="Y38" s="259">
        <f t="shared" si="15"/>
        <v>5.8061539277477085E-2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2.7205359385844625</v>
      </c>
      <c r="C44" s="237">
        <f>IF(C$5=0,0,C$5/AGR_fec!C$5)</f>
        <v>2.7088274857250663</v>
      </c>
      <c r="D44" s="237">
        <f>IF(D$5=0,0,D$5/AGR_fec!D$5)</f>
        <v>2.6672892083816282</v>
      </c>
      <c r="E44" s="237">
        <f>IF(E$5=0,0,E$5/AGR_fec!E$5)</f>
        <v>2.8277779471326685</v>
      </c>
      <c r="F44" s="237">
        <f>IF(F$5=0,0,F$5/AGR_fec!F$5)</f>
        <v>2.8287208917408004</v>
      </c>
      <c r="G44" s="237">
        <f>IF(G$5=0,0,G$5/AGR_fec!G$5)</f>
        <v>2.8637613393200803</v>
      </c>
      <c r="H44" s="237">
        <f>IF(H$5=0,0,H$5/AGR_fec!H$5)</f>
        <v>2.8398453889306374</v>
      </c>
      <c r="I44" s="237">
        <f>IF(I$5=0,0,I$5/AGR_fec!I$5)</f>
        <v>2.8001711128537035</v>
      </c>
      <c r="J44" s="237">
        <f>IF(J$5=0,0,J$5/AGR_fec!J$5)</f>
        <v>2.8269302969582233</v>
      </c>
      <c r="K44" s="237">
        <f>IF(K$5=0,0,K$5/AGR_fec!K$5)</f>
        <v>2.820906365483808</v>
      </c>
      <c r="L44" s="237">
        <f>IF(L$5=0,0,L$5/AGR_fec!L$5)</f>
        <v>2.8167819944165475</v>
      </c>
      <c r="M44" s="237">
        <f>IF(M$5=0,0,M$5/AGR_fec!M$5)</f>
        <v>2.721792313458506</v>
      </c>
      <c r="N44" s="237">
        <f>IF(N$5=0,0,N$5/AGR_fec!N$5)</f>
        <v>2.7877745405360872</v>
      </c>
      <c r="O44" s="237">
        <f>IF(O$5=0,0,O$5/AGR_fec!O$5)</f>
        <v>2.7785959586970712</v>
      </c>
      <c r="P44" s="237">
        <f>IF(P$5=0,0,P$5/AGR_fec!P$5)</f>
        <v>2.7888811767918482</v>
      </c>
      <c r="Q44" s="237">
        <f>IF(Q$5=0,0,Q$5/AGR_fec!Q$5)</f>
        <v>2.732062572302842</v>
      </c>
      <c r="R44" s="237">
        <f>IF(R$5=0,0,R$5/AGR_fec!R$5)</f>
        <v>2.7319116731186126</v>
      </c>
      <c r="S44" s="237">
        <f>IF(S$5=0,0,S$5/AGR_fec!S$5)</f>
        <v>2.7587474432657477</v>
      </c>
      <c r="T44" s="237">
        <f>IF(T$5=0,0,T$5/AGR_fec!T$5)</f>
        <v>2.7535411045314611</v>
      </c>
      <c r="U44" s="237">
        <f>IF(U$5=0,0,U$5/AGR_fec!U$5)</f>
        <v>2.7247670791651246</v>
      </c>
      <c r="V44" s="237">
        <f>IF(V$5=0,0,V$5/AGR_fec!V$5)</f>
        <v>2.7223292282678035</v>
      </c>
      <c r="W44" s="237">
        <f>IF(W$5=0,0,W$5/AGR_fec!W$5)</f>
        <v>2.6138282346243553</v>
      </c>
      <c r="X44" s="237">
        <f>IF(X$5=0,0,X$5/AGR_fec!X$5)</f>
        <v>2.6253203123400319</v>
      </c>
      <c r="Y44" s="237">
        <f>IF(Y$5=0,0,Y$5/AGR_fec!Y$5)</f>
        <v>2.6789810731428001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2.8523181843161876</v>
      </c>
      <c r="C48" s="252">
        <f>IF(C$9=0,0,C$9/AGR_fec!C$9)</f>
        <v>2.8203158112795679</v>
      </c>
      <c r="D48" s="252">
        <f>IF(D$9=0,0,D$9/AGR_fec!D$9)</f>
        <v>2.8442415542791708</v>
      </c>
      <c r="E48" s="252">
        <f>IF(E$9=0,0,E$9/AGR_fec!E$9)</f>
        <v>2.9832831204980366</v>
      </c>
      <c r="F48" s="252">
        <f>IF(F$9=0,0,F$9/AGR_fec!F$9)</f>
        <v>2.9866033709511397</v>
      </c>
      <c r="G48" s="252">
        <f>IF(G$9=0,0,G$9/AGR_fec!G$9)</f>
        <v>3.0037200476916679</v>
      </c>
      <c r="H48" s="252">
        <f>IF(H$9=0,0,H$9/AGR_fec!H$9)</f>
        <v>2.9597724837131016</v>
      </c>
      <c r="I48" s="252">
        <f>IF(I$9=0,0,I$9/AGR_fec!I$9)</f>
        <v>2.9322706733916561</v>
      </c>
      <c r="J48" s="252">
        <f>IF(J$9=0,0,J$9/AGR_fec!J$9)</f>
        <v>2.9148548655325506</v>
      </c>
      <c r="K48" s="252">
        <f>IF(K$9=0,0,K$9/AGR_fec!K$9)</f>
        <v>2.9099343656041565</v>
      </c>
      <c r="L48" s="252">
        <f>IF(L$9=0,0,L$9/AGR_fec!L$9)</f>
        <v>2.9115348314041385</v>
      </c>
      <c r="M48" s="252">
        <f>IF(M$9=0,0,M$9/AGR_fec!M$9)</f>
        <v>2.909917013337973</v>
      </c>
      <c r="N48" s="252">
        <f>IF(N$9=0,0,N$9/AGR_fec!N$9)</f>
        <v>2.9058244940256706</v>
      </c>
      <c r="O48" s="252">
        <f>IF(O$9=0,0,O$9/AGR_fec!O$9)</f>
        <v>2.9040493822240676</v>
      </c>
      <c r="P48" s="252">
        <f>IF(P$9=0,0,P$9/AGR_fec!P$9)</f>
        <v>2.9071718845987267</v>
      </c>
      <c r="Q48" s="252">
        <f>IF(Q$9=0,0,Q$9/AGR_fec!Q$9)</f>
        <v>2.9056121725657196</v>
      </c>
      <c r="R48" s="252">
        <f>IF(R$9=0,0,R$9/AGR_fec!R$9)</f>
        <v>2.9106503028130333</v>
      </c>
      <c r="S48" s="252">
        <f>IF(S$9=0,0,S$9/AGR_fec!S$9)</f>
        <v>2.9363922270506477</v>
      </c>
      <c r="T48" s="252">
        <f>IF(T$9=0,0,T$9/AGR_fec!T$9)</f>
        <v>2.9568868255806411</v>
      </c>
      <c r="U48" s="252">
        <f>IF(U$9=0,0,U$9/AGR_fec!U$9)</f>
        <v>2.960724492276309</v>
      </c>
      <c r="V48" s="252">
        <f>IF(V$9=0,0,V$9/AGR_fec!V$9)</f>
        <v>2.9581668968319335</v>
      </c>
      <c r="W48" s="252">
        <f>IF(W$9=0,0,W$9/AGR_fec!W$9)</f>
        <v>2.9479080964950923</v>
      </c>
      <c r="X48" s="252">
        <f>IF(X$9=0,0,X$9/AGR_fec!X$9)</f>
        <v>2.935766314564356</v>
      </c>
      <c r="Y48" s="252">
        <f>IF(Y$9=0,0,Y$9/AGR_fec!Y$9)</f>
        <v>2.9758318244501378</v>
      </c>
      <c r="DA48" s="289"/>
    </row>
    <row r="49" spans="1:105" x14ac:dyDescent="0.25">
      <c r="A49" s="127" t="s">
        <v>168</v>
      </c>
      <c r="B49" s="264">
        <f>IF(B$16=0,0,B$16/AGR_fec!B$16)</f>
        <v>3.1024188000000015</v>
      </c>
      <c r="C49" s="264">
        <f>IF(C$16=0,0,C$16/AGR_fec!C$16)</f>
        <v>3.1024188000000006</v>
      </c>
      <c r="D49" s="264">
        <f>IF(D$16=0,0,D$16/AGR_fec!D$16)</f>
        <v>3.102418800000001</v>
      </c>
      <c r="E49" s="264">
        <f>IF(E$16=0,0,E$16/AGR_fec!E$16)</f>
        <v>3.1024188000000001</v>
      </c>
      <c r="F49" s="264">
        <f>IF(F$16=0,0,F$16/AGR_fec!F$16)</f>
        <v>3.1024187999999993</v>
      </c>
      <c r="G49" s="264">
        <f>IF(G$16=0,0,G$16/AGR_fec!G$16)</f>
        <v>3.1024187999999997</v>
      </c>
      <c r="H49" s="264">
        <f>IF(H$16=0,0,H$16/AGR_fec!H$16)</f>
        <v>3.1024188000000006</v>
      </c>
      <c r="I49" s="264">
        <f>IF(I$16=0,0,I$16/AGR_fec!I$16)</f>
        <v>3.1024187999999993</v>
      </c>
      <c r="J49" s="264">
        <f>IF(J$16=0,0,J$16/AGR_fec!J$16)</f>
        <v>3.1024188000000006</v>
      </c>
      <c r="K49" s="264">
        <f>IF(K$16=0,0,K$16/AGR_fec!K$16)</f>
        <v>3.1024188000000006</v>
      </c>
      <c r="L49" s="264">
        <f>IF(L$16=0,0,L$16/AGR_fec!L$16)</f>
        <v>3.1024188000000001</v>
      </c>
      <c r="M49" s="264">
        <f>IF(M$16=0,0,M$16/AGR_fec!M$16)</f>
        <v>3.1024188000000006</v>
      </c>
      <c r="N49" s="264">
        <f>IF(N$16=0,0,N$16/AGR_fec!N$16)</f>
        <v>3.102418800000001</v>
      </c>
      <c r="O49" s="264">
        <f>IF(O$16=0,0,O$16/AGR_fec!O$16)</f>
        <v>3.1024188000000001</v>
      </c>
      <c r="P49" s="264">
        <f>IF(P$16=0,0,P$16/AGR_fec!P$16)</f>
        <v>3.1024187999999997</v>
      </c>
      <c r="Q49" s="264">
        <f>IF(Q$16=0,0,Q$16/AGR_fec!Q$16)</f>
        <v>3.1024187999999997</v>
      </c>
      <c r="R49" s="264">
        <f>IF(R$16=0,0,R$16/AGR_fec!R$16)</f>
        <v>3.1024188000000006</v>
      </c>
      <c r="S49" s="264">
        <f>IF(S$16=0,0,S$16/AGR_fec!S$16)</f>
        <v>3.102418800000001</v>
      </c>
      <c r="T49" s="264">
        <f>IF(T$16=0,0,T$16/AGR_fec!T$16)</f>
        <v>3.1024188000000001</v>
      </c>
      <c r="U49" s="264">
        <f>IF(U$16=0,0,U$16/AGR_fec!U$16)</f>
        <v>3.1024188000000006</v>
      </c>
      <c r="V49" s="264">
        <f>IF(V$16=0,0,V$16/AGR_fec!V$16)</f>
        <v>3.1024187999999997</v>
      </c>
      <c r="W49" s="264">
        <f>IF(W$16=0,0,W$16/AGR_fec!W$16)</f>
        <v>3.1024188000000006</v>
      </c>
      <c r="X49" s="264">
        <f>IF(X$16=0,0,X$16/AGR_fec!X$16)</f>
        <v>3.1024188000000006</v>
      </c>
      <c r="Y49" s="264">
        <f>IF(Y$16=0,0,Y$16/AGR_fec!Y$16)</f>
        <v>3.1024187999999997</v>
      </c>
      <c r="DA49" s="290"/>
    </row>
    <row r="50" spans="1:105" x14ac:dyDescent="0.25">
      <c r="A50" s="127" t="s">
        <v>121</v>
      </c>
      <c r="B50" s="264">
        <f>IF(B$17=0,0,B$17/AGR_fec!B$17)</f>
        <v>2.9000752138300592</v>
      </c>
      <c r="C50" s="264">
        <f>IF(C$17=0,0,C$17/AGR_fec!C$17)</f>
        <v>2.8805060318387512</v>
      </c>
      <c r="D50" s="264">
        <f>IF(D$17=0,0,D$17/AGR_fec!D$17)</f>
        <v>2.786245990521643</v>
      </c>
      <c r="E50" s="264">
        <f>IF(E$17=0,0,E$17/AGR_fec!E$17)</f>
        <v>2.7802325536977603</v>
      </c>
      <c r="F50" s="264">
        <f>IF(F$17=0,0,F$17/AGR_fec!F$17)</f>
        <v>2.7743144805213027</v>
      </c>
      <c r="G50" s="264">
        <f>IF(G$17=0,0,G$17/AGR_fec!G$17)</f>
        <v>2.839279590891961</v>
      </c>
      <c r="H50" s="264">
        <f>IF(H$17=0,0,H$17/AGR_fec!H$17)</f>
        <v>2.849954275162017</v>
      </c>
      <c r="I50" s="264">
        <f>IF(I$17=0,0,I$17/AGR_fec!I$17)</f>
        <v>2.7956687839614074</v>
      </c>
      <c r="J50" s="264">
        <f>IF(J$17=0,0,J$17/AGR_fec!J$17)</f>
        <v>2.8624461088533741</v>
      </c>
      <c r="K50" s="264">
        <f>IF(K$17=0,0,K$17/AGR_fec!K$17)</f>
        <v>2.8545307886813749</v>
      </c>
      <c r="L50" s="264">
        <f>IF(L$17=0,0,L$17/AGR_fec!L$17)</f>
        <v>2.8429376616985302</v>
      </c>
      <c r="M50" s="264">
        <f>IF(M$17=0,0,M$17/AGR_fec!M$17)</f>
        <v>2.667144140789441</v>
      </c>
      <c r="N50" s="264">
        <f>IF(N$17=0,0,N$17/AGR_fec!N$17)</f>
        <v>2.7846256252367612</v>
      </c>
      <c r="O50" s="264">
        <f>IF(O$17=0,0,O$17/AGR_fec!O$17)</f>
        <v>2.7699334099621185</v>
      </c>
      <c r="P50" s="264">
        <f>IF(P$17=0,0,P$17/AGR_fec!P$17)</f>
        <v>2.790567358993167</v>
      </c>
      <c r="Q50" s="264">
        <f>IF(Q$17=0,0,Q$17/AGR_fec!Q$17)</f>
        <v>2.6887357777241894</v>
      </c>
      <c r="R50" s="264">
        <f>IF(R$17=0,0,R$17/AGR_fec!R$17)</f>
        <v>2.6910474041433115</v>
      </c>
      <c r="S50" s="264">
        <f>IF(S$17=0,0,S$17/AGR_fec!S$17)</f>
        <v>2.7133445345980167</v>
      </c>
      <c r="T50" s="264">
        <f>IF(T$17=0,0,T$17/AGR_fec!T$17)</f>
        <v>2.7024973879674903</v>
      </c>
      <c r="U50" s="264">
        <f>IF(U$17=0,0,U$17/AGR_fec!U$17)</f>
        <v>2.634949948067848</v>
      </c>
      <c r="V50" s="264">
        <f>IF(V$17=0,0,V$17/AGR_fec!V$17)</f>
        <v>2.6291650649966276</v>
      </c>
      <c r="W50" s="264">
        <f>IF(W$17=0,0,W$17/AGR_fec!W$17)</f>
        <v>2.4042952656645231</v>
      </c>
      <c r="X50" s="264">
        <f>IF(X$17=0,0,X$17/AGR_fec!X$17)</f>
        <v>2.426271876263542</v>
      </c>
      <c r="Y50" s="264">
        <f>IF(Y$17=0,0,Y$17/AGR_fec!Y$17)</f>
        <v>2.492810064542601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3.1024188000000006</v>
      </c>
      <c r="D51" s="264">
        <f>IF(D$25=0,0,D$25/AGR_fec!D$25)</f>
        <v>3.1024187999999997</v>
      </c>
      <c r="E51" s="264">
        <f>IF(E$25=0,0,E$25/AGR_fec!E$25)</f>
        <v>3.1024188000000006</v>
      </c>
      <c r="F51" s="264">
        <f>IF(F$25=0,0,F$25/AGR_fec!F$25)</f>
        <v>3.102418800000001</v>
      </c>
      <c r="G51" s="264">
        <f>IF(G$25=0,0,G$25/AGR_fec!G$25)</f>
        <v>3.1024188000000006</v>
      </c>
      <c r="H51" s="264">
        <f>IF(H$25=0,0,H$25/AGR_fec!H$25)</f>
        <v>3.1024188000000001</v>
      </c>
      <c r="I51" s="264">
        <f>IF(I$25=0,0,I$25/AGR_fec!I$25)</f>
        <v>3.102418800000001</v>
      </c>
      <c r="J51" s="264">
        <f>IF(J$25=0,0,J$25/AGR_fec!J$25)</f>
        <v>3.1024187999999988</v>
      </c>
      <c r="K51" s="264">
        <f>IF(K$25=0,0,K$25/AGR_fec!K$25)</f>
        <v>3.1024187999999988</v>
      </c>
      <c r="L51" s="264">
        <f>IF(L$25=0,0,L$25/AGR_fec!L$25)</f>
        <v>3.1024188000000006</v>
      </c>
      <c r="M51" s="264">
        <f>IF(M$25=0,0,M$25/AGR_fec!M$25)</f>
        <v>3.1024188000000006</v>
      </c>
      <c r="N51" s="264">
        <f>IF(N$25=0,0,N$25/AGR_fec!N$25)</f>
        <v>3.1024188000000001</v>
      </c>
      <c r="O51" s="264">
        <f>IF(O$25=0,0,O$25/AGR_fec!O$25)</f>
        <v>3.1024188000000001</v>
      </c>
      <c r="P51" s="264">
        <f>IF(P$25=0,0,P$25/AGR_fec!P$25)</f>
        <v>3.1024187999999993</v>
      </c>
      <c r="Q51" s="264">
        <f>IF(Q$25=0,0,Q$25/AGR_fec!Q$25)</f>
        <v>3.102418800000001</v>
      </c>
      <c r="R51" s="264">
        <f>IF(R$25=0,0,R$25/AGR_fec!R$25)</f>
        <v>3.1024187999999997</v>
      </c>
      <c r="S51" s="264">
        <f>IF(S$25=0,0,S$25/AGR_fec!S$25)</f>
        <v>3.1024188000000006</v>
      </c>
      <c r="T51" s="264">
        <f>IF(T$25=0,0,T$25/AGR_fec!T$25)</f>
        <v>3.1024187999999997</v>
      </c>
      <c r="U51" s="264">
        <f>IF(U$25=0,0,U$25/AGR_fec!U$25)</f>
        <v>3.102418800000001</v>
      </c>
      <c r="V51" s="264">
        <f>IF(V$25=0,0,V$25/AGR_fec!V$25)</f>
        <v>3.1024188000000006</v>
      </c>
      <c r="W51" s="264">
        <f>IF(W$25=0,0,W$25/AGR_fec!W$25)</f>
        <v>3.1024187999999997</v>
      </c>
      <c r="X51" s="264">
        <f>IF(X$25=0,0,X$25/AGR_fec!X$25)</f>
        <v>3.1024187999999997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2025-11-06T10:29:25Z</dcterms:created>
  <dcterms:modified xsi:type="dcterms:W3CDTF">2025-11-06T10:29:25Z</dcterms:modified>
</cp:coreProperties>
</file>