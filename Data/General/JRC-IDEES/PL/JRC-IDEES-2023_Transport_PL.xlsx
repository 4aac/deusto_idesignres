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N:\IDEES2023\Calibration_output\Results\xCountries\PL\"/>
    </mc:Choice>
  </mc:AlternateContent>
  <bookViews>
    <workbookView xWindow="0" yWindow="0" windowWidth="22260" windowHeight="12645" tabRatio="752"/>
  </bookViews>
  <sheets>
    <sheet name="cover" sheetId="2" r:id="rId1"/>
    <sheet name="index" sheetId="1" r:id="rId2"/>
    <sheet name="Transport" sheetId="3" r:id="rId3"/>
    <sheet name="TrRoad_act" sheetId="4" r:id="rId4"/>
    <sheet name="TrRoad_ene" sheetId="5" r:id="rId5"/>
    <sheet name="TrRoad_emi" sheetId="6" r:id="rId6"/>
    <sheet name="TrRoad_tech" sheetId="7" r:id="rId7"/>
    <sheet name="TrRail_act" sheetId="8" r:id="rId8"/>
    <sheet name="TrRail_ene" sheetId="9" r:id="rId9"/>
    <sheet name="TrRail_emi" sheetId="10" r:id="rId10"/>
    <sheet name="TrAvia_act" sheetId="11" r:id="rId11"/>
    <sheet name="TrAvia_ene" sheetId="12" r:id="rId12"/>
    <sheet name="TrAvia_emi" sheetId="13" r:id="rId13"/>
    <sheet name="TrAvia_png" sheetId="14" r:id="rId14"/>
    <sheet name="TrNavi_act" sheetId="15" r:id="rId15"/>
    <sheet name="TrNavi_ene" sheetId="16" r:id="rId16"/>
    <sheet name="TrNavi_emi" sheetId="17" r:id="rId17"/>
    <sheet name="MBunk_act" sheetId="18" r:id="rId18"/>
    <sheet name="MBunk_ene" sheetId="19" r:id="rId19"/>
    <sheet name="MBunk_emi" sheetId="20" r:id="rId2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Y52" i="6" l="1"/>
  <c r="X52" i="6"/>
  <c r="Y218" i="7"/>
  <c r="X218" i="7"/>
  <c r="Y211" i="7"/>
  <c r="X211" i="7"/>
  <c r="Y205" i="7"/>
  <c r="X205" i="7"/>
  <c r="Y32" i="8"/>
  <c r="X32" i="8"/>
  <c r="X28" i="8"/>
  <c r="X88" i="8"/>
  <c r="X87" i="8"/>
  <c r="X86" i="8"/>
  <c r="X84" i="8"/>
  <c r="Y12" i="3"/>
  <c r="X12" i="3"/>
  <c r="X17" i="9"/>
  <c r="X51" i="3" s="1"/>
  <c r="Y49" i="9"/>
  <c r="X27" i="9"/>
  <c r="Y40" i="3"/>
  <c r="X25" i="9"/>
  <c r="Y57" i="10"/>
  <c r="X68" i="10"/>
  <c r="Y32" i="10"/>
  <c r="X54" i="10"/>
  <c r="Y53" i="10"/>
  <c r="X53" i="10"/>
  <c r="Y41" i="10"/>
  <c r="Y70" i="3"/>
  <c r="X28" i="10"/>
  <c r="Y24" i="10"/>
  <c r="X24" i="10"/>
  <c r="Y58" i="11"/>
  <c r="Y44" i="11"/>
  <c r="Y67" i="11"/>
  <c r="X101" i="11"/>
  <c r="X25" i="3"/>
  <c r="Y24" i="3"/>
  <c r="X24" i="3"/>
  <c r="Y23" i="3"/>
  <c r="X8" i="11"/>
  <c r="X16" i="3"/>
  <c r="X15" i="3"/>
  <c r="Y14" i="3"/>
  <c r="Y25" i="12"/>
  <c r="Y75" i="12" s="1"/>
  <c r="Y44" i="12"/>
  <c r="X54" i="3"/>
  <c r="Y53" i="3"/>
  <c r="X4" i="12"/>
  <c r="X41" i="12"/>
  <c r="Y45" i="3"/>
  <c r="Y39" i="12"/>
  <c r="X48" i="13"/>
  <c r="X83" i="3"/>
  <c r="Y76" i="3"/>
  <c r="Y24" i="13"/>
  <c r="X5" i="13"/>
  <c r="Y23" i="13"/>
  <c r="Y7" i="15"/>
  <c r="X28" i="3"/>
  <c r="Y27" i="3"/>
  <c r="X27" i="3"/>
  <c r="Y15" i="17"/>
  <c r="X88" i="3"/>
  <c r="Y14" i="17"/>
  <c r="X14" i="17"/>
  <c r="X31" i="3"/>
  <c r="Y3" i="18"/>
  <c r="Y17" i="18" s="1"/>
  <c r="X10" i="19"/>
  <c r="X3" i="20"/>
  <c r="Y90" i="3"/>
  <c r="X90" i="3"/>
  <c r="Y85" i="3"/>
  <c r="X85" i="3"/>
  <c r="X84" i="3"/>
  <c r="X76" i="3"/>
  <c r="X45" i="3"/>
  <c r="Y44" i="3"/>
  <c r="X44" i="3"/>
  <c r="Y42" i="3"/>
  <c r="Y31" i="3"/>
  <c r="Y30" i="3"/>
  <c r="Y25" i="3"/>
  <c r="Y10" i="3"/>
  <c r="X102" i="11" l="1"/>
  <c r="X15" i="10"/>
  <c r="X55" i="10" s="1"/>
  <c r="Y4" i="19"/>
  <c r="Y20" i="19" s="1"/>
  <c r="Y41" i="12"/>
  <c r="X5" i="9"/>
  <c r="X4" i="9" s="1"/>
  <c r="X35" i="12"/>
  <c r="Y69" i="11"/>
  <c r="X90" i="8"/>
  <c r="X75" i="3"/>
  <c r="X227" i="3" s="1"/>
  <c r="X29" i="9"/>
  <c r="Y57" i="8"/>
  <c r="Y79" i="8" s="1"/>
  <c r="Y29" i="9"/>
  <c r="X91" i="8"/>
  <c r="Y54" i="3"/>
  <c r="Y206" i="3" s="1"/>
  <c r="Y91" i="8"/>
  <c r="Y18" i="11"/>
  <c r="Y123" i="11" s="1"/>
  <c r="X31" i="9"/>
  <c r="X53" i="3"/>
  <c r="X55" i="3"/>
  <c r="Y75" i="3"/>
  <c r="Y53" i="9"/>
  <c r="Y43" i="9"/>
  <c r="Y55" i="3"/>
  <c r="Y207" i="3" s="1"/>
  <c r="X46" i="3"/>
  <c r="X43" i="3" s="1"/>
  <c r="Y15" i="14"/>
  <c r="Y21" i="14" s="1"/>
  <c r="X19" i="12"/>
  <c r="X69" i="12" s="1"/>
  <c r="Y7" i="18"/>
  <c r="Y23" i="18" s="1"/>
  <c r="X240" i="3"/>
  <c r="X98" i="11"/>
  <c r="X43" i="8"/>
  <c r="X88" i="11"/>
  <c r="Y88" i="11"/>
  <c r="Y25" i="9"/>
  <c r="Y31" i="9"/>
  <c r="Y42" i="9"/>
  <c r="Y48" i="11"/>
  <c r="Y43" i="11" s="1"/>
  <c r="X15" i="14"/>
  <c r="X27" i="14" s="1"/>
  <c r="X72" i="3"/>
  <c r="X164" i="3" s="1"/>
  <c r="X25" i="12"/>
  <c r="X75" i="12" s="1"/>
  <c r="Y103" i="11"/>
  <c r="X31" i="10"/>
  <c r="X54" i="11"/>
  <c r="Y31" i="10"/>
  <c r="X49" i="9"/>
  <c r="Y98" i="11"/>
  <c r="Y92" i="11"/>
  <c r="X32" i="10"/>
  <c r="X95" i="8"/>
  <c r="X43" i="10"/>
  <c r="X65" i="10"/>
  <c r="X53" i="8"/>
  <c r="X75" i="8" s="1"/>
  <c r="X47" i="13"/>
  <c r="X77" i="11"/>
  <c r="Y68" i="10"/>
  <c r="Y53" i="8"/>
  <c r="Y75" i="8" s="1"/>
  <c r="Y88" i="8"/>
  <c r="Y3" i="15"/>
  <c r="Y19" i="15" s="1"/>
  <c r="Y13" i="14"/>
  <c r="Y19" i="14" s="1"/>
  <c r="Y99" i="11"/>
  <c r="X112" i="11"/>
  <c r="X87" i="3"/>
  <c r="X239" i="3" s="1"/>
  <c r="X38" i="13"/>
  <c r="X78" i="11"/>
  <c r="X67" i="8"/>
  <c r="X87" i="11"/>
  <c r="Y14" i="14"/>
  <c r="Y26" i="14" s="1"/>
  <c r="Y77" i="11"/>
  <c r="Y88" i="3"/>
  <c r="Y28" i="13"/>
  <c r="X99" i="8"/>
  <c r="Y23" i="12"/>
  <c r="Y73" i="12" s="1"/>
  <c r="Y89" i="11"/>
  <c r="Y19" i="12"/>
  <c r="Y69" i="12" s="1"/>
  <c r="Y45" i="13"/>
  <c r="X79" i="11"/>
  <c r="Y5" i="9"/>
  <c r="Y4" i="9" s="1"/>
  <c r="Y55" i="8"/>
  <c r="Y77" i="8" s="1"/>
  <c r="Y67" i="8"/>
  <c r="X99" i="11"/>
  <c r="Y16" i="3"/>
  <c r="Y228" i="3" s="1"/>
  <c r="X40" i="3"/>
  <c r="X91" i="3"/>
  <c r="X243" i="3" s="1"/>
  <c r="Y39" i="13"/>
  <c r="Y79" i="11"/>
  <c r="X57" i="8"/>
  <c r="X79" i="8" s="1"/>
  <c r="X7" i="15"/>
  <c r="X21" i="15" s="1"/>
  <c r="X13" i="14"/>
  <c r="X19" i="14" s="1"/>
  <c r="Y15" i="3"/>
  <c r="Y197" i="3" s="1"/>
  <c r="X23" i="3"/>
  <c r="X235" i="3" s="1"/>
  <c r="X14" i="20"/>
  <c r="Y15" i="18"/>
  <c r="Y29" i="13"/>
  <c r="X18" i="11"/>
  <c r="X120" i="11" s="1"/>
  <c r="X237" i="3"/>
  <c r="Y194" i="3"/>
  <c r="Y196" i="3"/>
  <c r="Y65" i="10"/>
  <c r="X46" i="10"/>
  <c r="X36" i="9"/>
  <c r="X47" i="9"/>
  <c r="X10" i="8"/>
  <c r="X21" i="3" s="1"/>
  <c r="X26" i="8"/>
  <c r="X61" i="8" s="1"/>
  <c r="Y43" i="8"/>
  <c r="X35" i="10"/>
  <c r="X50" i="10"/>
  <c r="X38" i="9"/>
  <c r="X39" i="8"/>
  <c r="X37" i="8" s="1"/>
  <c r="X51" i="8"/>
  <c r="X73" i="8" s="1"/>
  <c r="Y43" i="10"/>
  <c r="X70" i="3"/>
  <c r="X162" i="3" s="1"/>
  <c r="Y35" i="10"/>
  <c r="Y36" i="9"/>
  <c r="Y38" i="9"/>
  <c r="X6" i="8"/>
  <c r="X11" i="3" s="1"/>
  <c r="Y39" i="8"/>
  <c r="Y37" i="8" s="1"/>
  <c r="Y39" i="10"/>
  <c r="Y54" i="10"/>
  <c r="X40" i="9"/>
  <c r="X51" i="9"/>
  <c r="Y90" i="8"/>
  <c r="X55" i="8"/>
  <c r="X77" i="8" s="1"/>
  <c r="X42" i="3"/>
  <c r="X194" i="3" s="1"/>
  <c r="Y72" i="3"/>
  <c r="Y164" i="3" s="1"/>
  <c r="X61" i="10"/>
  <c r="Y40" i="9"/>
  <c r="Y51" i="9"/>
  <c r="X10" i="3"/>
  <c r="X42" i="10"/>
  <c r="X64" i="10"/>
  <c r="X13" i="9"/>
  <c r="X48" i="9" s="1"/>
  <c r="X42" i="9"/>
  <c r="X53" i="9"/>
  <c r="Y99" i="8"/>
  <c r="Y86" i="8"/>
  <c r="X10" i="16"/>
  <c r="X58" i="3" s="1"/>
  <c r="X210" i="3" s="1"/>
  <c r="X18" i="17"/>
  <c r="Y4" i="16"/>
  <c r="Y24" i="16" s="1"/>
  <c r="X4" i="16"/>
  <c r="X20" i="16" s="1"/>
  <c r="X4" i="19"/>
  <c r="X60" i="3" s="1"/>
  <c r="Y10" i="19"/>
  <c r="Y25" i="19" s="1"/>
  <c r="X15" i="20"/>
  <c r="Y14" i="20"/>
  <c r="X14" i="3"/>
  <c r="X196" i="3" s="1"/>
  <c r="X206" i="3"/>
  <c r="Y74" i="3"/>
  <c r="Y6" i="13"/>
  <c r="Y25" i="13"/>
  <c r="X44" i="13"/>
  <c r="Y45" i="12"/>
  <c r="X31" i="12"/>
  <c r="Y14" i="11"/>
  <c r="Y116" i="11" s="1"/>
  <c r="Y24" i="11"/>
  <c r="Y96" i="11" s="1"/>
  <c r="Y102" i="11"/>
  <c r="X44" i="11"/>
  <c r="Y97" i="11"/>
  <c r="X28" i="13"/>
  <c r="Y44" i="13"/>
  <c r="Y31" i="12"/>
  <c r="Y33" i="13"/>
  <c r="Y21" i="12"/>
  <c r="Y71" i="12" s="1"/>
  <c r="Y40" i="12"/>
  <c r="Y78" i="11"/>
  <c r="Y46" i="3"/>
  <c r="X34" i="13"/>
  <c r="Y4" i="12"/>
  <c r="Y72" i="11"/>
  <c r="Y34" i="13"/>
  <c r="X93" i="11"/>
  <c r="X21" i="12"/>
  <c r="X71" i="12" s="1"/>
  <c r="X28" i="11"/>
  <c r="X90" i="11" s="1"/>
  <c r="X68" i="11"/>
  <c r="X73" i="11"/>
  <c r="X24" i="13"/>
  <c r="Y35" i="13"/>
  <c r="X89" i="11"/>
  <c r="Y35" i="12"/>
  <c r="Y68" i="11"/>
  <c r="Y73" i="11"/>
  <c r="Y29" i="12"/>
  <c r="X14" i="11"/>
  <c r="X119" i="11" s="1"/>
  <c r="X92" i="11"/>
  <c r="X48" i="11"/>
  <c r="X236" i="3"/>
  <c r="Y47" i="13"/>
  <c r="Y27" i="13"/>
  <c r="Y83" i="3"/>
  <c r="Y235" i="3" s="1"/>
  <c r="Y10" i="13"/>
  <c r="Y37" i="13"/>
  <c r="X228" i="3"/>
  <c r="Y18" i="17"/>
  <c r="Y87" i="3"/>
  <c r="Y239" i="3" s="1"/>
  <c r="Y3" i="17"/>
  <c r="Y23" i="17" s="1"/>
  <c r="Y23" i="15"/>
  <c r="Y21" i="15"/>
  <c r="Y162" i="3"/>
  <c r="X43" i="13"/>
  <c r="X33" i="13"/>
  <c r="X23" i="13"/>
  <c r="X6" i="13"/>
  <c r="X4" i="13"/>
  <c r="X74" i="3"/>
  <c r="X25" i="19"/>
  <c r="X21" i="19"/>
  <c r="X61" i="3"/>
  <c r="X3" i="18"/>
  <c r="X18" i="18" s="1"/>
  <c r="X30" i="3"/>
  <c r="X14" i="18"/>
  <c r="X18" i="20"/>
  <c r="X21" i="20"/>
  <c r="X14" i="14"/>
  <c r="X20" i="14" s="1"/>
  <c r="X4" i="14"/>
  <c r="Y91" i="3"/>
  <c r="Y243" i="3" s="1"/>
  <c r="Y19" i="20"/>
  <c r="Y3" i="20"/>
  <c r="Y23" i="20" s="1"/>
  <c r="Y15" i="20"/>
  <c r="Y28" i="11"/>
  <c r="Y101" i="11"/>
  <c r="X4" i="10"/>
  <c r="X7" i="18"/>
  <c r="X13" i="20" s="1"/>
  <c r="X110" i="11"/>
  <c r="X111" i="11"/>
  <c r="Y28" i="3"/>
  <c r="Y84" i="3"/>
  <c r="Y192" i="3"/>
  <c r="Y237" i="3"/>
  <c r="Y242" i="3"/>
  <c r="X23" i="20"/>
  <c r="Y19" i="18"/>
  <c r="X19" i="17"/>
  <c r="X15" i="17"/>
  <c r="Y10" i="16"/>
  <c r="Y43" i="13"/>
  <c r="X4" i="11"/>
  <c r="X107" i="11" s="1"/>
  <c r="X91" i="11"/>
  <c r="X81" i="11"/>
  <c r="X24" i="11"/>
  <c r="X97" i="11"/>
  <c r="X58" i="11"/>
  <c r="X69" i="11"/>
  <c r="X113" i="11"/>
  <c r="Y4" i="10"/>
  <c r="Y50" i="10"/>
  <c r="Y61" i="10"/>
  <c r="X203" i="3"/>
  <c r="X207" i="3"/>
  <c r="X15" i="18"/>
  <c r="X14" i="15"/>
  <c r="Y38" i="13"/>
  <c r="Y48" i="13"/>
  <c r="Y91" i="11"/>
  <c r="Y8" i="11"/>
  <c r="Y113" i="11" s="1"/>
  <c r="X52" i="9"/>
  <c r="Y29" i="3"/>
  <c r="Y123" i="3" s="1"/>
  <c r="Y222" i="3"/>
  <c r="Y14" i="15"/>
  <c r="Y5" i="13"/>
  <c r="X49" i="13"/>
  <c r="X29" i="13"/>
  <c r="X39" i="13"/>
  <c r="X43" i="12"/>
  <c r="X23" i="12"/>
  <c r="X73" i="12" s="1"/>
  <c r="X10" i="12"/>
  <c r="X45" i="12"/>
  <c r="X103" i="11"/>
  <c r="X38" i="11"/>
  <c r="X71" i="11"/>
  <c r="X82" i="11"/>
  <c r="X26" i="3"/>
  <c r="X82" i="3"/>
  <c r="Y205" i="3"/>
  <c r="Y18" i="20"/>
  <c r="Y14" i="18"/>
  <c r="Y15" i="15"/>
  <c r="X45" i="13"/>
  <c r="X35" i="13"/>
  <c r="X25" i="13"/>
  <c r="Y43" i="12"/>
  <c r="Y38" i="11"/>
  <c r="Y71" i="11"/>
  <c r="Y82" i="11"/>
  <c r="Y87" i="8"/>
  <c r="Y17" i="8"/>
  <c r="Y34" i="10"/>
  <c r="Y15" i="10"/>
  <c r="Y45" i="10"/>
  <c r="Y22" i="3"/>
  <c r="X3" i="17"/>
  <c r="X23" i="17" s="1"/>
  <c r="Y19" i="17"/>
  <c r="Y4" i="14"/>
  <c r="Y4" i="13"/>
  <c r="X39" i="12"/>
  <c r="X6" i="12"/>
  <c r="X29" i="12"/>
  <c r="X34" i="12"/>
  <c r="X24" i="12"/>
  <c r="X74" i="12" s="1"/>
  <c r="X33" i="12"/>
  <c r="X44" i="12"/>
  <c r="X67" i="11"/>
  <c r="X30" i="10"/>
  <c r="X52" i="10"/>
  <c r="X197" i="3"/>
  <c r="Y22" i="15"/>
  <c r="Y33" i="12"/>
  <c r="Y28" i="10"/>
  <c r="Y56" i="10"/>
  <c r="X50" i="9"/>
  <c r="X39" i="9"/>
  <c r="X28" i="9"/>
  <c r="X41" i="10"/>
  <c r="X19" i="20"/>
  <c r="X11" i="20"/>
  <c r="Y18" i="18"/>
  <c r="X3" i="15"/>
  <c r="X15" i="15"/>
  <c r="X37" i="13"/>
  <c r="X27" i="13"/>
  <c r="X10" i="13"/>
  <c r="X30" i="12"/>
  <c r="X20" i="12"/>
  <c r="X70" i="12" s="1"/>
  <c r="X5" i="12"/>
  <c r="X19" i="13" s="1"/>
  <c r="X40" i="12"/>
  <c r="X11" i="10"/>
  <c r="X9" i="10" s="1"/>
  <c r="X34" i="10"/>
  <c r="X45" i="10"/>
  <c r="X56" i="10"/>
  <c r="Y28" i="9"/>
  <c r="Y39" i="9"/>
  <c r="Y13" i="9"/>
  <c r="Y50" i="9"/>
  <c r="X22" i="20"/>
  <c r="Y30" i="12"/>
  <c r="Y20" i="12"/>
  <c r="Y70" i="12" s="1"/>
  <c r="Y5" i="12"/>
  <c r="Y34" i="12"/>
  <c r="Y24" i="12"/>
  <c r="Y74" i="12" s="1"/>
  <c r="Y87" i="11"/>
  <c r="Y4" i="11"/>
  <c r="Y81" i="11"/>
  <c r="Y30" i="10"/>
  <c r="Y11" i="10"/>
  <c r="Y32" i="9"/>
  <c r="Y54" i="8"/>
  <c r="Y76" i="8" s="1"/>
  <c r="Y98" i="8"/>
  <c r="Y58" i="8"/>
  <c r="Y80" i="8" s="1"/>
  <c r="Y102" i="8"/>
  <c r="Y101" i="8"/>
  <c r="Y49" i="13"/>
  <c r="Y93" i="11"/>
  <c r="X34" i="11"/>
  <c r="X72" i="11"/>
  <c r="Y54" i="11"/>
  <c r="Y53" i="11" s="1"/>
  <c r="X83" i="11"/>
  <c r="Y17" i="9"/>
  <c r="Y27" i="9"/>
  <c r="Y6" i="12"/>
  <c r="Y10" i="12"/>
  <c r="Y83" i="11"/>
  <c r="Y34" i="11"/>
  <c r="X39" i="10"/>
  <c r="Y52" i="10"/>
  <c r="Y6" i="8"/>
  <c r="Y10" i="8"/>
  <c r="Y84" i="8"/>
  <c r="Y21" i="8"/>
  <c r="Y124" i="8" s="1"/>
  <c r="X63" i="8"/>
  <c r="Y95" i="8"/>
  <c r="Y54" i="9"/>
  <c r="X54" i="9"/>
  <c r="X43" i="9"/>
  <c r="X32" i="9"/>
  <c r="Y97" i="8"/>
  <c r="Y28" i="8"/>
  <c r="Y63" i="8" s="1"/>
  <c r="X98" i="8"/>
  <c r="X54" i="8"/>
  <c r="X76" i="8" s="1"/>
  <c r="X102" i="8"/>
  <c r="X58" i="8"/>
  <c r="X80" i="8" s="1"/>
  <c r="Y42" i="10"/>
  <c r="Y46" i="10"/>
  <c r="Y64" i="10"/>
  <c r="Y51" i="8"/>
  <c r="Y73" i="8" s="1"/>
  <c r="X57" i="10"/>
  <c r="Y47" i="9"/>
  <c r="X17" i="8"/>
  <c r="X21" i="8"/>
  <c r="X123" i="8" s="1"/>
  <c r="X97" i="8"/>
  <c r="X101" i="8"/>
  <c r="Y13" i="18" l="1"/>
  <c r="X24" i="19"/>
  <c r="Y13" i="15"/>
  <c r="Y18" i="15"/>
  <c r="X25" i="14"/>
  <c r="Y10" i="17"/>
  <c r="X20" i="19"/>
  <c r="X3" i="19"/>
  <c r="X29" i="19" s="1"/>
  <c r="Y17" i="15"/>
  <c r="X23" i="10"/>
  <c r="Y24" i="19"/>
  <c r="X23" i="15"/>
  <c r="Y22" i="18"/>
  <c r="Y10" i="20"/>
  <c r="X52" i="3"/>
  <c r="Y3" i="16"/>
  <c r="Y29" i="16" s="1"/>
  <c r="X22" i="3"/>
  <c r="Y11" i="20"/>
  <c r="X10" i="20"/>
  <c r="X81" i="3"/>
  <c r="X233" i="3" s="1"/>
  <c r="Y227" i="3"/>
  <c r="Y120" i="11"/>
  <c r="Y20" i="14"/>
  <c r="X112" i="8"/>
  <c r="Y122" i="11"/>
  <c r="Y60" i="3"/>
  <c r="Y212" i="3" s="1"/>
  <c r="Y3" i="19"/>
  <c r="Y28" i="19" s="1"/>
  <c r="X25" i="8"/>
  <c r="X22" i="15"/>
  <c r="Y20" i="16"/>
  <c r="Y57" i="3"/>
  <c r="Y209" i="3" s="1"/>
  <c r="X116" i="11"/>
  <c r="Y121" i="11"/>
  <c r="X86" i="3"/>
  <c r="X238" i="3" s="1"/>
  <c r="X89" i="3"/>
  <c r="X181" i="3" s="1"/>
  <c r="X11" i="17"/>
  <c r="X3" i="16"/>
  <c r="X28" i="16" s="1"/>
  <c r="Y73" i="3"/>
  <c r="Y52" i="3"/>
  <c r="Y204" i="3" s="1"/>
  <c r="X198" i="3"/>
  <c r="Y3" i="12"/>
  <c r="Y47" i="12" s="1"/>
  <c r="X43" i="11"/>
  <c r="X80" i="11"/>
  <c r="X122" i="11"/>
  <c r="Y27" i="14"/>
  <c r="Y25" i="14"/>
  <c r="X192" i="3"/>
  <c r="X41" i="3"/>
  <c r="X39" i="3" s="1"/>
  <c r="X11" i="9"/>
  <c r="X10" i="9" s="1"/>
  <c r="X57" i="9" s="1"/>
  <c r="X22" i="10"/>
  <c r="X4" i="8"/>
  <c r="X108" i="8" s="1"/>
  <c r="X96" i="8"/>
  <c r="X41" i="9"/>
  <c r="X36" i="8"/>
  <c r="Y36" i="8"/>
  <c r="X118" i="11"/>
  <c r="Y22" i="13"/>
  <c r="X22" i="17"/>
  <c r="X44" i="10"/>
  <c r="X205" i="3"/>
  <c r="Y13" i="3"/>
  <c r="X100" i="8"/>
  <c r="Y198" i="3"/>
  <c r="X111" i="8"/>
  <c r="X76" i="11"/>
  <c r="X113" i="8"/>
  <c r="Y80" i="11"/>
  <c r="Y21" i="18"/>
  <c r="X13" i="11"/>
  <c r="X117" i="11"/>
  <c r="X224" i="3"/>
  <c r="Y111" i="11"/>
  <c r="Y42" i="13"/>
  <c r="Y12" i="14"/>
  <c r="Y18" i="14" s="1"/>
  <c r="X183" i="3"/>
  <c r="X13" i="3"/>
  <c r="X195" i="3" s="1"/>
  <c r="X37" i="9"/>
  <c r="X3" i="12"/>
  <c r="X51" i="12" s="1"/>
  <c r="Y23" i="10"/>
  <c r="Y22" i="10"/>
  <c r="Y117" i="11"/>
  <c r="X121" i="11"/>
  <c r="Y119" i="11"/>
  <c r="Y118" i="11"/>
  <c r="X53" i="11"/>
  <c r="Y76" i="11"/>
  <c r="X21" i="16"/>
  <c r="X10" i="17"/>
  <c r="X123" i="11"/>
  <c r="Y112" i="11"/>
  <c r="X21" i="14"/>
  <c r="Y13" i="11"/>
  <c r="X25" i="16"/>
  <c r="X57" i="3"/>
  <c r="X56" i="3" s="1"/>
  <c r="Y32" i="13"/>
  <c r="X24" i="16"/>
  <c r="X17" i="20"/>
  <c r="Y43" i="3"/>
  <c r="X9" i="3"/>
  <c r="X222" i="3"/>
  <c r="Y226" i="3"/>
  <c r="Y123" i="8"/>
  <c r="Y224" i="3"/>
  <c r="Y21" i="19"/>
  <c r="Y61" i="3"/>
  <c r="Y213" i="3" s="1"/>
  <c r="X70" i="11"/>
  <c r="X100" i="11"/>
  <c r="Y19" i="13"/>
  <c r="X85" i="8"/>
  <c r="X15" i="8"/>
  <c r="X49" i="10"/>
  <c r="X8" i="10"/>
  <c r="X60" i="10" s="1"/>
  <c r="Y44" i="10"/>
  <c r="Y55" i="10"/>
  <c r="Y33" i="10"/>
  <c r="Y81" i="3"/>
  <c r="X17" i="17"/>
  <c r="X13" i="17"/>
  <c r="X21" i="17"/>
  <c r="X29" i="3"/>
  <c r="X122" i="3" s="1"/>
  <c r="X242" i="3"/>
  <c r="Y89" i="3"/>
  <c r="Y183" i="3" s="1"/>
  <c r="Y122" i="8"/>
  <c r="Y89" i="8"/>
  <c r="X13" i="15"/>
  <c r="X19" i="15"/>
  <c r="X17" i="15"/>
  <c r="Y85" i="8"/>
  <c r="Y15" i="8"/>
  <c r="Y118" i="8" s="1"/>
  <c r="Y240" i="3"/>
  <c r="Y122" i="3"/>
  <c r="Y32" i="12"/>
  <c r="Y22" i="12"/>
  <c r="Y72" i="12" s="1"/>
  <c r="Y42" i="12"/>
  <c r="Y41" i="9"/>
  <c r="Y30" i="9"/>
  <c r="Y52" i="9"/>
  <c r="Y51" i="3"/>
  <c r="X18" i="15"/>
  <c r="Y70" i="11"/>
  <c r="X12" i="14"/>
  <c r="X18" i="14" s="1"/>
  <c r="X18" i="13"/>
  <c r="X3" i="13"/>
  <c r="X52" i="13" s="1"/>
  <c r="X26" i="14"/>
  <c r="X66" i="11"/>
  <c r="X26" i="13"/>
  <c r="X46" i="13"/>
  <c r="X36" i="13"/>
  <c r="Y66" i="11"/>
  <c r="Y40" i="10"/>
  <c r="Y51" i="10"/>
  <c r="Y29" i="10"/>
  <c r="Y71" i="3"/>
  <c r="X30" i="9"/>
  <c r="X106" i="11"/>
  <c r="X108" i="11"/>
  <c r="X86" i="11"/>
  <c r="X109" i="11"/>
  <c r="Y236" i="3"/>
  <c r="Y100" i="11"/>
  <c r="Y23" i="11"/>
  <c r="Y95" i="11" s="1"/>
  <c r="X213" i="3"/>
  <c r="X73" i="3"/>
  <c r="X226" i="3"/>
  <c r="X13" i="18"/>
  <c r="X17" i="18"/>
  <c r="X19" i="18"/>
  <c r="Y112" i="8"/>
  <c r="Y100" i="8"/>
  <c r="Y56" i="8"/>
  <c r="Y78" i="8" s="1"/>
  <c r="Y111" i="8"/>
  <c r="Y21" i="3"/>
  <c r="Y28" i="12"/>
  <c r="Y18" i="12"/>
  <c r="Y68" i="12" s="1"/>
  <c r="Y38" i="12"/>
  <c r="Y113" i="8"/>
  <c r="Y106" i="11"/>
  <c r="Y107" i="11"/>
  <c r="Y109" i="11"/>
  <c r="Y86" i="11"/>
  <c r="Y48" i="9"/>
  <c r="Y26" i="9"/>
  <c r="Y37" i="9"/>
  <c r="Y41" i="3"/>
  <c r="Y11" i="9"/>
  <c r="X40" i="10"/>
  <c r="X71" i="3"/>
  <c r="X51" i="10"/>
  <c r="X29" i="10"/>
  <c r="X52" i="8"/>
  <c r="X74" i="8" s="1"/>
  <c r="Y9" i="10"/>
  <c r="Y108" i="11"/>
  <c r="X38" i="12"/>
  <c r="X28" i="12"/>
  <c r="X18" i="12"/>
  <c r="X68" i="12" s="1"/>
  <c r="Y26" i="3"/>
  <c r="X42" i="13"/>
  <c r="X32" i="13"/>
  <c r="X22" i="13"/>
  <c r="X89" i="8"/>
  <c r="X122" i="8"/>
  <c r="X124" i="8"/>
  <c r="Y96" i="8"/>
  <c r="Y52" i="8"/>
  <c r="Y74" i="8" s="1"/>
  <c r="Y4" i="8"/>
  <c r="Y107" i="8" s="1"/>
  <c r="Y11" i="3"/>
  <c r="X212" i="3"/>
  <c r="X59" i="3"/>
  <c r="X153" i="3" s="1"/>
  <c r="X26" i="9"/>
  <c r="Y36" i="13"/>
  <c r="Y26" i="13"/>
  <c r="Y46" i="13"/>
  <c r="Y18" i="13"/>
  <c r="Y3" i="13"/>
  <c r="Y56" i="13" s="1"/>
  <c r="X32" i="12"/>
  <c r="X22" i="12"/>
  <c r="X72" i="12" s="1"/>
  <c r="X42" i="12"/>
  <c r="Y121" i="3"/>
  <c r="X96" i="11"/>
  <c r="X23" i="11"/>
  <c r="Y21" i="16"/>
  <c r="Y11" i="17"/>
  <c r="Y25" i="16"/>
  <c r="Y58" i="3"/>
  <c r="Y21" i="20"/>
  <c r="Y13" i="20"/>
  <c r="Y17" i="20"/>
  <c r="Y22" i="20"/>
  <c r="Y13" i="17"/>
  <c r="Y21" i="17"/>
  <c r="Y17" i="17"/>
  <c r="X33" i="10"/>
  <c r="Y82" i="3"/>
  <c r="Y234" i="3" s="1"/>
  <c r="Y26" i="8"/>
  <c r="X56" i="8"/>
  <c r="X78" i="8" s="1"/>
  <c r="Y110" i="11"/>
  <c r="Y90" i="11"/>
  <c r="X21" i="18"/>
  <c r="X22" i="18"/>
  <c r="Y86" i="3"/>
  <c r="Y22" i="17"/>
  <c r="X23" i="18"/>
  <c r="X28" i="19"/>
  <c r="X27" i="19" l="1"/>
  <c r="Y53" i="12"/>
  <c r="X23" i="19"/>
  <c r="Y27" i="19"/>
  <c r="Y23" i="19"/>
  <c r="X204" i="3"/>
  <c r="Y19" i="19"/>
  <c r="X19" i="19"/>
  <c r="X9" i="20"/>
  <c r="X46" i="9"/>
  <c r="Y19" i="16"/>
  <c r="Y27" i="16"/>
  <c r="X234" i="3"/>
  <c r="Y23" i="16"/>
  <c r="Y9" i="17"/>
  <c r="Y28" i="16"/>
  <c r="X23" i="16"/>
  <c r="X19" i="16"/>
  <c r="X95" i="11"/>
  <c r="X27" i="16"/>
  <c r="X24" i="9"/>
  <c r="Y50" i="12"/>
  <c r="X29" i="16"/>
  <c r="X9" i="17"/>
  <c r="Y225" i="3"/>
  <c r="Y29" i="19"/>
  <c r="Y49" i="12"/>
  <c r="Y48" i="12"/>
  <c r="Y9" i="20"/>
  <c r="Y54" i="12"/>
  <c r="Y51" i="12"/>
  <c r="Y55" i="12"/>
  <c r="Y52" i="12"/>
  <c r="Y56" i="3"/>
  <c r="Y208" i="3" s="1"/>
  <c r="X182" i="3"/>
  <c r="X109" i="8"/>
  <c r="Y195" i="3"/>
  <c r="X107" i="8"/>
  <c r="X105" i="8"/>
  <c r="X193" i="3"/>
  <c r="Y17" i="12"/>
  <c r="Y67" i="12" s="1"/>
  <c r="X35" i="9"/>
  <c r="X110" i="8"/>
  <c r="X106" i="8"/>
  <c r="X94" i="8"/>
  <c r="X38" i="10"/>
  <c r="Y24" i="14"/>
  <c r="Y37" i="12"/>
  <c r="X49" i="12"/>
  <c r="X209" i="3"/>
  <c r="X225" i="3"/>
  <c r="X62" i="10"/>
  <c r="X53" i="12"/>
  <c r="X50" i="12"/>
  <c r="X54" i="12"/>
  <c r="X52" i="12"/>
  <c r="X55" i="12"/>
  <c r="X17" i="12"/>
  <c r="X67" i="12" s="1"/>
  <c r="X118" i="8"/>
  <c r="X48" i="12"/>
  <c r="X47" i="12"/>
  <c r="Y59" i="3"/>
  <c r="Y152" i="3" s="1"/>
  <c r="X50" i="8"/>
  <c r="X72" i="8" s="1"/>
  <c r="X27" i="10"/>
  <c r="X56" i="13"/>
  <c r="Y75" i="11"/>
  <c r="Y238" i="3"/>
  <c r="Y203" i="3"/>
  <c r="Y55" i="13"/>
  <c r="Y41" i="13"/>
  <c r="Y51" i="13"/>
  <c r="Y59" i="13"/>
  <c r="Y57" i="13"/>
  <c r="Y21" i="13"/>
  <c r="Y54" i="13"/>
  <c r="Y52" i="13"/>
  <c r="Y58" i="13"/>
  <c r="Y53" i="13"/>
  <c r="X37" i="12"/>
  <c r="X24" i="14"/>
  <c r="X69" i="3"/>
  <c r="X223" i="3"/>
  <c r="X59" i="10"/>
  <c r="X48" i="10"/>
  <c r="X63" i="10"/>
  <c r="X67" i="10"/>
  <c r="X66" i="10"/>
  <c r="X75" i="11"/>
  <c r="Y241" i="3"/>
  <c r="Y117" i="8"/>
  <c r="Y116" i="8"/>
  <c r="Y83" i="8"/>
  <c r="Y14" i="8"/>
  <c r="Y121" i="8"/>
  <c r="Y119" i="8"/>
  <c r="Y120" i="8"/>
  <c r="Y69" i="3"/>
  <c r="X14" i="8"/>
  <c r="X82" i="8" s="1"/>
  <c r="X83" i="8"/>
  <c r="X116" i="8"/>
  <c r="X120" i="8"/>
  <c r="X121" i="8"/>
  <c r="X117" i="8"/>
  <c r="X119" i="8"/>
  <c r="Y223" i="3"/>
  <c r="Y9" i="3"/>
  <c r="X208" i="3"/>
  <c r="X191" i="3"/>
  <c r="X211" i="3"/>
  <c r="X151" i="3"/>
  <c r="X60" i="9"/>
  <c r="X64" i="9"/>
  <c r="X56" i="9"/>
  <c r="X62" i="9"/>
  <c r="X45" i="9"/>
  <c r="X58" i="9"/>
  <c r="X61" i="9"/>
  <c r="X63" i="9"/>
  <c r="X59" i="9"/>
  <c r="X65" i="9"/>
  <c r="X152" i="3"/>
  <c r="Y109" i="8"/>
  <c r="Y94" i="8"/>
  <c r="Y108" i="8"/>
  <c r="Y50" i="8"/>
  <c r="Y105" i="8"/>
  <c r="Y110" i="8"/>
  <c r="Y106" i="8"/>
  <c r="Y10" i="9"/>
  <c r="Y46" i="9"/>
  <c r="Y24" i="9"/>
  <c r="Y35" i="9"/>
  <c r="X41" i="13"/>
  <c r="X51" i="13"/>
  <c r="X21" i="13"/>
  <c r="X58" i="13"/>
  <c r="X59" i="13"/>
  <c r="X54" i="13"/>
  <c r="X55" i="13"/>
  <c r="X57" i="13"/>
  <c r="X53" i="13"/>
  <c r="Y49" i="10"/>
  <c r="Y38" i="10"/>
  <c r="Y8" i="10"/>
  <c r="Y27" i="10"/>
  <c r="Y39" i="3"/>
  <c r="Y193" i="3"/>
  <c r="Y233" i="3"/>
  <c r="Y181" i="3"/>
  <c r="Y182" i="3"/>
  <c r="Y61" i="8"/>
  <c r="Y25" i="8"/>
  <c r="Y210" i="3"/>
  <c r="X241" i="3"/>
  <c r="X121" i="3"/>
  <c r="X123" i="3"/>
  <c r="Y153" i="3" l="1"/>
  <c r="Y151" i="3"/>
  <c r="Y72" i="8"/>
  <c r="Y211" i="3"/>
  <c r="X23" i="9"/>
  <c r="Y191" i="3"/>
  <c r="Y221" i="3"/>
  <c r="Y82" i="8"/>
  <c r="X26" i="10"/>
  <c r="X221" i="3"/>
  <c r="Y26" i="10"/>
  <c r="Y59" i="10"/>
  <c r="Y48" i="10"/>
  <c r="Y67" i="10"/>
  <c r="Y63" i="10"/>
  <c r="Y66" i="10"/>
  <c r="Y62" i="10"/>
  <c r="Y23" i="9"/>
  <c r="Y45" i="9"/>
  <c r="Y56" i="9"/>
  <c r="Y60" i="9"/>
  <c r="Y58" i="9"/>
  <c r="Y64" i="9"/>
  <c r="Y62" i="9"/>
  <c r="Y65" i="9"/>
  <c r="Y61" i="9"/>
  <c r="Y59" i="9"/>
  <c r="Y63" i="9"/>
  <c r="Y60" i="10"/>
  <c r="Y57" i="9"/>
  <c r="A236" i="3" l="1"/>
  <c r="A61" i="3"/>
  <c r="A60" i="3"/>
  <c r="A207" i="3"/>
  <c r="K29" i="13"/>
  <c r="Q23" i="13"/>
  <c r="W91" i="3"/>
  <c r="T91" i="3"/>
  <c r="S91" i="3"/>
  <c r="R91" i="3"/>
  <c r="Q91" i="3"/>
  <c r="P91" i="3"/>
  <c r="O91" i="3"/>
  <c r="N91" i="3"/>
  <c r="L91" i="3"/>
  <c r="K91" i="3"/>
  <c r="J91" i="3"/>
  <c r="I91" i="3"/>
  <c r="H91" i="3"/>
  <c r="E91" i="3"/>
  <c r="D91" i="3"/>
  <c r="C91" i="3"/>
  <c r="B91" i="3"/>
  <c r="W90" i="3"/>
  <c r="V90" i="3"/>
  <c r="U90" i="3"/>
  <c r="S90" i="3"/>
  <c r="R90" i="3"/>
  <c r="Q90" i="3"/>
  <c r="P90" i="3"/>
  <c r="O90" i="3"/>
  <c r="N90" i="3"/>
  <c r="L90" i="3"/>
  <c r="J90" i="3"/>
  <c r="I90" i="3"/>
  <c r="H90" i="3"/>
  <c r="G90" i="3"/>
  <c r="F90" i="3"/>
  <c r="E3" i="20"/>
  <c r="E22" i="20" s="1"/>
  <c r="C90" i="3"/>
  <c r="B90" i="3"/>
  <c r="M15" i="20"/>
  <c r="G15" i="20"/>
  <c r="E15" i="20"/>
  <c r="W14" i="18"/>
  <c r="W31" i="3"/>
  <c r="U31" i="3"/>
  <c r="T31" i="3"/>
  <c r="S31" i="3"/>
  <c r="R31" i="3"/>
  <c r="Q31" i="3"/>
  <c r="P31" i="3"/>
  <c r="O31" i="3"/>
  <c r="M31" i="3"/>
  <c r="L31" i="3"/>
  <c r="K31" i="3"/>
  <c r="H31" i="3"/>
  <c r="F31" i="3"/>
  <c r="E31" i="3"/>
  <c r="D31" i="3"/>
  <c r="C31" i="3"/>
  <c r="B31" i="3"/>
  <c r="W30" i="3"/>
  <c r="S30" i="3"/>
  <c r="Q14" i="18"/>
  <c r="P18" i="20"/>
  <c r="N30" i="3"/>
  <c r="M30" i="3"/>
  <c r="K30" i="3"/>
  <c r="J30" i="3"/>
  <c r="I30" i="3"/>
  <c r="H30" i="3"/>
  <c r="G30" i="3"/>
  <c r="C30" i="3"/>
  <c r="B30" i="3"/>
  <c r="C18" i="20"/>
  <c r="B25" i="1"/>
  <c r="B26" i="1"/>
  <c r="B24" i="1"/>
  <c r="S242" i="3" l="1"/>
  <c r="C242" i="3"/>
  <c r="O14" i="18"/>
  <c r="I15" i="18"/>
  <c r="E3" i="18"/>
  <c r="E19" i="18" s="1"/>
  <c r="I7" i="18"/>
  <c r="I23" i="18" s="1"/>
  <c r="U3" i="18"/>
  <c r="U17" i="18" s="1"/>
  <c r="I23" i="13"/>
  <c r="C29" i="13"/>
  <c r="F3" i="18"/>
  <c r="F17" i="18" s="1"/>
  <c r="V3" i="18"/>
  <c r="V19" i="18" s="1"/>
  <c r="R7" i="18"/>
  <c r="R21" i="18" s="1"/>
  <c r="O25" i="13"/>
  <c r="W3" i="20"/>
  <c r="W22" i="20" s="1"/>
  <c r="J15" i="18"/>
  <c r="F15" i="18"/>
  <c r="I24" i="13"/>
  <c r="U27" i="13"/>
  <c r="F23" i="13"/>
  <c r="N7" i="18"/>
  <c r="N21" i="18" s="1"/>
  <c r="E27" i="13"/>
  <c r="D14" i="18"/>
  <c r="L14" i="18"/>
  <c r="T14" i="18"/>
  <c r="N15" i="18"/>
  <c r="V15" i="18"/>
  <c r="S29" i="13"/>
  <c r="N23" i="13"/>
  <c r="U14" i="20"/>
  <c r="G15" i="18"/>
  <c r="O243" i="3"/>
  <c r="W243" i="3"/>
  <c r="B23" i="13"/>
  <c r="J23" i="13"/>
  <c r="R23" i="13"/>
  <c r="D24" i="13"/>
  <c r="L24" i="13"/>
  <c r="T24" i="13"/>
  <c r="D29" i="13"/>
  <c r="L29" i="13"/>
  <c r="T29" i="13"/>
  <c r="V23" i="13"/>
  <c r="Q24" i="13"/>
  <c r="M27" i="13"/>
  <c r="E24" i="13"/>
  <c r="M24" i="13"/>
  <c r="U24" i="13"/>
  <c r="G25" i="13"/>
  <c r="W25" i="13"/>
  <c r="T7" i="18"/>
  <c r="T21" i="18" s="1"/>
  <c r="K14" i="18"/>
  <c r="S14" i="18"/>
  <c r="M4" i="19"/>
  <c r="M10" i="20" s="1"/>
  <c r="H25" i="13"/>
  <c r="P25" i="13"/>
  <c r="B27" i="13"/>
  <c r="J27" i="13"/>
  <c r="R27" i="13"/>
  <c r="H29" i="13"/>
  <c r="P29" i="13"/>
  <c r="N242" i="3"/>
  <c r="H243" i="3"/>
  <c r="C25" i="13"/>
  <c r="O28" i="13"/>
  <c r="M15" i="18"/>
  <c r="H242" i="3"/>
  <c r="H23" i="13"/>
  <c r="P23" i="13"/>
  <c r="B24" i="13"/>
  <c r="J24" i="13"/>
  <c r="R24" i="13"/>
  <c r="D25" i="13"/>
  <c r="L25" i="13"/>
  <c r="T25" i="13"/>
  <c r="F27" i="13"/>
  <c r="N27" i="13"/>
  <c r="V27" i="13"/>
  <c r="H28" i="13"/>
  <c r="P28" i="13"/>
  <c r="B29" i="13"/>
  <c r="J29" i="13"/>
  <c r="R29" i="13"/>
  <c r="W23" i="13"/>
  <c r="G28" i="13"/>
  <c r="C243" i="3"/>
  <c r="K243" i="3"/>
  <c r="S243" i="3"/>
  <c r="E7" i="18"/>
  <c r="E21" i="18" s="1"/>
  <c r="M7" i="18"/>
  <c r="M21" i="18" s="1"/>
  <c r="U7" i="18"/>
  <c r="U21" i="18" s="1"/>
  <c r="I4" i="19"/>
  <c r="I60" i="3" s="1"/>
  <c r="I212" i="3" s="1"/>
  <c r="K4" i="19"/>
  <c r="K24" i="19" s="1"/>
  <c r="W4" i="19"/>
  <c r="W20" i="19" s="1"/>
  <c r="G10" i="19"/>
  <c r="G11" i="20" s="1"/>
  <c r="O10" i="19"/>
  <c r="O61" i="3" s="1"/>
  <c r="O213" i="3" s="1"/>
  <c r="Q10" i="19"/>
  <c r="Q61" i="3" s="1"/>
  <c r="Q213" i="3" s="1"/>
  <c r="D3" i="20"/>
  <c r="D22" i="20" s="1"/>
  <c r="T3" i="20"/>
  <c r="T22" i="20" s="1"/>
  <c r="F3" i="20"/>
  <c r="F23" i="20" s="1"/>
  <c r="C24" i="13"/>
  <c r="K24" i="13"/>
  <c r="S24" i="13"/>
  <c r="E25" i="13"/>
  <c r="M25" i="13"/>
  <c r="U25" i="13"/>
  <c r="G27" i="13"/>
  <c r="O27" i="13"/>
  <c r="W27" i="13"/>
  <c r="I28" i="13"/>
  <c r="Q28" i="13"/>
  <c r="Q15" i="18"/>
  <c r="R18" i="20"/>
  <c r="T243" i="3"/>
  <c r="M14" i="20"/>
  <c r="F25" i="13"/>
  <c r="N25" i="13"/>
  <c r="V25" i="13"/>
  <c r="H27" i="13"/>
  <c r="P27" i="13"/>
  <c r="B28" i="13"/>
  <c r="J28" i="13"/>
  <c r="R28" i="13"/>
  <c r="R30" i="3"/>
  <c r="R242" i="3" s="1"/>
  <c r="K25" i="13"/>
  <c r="I29" i="13"/>
  <c r="B242" i="3"/>
  <c r="L243" i="3"/>
  <c r="H89" i="3"/>
  <c r="H181" i="3" s="1"/>
  <c r="C23" i="13"/>
  <c r="K23" i="13"/>
  <c r="S23" i="13"/>
  <c r="I27" i="13"/>
  <c r="Q27" i="13"/>
  <c r="C28" i="13"/>
  <c r="K28" i="13"/>
  <c r="S28" i="13"/>
  <c r="E29" i="13"/>
  <c r="M29" i="13"/>
  <c r="U29" i="13"/>
  <c r="O23" i="13"/>
  <c r="S25" i="13"/>
  <c r="Q29" i="13"/>
  <c r="D243" i="3"/>
  <c r="M3" i="18"/>
  <c r="M18" i="18" s="1"/>
  <c r="G14" i="18"/>
  <c r="D23" i="13"/>
  <c r="L23" i="13"/>
  <c r="T23" i="13"/>
  <c r="F24" i="13"/>
  <c r="N24" i="13"/>
  <c r="V24" i="13"/>
  <c r="D28" i="13"/>
  <c r="L28" i="13"/>
  <c r="T28" i="13"/>
  <c r="F29" i="13"/>
  <c r="N29" i="13"/>
  <c r="V29" i="13"/>
  <c r="C7" i="18"/>
  <c r="C21" i="18" s="1"/>
  <c r="E23" i="13"/>
  <c r="M23" i="13"/>
  <c r="U23" i="13"/>
  <c r="G24" i="13"/>
  <c r="O24" i="13"/>
  <c r="W24" i="13"/>
  <c r="I25" i="13"/>
  <c r="Q25" i="13"/>
  <c r="C27" i="13"/>
  <c r="K27" i="13"/>
  <c r="S27" i="13"/>
  <c r="E28" i="13"/>
  <c r="M28" i="13"/>
  <c r="U28" i="13"/>
  <c r="G29" i="13"/>
  <c r="O29" i="13"/>
  <c r="W29" i="13"/>
  <c r="G23" i="13"/>
  <c r="W28" i="13"/>
  <c r="L15" i="20"/>
  <c r="F4" i="19"/>
  <c r="F60" i="3" s="1"/>
  <c r="N4" i="19"/>
  <c r="N60" i="3" s="1"/>
  <c r="N212" i="3" s="1"/>
  <c r="V4" i="19"/>
  <c r="V60" i="3" s="1"/>
  <c r="H4" i="19"/>
  <c r="H60" i="3" s="1"/>
  <c r="H212" i="3" s="1"/>
  <c r="P4" i="19"/>
  <c r="P20" i="19" s="1"/>
  <c r="J10" i="19"/>
  <c r="J61" i="3" s="1"/>
  <c r="S19" i="20"/>
  <c r="H24" i="13"/>
  <c r="P24" i="13"/>
  <c r="B25" i="13"/>
  <c r="J25" i="13"/>
  <c r="R25" i="13"/>
  <c r="D27" i="13"/>
  <c r="L27" i="13"/>
  <c r="T27" i="13"/>
  <c r="F28" i="13"/>
  <c r="N28" i="13"/>
  <c r="V28" i="13"/>
  <c r="R243" i="3"/>
  <c r="I242" i="3"/>
  <c r="E243" i="3"/>
  <c r="G242" i="3"/>
  <c r="W242" i="3"/>
  <c r="Q243" i="3"/>
  <c r="K15" i="18"/>
  <c r="L19" i="20"/>
  <c r="D7" i="18"/>
  <c r="D21" i="18" s="1"/>
  <c r="K14" i="20"/>
  <c r="M3" i="20"/>
  <c r="M21" i="20" s="1"/>
  <c r="U19" i="20"/>
  <c r="Q30" i="3"/>
  <c r="Q242" i="3" s="1"/>
  <c r="A242" i="3"/>
  <c r="N31" i="3"/>
  <c r="N243" i="3" s="1"/>
  <c r="V31" i="3"/>
  <c r="J242" i="3"/>
  <c r="A243" i="3"/>
  <c r="H10" i="19"/>
  <c r="H11" i="20" s="1"/>
  <c r="E14" i="20"/>
  <c r="L7" i="18"/>
  <c r="L21" i="18" s="1"/>
  <c r="G3" i="20"/>
  <c r="G22" i="20" s="1"/>
  <c r="C4" i="19"/>
  <c r="C20" i="19" s="1"/>
  <c r="S4" i="19"/>
  <c r="S20" i="19" s="1"/>
  <c r="U4" i="19"/>
  <c r="U20" i="19" s="1"/>
  <c r="Q4" i="19"/>
  <c r="Q60" i="3" s="1"/>
  <c r="D30" i="3"/>
  <c r="L30" i="3"/>
  <c r="L242" i="3" s="1"/>
  <c r="T30" i="3"/>
  <c r="G31" i="3"/>
  <c r="G29" i="3" s="1"/>
  <c r="G122" i="3" s="1"/>
  <c r="M91" i="3"/>
  <c r="M243" i="3" s="1"/>
  <c r="U91" i="3"/>
  <c r="U243" i="3" s="1"/>
  <c r="P10" i="19"/>
  <c r="P61" i="3" s="1"/>
  <c r="P213" i="3" s="1"/>
  <c r="U3" i="20"/>
  <c r="U22" i="20" s="1"/>
  <c r="H7" i="18"/>
  <c r="H23" i="18" s="1"/>
  <c r="D4" i="19"/>
  <c r="D60" i="3" s="1"/>
  <c r="L4" i="19"/>
  <c r="L60" i="3" s="1"/>
  <c r="T4" i="19"/>
  <c r="T60" i="3" s="1"/>
  <c r="R10" i="19"/>
  <c r="R61" i="3" s="1"/>
  <c r="R213" i="3" s="1"/>
  <c r="E30" i="3"/>
  <c r="E29" i="3" s="1"/>
  <c r="U30" i="3"/>
  <c r="U242" i="3" s="1"/>
  <c r="K90" i="3"/>
  <c r="K242" i="3" s="1"/>
  <c r="F91" i="3"/>
  <c r="F243" i="3" s="1"/>
  <c r="V91" i="3"/>
  <c r="V89" i="3" s="1"/>
  <c r="B243" i="3"/>
  <c r="B10" i="19"/>
  <c r="B61" i="3" s="1"/>
  <c r="B213" i="3" s="1"/>
  <c r="O15" i="20"/>
  <c r="V3" i="20"/>
  <c r="V22" i="20" s="1"/>
  <c r="O15" i="18"/>
  <c r="W15" i="18"/>
  <c r="E4" i="19"/>
  <c r="E60" i="3" s="1"/>
  <c r="G4" i="19"/>
  <c r="G60" i="3" s="1"/>
  <c r="G212" i="3" s="1"/>
  <c r="W10" i="19"/>
  <c r="W25" i="19" s="1"/>
  <c r="F30" i="3"/>
  <c r="F242" i="3" s="1"/>
  <c r="V30" i="3"/>
  <c r="V242" i="3" s="1"/>
  <c r="I31" i="3"/>
  <c r="I243" i="3" s="1"/>
  <c r="D90" i="3"/>
  <c r="D89" i="3" s="1"/>
  <c r="D183" i="3" s="1"/>
  <c r="T90" i="3"/>
  <c r="T89" i="3" s="1"/>
  <c r="T183" i="3" s="1"/>
  <c r="G91" i="3"/>
  <c r="G89" i="3" s="1"/>
  <c r="O30" i="3"/>
  <c r="O29" i="3" s="1"/>
  <c r="J31" i="3"/>
  <c r="J29" i="3" s="1"/>
  <c r="J122" i="3" s="1"/>
  <c r="E90" i="3"/>
  <c r="E89" i="3" s="1"/>
  <c r="M90" i="3"/>
  <c r="M242" i="3" s="1"/>
  <c r="G3" i="18"/>
  <c r="G17" i="18" s="1"/>
  <c r="W3" i="18"/>
  <c r="W18" i="18" s="1"/>
  <c r="C14" i="18"/>
  <c r="K7" i="18"/>
  <c r="K21" i="18" s="1"/>
  <c r="S7" i="18"/>
  <c r="S21" i="18" s="1"/>
  <c r="E15" i="18"/>
  <c r="O4" i="19"/>
  <c r="O24" i="19" s="1"/>
  <c r="I10" i="19"/>
  <c r="I61" i="3" s="1"/>
  <c r="B18" i="20"/>
  <c r="J18" i="20"/>
  <c r="D19" i="20"/>
  <c r="L3" i="20"/>
  <c r="L23" i="20" s="1"/>
  <c r="T19" i="20"/>
  <c r="P30" i="3"/>
  <c r="P242" i="3" s="1"/>
  <c r="O89" i="3"/>
  <c r="O181" i="3" s="1"/>
  <c r="A212" i="3"/>
  <c r="A213" i="3"/>
  <c r="K29" i="3"/>
  <c r="K123" i="3" s="1"/>
  <c r="P243" i="3"/>
  <c r="H29" i="3"/>
  <c r="C29" i="3"/>
  <c r="S29" i="3"/>
  <c r="S121" i="3" s="1"/>
  <c r="A182" i="3"/>
  <c r="A183" i="3"/>
  <c r="W89" i="3"/>
  <c r="N89" i="3"/>
  <c r="N181" i="3" s="1"/>
  <c r="A122" i="3"/>
  <c r="A91" i="3"/>
  <c r="B89" i="3"/>
  <c r="B181" i="3" s="1"/>
  <c r="J89" i="3"/>
  <c r="R89" i="3"/>
  <c r="R182" i="3" s="1"/>
  <c r="A123" i="3"/>
  <c r="I89" i="3"/>
  <c r="I181" i="3" s="1"/>
  <c r="Q89" i="3"/>
  <c r="Q181" i="3" s="1"/>
  <c r="A152" i="3"/>
  <c r="A153" i="3"/>
  <c r="M29" i="3"/>
  <c r="C89" i="3"/>
  <c r="C181" i="3" s="1"/>
  <c r="S89" i="3"/>
  <c r="S181" i="3" s="1"/>
  <c r="A90" i="3"/>
  <c r="P89" i="3"/>
  <c r="P182" i="3" s="1"/>
  <c r="A237" i="3"/>
  <c r="L89" i="3"/>
  <c r="L183" i="3" s="1"/>
  <c r="B29" i="3"/>
  <c r="W29" i="3"/>
  <c r="A117" i="3"/>
  <c r="A147" i="3"/>
  <c r="A54" i="3"/>
  <c r="A176" i="3"/>
  <c r="A55" i="3"/>
  <c r="A177" i="3"/>
  <c r="A84" i="3"/>
  <c r="A206" i="3"/>
  <c r="A85" i="3"/>
  <c r="A146" i="3"/>
  <c r="A116" i="3"/>
  <c r="E17" i="18"/>
  <c r="E18" i="18"/>
  <c r="N3" i="18"/>
  <c r="N17" i="18" s="1"/>
  <c r="U14" i="18"/>
  <c r="E21" i="20"/>
  <c r="P14" i="18"/>
  <c r="J14" i="20"/>
  <c r="O3" i="20"/>
  <c r="O23" i="20" s="1"/>
  <c r="O3" i="18"/>
  <c r="O18" i="18" s="1"/>
  <c r="N3" i="20"/>
  <c r="L20" i="19"/>
  <c r="Q25" i="19"/>
  <c r="Q21" i="19"/>
  <c r="Q14" i="20"/>
  <c r="Q3" i="20"/>
  <c r="Q22" i="20" s="1"/>
  <c r="C19" i="20"/>
  <c r="E14" i="18"/>
  <c r="M14" i="18"/>
  <c r="I22" i="18"/>
  <c r="H18" i="20"/>
  <c r="E19" i="20"/>
  <c r="P3" i="18"/>
  <c r="P18" i="18" s="1"/>
  <c r="F7" i="18"/>
  <c r="F21" i="18" s="1"/>
  <c r="V7" i="18"/>
  <c r="V21" i="18" s="1"/>
  <c r="F14" i="18"/>
  <c r="N14" i="18"/>
  <c r="V14" i="18"/>
  <c r="H15" i="18"/>
  <c r="P15" i="18"/>
  <c r="B4" i="19"/>
  <c r="B60" i="3" s="1"/>
  <c r="J4" i="19"/>
  <c r="J60" i="3" s="1"/>
  <c r="J212" i="3" s="1"/>
  <c r="R4" i="19"/>
  <c r="R60" i="3" s="1"/>
  <c r="I18" i="20"/>
  <c r="J19" i="20"/>
  <c r="H3" i="18"/>
  <c r="H18" i="18" s="1"/>
  <c r="I3" i="18"/>
  <c r="I19" i="18" s="1"/>
  <c r="G7" i="18"/>
  <c r="G21" i="18" s="1"/>
  <c r="O7" i="18"/>
  <c r="O21" i="18" s="1"/>
  <c r="W7" i="18"/>
  <c r="W21" i="18" s="1"/>
  <c r="C10" i="19"/>
  <c r="C61" i="3" s="1"/>
  <c r="C213" i="3" s="1"/>
  <c r="K10" i="19"/>
  <c r="S10" i="19"/>
  <c r="S61" i="3" s="1"/>
  <c r="S213" i="3" s="1"/>
  <c r="E10" i="19"/>
  <c r="E61" i="3" s="1"/>
  <c r="E213" i="3" s="1"/>
  <c r="M10" i="19"/>
  <c r="M61" i="3" s="1"/>
  <c r="M213" i="3" s="1"/>
  <c r="U10" i="19"/>
  <c r="U61" i="3" s="1"/>
  <c r="U213" i="3" s="1"/>
  <c r="K18" i="20"/>
  <c r="K19" i="20"/>
  <c r="I14" i="20"/>
  <c r="I3" i="20"/>
  <c r="I23" i="20" s="1"/>
  <c r="B3" i="18"/>
  <c r="B18" i="18" s="1"/>
  <c r="R3" i="18"/>
  <c r="R19" i="18" s="1"/>
  <c r="P7" i="18"/>
  <c r="P21" i="18" s="1"/>
  <c r="H14" i="18"/>
  <c r="B15" i="18"/>
  <c r="R15" i="18"/>
  <c r="D10" i="19"/>
  <c r="L10" i="19"/>
  <c r="T10" i="19"/>
  <c r="R14" i="20"/>
  <c r="M19" i="20"/>
  <c r="K15" i="20"/>
  <c r="K3" i="20"/>
  <c r="K22" i="20" s="1"/>
  <c r="Q3" i="18"/>
  <c r="Q18" i="18" s="1"/>
  <c r="C3" i="18"/>
  <c r="C19" i="18" s="1"/>
  <c r="U18" i="18"/>
  <c r="Q7" i="18"/>
  <c r="Q21" i="18" s="1"/>
  <c r="E23" i="18"/>
  <c r="I14" i="18"/>
  <c r="C15" i="18"/>
  <c r="S15" i="18"/>
  <c r="F18" i="20"/>
  <c r="F14" i="20"/>
  <c r="N18" i="20"/>
  <c r="N14" i="20"/>
  <c r="V18" i="20"/>
  <c r="V14" i="20"/>
  <c r="H19" i="20"/>
  <c r="H15" i="20"/>
  <c r="P19" i="20"/>
  <c r="P15" i="20"/>
  <c r="S14" i="20"/>
  <c r="T15" i="20"/>
  <c r="Q18" i="20"/>
  <c r="R19" i="20"/>
  <c r="C15" i="20"/>
  <c r="C3" i="20"/>
  <c r="C23" i="20" s="1"/>
  <c r="J3" i="18"/>
  <c r="J18" i="18" s="1"/>
  <c r="K3" i="18"/>
  <c r="K19" i="18" s="1"/>
  <c r="S3" i="18"/>
  <c r="S18" i="18" s="1"/>
  <c r="D3" i="18"/>
  <c r="D18" i="18" s="1"/>
  <c r="L3" i="18"/>
  <c r="T3" i="18"/>
  <c r="T18" i="18" s="1"/>
  <c r="F18" i="18"/>
  <c r="B7" i="18"/>
  <c r="B22" i="18" s="1"/>
  <c r="J7" i="18"/>
  <c r="J21" i="18" s="1"/>
  <c r="D14" i="20"/>
  <c r="L14" i="20"/>
  <c r="T14" i="20"/>
  <c r="F15" i="20"/>
  <c r="N15" i="20"/>
  <c r="V15" i="20"/>
  <c r="B14" i="18"/>
  <c r="J14" i="18"/>
  <c r="R14" i="18"/>
  <c r="D15" i="18"/>
  <c r="L15" i="18"/>
  <c r="T15" i="18"/>
  <c r="F10" i="19"/>
  <c r="F61" i="3" s="1"/>
  <c r="N10" i="19"/>
  <c r="V10" i="19"/>
  <c r="E17" i="20"/>
  <c r="E13" i="20"/>
  <c r="G18" i="20"/>
  <c r="G14" i="20"/>
  <c r="O18" i="20"/>
  <c r="O14" i="20"/>
  <c r="W18" i="20"/>
  <c r="W14" i="20"/>
  <c r="I19" i="20"/>
  <c r="I15" i="20"/>
  <c r="Q19" i="20"/>
  <c r="Q15" i="20"/>
  <c r="B14" i="20"/>
  <c r="U15" i="20"/>
  <c r="S18" i="20"/>
  <c r="S15" i="20"/>
  <c r="S3" i="20"/>
  <c r="S23" i="20" s="1"/>
  <c r="E22" i="18"/>
  <c r="U15" i="18"/>
  <c r="H14" i="20"/>
  <c r="H3" i="20"/>
  <c r="H22" i="20" s="1"/>
  <c r="P14" i="20"/>
  <c r="P3" i="20"/>
  <c r="P22" i="20" s="1"/>
  <c r="B15" i="20"/>
  <c r="B3" i="20"/>
  <c r="J15" i="20"/>
  <c r="J3" i="20"/>
  <c r="J23" i="20" s="1"/>
  <c r="R15" i="20"/>
  <c r="C14" i="20"/>
  <c r="D15" i="20"/>
  <c r="W15" i="20"/>
  <c r="B19" i="20"/>
  <c r="D18" i="20"/>
  <c r="L18" i="20"/>
  <c r="T18" i="20"/>
  <c r="F19" i="20"/>
  <c r="N19" i="20"/>
  <c r="V19" i="20"/>
  <c r="E18" i="20"/>
  <c r="M18" i="20"/>
  <c r="U18" i="20"/>
  <c r="G19" i="20"/>
  <c r="O19" i="20"/>
  <c r="W19" i="20"/>
  <c r="E23" i="20"/>
  <c r="R3" i="20"/>
  <c r="W23" i="20" l="1"/>
  <c r="M22" i="20"/>
  <c r="R25" i="19"/>
  <c r="E13" i="18"/>
  <c r="F24" i="19"/>
  <c r="I21" i="18"/>
  <c r="F20" i="19"/>
  <c r="N29" i="3"/>
  <c r="N123" i="3" s="1"/>
  <c r="L10" i="20"/>
  <c r="J11" i="20"/>
  <c r="M23" i="20"/>
  <c r="P10" i="20"/>
  <c r="W24" i="19"/>
  <c r="R21" i="19"/>
  <c r="G18" i="18"/>
  <c r="U19" i="18"/>
  <c r="N13" i="20"/>
  <c r="H25" i="19"/>
  <c r="K23" i="18"/>
  <c r="F22" i="20"/>
  <c r="H20" i="19"/>
  <c r="Q10" i="20"/>
  <c r="G25" i="19"/>
  <c r="D21" i="20"/>
  <c r="O11" i="20"/>
  <c r="N20" i="19"/>
  <c r="U24" i="19"/>
  <c r="Q24" i="19"/>
  <c r="G23" i="20"/>
  <c r="O21" i="19"/>
  <c r="P24" i="19"/>
  <c r="N23" i="18"/>
  <c r="T23" i="18"/>
  <c r="R23" i="18"/>
  <c r="W17" i="20"/>
  <c r="R22" i="18"/>
  <c r="N24" i="19"/>
  <c r="N10" i="20"/>
  <c r="W10" i="20"/>
  <c r="T22" i="18"/>
  <c r="K20" i="19"/>
  <c r="T20" i="19"/>
  <c r="H3" i="19"/>
  <c r="H29" i="19" s="1"/>
  <c r="M24" i="19"/>
  <c r="R212" i="3"/>
  <c r="L23" i="18"/>
  <c r="F19" i="18"/>
  <c r="N22" i="18"/>
  <c r="Q11" i="20"/>
  <c r="F89" i="3"/>
  <c r="F181" i="3" s="1"/>
  <c r="U29" i="3"/>
  <c r="U123" i="3" s="1"/>
  <c r="M23" i="18"/>
  <c r="S23" i="18"/>
  <c r="S22" i="18"/>
  <c r="D23" i="20"/>
  <c r="I213" i="3"/>
  <c r="M22" i="18"/>
  <c r="G24" i="19"/>
  <c r="L21" i="20"/>
  <c r="W3" i="19"/>
  <c r="W28" i="19" s="1"/>
  <c r="S10" i="20"/>
  <c r="R29" i="3"/>
  <c r="R123" i="3" s="1"/>
  <c r="J21" i="19"/>
  <c r="T24" i="19"/>
  <c r="W19" i="18"/>
  <c r="G19" i="18"/>
  <c r="H19" i="18"/>
  <c r="V17" i="18"/>
  <c r="V17" i="20"/>
  <c r="Q212" i="3"/>
  <c r="V18" i="18"/>
  <c r="W17" i="18"/>
  <c r="Q20" i="19"/>
  <c r="P3" i="19"/>
  <c r="P23" i="19" s="1"/>
  <c r="F10" i="20"/>
  <c r="W21" i="20"/>
  <c r="K10" i="20"/>
  <c r="O25" i="19"/>
  <c r="Q3" i="19"/>
  <c r="Q29" i="19" s="1"/>
  <c r="M20" i="19"/>
  <c r="G20" i="19"/>
  <c r="F23" i="18"/>
  <c r="R11" i="20"/>
  <c r="F59" i="3"/>
  <c r="F151" i="3" s="1"/>
  <c r="M3" i="19"/>
  <c r="M27" i="19" s="1"/>
  <c r="G21" i="20"/>
  <c r="Q29" i="3"/>
  <c r="Q123" i="3" s="1"/>
  <c r="R18" i="18"/>
  <c r="C22" i="20"/>
  <c r="W11" i="20"/>
  <c r="B11" i="20"/>
  <c r="B25" i="19"/>
  <c r="M13" i="20"/>
  <c r="J25" i="19"/>
  <c r="I25" i="19"/>
  <c r="W60" i="3"/>
  <c r="W212" i="3" s="1"/>
  <c r="B21" i="19"/>
  <c r="M17" i="18"/>
  <c r="T10" i="20"/>
  <c r="L24" i="19"/>
  <c r="M60" i="3"/>
  <c r="M212" i="3" s="1"/>
  <c r="K60" i="3"/>
  <c r="K212" i="3" s="1"/>
  <c r="P29" i="3"/>
  <c r="P123" i="3" s="1"/>
  <c r="T212" i="3"/>
  <c r="G61" i="3"/>
  <c r="G213" i="3" s="1"/>
  <c r="K122" i="3"/>
  <c r="G21" i="19"/>
  <c r="H10" i="20"/>
  <c r="E24" i="19"/>
  <c r="C22" i="18"/>
  <c r="D10" i="20"/>
  <c r="V20" i="19"/>
  <c r="H183" i="3"/>
  <c r="D24" i="19"/>
  <c r="I20" i="19"/>
  <c r="O23" i="18"/>
  <c r="N17" i="20"/>
  <c r="D20" i="19"/>
  <c r="V24" i="19"/>
  <c r="T29" i="3"/>
  <c r="T122" i="3" s="1"/>
  <c r="G3" i="19"/>
  <c r="G9" i="20" s="1"/>
  <c r="M19" i="18"/>
  <c r="E20" i="19"/>
  <c r="N23" i="20"/>
  <c r="C23" i="18"/>
  <c r="L17" i="20"/>
  <c r="U23" i="18"/>
  <c r="L22" i="20"/>
  <c r="F17" i="20"/>
  <c r="C10" i="20"/>
  <c r="H22" i="18"/>
  <c r="M13" i="18"/>
  <c r="I24" i="19"/>
  <c r="E10" i="20"/>
  <c r="V10" i="20"/>
  <c r="I10" i="20"/>
  <c r="N21" i="20"/>
  <c r="U13" i="18"/>
  <c r="H21" i="18"/>
  <c r="G17" i="20"/>
  <c r="K22" i="18"/>
  <c r="F21" i="20"/>
  <c r="U22" i="18"/>
  <c r="F13" i="20"/>
  <c r="T23" i="20"/>
  <c r="T21" i="20"/>
  <c r="T13" i="20"/>
  <c r="M17" i="20"/>
  <c r="H24" i="19"/>
  <c r="G10" i="20"/>
  <c r="M89" i="3"/>
  <c r="M241" i="3" s="1"/>
  <c r="H182" i="3"/>
  <c r="Q183" i="3"/>
  <c r="S19" i="18"/>
  <c r="O242" i="3"/>
  <c r="P60" i="3"/>
  <c r="P212" i="3" s="1"/>
  <c r="G243" i="3"/>
  <c r="F13" i="18"/>
  <c r="Q59" i="3"/>
  <c r="Q153" i="3" s="1"/>
  <c r="J241" i="3"/>
  <c r="S122" i="3"/>
  <c r="J243" i="3"/>
  <c r="S22" i="20"/>
  <c r="Q19" i="18"/>
  <c r="S123" i="3"/>
  <c r="J121" i="3"/>
  <c r="N22" i="20"/>
  <c r="U89" i="3"/>
  <c r="U183" i="3" s="1"/>
  <c r="J123" i="3"/>
  <c r="D242" i="3"/>
  <c r="V181" i="3"/>
  <c r="V182" i="3"/>
  <c r="Q23" i="20"/>
  <c r="O17" i="20"/>
  <c r="L13" i="20"/>
  <c r="P25" i="19"/>
  <c r="I21" i="19"/>
  <c r="V21" i="20"/>
  <c r="D22" i="18"/>
  <c r="D11" i="20"/>
  <c r="D61" i="3"/>
  <c r="D213" i="3" s="1"/>
  <c r="N13" i="18"/>
  <c r="I3" i="19"/>
  <c r="I27" i="19" s="1"/>
  <c r="F29" i="3"/>
  <c r="F122" i="3" s="1"/>
  <c r="R59" i="3"/>
  <c r="R153" i="3" s="1"/>
  <c r="S182" i="3"/>
  <c r="T242" i="3"/>
  <c r="V243" i="3"/>
  <c r="B212" i="3"/>
  <c r="B59" i="3"/>
  <c r="B152" i="3" s="1"/>
  <c r="D23" i="18"/>
  <c r="E59" i="3"/>
  <c r="E211" i="3" s="1"/>
  <c r="F213" i="3"/>
  <c r="O10" i="20"/>
  <c r="O60" i="3"/>
  <c r="U21" i="20"/>
  <c r="G23" i="18"/>
  <c r="N3" i="19"/>
  <c r="N28" i="19" s="1"/>
  <c r="N61" i="3"/>
  <c r="G13" i="18"/>
  <c r="O17" i="18"/>
  <c r="K11" i="20"/>
  <c r="K61" i="3"/>
  <c r="D29" i="3"/>
  <c r="D241" i="3" s="1"/>
  <c r="E242" i="3"/>
  <c r="U13" i="20"/>
  <c r="L29" i="3"/>
  <c r="L241" i="3" s="1"/>
  <c r="K89" i="3"/>
  <c r="K181" i="3" s="1"/>
  <c r="W21" i="19"/>
  <c r="W61" i="3"/>
  <c r="W213" i="3" s="1"/>
  <c r="H21" i="19"/>
  <c r="H61" i="3"/>
  <c r="V23" i="20"/>
  <c r="O3" i="19"/>
  <c r="O19" i="19" s="1"/>
  <c r="S11" i="20"/>
  <c r="U17" i="20"/>
  <c r="N18" i="18"/>
  <c r="C11" i="20"/>
  <c r="P11" i="20"/>
  <c r="D13" i="20"/>
  <c r="E3" i="19"/>
  <c r="E9" i="20" s="1"/>
  <c r="E11" i="20"/>
  <c r="I29" i="3"/>
  <c r="I241" i="3" s="1"/>
  <c r="U10" i="20"/>
  <c r="U60" i="3"/>
  <c r="V3" i="19"/>
  <c r="V28" i="19" s="1"/>
  <c r="V61" i="3"/>
  <c r="U23" i="20"/>
  <c r="O19" i="18"/>
  <c r="V23" i="18"/>
  <c r="L22" i="18"/>
  <c r="T3" i="19"/>
  <c r="T23" i="19" s="1"/>
  <c r="T61" i="3"/>
  <c r="T59" i="3" s="1"/>
  <c r="N19" i="18"/>
  <c r="C18" i="18"/>
  <c r="O20" i="19"/>
  <c r="P21" i="19"/>
  <c r="I11" i="20"/>
  <c r="V29" i="3"/>
  <c r="V123" i="3" s="1"/>
  <c r="I59" i="3"/>
  <c r="I152" i="3" s="1"/>
  <c r="Q182" i="3"/>
  <c r="L212" i="3"/>
  <c r="E212" i="3"/>
  <c r="F212" i="3"/>
  <c r="S24" i="19"/>
  <c r="S60" i="3"/>
  <c r="J213" i="3"/>
  <c r="L11" i="20"/>
  <c r="L61" i="3"/>
  <c r="J59" i="3"/>
  <c r="J151" i="3" s="1"/>
  <c r="D212" i="3"/>
  <c r="C24" i="19"/>
  <c r="C60" i="3"/>
  <c r="V212" i="3"/>
  <c r="H121" i="3"/>
  <c r="H241" i="3"/>
  <c r="H122" i="3"/>
  <c r="G121" i="3"/>
  <c r="G241" i="3"/>
  <c r="K121" i="3"/>
  <c r="V183" i="3"/>
  <c r="B121" i="3"/>
  <c r="B241" i="3"/>
  <c r="I183" i="3"/>
  <c r="O121" i="3"/>
  <c r="O241" i="3"/>
  <c r="E121" i="3"/>
  <c r="E241" i="3"/>
  <c r="S241" i="3"/>
  <c r="B182" i="3"/>
  <c r="N182" i="3"/>
  <c r="O182" i="3"/>
  <c r="O183" i="3"/>
  <c r="W121" i="3"/>
  <c r="W241" i="3"/>
  <c r="B122" i="3"/>
  <c r="C123" i="3"/>
  <c r="C241" i="3"/>
  <c r="B183" i="3"/>
  <c r="H123" i="3"/>
  <c r="C122" i="3"/>
  <c r="C182" i="3"/>
  <c r="E181" i="3"/>
  <c r="E182" i="3"/>
  <c r="C121" i="3"/>
  <c r="G181" i="3"/>
  <c r="G183" i="3"/>
  <c r="G182" i="3"/>
  <c r="T181" i="3"/>
  <c r="T182" i="3"/>
  <c r="S183" i="3"/>
  <c r="N183" i="3"/>
  <c r="J183" i="3"/>
  <c r="J181" i="3"/>
  <c r="P181" i="3"/>
  <c r="P183" i="3"/>
  <c r="L181" i="3"/>
  <c r="L182" i="3"/>
  <c r="W181" i="3"/>
  <c r="W182" i="3"/>
  <c r="W183" i="3"/>
  <c r="E183" i="3"/>
  <c r="D181" i="3"/>
  <c r="D182" i="3"/>
  <c r="R183" i="3"/>
  <c r="R181" i="3"/>
  <c r="I182" i="3"/>
  <c r="C183" i="3"/>
  <c r="J182" i="3"/>
  <c r="M123" i="3"/>
  <c r="M121" i="3"/>
  <c r="O123" i="3"/>
  <c r="E123" i="3"/>
  <c r="W123" i="3"/>
  <c r="G123" i="3"/>
  <c r="B123" i="3"/>
  <c r="W122" i="3"/>
  <c r="M122" i="3"/>
  <c r="E122" i="3"/>
  <c r="O122" i="3"/>
  <c r="P23" i="20"/>
  <c r="D17" i="20"/>
  <c r="J22" i="18"/>
  <c r="P19" i="18"/>
  <c r="O21" i="20"/>
  <c r="O22" i="20"/>
  <c r="J23" i="18"/>
  <c r="B19" i="18"/>
  <c r="V13" i="20"/>
  <c r="T17" i="20"/>
  <c r="L18" i="18"/>
  <c r="J17" i="18"/>
  <c r="J13" i="18"/>
  <c r="C25" i="19"/>
  <c r="C21" i="19"/>
  <c r="C3" i="19"/>
  <c r="C9" i="20" s="1"/>
  <c r="J19" i="18"/>
  <c r="T11" i="20"/>
  <c r="W22" i="18"/>
  <c r="L3" i="19"/>
  <c r="L29" i="19" s="1"/>
  <c r="F21" i="19"/>
  <c r="F11" i="20"/>
  <c r="F25" i="19"/>
  <c r="W23" i="18"/>
  <c r="K21" i="20"/>
  <c r="K17" i="20"/>
  <c r="K13" i="20"/>
  <c r="T25" i="19"/>
  <c r="T21" i="19"/>
  <c r="Q22" i="18"/>
  <c r="K25" i="19"/>
  <c r="K21" i="19"/>
  <c r="K3" i="19"/>
  <c r="P21" i="20"/>
  <c r="P17" i="20"/>
  <c r="P13" i="20"/>
  <c r="C21" i="20"/>
  <c r="C17" i="20"/>
  <c r="C13" i="20"/>
  <c r="L25" i="19"/>
  <c r="L21" i="19"/>
  <c r="R17" i="18"/>
  <c r="R13" i="18"/>
  <c r="I13" i="18"/>
  <c r="I17" i="18"/>
  <c r="W13" i="18"/>
  <c r="F22" i="18"/>
  <c r="R21" i="20"/>
  <c r="R17" i="20"/>
  <c r="R13" i="20"/>
  <c r="R22" i="20"/>
  <c r="J21" i="20"/>
  <c r="J17" i="20"/>
  <c r="J13" i="20"/>
  <c r="T17" i="18"/>
  <c r="T19" i="18"/>
  <c r="T13" i="18"/>
  <c r="D25" i="19"/>
  <c r="D21" i="19"/>
  <c r="B17" i="18"/>
  <c r="B13" i="18"/>
  <c r="U21" i="19"/>
  <c r="U25" i="19"/>
  <c r="H17" i="18"/>
  <c r="H13" i="18"/>
  <c r="R24" i="19"/>
  <c r="R20" i="19"/>
  <c r="R3" i="19"/>
  <c r="R9" i="20" s="1"/>
  <c r="P13" i="18"/>
  <c r="P17" i="18"/>
  <c r="R10" i="20"/>
  <c r="P23" i="18"/>
  <c r="O13" i="18"/>
  <c r="B21" i="20"/>
  <c r="B17" i="20"/>
  <c r="B13" i="20"/>
  <c r="J22" i="20"/>
  <c r="L17" i="18"/>
  <c r="L13" i="18"/>
  <c r="I21" i="20"/>
  <c r="I17" i="20"/>
  <c r="I13" i="20"/>
  <c r="M21" i="19"/>
  <c r="M25" i="19"/>
  <c r="J24" i="19"/>
  <c r="J20" i="19"/>
  <c r="J3" i="19"/>
  <c r="J9" i="20" s="1"/>
  <c r="J10" i="20"/>
  <c r="Q21" i="20"/>
  <c r="Q17" i="20"/>
  <c r="Q13" i="20"/>
  <c r="D3" i="19"/>
  <c r="D29" i="19" s="1"/>
  <c r="P22" i="18"/>
  <c r="K23" i="20"/>
  <c r="I22" i="20"/>
  <c r="K18" i="18"/>
  <c r="K17" i="18"/>
  <c r="K13" i="18"/>
  <c r="B22" i="20"/>
  <c r="R23" i="20"/>
  <c r="B23" i="20"/>
  <c r="V21" i="19"/>
  <c r="V11" i="20"/>
  <c r="V25" i="19"/>
  <c r="B21" i="18"/>
  <c r="B23" i="18"/>
  <c r="D17" i="18"/>
  <c r="D13" i="18"/>
  <c r="D19" i="18"/>
  <c r="C17" i="18"/>
  <c r="C13" i="18"/>
  <c r="E21" i="19"/>
  <c r="E25" i="19"/>
  <c r="U11" i="20"/>
  <c r="B24" i="19"/>
  <c r="B20" i="19"/>
  <c r="B3" i="19"/>
  <c r="B9" i="20" s="1"/>
  <c r="G13" i="20"/>
  <c r="B10" i="20"/>
  <c r="Q23" i="18"/>
  <c r="O22" i="18"/>
  <c r="G22" i="18"/>
  <c r="F3" i="19"/>
  <c r="H21" i="20"/>
  <c r="H17" i="20"/>
  <c r="H13" i="20"/>
  <c r="H23" i="20"/>
  <c r="S21" i="20"/>
  <c r="S17" i="20"/>
  <c r="S13" i="20"/>
  <c r="N21" i="19"/>
  <c r="N25" i="19"/>
  <c r="N11" i="20"/>
  <c r="S17" i="18"/>
  <c r="S13" i="18"/>
  <c r="U3" i="19"/>
  <c r="Q13" i="18"/>
  <c r="Q17" i="18"/>
  <c r="O13" i="20"/>
  <c r="L19" i="18"/>
  <c r="S25" i="19"/>
  <c r="S21" i="19"/>
  <c r="S3" i="19"/>
  <c r="S9" i="20" s="1"/>
  <c r="W13" i="20"/>
  <c r="M11" i="20"/>
  <c r="V22" i="18"/>
  <c r="V13" i="18"/>
  <c r="I18" i="18"/>
  <c r="U121" i="3" l="1"/>
  <c r="U122" i="3"/>
  <c r="N122" i="3"/>
  <c r="E27" i="19"/>
  <c r="N27" i="19"/>
  <c r="N121" i="3"/>
  <c r="N241" i="3"/>
  <c r="N19" i="19"/>
  <c r="Q9" i="20"/>
  <c r="E23" i="19"/>
  <c r="H23" i="19"/>
  <c r="F182" i="3"/>
  <c r="F183" i="3"/>
  <c r="M28" i="19"/>
  <c r="W9" i="20"/>
  <c r="N9" i="20"/>
  <c r="N29" i="19"/>
  <c r="M9" i="20"/>
  <c r="M29" i="19"/>
  <c r="Q23" i="19"/>
  <c r="W29" i="19"/>
  <c r="M23" i="19"/>
  <c r="M19" i="19"/>
  <c r="H27" i="19"/>
  <c r="H19" i="19"/>
  <c r="H28" i="19"/>
  <c r="G27" i="19"/>
  <c r="P9" i="20"/>
  <c r="H9" i="20"/>
  <c r="G28" i="19"/>
  <c r="W27" i="19"/>
  <c r="P27" i="19"/>
  <c r="W19" i="19"/>
  <c r="W23" i="19"/>
  <c r="R241" i="3"/>
  <c r="R121" i="3"/>
  <c r="R122" i="3"/>
  <c r="F241" i="3"/>
  <c r="Q122" i="3"/>
  <c r="L121" i="3"/>
  <c r="P121" i="3"/>
  <c r="Q121" i="3"/>
  <c r="T123" i="3"/>
  <c r="P122" i="3"/>
  <c r="Q241" i="3"/>
  <c r="U182" i="3"/>
  <c r="T241" i="3"/>
  <c r="K183" i="3"/>
  <c r="E28" i="19"/>
  <c r="M182" i="3"/>
  <c r="F152" i="3"/>
  <c r="D123" i="3"/>
  <c r="F153" i="3"/>
  <c r="Q27" i="19"/>
  <c r="E153" i="3"/>
  <c r="Q28" i="19"/>
  <c r="P59" i="3"/>
  <c r="Q19" i="19"/>
  <c r="L123" i="3"/>
  <c r="M59" i="3"/>
  <c r="M152" i="3" s="1"/>
  <c r="O9" i="20"/>
  <c r="Q151" i="3"/>
  <c r="P29" i="19"/>
  <c r="P28" i="19"/>
  <c r="Q152" i="3"/>
  <c r="P211" i="3"/>
  <c r="G59" i="3"/>
  <c r="M181" i="3"/>
  <c r="O27" i="19"/>
  <c r="E152" i="3"/>
  <c r="T121" i="3"/>
  <c r="E151" i="3"/>
  <c r="I122" i="3"/>
  <c r="M183" i="3"/>
  <c r="Q211" i="3"/>
  <c r="P19" i="19"/>
  <c r="I121" i="3"/>
  <c r="R211" i="3"/>
  <c r="O23" i="19"/>
  <c r="K182" i="3"/>
  <c r="E29" i="19"/>
  <c r="O28" i="19"/>
  <c r="E19" i="19"/>
  <c r="P241" i="3"/>
  <c r="F121" i="3"/>
  <c r="D122" i="3"/>
  <c r="J211" i="3"/>
  <c r="V19" i="19"/>
  <c r="J153" i="3"/>
  <c r="D121" i="3"/>
  <c r="F211" i="3"/>
  <c r="J152" i="3"/>
  <c r="G29" i="19"/>
  <c r="F123" i="3"/>
  <c r="V27" i="19"/>
  <c r="U181" i="3"/>
  <c r="G19" i="19"/>
  <c r="I153" i="3"/>
  <c r="U241" i="3"/>
  <c r="I211" i="3"/>
  <c r="G23" i="19"/>
  <c r="I23" i="19"/>
  <c r="I151" i="3"/>
  <c r="I28" i="19"/>
  <c r="T19" i="19"/>
  <c r="T27" i="19"/>
  <c r="I123" i="3"/>
  <c r="W59" i="3"/>
  <c r="W211" i="3" s="1"/>
  <c r="K241" i="3"/>
  <c r="L122" i="3"/>
  <c r="T151" i="3"/>
  <c r="T152" i="3"/>
  <c r="T211" i="3"/>
  <c r="O29" i="19"/>
  <c r="I19" i="19"/>
  <c r="V121" i="3"/>
  <c r="C212" i="3"/>
  <c r="C59" i="3"/>
  <c r="T29" i="19"/>
  <c r="T28" i="19"/>
  <c r="V241" i="3"/>
  <c r="R152" i="3"/>
  <c r="R151" i="3"/>
  <c r="I9" i="20"/>
  <c r="T9" i="20"/>
  <c r="V122" i="3"/>
  <c r="V59" i="3"/>
  <c r="V213" i="3"/>
  <c r="H213" i="3"/>
  <c r="H59" i="3"/>
  <c r="N59" i="3"/>
  <c r="N213" i="3"/>
  <c r="L59" i="3"/>
  <c r="L213" i="3"/>
  <c r="V23" i="19"/>
  <c r="N23" i="19"/>
  <c r="T213" i="3"/>
  <c r="T153" i="3"/>
  <c r="U212" i="3"/>
  <c r="U59" i="3"/>
  <c r="B151" i="3"/>
  <c r="B211" i="3"/>
  <c r="B153" i="3"/>
  <c r="D59" i="3"/>
  <c r="I29" i="19"/>
  <c r="V29" i="19"/>
  <c r="V9" i="20"/>
  <c r="S59" i="3"/>
  <c r="S212" i="3"/>
  <c r="K59" i="3"/>
  <c r="K213" i="3"/>
  <c r="O59" i="3"/>
  <c r="O212" i="3"/>
  <c r="C29" i="19"/>
  <c r="K27" i="19"/>
  <c r="K23" i="19"/>
  <c r="K19" i="19"/>
  <c r="K28" i="19"/>
  <c r="F27" i="19"/>
  <c r="F23" i="19"/>
  <c r="F19" i="19"/>
  <c r="F28" i="19"/>
  <c r="F9" i="20"/>
  <c r="K29" i="19"/>
  <c r="U27" i="19"/>
  <c r="U23" i="19"/>
  <c r="U19" i="19"/>
  <c r="U9" i="20"/>
  <c r="U28" i="19"/>
  <c r="K9" i="20"/>
  <c r="U29" i="19"/>
  <c r="D27" i="19"/>
  <c r="D23" i="19"/>
  <c r="D19" i="19"/>
  <c r="D28" i="19"/>
  <c r="D9" i="20"/>
  <c r="L27" i="19"/>
  <c r="L23" i="19"/>
  <c r="L19" i="19"/>
  <c r="L9" i="20"/>
  <c r="L28" i="19"/>
  <c r="B19" i="19"/>
  <c r="B27" i="19"/>
  <c r="B23" i="19"/>
  <c r="B29" i="19"/>
  <c r="B28" i="19"/>
  <c r="R19" i="19"/>
  <c r="R27" i="19"/>
  <c r="R23" i="19"/>
  <c r="R29" i="19"/>
  <c r="C27" i="19"/>
  <c r="C19" i="19"/>
  <c r="C23" i="19"/>
  <c r="C28" i="19"/>
  <c r="J19" i="19"/>
  <c r="J27" i="19"/>
  <c r="J23" i="19"/>
  <c r="J29" i="19"/>
  <c r="S27" i="19"/>
  <c r="S19" i="19"/>
  <c r="S23" i="19"/>
  <c r="S28" i="19"/>
  <c r="S29" i="19"/>
  <c r="J28" i="19"/>
  <c r="R28" i="19"/>
  <c r="F29" i="19"/>
  <c r="M211" i="3" l="1"/>
  <c r="M151" i="3"/>
  <c r="P153" i="3"/>
  <c r="P151" i="3"/>
  <c r="P152" i="3"/>
  <c r="M153" i="3"/>
  <c r="G211" i="3"/>
  <c r="G152" i="3"/>
  <c r="G151" i="3"/>
  <c r="G153" i="3"/>
  <c r="W153" i="3"/>
  <c r="W151" i="3"/>
  <c r="W152" i="3"/>
  <c r="N152" i="3"/>
  <c r="N151" i="3"/>
  <c r="N211" i="3"/>
  <c r="N153" i="3"/>
  <c r="H153" i="3"/>
  <c r="H211" i="3"/>
  <c r="H151" i="3"/>
  <c r="H152" i="3"/>
  <c r="C153" i="3"/>
  <c r="C151" i="3"/>
  <c r="C211" i="3"/>
  <c r="C152" i="3"/>
  <c r="O152" i="3"/>
  <c r="O151" i="3"/>
  <c r="O153" i="3"/>
  <c r="O211" i="3"/>
  <c r="D151" i="3"/>
  <c r="D211" i="3"/>
  <c r="D152" i="3"/>
  <c r="D153" i="3"/>
  <c r="V151" i="3"/>
  <c r="V211" i="3"/>
  <c r="V153" i="3"/>
  <c r="V152" i="3"/>
  <c r="K152" i="3"/>
  <c r="K151" i="3"/>
  <c r="K211" i="3"/>
  <c r="K153" i="3"/>
  <c r="L153" i="3"/>
  <c r="L152" i="3"/>
  <c r="L151" i="3"/>
  <c r="L211" i="3"/>
  <c r="S152" i="3"/>
  <c r="S151" i="3"/>
  <c r="S211" i="3"/>
  <c r="S153" i="3"/>
  <c r="U152" i="3"/>
  <c r="U153" i="3"/>
  <c r="U151" i="3"/>
  <c r="U211" i="3"/>
  <c r="W35" i="10" l="1"/>
  <c r="V35" i="10"/>
  <c r="U35" i="10"/>
  <c r="S35" i="10"/>
  <c r="R35" i="10"/>
  <c r="Q35" i="10"/>
  <c r="P35" i="10"/>
  <c r="O35" i="10"/>
  <c r="N35" i="10"/>
  <c r="M35" i="10"/>
  <c r="K35" i="10"/>
  <c r="J35" i="10"/>
  <c r="I35" i="10"/>
  <c r="H35" i="10"/>
  <c r="G35" i="10"/>
  <c r="F35" i="10"/>
  <c r="E35" i="10"/>
  <c r="C35" i="10"/>
  <c r="W32" i="10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F32" i="10"/>
  <c r="E32" i="10"/>
  <c r="D32" i="10"/>
  <c r="C32" i="10"/>
  <c r="W31" i="10"/>
  <c r="V31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G31" i="10"/>
  <c r="F31" i="10"/>
  <c r="E31" i="10"/>
  <c r="D31" i="10"/>
  <c r="C31" i="10"/>
  <c r="V11" i="10"/>
  <c r="W28" i="10"/>
  <c r="V28" i="10"/>
  <c r="U28" i="10"/>
  <c r="T28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B35" i="10"/>
  <c r="B32" i="10"/>
  <c r="B31" i="10"/>
  <c r="B28" i="10"/>
  <c r="W24" i="10"/>
  <c r="V24" i="10"/>
  <c r="U24" i="10"/>
  <c r="T24" i="10"/>
  <c r="S24" i="10"/>
  <c r="Q24" i="10"/>
  <c r="P24" i="10"/>
  <c r="O24" i="10"/>
  <c r="N24" i="10"/>
  <c r="M24" i="10"/>
  <c r="L24" i="10"/>
  <c r="K24" i="10"/>
  <c r="I24" i="10"/>
  <c r="H24" i="10"/>
  <c r="G24" i="10"/>
  <c r="F24" i="10"/>
  <c r="E24" i="10"/>
  <c r="D24" i="10"/>
  <c r="C24" i="10"/>
  <c r="S4" i="10"/>
  <c r="K4" i="10"/>
  <c r="C4" i="10"/>
  <c r="B24" i="10"/>
  <c r="P17" i="9" l="1"/>
  <c r="T4" i="10"/>
  <c r="H17" i="9"/>
  <c r="Q17" i="9"/>
  <c r="E4" i="10"/>
  <c r="M4" i="10"/>
  <c r="U4" i="10"/>
  <c r="I17" i="9"/>
  <c r="F17" i="9"/>
  <c r="N17" i="9"/>
  <c r="G11" i="10"/>
  <c r="G9" i="10" s="1"/>
  <c r="O11" i="10"/>
  <c r="O9" i="10" s="1"/>
  <c r="V17" i="9"/>
  <c r="I11" i="10"/>
  <c r="Q11" i="10"/>
  <c r="Q9" i="10" s="1"/>
  <c r="G15" i="10"/>
  <c r="O15" i="10"/>
  <c r="W15" i="10"/>
  <c r="V9" i="10"/>
  <c r="F15" i="10"/>
  <c r="C11" i="10"/>
  <c r="C9" i="10" s="1"/>
  <c r="K11" i="10"/>
  <c r="K9" i="10" s="1"/>
  <c r="S11" i="10"/>
  <c r="S9" i="10" s="1"/>
  <c r="J15" i="10"/>
  <c r="D15" i="10"/>
  <c r="D35" i="10"/>
  <c r="L15" i="10"/>
  <c r="L35" i="10"/>
  <c r="T15" i="10"/>
  <c r="T35" i="10"/>
  <c r="R15" i="10"/>
  <c r="H11" i="10"/>
  <c r="H31" i="10"/>
  <c r="J11" i="10"/>
  <c r="R11" i="10"/>
  <c r="F11" i="10"/>
  <c r="N11" i="10"/>
  <c r="P11" i="10"/>
  <c r="M17" i="9"/>
  <c r="U17" i="9"/>
  <c r="J17" i="9"/>
  <c r="R17" i="9"/>
  <c r="C15" i="10"/>
  <c r="K15" i="10"/>
  <c r="S15" i="10"/>
  <c r="D4" i="10"/>
  <c r="L4" i="10"/>
  <c r="W11" i="10"/>
  <c r="E15" i="10"/>
  <c r="M15" i="10"/>
  <c r="U15" i="10"/>
  <c r="H15" i="10"/>
  <c r="P15" i="10"/>
  <c r="E17" i="9"/>
  <c r="N15" i="10"/>
  <c r="V15" i="10"/>
  <c r="J4" i="10"/>
  <c r="R4" i="10"/>
  <c r="D11" i="10"/>
  <c r="L11" i="10"/>
  <c r="T11" i="10"/>
  <c r="J24" i="10"/>
  <c r="R24" i="10"/>
  <c r="F4" i="10"/>
  <c r="N4" i="10"/>
  <c r="V4" i="10"/>
  <c r="I4" i="10"/>
  <c r="Q4" i="10"/>
  <c r="C17" i="9"/>
  <c r="O4" i="10"/>
  <c r="M11" i="10"/>
  <c r="I15" i="10"/>
  <c r="Q15" i="10"/>
  <c r="K17" i="9"/>
  <c r="S17" i="9"/>
  <c r="G4" i="10"/>
  <c r="W4" i="10"/>
  <c r="E11" i="10"/>
  <c r="E9" i="10" s="1"/>
  <c r="U11" i="10"/>
  <c r="D17" i="9"/>
  <c r="L17" i="9"/>
  <c r="T17" i="9"/>
  <c r="G17" i="9"/>
  <c r="O17" i="9"/>
  <c r="W17" i="9"/>
  <c r="H4" i="10"/>
  <c r="P4" i="10"/>
  <c r="O8" i="10" l="1"/>
  <c r="N9" i="10"/>
  <c r="N8" i="10" s="1"/>
  <c r="M9" i="10"/>
  <c r="G8" i="10"/>
  <c r="F9" i="10"/>
  <c r="W9" i="10"/>
  <c r="R9" i="10"/>
  <c r="E8" i="10"/>
  <c r="Q8" i="10"/>
  <c r="T9" i="10"/>
  <c r="J9" i="10"/>
  <c r="V8" i="10"/>
  <c r="L9" i="10"/>
  <c r="S8" i="10"/>
  <c r="I9" i="10"/>
  <c r="U9" i="10"/>
  <c r="U8" i="10" s="1"/>
  <c r="H9" i="10"/>
  <c r="D9" i="10"/>
  <c r="P9" i="10"/>
  <c r="K8" i="10"/>
  <c r="C8" i="10"/>
  <c r="M8" i="10" l="1"/>
  <c r="J8" i="10"/>
  <c r="D8" i="10"/>
  <c r="H8" i="10"/>
  <c r="R8" i="10"/>
  <c r="L8" i="10"/>
  <c r="W8" i="10"/>
  <c r="P8" i="10"/>
  <c r="I8" i="10"/>
  <c r="T8" i="10"/>
  <c r="F8" i="10"/>
  <c r="W30" i="10" l="1"/>
  <c r="W34" i="10" l="1"/>
  <c r="U30" i="10" l="1"/>
  <c r="U34" i="10"/>
  <c r="V34" i="10" l="1"/>
  <c r="T30" i="10" l="1"/>
  <c r="T34" i="10"/>
  <c r="S34" i="10" l="1"/>
  <c r="S30" i="10" l="1"/>
  <c r="V30" i="10" l="1"/>
  <c r="I34" i="10" l="1"/>
  <c r="I30" i="10"/>
  <c r="J34" i="10" l="1"/>
  <c r="H30" i="10" l="1"/>
  <c r="H34" i="10"/>
  <c r="K34" i="10" l="1"/>
  <c r="J30" i="10"/>
  <c r="K30" i="10" l="1"/>
  <c r="G30" i="10"/>
  <c r="G34" i="10" l="1"/>
  <c r="F30" i="10" l="1"/>
  <c r="F34" i="10"/>
  <c r="L34" i="10" l="1"/>
  <c r="M34" i="10"/>
  <c r="L30" i="10"/>
  <c r="E34" i="10" l="1"/>
  <c r="M30" i="10"/>
  <c r="E30" i="10" l="1"/>
  <c r="N34" i="10" l="1"/>
  <c r="D34" i="10" l="1"/>
  <c r="D30" i="10"/>
  <c r="N30" i="10"/>
  <c r="C30" i="10" l="1"/>
  <c r="C34" i="10"/>
  <c r="O34" i="10"/>
  <c r="O30" i="10" l="1"/>
  <c r="B30" i="10" l="1"/>
  <c r="P30" i="10" l="1"/>
  <c r="B34" i="10"/>
  <c r="P34" i="10" l="1"/>
  <c r="Q30" i="10" l="1"/>
  <c r="Q34" i="10"/>
  <c r="R34" i="10" l="1"/>
  <c r="R30" i="10" l="1"/>
  <c r="Q15" i="17" l="1"/>
  <c r="I15" i="17"/>
  <c r="G14" i="17" l="1"/>
  <c r="O14" i="17"/>
  <c r="W14" i="17"/>
  <c r="F14" i="17"/>
  <c r="N14" i="17"/>
  <c r="V14" i="17"/>
  <c r="H15" i="17"/>
  <c r="P15" i="17"/>
  <c r="H14" i="17"/>
  <c r="P14" i="17"/>
  <c r="B15" i="17"/>
  <c r="J15" i="17"/>
  <c r="R15" i="17"/>
  <c r="I14" i="17"/>
  <c r="Q14" i="17"/>
  <c r="C15" i="17"/>
  <c r="K15" i="17"/>
  <c r="S15" i="17"/>
  <c r="B14" i="17"/>
  <c r="J14" i="17"/>
  <c r="R14" i="17"/>
  <c r="D15" i="17"/>
  <c r="L15" i="17"/>
  <c r="T15" i="17"/>
  <c r="C14" i="17"/>
  <c r="K14" i="17"/>
  <c r="S14" i="17"/>
  <c r="E15" i="17"/>
  <c r="M15" i="17"/>
  <c r="U15" i="17"/>
  <c r="D14" i="17"/>
  <c r="L14" i="17"/>
  <c r="T14" i="17"/>
  <c r="F15" i="17"/>
  <c r="N15" i="17"/>
  <c r="V15" i="17"/>
  <c r="E14" i="17"/>
  <c r="M14" i="17"/>
  <c r="U14" i="17"/>
  <c r="G15" i="17"/>
  <c r="O15" i="17"/>
  <c r="W15" i="17"/>
  <c r="W99" i="8"/>
  <c r="W98" i="8"/>
  <c r="W97" i="8"/>
  <c r="W90" i="8"/>
  <c r="W87" i="8"/>
  <c r="W58" i="8"/>
  <c r="W80" i="8" s="1"/>
  <c r="W53" i="8"/>
  <c r="W75" i="8" s="1"/>
  <c r="W51" i="8"/>
  <c r="W73" i="8" s="1"/>
  <c r="W43" i="8"/>
  <c r="W39" i="8"/>
  <c r="W37" i="8"/>
  <c r="W32" i="8"/>
  <c r="W67" i="8" s="1"/>
  <c r="W28" i="8"/>
  <c r="W21" i="8"/>
  <c r="W86" i="8"/>
  <c r="W17" i="8"/>
  <c r="W29" i="10" s="1"/>
  <c r="W84" i="8"/>
  <c r="W57" i="8"/>
  <c r="W79" i="8" s="1"/>
  <c r="W55" i="8"/>
  <c r="W77" i="8" s="1"/>
  <c r="W54" i="8"/>
  <c r="W76" i="8" s="1"/>
  <c r="W6" i="8"/>
  <c r="W4" i="8" s="1"/>
  <c r="W105" i="8" s="1"/>
  <c r="W218" i="7"/>
  <c r="W211" i="7"/>
  <c r="W205" i="7"/>
  <c r="W52" i="6"/>
  <c r="W88" i="3"/>
  <c r="W87" i="3"/>
  <c r="W85" i="3"/>
  <c r="W84" i="3"/>
  <c r="W83" i="3"/>
  <c r="W76" i="3"/>
  <c r="W75" i="3"/>
  <c r="W74" i="3"/>
  <c r="W72" i="3"/>
  <c r="W164" i="3" s="1"/>
  <c r="W70" i="3"/>
  <c r="W162" i="3" s="1"/>
  <c r="W55" i="3"/>
  <c r="W54" i="3"/>
  <c r="W53" i="3"/>
  <c r="W46" i="3"/>
  <c r="W45" i="3"/>
  <c r="W44" i="3"/>
  <c r="W42" i="3"/>
  <c r="W40" i="3"/>
  <c r="W28" i="3"/>
  <c r="W27" i="3"/>
  <c r="W25" i="3"/>
  <c r="W24" i="3"/>
  <c r="W23" i="3"/>
  <c r="W16" i="3"/>
  <c r="W15" i="3"/>
  <c r="W14" i="3"/>
  <c r="W12" i="3"/>
  <c r="W10" i="3"/>
  <c r="W53" i="9"/>
  <c r="W51" i="9"/>
  <c r="W50" i="9"/>
  <c r="W49" i="9"/>
  <c r="W47" i="9"/>
  <c r="W42" i="9"/>
  <c r="W40" i="9"/>
  <c r="W38" i="9"/>
  <c r="W31" i="9"/>
  <c r="W28" i="9"/>
  <c r="W51" i="3"/>
  <c r="W29" i="9"/>
  <c r="W27" i="9"/>
  <c r="W13" i="9"/>
  <c r="W36" i="9"/>
  <c r="W5" i="9"/>
  <c r="W68" i="10"/>
  <c r="W43" i="10"/>
  <c r="W42" i="10"/>
  <c r="W41" i="10"/>
  <c r="W46" i="10"/>
  <c r="W56" i="10"/>
  <c r="W54" i="10"/>
  <c r="W64" i="10"/>
  <c r="W39" i="10"/>
  <c r="W101" i="11"/>
  <c r="W92" i="11"/>
  <c r="W82" i="11"/>
  <c r="W73" i="11"/>
  <c r="W71" i="11"/>
  <c r="W58" i="11"/>
  <c r="W54" i="11"/>
  <c r="W48" i="11"/>
  <c r="W44" i="11"/>
  <c r="W38" i="11"/>
  <c r="W72" i="11"/>
  <c r="W69" i="11"/>
  <c r="W68" i="11"/>
  <c r="W28" i="11"/>
  <c r="W102" i="11"/>
  <c r="W99" i="11"/>
  <c r="W98" i="11"/>
  <c r="W97" i="11"/>
  <c r="W83" i="11"/>
  <c r="W81" i="11"/>
  <c r="W18" i="11"/>
  <c r="W79" i="11"/>
  <c r="W14" i="11"/>
  <c r="W117" i="11" s="1"/>
  <c r="W93" i="11"/>
  <c r="W8" i="11"/>
  <c r="W4" i="11"/>
  <c r="W44" i="12"/>
  <c r="W35" i="12"/>
  <c r="W33" i="12"/>
  <c r="W29" i="12"/>
  <c r="W25" i="12"/>
  <c r="W75" i="12" s="1"/>
  <c r="W23" i="12"/>
  <c r="W73" i="12" s="1"/>
  <c r="W19" i="12"/>
  <c r="W69" i="12" s="1"/>
  <c r="W45" i="12"/>
  <c r="W41" i="12"/>
  <c r="W6" i="12"/>
  <c r="W4" i="12"/>
  <c r="W39" i="13"/>
  <c r="W37" i="13"/>
  <c r="W47" i="13"/>
  <c r="W45" i="13"/>
  <c r="W34" i="13"/>
  <c r="W43" i="13"/>
  <c r="W6" i="13"/>
  <c r="W4" i="13"/>
  <c r="W15" i="14"/>
  <c r="W14" i="14"/>
  <c r="W20" i="14" s="1"/>
  <c r="W4" i="14"/>
  <c r="W14" i="15"/>
  <c r="W10" i="16"/>
  <c r="W58" i="3" s="1"/>
  <c r="W4" i="16"/>
  <c r="W57" i="3" s="1"/>
  <c r="W19" i="17"/>
  <c r="W37" i="9" l="1"/>
  <c r="W11" i="3"/>
  <c r="W22" i="13"/>
  <c r="W80" i="11"/>
  <c r="W53" i="11"/>
  <c r="W70" i="11"/>
  <c r="W100" i="11"/>
  <c r="W122" i="8"/>
  <c r="W33" i="10"/>
  <c r="W224" i="3"/>
  <c r="W240" i="3"/>
  <c r="W36" i="8"/>
  <c r="W43" i="11"/>
  <c r="W239" i="3"/>
  <c r="W226" i="3"/>
  <c r="W73" i="3"/>
  <c r="W82" i="3"/>
  <c r="W86" i="3"/>
  <c r="W235" i="3"/>
  <c r="W209" i="3"/>
  <c r="W210" i="3"/>
  <c r="W192" i="3"/>
  <c r="W11" i="9"/>
  <c r="W35" i="9" s="1"/>
  <c r="W194" i="3"/>
  <c r="W123" i="8"/>
  <c r="W4" i="9"/>
  <c r="W22" i="10" s="1"/>
  <c r="W23" i="10"/>
  <c r="W41" i="3"/>
  <c r="W107" i="8"/>
  <c r="W124" i="8"/>
  <c r="W108" i="8"/>
  <c r="W110" i="8"/>
  <c r="W85" i="8"/>
  <c r="W106" i="8"/>
  <c r="W96" i="8"/>
  <c r="W227" i="3"/>
  <c r="W26" i="3"/>
  <c r="W18" i="13"/>
  <c r="W43" i="3"/>
  <c r="W122" i="11"/>
  <c r="W207" i="3"/>
  <c r="W22" i="3"/>
  <c r="W121" i="11"/>
  <c r="W63" i="8"/>
  <c r="W26" i="8"/>
  <c r="W94" i="8" s="1"/>
  <c r="W88" i="8"/>
  <c r="W52" i="8"/>
  <c r="W89" i="8"/>
  <c r="W109" i="8"/>
  <c r="W15" i="8"/>
  <c r="W91" i="8"/>
  <c r="W101" i="8"/>
  <c r="W102" i="8"/>
  <c r="W95" i="8"/>
  <c r="W9" i="3"/>
  <c r="W10" i="8"/>
  <c r="W113" i="8" s="1"/>
  <c r="W52" i="3"/>
  <c r="W196" i="3"/>
  <c r="W206" i="3"/>
  <c r="W228" i="3"/>
  <c r="W236" i="3"/>
  <c r="W197" i="3"/>
  <c r="W205" i="3"/>
  <c r="W198" i="3"/>
  <c r="W56" i="3"/>
  <c r="W237" i="3"/>
  <c r="W13" i="3"/>
  <c r="W222" i="3"/>
  <c r="W21" i="14"/>
  <c r="W27" i="14"/>
  <c r="W108" i="11"/>
  <c r="W109" i="11"/>
  <c r="W90" i="11"/>
  <c r="W113" i="11"/>
  <c r="W111" i="11"/>
  <c r="W110" i="11"/>
  <c r="W106" i="11"/>
  <c r="W112" i="11"/>
  <c r="W52" i="9"/>
  <c r="W30" i="9"/>
  <c r="W20" i="16"/>
  <c r="W3" i="16"/>
  <c r="W29" i="16" s="1"/>
  <c r="W24" i="16"/>
  <c r="W10" i="17"/>
  <c r="W25" i="16"/>
  <c r="W21" i="16"/>
  <c r="W11" i="17"/>
  <c r="W119" i="11"/>
  <c r="W13" i="11"/>
  <c r="W116" i="11"/>
  <c r="W3" i="15"/>
  <c r="W19" i="15" s="1"/>
  <c r="W15" i="15"/>
  <c r="W44" i="13"/>
  <c r="W5" i="13"/>
  <c r="W3" i="13" s="1"/>
  <c r="W5" i="12"/>
  <c r="W24" i="12"/>
  <c r="W74" i="12" s="1"/>
  <c r="W34" i="12"/>
  <c r="W43" i="12"/>
  <c r="W24" i="11"/>
  <c r="W86" i="11" s="1"/>
  <c r="W34" i="11"/>
  <c r="W91" i="11"/>
  <c r="W120" i="11"/>
  <c r="W57" i="10"/>
  <c r="W39" i="9"/>
  <c r="W48" i="9"/>
  <c r="W3" i="17"/>
  <c r="W7" i="15"/>
  <c r="W21" i="15" s="1"/>
  <c r="W38" i="13"/>
  <c r="W18" i="12"/>
  <c r="W68" i="12" s="1"/>
  <c r="W28" i="12"/>
  <c r="W71" i="3"/>
  <c r="W13" i="14"/>
  <c r="W25" i="14" s="1"/>
  <c r="W67" i="11"/>
  <c r="W103" i="11"/>
  <c r="W123" i="11"/>
  <c r="W52" i="10"/>
  <c r="W32" i="9"/>
  <c r="W18" i="17"/>
  <c r="W26" i="14"/>
  <c r="W32" i="13"/>
  <c r="W49" i="13"/>
  <c r="W20" i="12"/>
  <c r="W70" i="12" s="1"/>
  <c r="W30" i="12"/>
  <c r="W39" i="12"/>
  <c r="W77" i="11"/>
  <c r="W87" i="11"/>
  <c r="W53" i="10"/>
  <c r="W25" i="9"/>
  <c r="W43" i="9"/>
  <c r="W10" i="13"/>
  <c r="W26" i="13" s="1"/>
  <c r="W33" i="13"/>
  <c r="W10" i="12"/>
  <c r="W21" i="12"/>
  <c r="W71" i="12" s="1"/>
  <c r="W31" i="12"/>
  <c r="W40" i="12"/>
  <c r="W78" i="11"/>
  <c r="W88" i="11"/>
  <c r="W107" i="11"/>
  <c r="W45" i="10"/>
  <c r="W26" i="9"/>
  <c r="W50" i="10"/>
  <c r="W48" i="13"/>
  <c r="W89" i="11"/>
  <c r="W118" i="11"/>
  <c r="W81" i="3"/>
  <c r="W54" i="9"/>
  <c r="W35" i="13"/>
  <c r="V218" i="7"/>
  <c r="U218" i="7"/>
  <c r="T218" i="7"/>
  <c r="S218" i="7"/>
  <c r="R218" i="7"/>
  <c r="Q218" i="7"/>
  <c r="P218" i="7"/>
  <c r="O218" i="7"/>
  <c r="N218" i="7"/>
  <c r="M218" i="7"/>
  <c r="L218" i="7"/>
  <c r="J218" i="7"/>
  <c r="I218" i="7"/>
  <c r="H218" i="7"/>
  <c r="G218" i="7"/>
  <c r="F218" i="7"/>
  <c r="E218" i="7"/>
  <c r="D218" i="7"/>
  <c r="C218" i="7"/>
  <c r="B218" i="7"/>
  <c r="V211" i="7"/>
  <c r="U211" i="7"/>
  <c r="T211" i="7"/>
  <c r="S211" i="7"/>
  <c r="R211" i="7"/>
  <c r="Q211" i="7"/>
  <c r="P211" i="7"/>
  <c r="O211" i="7"/>
  <c r="N211" i="7"/>
  <c r="M211" i="7"/>
  <c r="L211" i="7"/>
  <c r="J211" i="7"/>
  <c r="I211" i="7"/>
  <c r="H211" i="7"/>
  <c r="G211" i="7"/>
  <c r="F211" i="7"/>
  <c r="E211" i="7"/>
  <c r="D211" i="7"/>
  <c r="C211" i="7"/>
  <c r="B211" i="7"/>
  <c r="V205" i="7"/>
  <c r="U205" i="7"/>
  <c r="T205" i="7"/>
  <c r="S205" i="7"/>
  <c r="R205" i="7"/>
  <c r="Q205" i="7"/>
  <c r="P205" i="7"/>
  <c r="O205" i="7"/>
  <c r="N205" i="7"/>
  <c r="M205" i="7"/>
  <c r="L205" i="7"/>
  <c r="J205" i="7"/>
  <c r="I205" i="7"/>
  <c r="H205" i="7"/>
  <c r="G205" i="7"/>
  <c r="F205" i="7"/>
  <c r="E205" i="7"/>
  <c r="D205" i="7"/>
  <c r="C205" i="7"/>
  <c r="B205" i="7"/>
  <c r="K205" i="7"/>
  <c r="K211" i="7"/>
  <c r="W10" i="9" l="1"/>
  <c r="W38" i="12"/>
  <c r="W42" i="13"/>
  <c r="W21" i="13"/>
  <c r="W23" i="17"/>
  <c r="W13" i="17"/>
  <c r="W118" i="8"/>
  <c r="W27" i="10"/>
  <c r="W234" i="3"/>
  <c r="W39" i="3"/>
  <c r="W191" i="3" s="1"/>
  <c r="W195" i="3"/>
  <c r="W238" i="3"/>
  <c r="W41" i="9"/>
  <c r="W24" i="9"/>
  <c r="W46" i="9"/>
  <c r="W69" i="3"/>
  <c r="W223" i="3"/>
  <c r="W60" i="9"/>
  <c r="W58" i="9"/>
  <c r="W64" i="9"/>
  <c r="W61" i="9"/>
  <c r="W62" i="9"/>
  <c r="W59" i="9"/>
  <c r="W65" i="9"/>
  <c r="W193" i="3"/>
  <c r="W57" i="9"/>
  <c r="W63" i="9"/>
  <c r="W120" i="8"/>
  <c r="W121" i="8"/>
  <c r="W119" i="8"/>
  <c r="W117" i="8"/>
  <c r="W112" i="8"/>
  <c r="W74" i="8"/>
  <c r="W50" i="8"/>
  <c r="W28" i="16"/>
  <c r="W54" i="13"/>
  <c r="W52" i="13"/>
  <c r="W12" i="14"/>
  <c r="W24" i="14" s="1"/>
  <c r="W116" i="8"/>
  <c r="W83" i="8"/>
  <c r="W14" i="8"/>
  <c r="W56" i="8"/>
  <c r="W78" i="8" s="1"/>
  <c r="W21" i="3"/>
  <c r="W203" i="3" s="1"/>
  <c r="W111" i="8"/>
  <c r="W100" i="8"/>
  <c r="W25" i="8"/>
  <c r="W45" i="9" s="1"/>
  <c r="W61" i="8"/>
  <c r="W208" i="3"/>
  <c r="W225" i="3"/>
  <c r="W204" i="3"/>
  <c r="W19" i="14"/>
  <c r="W55" i="10"/>
  <c r="W44" i="10"/>
  <c r="W38" i="10"/>
  <c r="W49" i="10"/>
  <c r="W59" i="13"/>
  <c r="W46" i="13"/>
  <c r="W56" i="13"/>
  <c r="W36" i="13"/>
  <c r="W42" i="12"/>
  <c r="W32" i="12"/>
  <c r="W22" i="12"/>
  <c r="W72" i="12" s="1"/>
  <c r="W3" i="12"/>
  <c r="W62" i="10"/>
  <c r="W51" i="10"/>
  <c r="W40" i="10"/>
  <c r="W66" i="11"/>
  <c r="W19" i="13"/>
  <c r="W23" i="15"/>
  <c r="W53" i="13"/>
  <c r="W51" i="13"/>
  <c r="W57" i="13"/>
  <c r="W55" i="13"/>
  <c r="W23" i="11"/>
  <c r="W95" i="11" s="1"/>
  <c r="W96" i="11"/>
  <c r="W76" i="11"/>
  <c r="W22" i="17"/>
  <c r="W21" i="17"/>
  <c r="W17" i="17"/>
  <c r="W9" i="17"/>
  <c r="W58" i="13"/>
  <c r="W56" i="9"/>
  <c r="W13" i="15"/>
  <c r="W18" i="15"/>
  <c r="W17" i="15"/>
  <c r="W19" i="16"/>
  <c r="W27" i="16"/>
  <c r="W23" i="16"/>
  <c r="W22" i="15"/>
  <c r="K218" i="7"/>
  <c r="V52" i="6"/>
  <c r="U52" i="6"/>
  <c r="M52" i="6"/>
  <c r="E52" i="6"/>
  <c r="D52" i="6"/>
  <c r="T52" i="6"/>
  <c r="S52" i="6"/>
  <c r="R52" i="6"/>
  <c r="Q52" i="6"/>
  <c r="P52" i="6"/>
  <c r="O52" i="6"/>
  <c r="N52" i="6"/>
  <c r="K52" i="6"/>
  <c r="J52" i="6"/>
  <c r="I52" i="6"/>
  <c r="H52" i="6"/>
  <c r="G52" i="6"/>
  <c r="F52" i="6"/>
  <c r="C52" i="6"/>
  <c r="B52" i="6"/>
  <c r="W52" i="12" l="1"/>
  <c r="W23" i="9"/>
  <c r="W26" i="10"/>
  <c r="W18" i="14"/>
  <c r="W60" i="10"/>
  <c r="W65" i="10"/>
  <c r="W61" i="10"/>
  <c r="W63" i="10"/>
  <c r="W67" i="10"/>
  <c r="W221" i="3"/>
  <c r="W66" i="10"/>
  <c r="W72" i="8"/>
  <c r="W82" i="8"/>
  <c r="W41" i="13"/>
  <c r="W233" i="3"/>
  <c r="W48" i="10"/>
  <c r="W59" i="10"/>
  <c r="W51" i="12"/>
  <c r="W17" i="12"/>
  <c r="W67" i="12" s="1"/>
  <c r="W53" i="12"/>
  <c r="W55" i="12"/>
  <c r="W47" i="12"/>
  <c r="W37" i="12"/>
  <c r="W54" i="12"/>
  <c r="W50" i="12"/>
  <c r="W48" i="12"/>
  <c r="W49" i="12"/>
  <c r="W75" i="11"/>
  <c r="L52" i="6" l="1"/>
  <c r="B15" i="10" l="1"/>
  <c r="P13" i="9"/>
  <c r="P11" i="9" s="1"/>
  <c r="O13" i="9"/>
  <c r="O11" i="9" s="1"/>
  <c r="V13" i="9"/>
  <c r="V11" i="9" s="1"/>
  <c r="T13" i="9"/>
  <c r="S13" i="9"/>
  <c r="L13" i="9"/>
  <c r="L11" i="9" s="1"/>
  <c r="K13" i="9"/>
  <c r="F13" i="9"/>
  <c r="F11" i="9" s="1"/>
  <c r="E13" i="9"/>
  <c r="E11" i="9" s="1"/>
  <c r="D13" i="9"/>
  <c r="D11" i="9" s="1"/>
  <c r="C13" i="9"/>
  <c r="N13" i="9"/>
  <c r="N11" i="9" s="1"/>
  <c r="N10" i="9" s="1"/>
  <c r="H13" i="9"/>
  <c r="G13" i="9"/>
  <c r="G11" i="9" s="1"/>
  <c r="B13" i="9"/>
  <c r="B11" i="9" s="1"/>
  <c r="U5" i="9"/>
  <c r="M5" i="9"/>
  <c r="L5" i="9"/>
  <c r="J5" i="9"/>
  <c r="E5" i="9"/>
  <c r="D5" i="9"/>
  <c r="C5" i="9"/>
  <c r="R5" i="9"/>
  <c r="Q5" i="9"/>
  <c r="B5" i="9"/>
  <c r="R43" i="8"/>
  <c r="Q43" i="8"/>
  <c r="P43" i="8"/>
  <c r="J43" i="8"/>
  <c r="I43" i="8"/>
  <c r="H43" i="8"/>
  <c r="T43" i="8"/>
  <c r="S43" i="8"/>
  <c r="O43" i="8"/>
  <c r="L43" i="8"/>
  <c r="K43" i="8"/>
  <c r="G43" i="8"/>
  <c r="D43" i="8"/>
  <c r="U39" i="8"/>
  <c r="T39" i="8"/>
  <c r="R39" i="8"/>
  <c r="R37" i="8" s="1"/>
  <c r="M39" i="8"/>
  <c r="L39" i="8"/>
  <c r="J39" i="8"/>
  <c r="J37" i="8" s="1"/>
  <c r="H39" i="8"/>
  <c r="E39" i="8"/>
  <c r="D39" i="8"/>
  <c r="S39" i="8"/>
  <c r="P39" i="8"/>
  <c r="O39" i="8"/>
  <c r="K39" i="8"/>
  <c r="G39" i="8"/>
  <c r="C43" i="8"/>
  <c r="C39" i="8"/>
  <c r="R32" i="8"/>
  <c r="R67" i="8" s="1"/>
  <c r="V32" i="8"/>
  <c r="V67" i="8" s="1"/>
  <c r="U32" i="8"/>
  <c r="T32" i="8"/>
  <c r="N32" i="8"/>
  <c r="N67" i="8" s="1"/>
  <c r="M32" i="8"/>
  <c r="L32" i="8"/>
  <c r="G32" i="8"/>
  <c r="G67" i="8" s="1"/>
  <c r="F32" i="8"/>
  <c r="F67" i="8" s="1"/>
  <c r="E32" i="8"/>
  <c r="D32" i="8"/>
  <c r="Q32" i="8"/>
  <c r="Q67" i="8" s="1"/>
  <c r="P32" i="8"/>
  <c r="O32" i="8"/>
  <c r="O67" i="8" s="1"/>
  <c r="J32" i="8"/>
  <c r="J67" i="8" s="1"/>
  <c r="I32" i="8"/>
  <c r="I67" i="8" s="1"/>
  <c r="H32" i="8"/>
  <c r="O28" i="8"/>
  <c r="T28" i="8"/>
  <c r="S28" i="8"/>
  <c r="S26" i="8" s="1"/>
  <c r="L28" i="8"/>
  <c r="L26" i="8" s="1"/>
  <c r="K28" i="8"/>
  <c r="K26" i="8" s="1"/>
  <c r="J28" i="8"/>
  <c r="I28" i="8"/>
  <c r="H28" i="8"/>
  <c r="D28" i="8"/>
  <c r="D26" i="8" s="1"/>
  <c r="C28" i="8"/>
  <c r="C26" i="8" s="1"/>
  <c r="R28" i="8"/>
  <c r="R63" i="8" s="1"/>
  <c r="Q28" i="8"/>
  <c r="Q26" i="8" s="1"/>
  <c r="Q25" i="8" s="1"/>
  <c r="P28" i="8"/>
  <c r="P26" i="8" s="1"/>
  <c r="G28" i="8"/>
  <c r="G63" i="8" s="1"/>
  <c r="G26" i="8"/>
  <c r="B28" i="8"/>
  <c r="B63" i="8" s="1"/>
  <c r="N21" i="8"/>
  <c r="N33" i="10" s="1"/>
  <c r="S21" i="8"/>
  <c r="S33" i="10" s="1"/>
  <c r="K21" i="8"/>
  <c r="K33" i="10" s="1"/>
  <c r="I21" i="8"/>
  <c r="I33" i="10" s="1"/>
  <c r="H21" i="8"/>
  <c r="H33" i="10" s="1"/>
  <c r="E21" i="8"/>
  <c r="E33" i="10" s="1"/>
  <c r="C21" i="8"/>
  <c r="C33" i="10" s="1"/>
  <c r="P21" i="8"/>
  <c r="P33" i="10" s="1"/>
  <c r="O21" i="8"/>
  <c r="O33" i="10" s="1"/>
  <c r="G21" i="8"/>
  <c r="G33" i="10" s="1"/>
  <c r="P17" i="8"/>
  <c r="N17" i="8"/>
  <c r="N29" i="10" s="1"/>
  <c r="H17" i="8"/>
  <c r="H29" i="10" s="1"/>
  <c r="U17" i="8"/>
  <c r="U29" i="10" s="1"/>
  <c r="T17" i="8"/>
  <c r="T29" i="10" s="1"/>
  <c r="S17" i="8"/>
  <c r="R17" i="8"/>
  <c r="R29" i="10" s="1"/>
  <c r="M17" i="8"/>
  <c r="M29" i="10" s="1"/>
  <c r="L17" i="8"/>
  <c r="L29" i="10" s="1"/>
  <c r="K17" i="8"/>
  <c r="J17" i="8"/>
  <c r="J29" i="10" s="1"/>
  <c r="E17" i="8"/>
  <c r="E29" i="10" s="1"/>
  <c r="D17" i="8"/>
  <c r="D29" i="10" s="1"/>
  <c r="C17" i="8"/>
  <c r="V17" i="8"/>
  <c r="V29" i="10" s="1"/>
  <c r="Q17" i="8"/>
  <c r="O17" i="8"/>
  <c r="I17" i="8"/>
  <c r="G17" i="8"/>
  <c r="G29" i="10" s="1"/>
  <c r="F17" i="8"/>
  <c r="I10" i="8"/>
  <c r="U10" i="8"/>
  <c r="T10" i="8"/>
  <c r="S10" i="8"/>
  <c r="R10" i="8"/>
  <c r="P10" i="8"/>
  <c r="M10" i="8"/>
  <c r="L10" i="8"/>
  <c r="K10" i="8"/>
  <c r="J10" i="8"/>
  <c r="H10" i="8"/>
  <c r="E10" i="8"/>
  <c r="D10" i="8"/>
  <c r="C10" i="8"/>
  <c r="Q10" i="8"/>
  <c r="R6" i="8"/>
  <c r="R4" i="8" s="1"/>
  <c r="Q6" i="8"/>
  <c r="S6" i="8"/>
  <c r="S4" i="8" s="1"/>
  <c r="K6" i="8"/>
  <c r="K4" i="8" s="1"/>
  <c r="J6" i="8"/>
  <c r="J4" i="8" s="1"/>
  <c r="I6" i="8"/>
  <c r="C6" i="8"/>
  <c r="C4" i="8" s="1"/>
  <c r="B10" i="8"/>
  <c r="J36" i="8" l="1"/>
  <c r="F15" i="8"/>
  <c r="F27" i="10" s="1"/>
  <c r="F29" i="10"/>
  <c r="I15" i="8"/>
  <c r="I27" i="10" s="1"/>
  <c r="I29" i="10"/>
  <c r="K15" i="8"/>
  <c r="K27" i="10" s="1"/>
  <c r="K29" i="10"/>
  <c r="S15" i="8"/>
  <c r="S27" i="10" s="1"/>
  <c r="S29" i="10"/>
  <c r="O15" i="8"/>
  <c r="O27" i="10" s="1"/>
  <c r="O29" i="10"/>
  <c r="P15" i="8"/>
  <c r="P27" i="10" s="1"/>
  <c r="P29" i="10"/>
  <c r="Q15" i="8"/>
  <c r="Q27" i="10" s="1"/>
  <c r="Q29" i="10"/>
  <c r="C15" i="8"/>
  <c r="C29" i="10"/>
  <c r="L25" i="8"/>
  <c r="R36" i="8"/>
  <c r="E10" i="9"/>
  <c r="D25" i="8"/>
  <c r="J4" i="9"/>
  <c r="J23" i="10"/>
  <c r="L4" i="9"/>
  <c r="L23" i="10"/>
  <c r="B4" i="9"/>
  <c r="B23" i="10"/>
  <c r="M4" i="9"/>
  <c r="M23" i="10"/>
  <c r="E4" i="9"/>
  <c r="E23" i="10"/>
  <c r="Q4" i="9"/>
  <c r="Q23" i="10"/>
  <c r="U4" i="9"/>
  <c r="U23" i="10"/>
  <c r="R4" i="9"/>
  <c r="R23" i="10"/>
  <c r="C4" i="9"/>
  <c r="C23" i="10"/>
  <c r="D4" i="9"/>
  <c r="D23" i="10"/>
  <c r="O10" i="9"/>
  <c r="P10" i="9"/>
  <c r="P25" i="8"/>
  <c r="V15" i="8"/>
  <c r="V27" i="10" s="1"/>
  <c r="V10" i="9"/>
  <c r="O63" i="8"/>
  <c r="O26" i="8"/>
  <c r="O25" i="8" s="1"/>
  <c r="F10" i="9"/>
  <c r="H63" i="8"/>
  <c r="H26" i="8"/>
  <c r="H25" i="8" s="1"/>
  <c r="J63" i="8"/>
  <c r="J26" i="8"/>
  <c r="J25" i="8" s="1"/>
  <c r="G10" i="9"/>
  <c r="Q4" i="8"/>
  <c r="P37" i="8"/>
  <c r="P36" i="8" s="1"/>
  <c r="H15" i="8"/>
  <c r="G6" i="8"/>
  <c r="O6" i="8"/>
  <c r="O4" i="8" s="1"/>
  <c r="D21" i="8"/>
  <c r="D33" i="10" s="1"/>
  <c r="L21" i="8"/>
  <c r="L33" i="10" s="1"/>
  <c r="T21" i="8"/>
  <c r="T33" i="10" s="1"/>
  <c r="P67" i="8"/>
  <c r="K37" i="8"/>
  <c r="K36" i="8" s="1"/>
  <c r="S37" i="8"/>
  <c r="S36" i="8" s="1"/>
  <c r="K11" i="9"/>
  <c r="K10" i="9" s="1"/>
  <c r="S11" i="9"/>
  <c r="S10" i="9" s="1"/>
  <c r="I4" i="8"/>
  <c r="H6" i="8"/>
  <c r="H4" i="8" s="1"/>
  <c r="P6" i="8"/>
  <c r="P4" i="8" s="1"/>
  <c r="M21" i="8"/>
  <c r="M33" i="10" s="1"/>
  <c r="U21" i="8"/>
  <c r="U33" i="10" s="1"/>
  <c r="Q21" i="8"/>
  <c r="B11" i="10"/>
  <c r="D15" i="8"/>
  <c r="D27" i="10" s="1"/>
  <c r="L15" i="8"/>
  <c r="L27" i="10" s="1"/>
  <c r="T15" i="8"/>
  <c r="T27" i="10" s="1"/>
  <c r="F21" i="8"/>
  <c r="F33" i="10" s="1"/>
  <c r="V21" i="8"/>
  <c r="V33" i="10" s="1"/>
  <c r="F28" i="8"/>
  <c r="F63" i="8" s="1"/>
  <c r="N28" i="8"/>
  <c r="N63" i="8" s="1"/>
  <c r="V28" i="8"/>
  <c r="V63" i="8" s="1"/>
  <c r="E37" i="8"/>
  <c r="G5" i="9"/>
  <c r="O5" i="9"/>
  <c r="B32" i="8"/>
  <c r="B67" i="8" s="1"/>
  <c r="R26" i="8"/>
  <c r="R25" i="8" s="1"/>
  <c r="C32" i="8"/>
  <c r="C25" i="8" s="1"/>
  <c r="K32" i="8"/>
  <c r="K67" i="8" s="1"/>
  <c r="S32" i="8"/>
  <c r="S67" i="8" s="1"/>
  <c r="F39" i="8"/>
  <c r="F37" i="8" s="1"/>
  <c r="N39" i="8"/>
  <c r="N37" i="8" s="1"/>
  <c r="V39" i="8"/>
  <c r="V37" i="8" s="1"/>
  <c r="H5" i="9"/>
  <c r="P5" i="9"/>
  <c r="N15" i="8"/>
  <c r="K25" i="8"/>
  <c r="S25" i="8"/>
  <c r="P63" i="8"/>
  <c r="H67" i="8"/>
  <c r="I5" i="9"/>
  <c r="I13" i="9"/>
  <c r="I11" i="9" s="1"/>
  <c r="Q13" i="9"/>
  <c r="Q11" i="9" s="1"/>
  <c r="G15" i="8"/>
  <c r="G25" i="8"/>
  <c r="H37" i="8"/>
  <c r="H36" i="8" s="1"/>
  <c r="H11" i="9"/>
  <c r="H10" i="9" s="1"/>
  <c r="J13" i="9"/>
  <c r="J11" i="9" s="1"/>
  <c r="J10" i="9" s="1"/>
  <c r="R13" i="9"/>
  <c r="R11" i="9" s="1"/>
  <c r="R10" i="9" s="1"/>
  <c r="C11" i="9"/>
  <c r="C10" i="9" s="1"/>
  <c r="I26" i="8"/>
  <c r="I63" i="8"/>
  <c r="D6" i="8"/>
  <c r="D4" i="8" s="1"/>
  <c r="L6" i="8"/>
  <c r="L4" i="8" s="1"/>
  <c r="T6" i="8"/>
  <c r="T4" i="8" s="1"/>
  <c r="G10" i="8"/>
  <c r="O10" i="8"/>
  <c r="J21" i="8"/>
  <c r="J33" i="10" s="1"/>
  <c r="R21" i="8"/>
  <c r="R33" i="10" s="1"/>
  <c r="O37" i="8"/>
  <c r="O36" i="8" s="1"/>
  <c r="F43" i="8"/>
  <c r="N43" i="8"/>
  <c r="V43" i="8"/>
  <c r="P61" i="8"/>
  <c r="E6" i="8"/>
  <c r="E4" i="8" s="1"/>
  <c r="M6" i="8"/>
  <c r="M4" i="8" s="1"/>
  <c r="U6" i="8"/>
  <c r="U4" i="8" s="1"/>
  <c r="B21" i="8"/>
  <c r="B33" i="10" s="1"/>
  <c r="B26" i="8"/>
  <c r="E28" i="8"/>
  <c r="E26" i="8" s="1"/>
  <c r="E61" i="8" s="1"/>
  <c r="M28" i="8"/>
  <c r="M26" i="8" s="1"/>
  <c r="M61" i="8" s="1"/>
  <c r="U28" i="8"/>
  <c r="U26" i="8" s="1"/>
  <c r="U61" i="8" s="1"/>
  <c r="Q61" i="8"/>
  <c r="F6" i="8"/>
  <c r="F4" i="8" s="1"/>
  <c r="N6" i="8"/>
  <c r="N4" i="8" s="1"/>
  <c r="V6" i="8"/>
  <c r="V4" i="8" s="1"/>
  <c r="G61" i="8"/>
  <c r="C63" i="8"/>
  <c r="K63" i="8"/>
  <c r="S63" i="8"/>
  <c r="D67" i="8"/>
  <c r="L67" i="8"/>
  <c r="T67" i="8"/>
  <c r="M13" i="9"/>
  <c r="M11" i="9" s="1"/>
  <c r="M10" i="9" s="1"/>
  <c r="U13" i="9"/>
  <c r="U11" i="9" s="1"/>
  <c r="U10" i="9" s="1"/>
  <c r="C37" i="8"/>
  <c r="C36" i="8" s="1"/>
  <c r="I39" i="8"/>
  <c r="I37" i="8" s="1"/>
  <c r="I36" i="8" s="1"/>
  <c r="Q39" i="8"/>
  <c r="Q37" i="8" s="1"/>
  <c r="Q36" i="8" s="1"/>
  <c r="D63" i="8"/>
  <c r="L63" i="8"/>
  <c r="T63" i="8"/>
  <c r="E67" i="8"/>
  <c r="M67" i="8"/>
  <c r="U67" i="8"/>
  <c r="B17" i="9"/>
  <c r="B10" i="9" s="1"/>
  <c r="M37" i="8"/>
  <c r="U37" i="8"/>
  <c r="C61" i="8"/>
  <c r="K61" i="8"/>
  <c r="S61" i="8"/>
  <c r="Q63" i="8"/>
  <c r="G37" i="8"/>
  <c r="G36" i="8" s="1"/>
  <c r="D61" i="8"/>
  <c r="L61" i="8"/>
  <c r="T11" i="9"/>
  <c r="T10" i="9" s="1"/>
  <c r="B6" i="8"/>
  <c r="B4" i="8" s="1"/>
  <c r="B17" i="8"/>
  <c r="B15" i="8" s="1"/>
  <c r="E15" i="8"/>
  <c r="M15" i="8"/>
  <c r="U15" i="8"/>
  <c r="U27" i="10" s="1"/>
  <c r="K5" i="9"/>
  <c r="S5" i="9"/>
  <c r="F10" i="8"/>
  <c r="N10" i="8"/>
  <c r="V10" i="8"/>
  <c r="E43" i="8"/>
  <c r="M43" i="8"/>
  <c r="U43" i="8"/>
  <c r="T5" i="9"/>
  <c r="D10" i="9"/>
  <c r="L10" i="9"/>
  <c r="F5" i="9"/>
  <c r="N5" i="9"/>
  <c r="V5" i="9"/>
  <c r="D37" i="8"/>
  <c r="D36" i="8" s="1"/>
  <c r="L37" i="8"/>
  <c r="L36" i="8" s="1"/>
  <c r="T37" i="8"/>
  <c r="T36" i="8" s="1"/>
  <c r="T26" i="8"/>
  <c r="T25" i="8" s="1"/>
  <c r="J15" i="8"/>
  <c r="J27" i="10" s="1"/>
  <c r="R15" i="8"/>
  <c r="R27" i="10" s="1"/>
  <c r="G4" i="8"/>
  <c r="O14" i="8" l="1"/>
  <c r="O26" i="10" s="1"/>
  <c r="E36" i="8"/>
  <c r="O61" i="8"/>
  <c r="H61" i="8"/>
  <c r="E25" i="8"/>
  <c r="K14" i="8"/>
  <c r="K26" i="10" s="1"/>
  <c r="J61" i="8"/>
  <c r="P14" i="8"/>
  <c r="P26" i="10" s="1"/>
  <c r="I14" i="8"/>
  <c r="I26" i="10" s="1"/>
  <c r="F14" i="8"/>
  <c r="F26" i="10" s="1"/>
  <c r="M25" i="8"/>
  <c r="M14" i="8"/>
  <c r="M26" i="10" s="1"/>
  <c r="M27" i="10"/>
  <c r="S14" i="8"/>
  <c r="S26" i="10" s="1"/>
  <c r="B9" i="10"/>
  <c r="B29" i="10"/>
  <c r="Q14" i="8"/>
  <c r="Q26" i="10" s="1"/>
  <c r="Q33" i="10"/>
  <c r="H14" i="8"/>
  <c r="H26" i="10" s="1"/>
  <c r="H27" i="10"/>
  <c r="C14" i="8"/>
  <c r="C26" i="10" s="1"/>
  <c r="C27" i="10"/>
  <c r="G14" i="8"/>
  <c r="G26" i="10" s="1"/>
  <c r="G27" i="10"/>
  <c r="N14" i="8"/>
  <c r="N26" i="10" s="1"/>
  <c r="N27" i="10"/>
  <c r="E14" i="8"/>
  <c r="E26" i="10" s="1"/>
  <c r="E27" i="10"/>
  <c r="N36" i="8"/>
  <c r="B14" i="8"/>
  <c r="F36" i="8"/>
  <c r="V14" i="8"/>
  <c r="V26" i="10" s="1"/>
  <c r="R14" i="8"/>
  <c r="R26" i="10" s="1"/>
  <c r="U14" i="8"/>
  <c r="U26" i="10" s="1"/>
  <c r="R61" i="8"/>
  <c r="U25" i="8"/>
  <c r="O4" i="9"/>
  <c r="O23" i="10"/>
  <c r="G4" i="9"/>
  <c r="G23" i="10"/>
  <c r="N4" i="9"/>
  <c r="N23" i="10"/>
  <c r="I10" i="9"/>
  <c r="P4" i="9"/>
  <c r="P23" i="10"/>
  <c r="I4" i="9"/>
  <c r="I23" i="10"/>
  <c r="H4" i="9"/>
  <c r="H23" i="10"/>
  <c r="K4" i="9"/>
  <c r="K23" i="10"/>
  <c r="V4" i="9"/>
  <c r="V23" i="10"/>
  <c r="Q10" i="9"/>
  <c r="F4" i="9"/>
  <c r="F23" i="10"/>
  <c r="T4" i="9"/>
  <c r="T23" i="10"/>
  <c r="S4" i="9"/>
  <c r="S23" i="10"/>
  <c r="C67" i="8"/>
  <c r="V36" i="8"/>
  <c r="N26" i="8"/>
  <c r="N25" i="8" s="1"/>
  <c r="L14" i="8"/>
  <c r="L26" i="10" s="1"/>
  <c r="U36" i="8"/>
  <c r="J14" i="8"/>
  <c r="J26" i="10" s="1"/>
  <c r="F26" i="8"/>
  <c r="F25" i="8" s="1"/>
  <c r="D14" i="8"/>
  <c r="D26" i="10" s="1"/>
  <c r="V26" i="8"/>
  <c r="V25" i="8" s="1"/>
  <c r="M36" i="8"/>
  <c r="B25" i="8"/>
  <c r="T61" i="8"/>
  <c r="U63" i="8"/>
  <c r="T14" i="8"/>
  <c r="T26" i="10" s="1"/>
  <c r="M63" i="8"/>
  <c r="E63" i="8"/>
  <c r="B61" i="8"/>
  <c r="I61" i="8"/>
  <c r="I25" i="8"/>
  <c r="B8" i="10" l="1"/>
  <c r="B26" i="10" s="1"/>
  <c r="B27" i="10"/>
  <c r="V61" i="8"/>
  <c r="F61" i="8"/>
  <c r="N61" i="8"/>
  <c r="Q10" i="16"/>
  <c r="G10" i="16"/>
  <c r="O10" i="16"/>
  <c r="S10" i="16"/>
  <c r="K4" i="16"/>
  <c r="J10" i="16"/>
  <c r="I10" i="16"/>
  <c r="M10" i="16"/>
  <c r="J4" i="16"/>
  <c r="F10" i="16"/>
  <c r="L4" i="16"/>
  <c r="M4" i="16"/>
  <c r="L10" i="16"/>
  <c r="I4" i="16"/>
  <c r="F4" i="16"/>
  <c r="O4" i="16"/>
  <c r="Q4" i="16"/>
  <c r="Q3" i="16" s="1"/>
  <c r="P10" i="16"/>
  <c r="P4" i="16"/>
  <c r="S4" i="16"/>
  <c r="S3" i="16" s="1"/>
  <c r="K10" i="16"/>
  <c r="K3" i="16" s="1"/>
  <c r="G4" i="16"/>
  <c r="O3" i="16" l="1"/>
  <c r="F3" i="16"/>
  <c r="P3" i="16"/>
  <c r="G3" i="16"/>
  <c r="B4" i="16"/>
  <c r="E10" i="16"/>
  <c r="J3" i="16"/>
  <c r="I3" i="16"/>
  <c r="M3" i="16"/>
  <c r="R10" i="16"/>
  <c r="L3" i="16"/>
  <c r="T10" i="16"/>
  <c r="R4" i="16"/>
  <c r="H10" i="16"/>
  <c r="B10" i="16"/>
  <c r="T4" i="16"/>
  <c r="N10" i="16"/>
  <c r="H4" i="16"/>
  <c r="E4" i="16"/>
  <c r="N4" i="16"/>
  <c r="R3" i="16" l="1"/>
  <c r="H3" i="16"/>
  <c r="E3" i="16"/>
  <c r="B3" i="16"/>
  <c r="T3" i="16"/>
  <c r="D10" i="16"/>
  <c r="N3" i="16"/>
  <c r="D4" i="16"/>
  <c r="U10" i="16"/>
  <c r="C4" i="16"/>
  <c r="C10" i="16"/>
  <c r="U4" i="16"/>
  <c r="D3" i="16" l="1"/>
  <c r="U3" i="16"/>
  <c r="C3" i="16"/>
  <c r="V10" i="16"/>
  <c r="V4" i="16"/>
  <c r="V3" i="16" s="1"/>
  <c r="V68" i="10" l="1"/>
  <c r="U68" i="10"/>
  <c r="T68" i="10"/>
  <c r="S68" i="10"/>
  <c r="R68" i="10"/>
  <c r="Q68" i="10"/>
  <c r="P68" i="10"/>
  <c r="O68" i="10"/>
  <c r="N68" i="10"/>
  <c r="M68" i="10"/>
  <c r="L68" i="10"/>
  <c r="K68" i="10"/>
  <c r="J68" i="10"/>
  <c r="I68" i="10"/>
  <c r="H68" i="10"/>
  <c r="G68" i="10"/>
  <c r="F68" i="10"/>
  <c r="E68" i="10"/>
  <c r="D68" i="10"/>
  <c r="C68" i="10"/>
  <c r="V67" i="10"/>
  <c r="U67" i="10"/>
  <c r="T67" i="10"/>
  <c r="S67" i="10"/>
  <c r="R67" i="10"/>
  <c r="Q67" i="10"/>
  <c r="V65" i="10"/>
  <c r="U65" i="10"/>
  <c r="T65" i="10"/>
  <c r="S65" i="10"/>
  <c r="R65" i="10"/>
  <c r="Q65" i="10"/>
  <c r="P65" i="10"/>
  <c r="O65" i="10"/>
  <c r="N65" i="10"/>
  <c r="M65" i="10"/>
  <c r="L65" i="10"/>
  <c r="K65" i="10"/>
  <c r="J65" i="10"/>
  <c r="I65" i="10"/>
  <c r="H65" i="10"/>
  <c r="G65" i="10"/>
  <c r="F65" i="10"/>
  <c r="E65" i="10"/>
  <c r="D65" i="10"/>
  <c r="C65" i="10"/>
  <c r="V64" i="10"/>
  <c r="U64" i="10"/>
  <c r="T64" i="10"/>
  <c r="S64" i="10"/>
  <c r="R64" i="10"/>
  <c r="Q64" i="10"/>
  <c r="P64" i="10"/>
  <c r="O64" i="10"/>
  <c r="N64" i="10"/>
  <c r="M64" i="10"/>
  <c r="L64" i="10"/>
  <c r="K64" i="10"/>
  <c r="J64" i="10"/>
  <c r="I64" i="10"/>
  <c r="H64" i="10"/>
  <c r="G64" i="10"/>
  <c r="F64" i="10"/>
  <c r="E64" i="10"/>
  <c r="D64" i="10"/>
  <c r="C64" i="10"/>
  <c r="V63" i="10"/>
  <c r="U63" i="10"/>
  <c r="T63" i="10"/>
  <c r="S63" i="10"/>
  <c r="R63" i="10"/>
  <c r="Q63" i="10"/>
  <c r="V61" i="10"/>
  <c r="U61" i="10"/>
  <c r="T61" i="10"/>
  <c r="S61" i="10"/>
  <c r="R61" i="10"/>
  <c r="Q61" i="10"/>
  <c r="P61" i="10"/>
  <c r="O61" i="10"/>
  <c r="N61" i="10"/>
  <c r="M61" i="10"/>
  <c r="L61" i="10"/>
  <c r="K61" i="10"/>
  <c r="J61" i="10"/>
  <c r="I61" i="10"/>
  <c r="H61" i="10"/>
  <c r="G61" i="10"/>
  <c r="F61" i="10"/>
  <c r="E61" i="10"/>
  <c r="D61" i="10"/>
  <c r="C61" i="10"/>
  <c r="V57" i="10"/>
  <c r="U57" i="10"/>
  <c r="T57" i="10"/>
  <c r="S57" i="10"/>
  <c r="R57" i="10"/>
  <c r="Q57" i="10"/>
  <c r="P57" i="10"/>
  <c r="O57" i="10"/>
  <c r="N57" i="10"/>
  <c r="M57" i="10"/>
  <c r="L57" i="10"/>
  <c r="K57" i="10"/>
  <c r="J57" i="10"/>
  <c r="I57" i="10"/>
  <c r="H57" i="10"/>
  <c r="G57" i="10"/>
  <c r="F57" i="10"/>
  <c r="E57" i="10"/>
  <c r="D57" i="10"/>
  <c r="C57" i="10"/>
  <c r="V56" i="10"/>
  <c r="U56" i="10"/>
  <c r="T56" i="10"/>
  <c r="S56" i="10"/>
  <c r="R56" i="10"/>
  <c r="Q56" i="10"/>
  <c r="P56" i="10"/>
  <c r="O56" i="10"/>
  <c r="N56" i="10"/>
  <c r="M56" i="10"/>
  <c r="L56" i="10"/>
  <c r="K56" i="10"/>
  <c r="J56" i="10"/>
  <c r="I56" i="10"/>
  <c r="H56" i="10"/>
  <c r="G56" i="10"/>
  <c r="F56" i="10"/>
  <c r="E56" i="10"/>
  <c r="D56" i="10"/>
  <c r="C56" i="10"/>
  <c r="V54" i="10"/>
  <c r="U54" i="10"/>
  <c r="T54" i="10"/>
  <c r="S54" i="10"/>
  <c r="R54" i="10"/>
  <c r="Q54" i="10"/>
  <c r="P54" i="10"/>
  <c r="O54" i="10"/>
  <c r="N54" i="10"/>
  <c r="M54" i="10"/>
  <c r="L54" i="10"/>
  <c r="K54" i="10"/>
  <c r="J54" i="10"/>
  <c r="I54" i="10"/>
  <c r="H54" i="10"/>
  <c r="G54" i="10"/>
  <c r="F54" i="10"/>
  <c r="E54" i="10"/>
  <c r="D54" i="10"/>
  <c r="C54" i="10"/>
  <c r="V53" i="10"/>
  <c r="U53" i="10"/>
  <c r="T53" i="10"/>
  <c r="S53" i="10"/>
  <c r="R53" i="10"/>
  <c r="Q53" i="10"/>
  <c r="P53" i="10"/>
  <c r="O53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V52" i="10"/>
  <c r="U52" i="10"/>
  <c r="T52" i="10"/>
  <c r="S52" i="10"/>
  <c r="R52" i="10"/>
  <c r="Q52" i="10"/>
  <c r="P52" i="10"/>
  <c r="O52" i="10"/>
  <c r="N52" i="10"/>
  <c r="M52" i="10"/>
  <c r="L52" i="10"/>
  <c r="K52" i="10"/>
  <c r="J52" i="10"/>
  <c r="I52" i="10"/>
  <c r="H52" i="10"/>
  <c r="G52" i="10"/>
  <c r="F52" i="10"/>
  <c r="E52" i="10"/>
  <c r="D52" i="10"/>
  <c r="C52" i="10"/>
  <c r="V50" i="10"/>
  <c r="U50" i="10"/>
  <c r="T50" i="10"/>
  <c r="S50" i="10"/>
  <c r="R50" i="10"/>
  <c r="Q50" i="10"/>
  <c r="P50" i="10"/>
  <c r="O50" i="10"/>
  <c r="N50" i="10"/>
  <c r="M50" i="10"/>
  <c r="L50" i="10"/>
  <c r="K50" i="10"/>
  <c r="J50" i="10"/>
  <c r="I50" i="10"/>
  <c r="H50" i="10"/>
  <c r="G50" i="10"/>
  <c r="F50" i="10"/>
  <c r="E50" i="10"/>
  <c r="D50" i="10"/>
  <c r="C50" i="10"/>
  <c r="V46" i="10"/>
  <c r="U46" i="10"/>
  <c r="T46" i="10"/>
  <c r="S46" i="10"/>
  <c r="R46" i="10"/>
  <c r="Q46" i="10"/>
  <c r="P46" i="10"/>
  <c r="O46" i="10"/>
  <c r="N46" i="10"/>
  <c r="M46" i="10"/>
  <c r="L46" i="10"/>
  <c r="K46" i="10"/>
  <c r="J46" i="10"/>
  <c r="I46" i="10"/>
  <c r="H46" i="10"/>
  <c r="G46" i="10"/>
  <c r="F46" i="10"/>
  <c r="E46" i="10"/>
  <c r="D46" i="10"/>
  <c r="C46" i="10"/>
  <c r="V45" i="10"/>
  <c r="U45" i="10"/>
  <c r="T45" i="10"/>
  <c r="S45" i="10"/>
  <c r="R45" i="10"/>
  <c r="Q45" i="10"/>
  <c r="P45" i="10"/>
  <c r="O45" i="10"/>
  <c r="N45" i="10"/>
  <c r="M45" i="10"/>
  <c r="L45" i="10"/>
  <c r="K45" i="10"/>
  <c r="J45" i="10"/>
  <c r="I45" i="10"/>
  <c r="H45" i="10"/>
  <c r="G45" i="10"/>
  <c r="F45" i="10"/>
  <c r="E45" i="10"/>
  <c r="D45" i="10"/>
  <c r="C45" i="10"/>
  <c r="V43" i="10"/>
  <c r="U43" i="10"/>
  <c r="T43" i="10"/>
  <c r="S43" i="10"/>
  <c r="R43" i="10"/>
  <c r="Q43" i="10"/>
  <c r="P43" i="10"/>
  <c r="O43" i="10"/>
  <c r="N43" i="10"/>
  <c r="M43" i="10"/>
  <c r="L43" i="10"/>
  <c r="K43" i="10"/>
  <c r="J43" i="10"/>
  <c r="I43" i="10"/>
  <c r="H43" i="10"/>
  <c r="G43" i="10"/>
  <c r="F43" i="10"/>
  <c r="E43" i="10"/>
  <c r="D43" i="10"/>
  <c r="C43" i="10"/>
  <c r="V42" i="10"/>
  <c r="U42" i="10"/>
  <c r="T42" i="10"/>
  <c r="S42" i="10"/>
  <c r="R42" i="10"/>
  <c r="Q42" i="10"/>
  <c r="P42" i="10"/>
  <c r="O42" i="10"/>
  <c r="N42" i="10"/>
  <c r="M42" i="10"/>
  <c r="L42" i="10"/>
  <c r="K42" i="10"/>
  <c r="J42" i="10"/>
  <c r="I42" i="10"/>
  <c r="H42" i="10"/>
  <c r="G42" i="10"/>
  <c r="F42" i="10"/>
  <c r="E42" i="10"/>
  <c r="D42" i="10"/>
  <c r="C42" i="10"/>
  <c r="V41" i="10"/>
  <c r="U41" i="10"/>
  <c r="T41" i="10"/>
  <c r="S41" i="10"/>
  <c r="R41" i="10"/>
  <c r="Q41" i="10"/>
  <c r="P41" i="10"/>
  <c r="O41" i="10"/>
  <c r="N41" i="10"/>
  <c r="M41" i="10"/>
  <c r="L41" i="10"/>
  <c r="K41" i="10"/>
  <c r="J41" i="10"/>
  <c r="I41" i="10"/>
  <c r="H41" i="10"/>
  <c r="G41" i="10"/>
  <c r="F41" i="10"/>
  <c r="E41" i="10"/>
  <c r="D41" i="10"/>
  <c r="C41" i="10"/>
  <c r="V39" i="10"/>
  <c r="U39" i="10"/>
  <c r="T39" i="10"/>
  <c r="S39" i="10"/>
  <c r="R39" i="10"/>
  <c r="Q39" i="10"/>
  <c r="P39" i="10"/>
  <c r="O39" i="10"/>
  <c r="N39" i="10"/>
  <c r="M39" i="10"/>
  <c r="L39" i="10"/>
  <c r="K39" i="10"/>
  <c r="J39" i="10"/>
  <c r="I39" i="10"/>
  <c r="H39" i="10"/>
  <c r="G39" i="10"/>
  <c r="F39" i="10"/>
  <c r="E39" i="10"/>
  <c r="D39" i="10"/>
  <c r="C39" i="10"/>
  <c r="V65" i="9"/>
  <c r="U65" i="9"/>
  <c r="T65" i="9"/>
  <c r="S65" i="9"/>
  <c r="R65" i="9"/>
  <c r="V64" i="9"/>
  <c r="U64" i="9"/>
  <c r="T64" i="9"/>
  <c r="S64" i="9"/>
  <c r="R64" i="9"/>
  <c r="V62" i="9"/>
  <c r="U62" i="9"/>
  <c r="T62" i="9"/>
  <c r="S62" i="9"/>
  <c r="R62" i="9"/>
  <c r="V61" i="9"/>
  <c r="U61" i="9"/>
  <c r="T61" i="9"/>
  <c r="S61" i="9"/>
  <c r="R61" i="9"/>
  <c r="V60" i="9"/>
  <c r="U60" i="9"/>
  <c r="T60" i="9"/>
  <c r="S60" i="9"/>
  <c r="R60" i="9"/>
  <c r="V58" i="9"/>
  <c r="U58" i="9"/>
  <c r="T58" i="9"/>
  <c r="S58" i="9"/>
  <c r="R58" i="9"/>
  <c r="V54" i="9"/>
  <c r="U54" i="9"/>
  <c r="T54" i="9"/>
  <c r="S54" i="9"/>
  <c r="R54" i="9"/>
  <c r="Q54" i="9"/>
  <c r="P54" i="9"/>
  <c r="O54" i="9"/>
  <c r="N54" i="9"/>
  <c r="M54" i="9"/>
  <c r="L54" i="9"/>
  <c r="K54" i="9"/>
  <c r="J54" i="9"/>
  <c r="I54" i="9"/>
  <c r="H54" i="9"/>
  <c r="G54" i="9"/>
  <c r="F54" i="9"/>
  <c r="E54" i="9"/>
  <c r="D54" i="9"/>
  <c r="C54" i="9"/>
  <c r="V53" i="9"/>
  <c r="U53" i="9"/>
  <c r="T53" i="9"/>
  <c r="S53" i="9"/>
  <c r="R53" i="9"/>
  <c r="Q53" i="9"/>
  <c r="P53" i="9"/>
  <c r="O53" i="9"/>
  <c r="N53" i="9"/>
  <c r="M53" i="9"/>
  <c r="L53" i="9"/>
  <c r="K53" i="9"/>
  <c r="J53" i="9"/>
  <c r="I53" i="9"/>
  <c r="H53" i="9"/>
  <c r="G53" i="9"/>
  <c r="F53" i="9"/>
  <c r="E53" i="9"/>
  <c r="D53" i="9"/>
  <c r="C53" i="9"/>
  <c r="V51" i="9"/>
  <c r="U51" i="9"/>
  <c r="T51" i="9"/>
  <c r="S51" i="9"/>
  <c r="R51" i="9"/>
  <c r="Q51" i="9"/>
  <c r="P51" i="9"/>
  <c r="O51" i="9"/>
  <c r="N51" i="9"/>
  <c r="M51" i="9"/>
  <c r="L51" i="9"/>
  <c r="K51" i="9"/>
  <c r="J51" i="9"/>
  <c r="I51" i="9"/>
  <c r="H51" i="9"/>
  <c r="G51" i="9"/>
  <c r="F51" i="9"/>
  <c r="E51" i="9"/>
  <c r="D51" i="9"/>
  <c r="C51" i="9"/>
  <c r="V50" i="9"/>
  <c r="U50" i="9"/>
  <c r="T50" i="9"/>
  <c r="S50" i="9"/>
  <c r="R50" i="9"/>
  <c r="Q50" i="9"/>
  <c r="P50" i="9"/>
  <c r="O50" i="9"/>
  <c r="N50" i="9"/>
  <c r="M50" i="9"/>
  <c r="L50" i="9"/>
  <c r="K50" i="9"/>
  <c r="J50" i="9"/>
  <c r="I50" i="9"/>
  <c r="H50" i="9"/>
  <c r="G50" i="9"/>
  <c r="F50" i="9"/>
  <c r="E50" i="9"/>
  <c r="D50" i="9"/>
  <c r="C50" i="9"/>
  <c r="V49" i="9"/>
  <c r="U49" i="9"/>
  <c r="T49" i="9"/>
  <c r="S49" i="9"/>
  <c r="R49" i="9"/>
  <c r="Q49" i="9"/>
  <c r="P49" i="9"/>
  <c r="O49" i="9"/>
  <c r="N49" i="9"/>
  <c r="M49" i="9"/>
  <c r="L49" i="9"/>
  <c r="K49" i="9"/>
  <c r="J49" i="9"/>
  <c r="I49" i="9"/>
  <c r="H49" i="9"/>
  <c r="G49" i="9"/>
  <c r="F49" i="9"/>
  <c r="E49" i="9"/>
  <c r="D49" i="9"/>
  <c r="C49" i="9"/>
  <c r="V47" i="9"/>
  <c r="U47" i="9"/>
  <c r="T47" i="9"/>
  <c r="S47" i="9"/>
  <c r="R47" i="9"/>
  <c r="Q47" i="9"/>
  <c r="P47" i="9"/>
  <c r="O47" i="9"/>
  <c r="N47" i="9"/>
  <c r="M47" i="9"/>
  <c r="L47" i="9"/>
  <c r="K47" i="9"/>
  <c r="J47" i="9"/>
  <c r="I47" i="9"/>
  <c r="H47" i="9"/>
  <c r="G47" i="9"/>
  <c r="F47" i="9"/>
  <c r="E47" i="9"/>
  <c r="D47" i="9"/>
  <c r="C47" i="9"/>
  <c r="V43" i="9"/>
  <c r="U43" i="9"/>
  <c r="T43" i="9"/>
  <c r="S43" i="9"/>
  <c r="R43" i="9"/>
  <c r="Q43" i="9"/>
  <c r="P43" i="9"/>
  <c r="O43" i="9"/>
  <c r="N43" i="9"/>
  <c r="M43" i="9"/>
  <c r="L43" i="9"/>
  <c r="K43" i="9"/>
  <c r="J43" i="9"/>
  <c r="I43" i="9"/>
  <c r="H43" i="9"/>
  <c r="G43" i="9"/>
  <c r="F43" i="9"/>
  <c r="E43" i="9"/>
  <c r="D43" i="9"/>
  <c r="C43" i="9"/>
  <c r="V42" i="9"/>
  <c r="U42" i="9"/>
  <c r="T42" i="9"/>
  <c r="S42" i="9"/>
  <c r="R42" i="9"/>
  <c r="Q42" i="9"/>
  <c r="P42" i="9"/>
  <c r="O42" i="9"/>
  <c r="N42" i="9"/>
  <c r="M42" i="9"/>
  <c r="L42" i="9"/>
  <c r="K42" i="9"/>
  <c r="J42" i="9"/>
  <c r="I42" i="9"/>
  <c r="H42" i="9"/>
  <c r="G42" i="9"/>
  <c r="F42" i="9"/>
  <c r="E42" i="9"/>
  <c r="D42" i="9"/>
  <c r="C42" i="9"/>
  <c r="V40" i="9"/>
  <c r="U40" i="9"/>
  <c r="T40" i="9"/>
  <c r="S40" i="9"/>
  <c r="R40" i="9"/>
  <c r="Q40" i="9"/>
  <c r="P40" i="9"/>
  <c r="O40" i="9"/>
  <c r="N40" i="9"/>
  <c r="M40" i="9"/>
  <c r="L40" i="9"/>
  <c r="K40" i="9"/>
  <c r="J40" i="9"/>
  <c r="I40" i="9"/>
  <c r="H40" i="9"/>
  <c r="G40" i="9"/>
  <c r="F40" i="9"/>
  <c r="E40" i="9"/>
  <c r="D40" i="9"/>
  <c r="C40" i="9"/>
  <c r="V39" i="9"/>
  <c r="U39" i="9"/>
  <c r="T39" i="9"/>
  <c r="S39" i="9"/>
  <c r="R39" i="9"/>
  <c r="Q39" i="9"/>
  <c r="P39" i="9"/>
  <c r="O39" i="9"/>
  <c r="N39" i="9"/>
  <c r="M39" i="9"/>
  <c r="L39" i="9"/>
  <c r="K39" i="9"/>
  <c r="J39" i="9"/>
  <c r="I39" i="9"/>
  <c r="H39" i="9"/>
  <c r="G39" i="9"/>
  <c r="F39" i="9"/>
  <c r="E39" i="9"/>
  <c r="D39" i="9"/>
  <c r="C39" i="9"/>
  <c r="V38" i="9"/>
  <c r="U38" i="9"/>
  <c r="T38" i="9"/>
  <c r="S38" i="9"/>
  <c r="R38" i="9"/>
  <c r="Q38" i="9"/>
  <c r="P38" i="9"/>
  <c r="O38" i="9"/>
  <c r="N38" i="9"/>
  <c r="M38" i="9"/>
  <c r="L38" i="9"/>
  <c r="K38" i="9"/>
  <c r="J38" i="9"/>
  <c r="I38" i="9"/>
  <c r="H38" i="9"/>
  <c r="G38" i="9"/>
  <c r="F38" i="9"/>
  <c r="E38" i="9"/>
  <c r="D38" i="9"/>
  <c r="C38" i="9"/>
  <c r="V36" i="9"/>
  <c r="U36" i="9"/>
  <c r="T36" i="9"/>
  <c r="S36" i="9"/>
  <c r="R36" i="9"/>
  <c r="Q36" i="9"/>
  <c r="P36" i="9"/>
  <c r="O36" i="9"/>
  <c r="N36" i="9"/>
  <c r="M36" i="9"/>
  <c r="L36" i="9"/>
  <c r="K36" i="9"/>
  <c r="J36" i="9"/>
  <c r="I36" i="9"/>
  <c r="H36" i="9"/>
  <c r="G36" i="9"/>
  <c r="F36" i="9"/>
  <c r="E36" i="9"/>
  <c r="D36" i="9"/>
  <c r="C36" i="9"/>
  <c r="V32" i="9"/>
  <c r="U32" i="9"/>
  <c r="T32" i="9"/>
  <c r="S32" i="9"/>
  <c r="R32" i="9"/>
  <c r="Q32" i="9"/>
  <c r="P32" i="9"/>
  <c r="O32" i="9"/>
  <c r="N32" i="9"/>
  <c r="M32" i="9"/>
  <c r="L32" i="9"/>
  <c r="K32" i="9"/>
  <c r="J32" i="9"/>
  <c r="I32" i="9"/>
  <c r="H32" i="9"/>
  <c r="G32" i="9"/>
  <c r="F32" i="9"/>
  <c r="E32" i="9"/>
  <c r="D32" i="9"/>
  <c r="C32" i="9"/>
  <c r="V31" i="9"/>
  <c r="U31" i="9"/>
  <c r="T31" i="9"/>
  <c r="S31" i="9"/>
  <c r="R31" i="9"/>
  <c r="Q31" i="9"/>
  <c r="P31" i="9"/>
  <c r="O31" i="9"/>
  <c r="N31" i="9"/>
  <c r="M31" i="9"/>
  <c r="L31" i="9"/>
  <c r="K31" i="9"/>
  <c r="J31" i="9"/>
  <c r="I31" i="9"/>
  <c r="H31" i="9"/>
  <c r="G31" i="9"/>
  <c r="F31" i="9"/>
  <c r="E31" i="9"/>
  <c r="D31" i="9"/>
  <c r="C31" i="9"/>
  <c r="V29" i="9"/>
  <c r="U29" i="9"/>
  <c r="T29" i="9"/>
  <c r="S29" i="9"/>
  <c r="R29" i="9"/>
  <c r="Q29" i="9"/>
  <c r="P29" i="9"/>
  <c r="O29" i="9"/>
  <c r="N29" i="9"/>
  <c r="M29" i="9"/>
  <c r="L29" i="9"/>
  <c r="K29" i="9"/>
  <c r="J29" i="9"/>
  <c r="I29" i="9"/>
  <c r="H29" i="9"/>
  <c r="G29" i="9"/>
  <c r="F29" i="9"/>
  <c r="E29" i="9"/>
  <c r="D29" i="9"/>
  <c r="C29" i="9"/>
  <c r="V28" i="9"/>
  <c r="U28" i="9"/>
  <c r="T28" i="9"/>
  <c r="S28" i="9"/>
  <c r="R28" i="9"/>
  <c r="Q28" i="9"/>
  <c r="P28" i="9"/>
  <c r="O28" i="9"/>
  <c r="N28" i="9"/>
  <c r="M28" i="9"/>
  <c r="L28" i="9"/>
  <c r="K28" i="9"/>
  <c r="J28" i="9"/>
  <c r="I28" i="9"/>
  <c r="H28" i="9"/>
  <c r="G28" i="9"/>
  <c r="F28" i="9"/>
  <c r="E28" i="9"/>
  <c r="D28" i="9"/>
  <c r="C28" i="9"/>
  <c r="V27" i="9"/>
  <c r="U27" i="9"/>
  <c r="T27" i="9"/>
  <c r="S27" i="9"/>
  <c r="R27" i="9"/>
  <c r="Q27" i="9"/>
  <c r="P27" i="9"/>
  <c r="O27" i="9"/>
  <c r="N27" i="9"/>
  <c r="M27" i="9"/>
  <c r="L27" i="9"/>
  <c r="K27" i="9"/>
  <c r="J27" i="9"/>
  <c r="I27" i="9"/>
  <c r="H27" i="9"/>
  <c r="G27" i="9"/>
  <c r="F27" i="9"/>
  <c r="E27" i="9"/>
  <c r="D27" i="9"/>
  <c r="C27" i="9"/>
  <c r="V25" i="9"/>
  <c r="U25" i="9"/>
  <c r="T25" i="9"/>
  <c r="S25" i="9"/>
  <c r="R25" i="9"/>
  <c r="Q25" i="9"/>
  <c r="P25" i="9"/>
  <c r="O25" i="9"/>
  <c r="N25" i="9"/>
  <c r="M25" i="9"/>
  <c r="L25" i="9"/>
  <c r="K25" i="9"/>
  <c r="J25" i="9"/>
  <c r="I25" i="9"/>
  <c r="H25" i="9"/>
  <c r="G25" i="9"/>
  <c r="F25" i="9"/>
  <c r="E25" i="9"/>
  <c r="D25" i="9"/>
  <c r="C25" i="9"/>
  <c r="V58" i="8"/>
  <c r="V80" i="8" s="1"/>
  <c r="U58" i="8"/>
  <c r="U80" i="8" s="1"/>
  <c r="T58" i="8"/>
  <c r="T80" i="8" s="1"/>
  <c r="S58" i="8"/>
  <c r="S80" i="8" s="1"/>
  <c r="R58" i="8"/>
  <c r="R80" i="8" s="1"/>
  <c r="Q58" i="8"/>
  <c r="Q80" i="8" s="1"/>
  <c r="P58" i="8"/>
  <c r="P80" i="8" s="1"/>
  <c r="O58" i="8"/>
  <c r="O80" i="8" s="1"/>
  <c r="N58" i="8"/>
  <c r="M58" i="8"/>
  <c r="M80" i="8" s="1"/>
  <c r="L58" i="8"/>
  <c r="L80" i="8" s="1"/>
  <c r="K58" i="8"/>
  <c r="K80" i="8" s="1"/>
  <c r="V57" i="8"/>
  <c r="V79" i="8" s="1"/>
  <c r="U57" i="8"/>
  <c r="U79" i="8" s="1"/>
  <c r="T57" i="8"/>
  <c r="T79" i="8" s="1"/>
  <c r="S57" i="8"/>
  <c r="S79" i="8" s="1"/>
  <c r="R57" i="8"/>
  <c r="Q57" i="8"/>
  <c r="Q79" i="8" s="1"/>
  <c r="P57" i="8"/>
  <c r="P79" i="8" s="1"/>
  <c r="O57" i="8"/>
  <c r="O79" i="8" s="1"/>
  <c r="N57" i="8"/>
  <c r="N79" i="8" s="1"/>
  <c r="M57" i="8"/>
  <c r="M79" i="8" s="1"/>
  <c r="L57" i="8"/>
  <c r="L79" i="8" s="1"/>
  <c r="K57" i="8"/>
  <c r="V55" i="8"/>
  <c r="U55" i="8"/>
  <c r="U77" i="8" s="1"/>
  <c r="T55" i="8"/>
  <c r="T77" i="8" s="1"/>
  <c r="S55" i="8"/>
  <c r="S77" i="8" s="1"/>
  <c r="R55" i="8"/>
  <c r="R77" i="8" s="1"/>
  <c r="Q55" i="8"/>
  <c r="Q77" i="8" s="1"/>
  <c r="P55" i="8"/>
  <c r="P77" i="8" s="1"/>
  <c r="O55" i="8"/>
  <c r="O77" i="8" s="1"/>
  <c r="N55" i="8"/>
  <c r="N77" i="8" s="1"/>
  <c r="M55" i="8"/>
  <c r="M77" i="8" s="1"/>
  <c r="L55" i="8"/>
  <c r="L77" i="8" s="1"/>
  <c r="K55" i="8"/>
  <c r="K77" i="8" s="1"/>
  <c r="V54" i="8"/>
  <c r="V76" i="8" s="1"/>
  <c r="U54" i="8"/>
  <c r="U76" i="8" s="1"/>
  <c r="T54" i="8"/>
  <c r="T76" i="8" s="1"/>
  <c r="S54" i="8"/>
  <c r="R54" i="8"/>
  <c r="R76" i="8" s="1"/>
  <c r="Q54" i="8"/>
  <c r="Q76" i="8" s="1"/>
  <c r="P54" i="8"/>
  <c r="P76" i="8" s="1"/>
  <c r="O54" i="8"/>
  <c r="O76" i="8" s="1"/>
  <c r="N54" i="8"/>
  <c r="N76" i="8" s="1"/>
  <c r="M54" i="8"/>
  <c r="M76" i="8" s="1"/>
  <c r="L54" i="8"/>
  <c r="L76" i="8" s="1"/>
  <c r="K54" i="8"/>
  <c r="K76" i="8" s="1"/>
  <c r="V53" i="8"/>
  <c r="V75" i="8" s="1"/>
  <c r="U53" i="8"/>
  <c r="U75" i="8" s="1"/>
  <c r="T53" i="8"/>
  <c r="T75" i="8" s="1"/>
  <c r="S53" i="8"/>
  <c r="S75" i="8" s="1"/>
  <c r="R53" i="8"/>
  <c r="R75" i="8" s="1"/>
  <c r="Q53" i="8"/>
  <c r="Q75" i="8" s="1"/>
  <c r="P53" i="8"/>
  <c r="P75" i="8" s="1"/>
  <c r="O53" i="8"/>
  <c r="O75" i="8" s="1"/>
  <c r="N53" i="8"/>
  <c r="N75" i="8" s="1"/>
  <c r="M53" i="8"/>
  <c r="M75" i="8" s="1"/>
  <c r="L53" i="8"/>
  <c r="L75" i="8" s="1"/>
  <c r="K53" i="8"/>
  <c r="K75" i="8" s="1"/>
  <c r="V51" i="8"/>
  <c r="V73" i="8" s="1"/>
  <c r="U51" i="8"/>
  <c r="U73" i="8" s="1"/>
  <c r="T51" i="8"/>
  <c r="T73" i="8" s="1"/>
  <c r="S51" i="8"/>
  <c r="S73" i="8" s="1"/>
  <c r="R51" i="8"/>
  <c r="Q51" i="8"/>
  <c r="Q73" i="8" s="1"/>
  <c r="P51" i="8"/>
  <c r="P73" i="8" s="1"/>
  <c r="O51" i="8"/>
  <c r="N51" i="8"/>
  <c r="N73" i="8" s="1"/>
  <c r="M51" i="8"/>
  <c r="M73" i="8" s="1"/>
  <c r="L51" i="8"/>
  <c r="L73" i="8" s="1"/>
  <c r="K51" i="8"/>
  <c r="K73" i="8" s="1"/>
  <c r="V124" i="8"/>
  <c r="U124" i="8"/>
  <c r="T124" i="8"/>
  <c r="S124" i="8"/>
  <c r="R124" i="8"/>
  <c r="V123" i="8"/>
  <c r="U123" i="8"/>
  <c r="T123" i="8"/>
  <c r="S123" i="8"/>
  <c r="R123" i="8"/>
  <c r="V121" i="8"/>
  <c r="U121" i="8"/>
  <c r="T121" i="8"/>
  <c r="S121" i="8"/>
  <c r="R121" i="8"/>
  <c r="V120" i="8"/>
  <c r="U120" i="8"/>
  <c r="T120" i="8"/>
  <c r="S120" i="8"/>
  <c r="R120" i="8"/>
  <c r="V119" i="8"/>
  <c r="U119" i="8"/>
  <c r="T119" i="8"/>
  <c r="S119" i="8"/>
  <c r="R119" i="8"/>
  <c r="V117" i="8"/>
  <c r="U117" i="8"/>
  <c r="T117" i="8"/>
  <c r="S117" i="8"/>
  <c r="R117" i="8"/>
  <c r="V113" i="8"/>
  <c r="U113" i="8"/>
  <c r="T113" i="8"/>
  <c r="S113" i="8"/>
  <c r="R113" i="8"/>
  <c r="V112" i="8"/>
  <c r="U112" i="8"/>
  <c r="T112" i="8"/>
  <c r="S112" i="8"/>
  <c r="R112" i="8"/>
  <c r="V110" i="8"/>
  <c r="U110" i="8"/>
  <c r="T110" i="8"/>
  <c r="S110" i="8"/>
  <c r="R110" i="8"/>
  <c r="V109" i="8"/>
  <c r="U109" i="8"/>
  <c r="T109" i="8"/>
  <c r="S109" i="8"/>
  <c r="R109" i="8"/>
  <c r="V108" i="8"/>
  <c r="U108" i="8"/>
  <c r="T108" i="8"/>
  <c r="S108" i="8"/>
  <c r="R108" i="8"/>
  <c r="V106" i="8"/>
  <c r="U106" i="8"/>
  <c r="T106" i="8"/>
  <c r="S106" i="8"/>
  <c r="R106" i="8"/>
  <c r="V102" i="8"/>
  <c r="U102" i="8"/>
  <c r="T102" i="8"/>
  <c r="S102" i="8"/>
  <c r="R102" i="8"/>
  <c r="Q102" i="8"/>
  <c r="P102" i="8"/>
  <c r="O102" i="8"/>
  <c r="N102" i="8"/>
  <c r="M102" i="8"/>
  <c r="L102" i="8"/>
  <c r="K102" i="8"/>
  <c r="V101" i="8"/>
  <c r="U101" i="8"/>
  <c r="T101" i="8"/>
  <c r="S101" i="8"/>
  <c r="R101" i="8"/>
  <c r="Q101" i="8"/>
  <c r="P101" i="8"/>
  <c r="O101" i="8"/>
  <c r="N101" i="8"/>
  <c r="M101" i="8"/>
  <c r="L101" i="8"/>
  <c r="K101" i="8"/>
  <c r="V99" i="8"/>
  <c r="U99" i="8"/>
  <c r="T99" i="8"/>
  <c r="S99" i="8"/>
  <c r="R99" i="8"/>
  <c r="Q99" i="8"/>
  <c r="P99" i="8"/>
  <c r="O99" i="8"/>
  <c r="N99" i="8"/>
  <c r="M99" i="8"/>
  <c r="L99" i="8"/>
  <c r="K99" i="8"/>
  <c r="V98" i="8"/>
  <c r="U98" i="8"/>
  <c r="T98" i="8"/>
  <c r="S98" i="8"/>
  <c r="R98" i="8"/>
  <c r="Q98" i="8"/>
  <c r="P98" i="8"/>
  <c r="O98" i="8"/>
  <c r="N98" i="8"/>
  <c r="M98" i="8"/>
  <c r="L98" i="8"/>
  <c r="K98" i="8"/>
  <c r="V97" i="8"/>
  <c r="U97" i="8"/>
  <c r="T97" i="8"/>
  <c r="S97" i="8"/>
  <c r="R97" i="8"/>
  <c r="Q97" i="8"/>
  <c r="P97" i="8"/>
  <c r="O97" i="8"/>
  <c r="N97" i="8"/>
  <c r="M97" i="8"/>
  <c r="L97" i="8"/>
  <c r="K97" i="8"/>
  <c r="V95" i="8"/>
  <c r="U95" i="8"/>
  <c r="T95" i="8"/>
  <c r="S95" i="8"/>
  <c r="R95" i="8"/>
  <c r="Q95" i="8"/>
  <c r="P95" i="8"/>
  <c r="O95" i="8"/>
  <c r="N95" i="8"/>
  <c r="M95" i="8"/>
  <c r="L95" i="8"/>
  <c r="K95" i="8"/>
  <c r="V91" i="8"/>
  <c r="U91" i="8"/>
  <c r="T91" i="8"/>
  <c r="S91" i="8"/>
  <c r="R91" i="8"/>
  <c r="Q91" i="8"/>
  <c r="P91" i="8"/>
  <c r="O91" i="8"/>
  <c r="N91" i="8"/>
  <c r="M91" i="8"/>
  <c r="L91" i="8"/>
  <c r="K91" i="8"/>
  <c r="V90" i="8"/>
  <c r="U90" i="8"/>
  <c r="T90" i="8"/>
  <c r="S90" i="8"/>
  <c r="R90" i="8"/>
  <c r="Q90" i="8"/>
  <c r="P90" i="8"/>
  <c r="O90" i="8"/>
  <c r="N90" i="8"/>
  <c r="M90" i="8"/>
  <c r="L90" i="8"/>
  <c r="K90" i="8"/>
  <c r="V88" i="8"/>
  <c r="U88" i="8"/>
  <c r="T88" i="8"/>
  <c r="S88" i="8"/>
  <c r="R88" i="8"/>
  <c r="Q88" i="8"/>
  <c r="P88" i="8"/>
  <c r="O88" i="8"/>
  <c r="N88" i="8"/>
  <c r="M88" i="8"/>
  <c r="L88" i="8"/>
  <c r="K88" i="8"/>
  <c r="V87" i="8"/>
  <c r="U87" i="8"/>
  <c r="T87" i="8"/>
  <c r="S87" i="8"/>
  <c r="R87" i="8"/>
  <c r="Q87" i="8"/>
  <c r="P87" i="8"/>
  <c r="O87" i="8"/>
  <c r="N87" i="8"/>
  <c r="M87" i="8"/>
  <c r="L87" i="8"/>
  <c r="K87" i="8"/>
  <c r="V86" i="8"/>
  <c r="U86" i="8"/>
  <c r="T86" i="8"/>
  <c r="S86" i="8"/>
  <c r="R86" i="8"/>
  <c r="Q86" i="8"/>
  <c r="P86" i="8"/>
  <c r="O86" i="8"/>
  <c r="N86" i="8"/>
  <c r="M86" i="8"/>
  <c r="L86" i="8"/>
  <c r="K86" i="8"/>
  <c r="V84" i="8"/>
  <c r="U84" i="8"/>
  <c r="T84" i="8"/>
  <c r="S84" i="8"/>
  <c r="R84" i="8"/>
  <c r="Q84" i="8"/>
  <c r="P84" i="8"/>
  <c r="O84" i="8"/>
  <c r="N84" i="8"/>
  <c r="M84" i="8"/>
  <c r="L84" i="8"/>
  <c r="K84" i="8"/>
  <c r="N80" i="8"/>
  <c r="R79" i="8"/>
  <c r="K79" i="8"/>
  <c r="V77" i="8"/>
  <c r="S76" i="8"/>
  <c r="R73" i="8"/>
  <c r="O73" i="8"/>
  <c r="B57" i="10"/>
  <c r="B56" i="10"/>
  <c r="B54" i="10"/>
  <c r="B53" i="10"/>
  <c r="B52" i="10"/>
  <c r="B50" i="10"/>
  <c r="B46" i="10"/>
  <c r="B45" i="10"/>
  <c r="B43" i="10"/>
  <c r="B42" i="10"/>
  <c r="B41" i="10"/>
  <c r="B39" i="10"/>
  <c r="V22" i="10"/>
  <c r="U22" i="10"/>
  <c r="T22" i="10"/>
  <c r="S22" i="10"/>
  <c r="R22" i="10"/>
  <c r="Q22" i="10"/>
  <c r="B4" i="10"/>
  <c r="B54" i="9"/>
  <c r="B53" i="9"/>
  <c r="B51" i="9"/>
  <c r="B50" i="9"/>
  <c r="B49" i="9"/>
  <c r="B47" i="9"/>
  <c r="B43" i="9"/>
  <c r="B42" i="9"/>
  <c r="B40" i="9"/>
  <c r="B39" i="9"/>
  <c r="B38" i="9"/>
  <c r="B36" i="9"/>
  <c r="B32" i="9"/>
  <c r="B31" i="9"/>
  <c r="B29" i="9"/>
  <c r="B28" i="9"/>
  <c r="B27" i="9"/>
  <c r="B25" i="9"/>
  <c r="P22" i="10"/>
  <c r="H22" i="10"/>
  <c r="G22" i="10" l="1"/>
  <c r="O22" i="10"/>
  <c r="B22" i="10"/>
  <c r="J22" i="10"/>
  <c r="I22" i="10"/>
  <c r="C22" i="10"/>
  <c r="K22" i="10"/>
  <c r="D22" i="10"/>
  <c r="L22" i="10"/>
  <c r="E22" i="10"/>
  <c r="M22" i="10"/>
  <c r="F22" i="10"/>
  <c r="N22" i="10"/>
  <c r="L50" i="8"/>
  <c r="L72" i="8" s="1"/>
  <c r="L109" i="8"/>
  <c r="L105" i="8"/>
  <c r="L110" i="8"/>
  <c r="L108" i="8"/>
  <c r="L106" i="8"/>
  <c r="L85" i="8"/>
  <c r="L118" i="8"/>
  <c r="L123" i="8"/>
  <c r="L89" i="8"/>
  <c r="L124" i="8"/>
  <c r="L122" i="8"/>
  <c r="L121" i="8"/>
  <c r="L119" i="8"/>
  <c r="L117" i="8"/>
  <c r="L120" i="8"/>
  <c r="L116" i="8"/>
  <c r="L56" i="8"/>
  <c r="L78" i="8" s="1"/>
  <c r="L113" i="8"/>
  <c r="L111" i="8"/>
  <c r="L112" i="8"/>
  <c r="L100" i="8"/>
  <c r="L52" i="8"/>
  <c r="L74" i="8" s="1"/>
  <c r="L107" i="8"/>
  <c r="L96" i="8"/>
  <c r="J102" i="8"/>
  <c r="I102" i="8"/>
  <c r="H102" i="8"/>
  <c r="G102" i="8"/>
  <c r="F102" i="8"/>
  <c r="E102" i="8"/>
  <c r="D102" i="8"/>
  <c r="C102" i="8"/>
  <c r="B102" i="8"/>
  <c r="J101" i="8"/>
  <c r="I101" i="8"/>
  <c r="H101" i="8"/>
  <c r="G101" i="8"/>
  <c r="F101" i="8"/>
  <c r="E101" i="8"/>
  <c r="D101" i="8"/>
  <c r="C101" i="8"/>
  <c r="B101" i="8"/>
  <c r="J99" i="8"/>
  <c r="I99" i="8"/>
  <c r="H99" i="8"/>
  <c r="G99" i="8"/>
  <c r="F99" i="8"/>
  <c r="E99" i="8"/>
  <c r="D99" i="8"/>
  <c r="C99" i="8"/>
  <c r="B99" i="8"/>
  <c r="J98" i="8"/>
  <c r="I98" i="8"/>
  <c r="H98" i="8"/>
  <c r="G98" i="8"/>
  <c r="F98" i="8"/>
  <c r="E98" i="8"/>
  <c r="D98" i="8"/>
  <c r="C98" i="8"/>
  <c r="B98" i="8"/>
  <c r="J97" i="8"/>
  <c r="I97" i="8"/>
  <c r="H97" i="8"/>
  <c r="G97" i="8"/>
  <c r="F97" i="8"/>
  <c r="E97" i="8"/>
  <c r="D97" i="8"/>
  <c r="C97" i="8"/>
  <c r="B97" i="8"/>
  <c r="J95" i="8"/>
  <c r="I95" i="8"/>
  <c r="H95" i="8"/>
  <c r="G95" i="8"/>
  <c r="F95" i="8"/>
  <c r="E95" i="8"/>
  <c r="D95" i="8"/>
  <c r="C95" i="8"/>
  <c r="B95" i="8"/>
  <c r="J91" i="8"/>
  <c r="I91" i="8"/>
  <c r="H91" i="8"/>
  <c r="G91" i="8"/>
  <c r="F91" i="8"/>
  <c r="E91" i="8"/>
  <c r="D91" i="8"/>
  <c r="C91" i="8"/>
  <c r="B91" i="8"/>
  <c r="J90" i="8"/>
  <c r="I90" i="8"/>
  <c r="H90" i="8"/>
  <c r="G90" i="8"/>
  <c r="F90" i="8"/>
  <c r="E90" i="8"/>
  <c r="D90" i="8"/>
  <c r="C90" i="8"/>
  <c r="B90" i="8"/>
  <c r="J88" i="8"/>
  <c r="I88" i="8"/>
  <c r="H88" i="8"/>
  <c r="G88" i="8"/>
  <c r="F88" i="8"/>
  <c r="E88" i="8"/>
  <c r="D88" i="8"/>
  <c r="C88" i="8"/>
  <c r="B88" i="8"/>
  <c r="J87" i="8"/>
  <c r="I87" i="8"/>
  <c r="H87" i="8"/>
  <c r="G87" i="8"/>
  <c r="F87" i="8"/>
  <c r="E87" i="8"/>
  <c r="D87" i="8"/>
  <c r="C87" i="8"/>
  <c r="B87" i="8"/>
  <c r="J86" i="8"/>
  <c r="I86" i="8"/>
  <c r="H86" i="8"/>
  <c r="G86" i="8"/>
  <c r="F86" i="8"/>
  <c r="E86" i="8"/>
  <c r="D86" i="8"/>
  <c r="C86" i="8"/>
  <c r="B86" i="8"/>
  <c r="J84" i="8"/>
  <c r="I84" i="8"/>
  <c r="H84" i="8"/>
  <c r="G84" i="8"/>
  <c r="F84" i="8"/>
  <c r="E84" i="8"/>
  <c r="D84" i="8"/>
  <c r="C84" i="8"/>
  <c r="B84" i="8"/>
  <c r="L83" i="8" l="1"/>
  <c r="L94" i="8"/>
  <c r="L82" i="8" l="1"/>
  <c r="S51" i="3" l="1"/>
  <c r="V81" i="3"/>
  <c r="U81" i="3"/>
  <c r="T81" i="3"/>
  <c r="S81" i="3"/>
  <c r="V72" i="3"/>
  <c r="V164" i="3" s="1"/>
  <c r="U72" i="3"/>
  <c r="U164" i="3" s="1"/>
  <c r="T72" i="3"/>
  <c r="T164" i="3" s="1"/>
  <c r="S72" i="3"/>
  <c r="S164" i="3" s="1"/>
  <c r="R72" i="3"/>
  <c r="R164" i="3" s="1"/>
  <c r="T71" i="3"/>
  <c r="S71" i="3"/>
  <c r="R71" i="3"/>
  <c r="V70" i="3"/>
  <c r="V162" i="3" s="1"/>
  <c r="U70" i="3"/>
  <c r="U162" i="3" s="1"/>
  <c r="T70" i="3"/>
  <c r="T162" i="3" s="1"/>
  <c r="S70" i="3"/>
  <c r="S162" i="3" s="1"/>
  <c r="R70" i="3"/>
  <c r="R162" i="3" s="1"/>
  <c r="U51" i="3"/>
  <c r="T51" i="3"/>
  <c r="R51" i="3"/>
  <c r="V42" i="3"/>
  <c r="U42" i="3"/>
  <c r="T42" i="3"/>
  <c r="S42" i="3"/>
  <c r="R42" i="3"/>
  <c r="V41" i="3"/>
  <c r="T41" i="3"/>
  <c r="R41" i="3"/>
  <c r="V40" i="3"/>
  <c r="U40" i="3"/>
  <c r="T40" i="3"/>
  <c r="S40" i="3"/>
  <c r="R40" i="3"/>
  <c r="V21" i="3"/>
  <c r="T21" i="3"/>
  <c r="S21" i="3"/>
  <c r="S233" i="3" s="1"/>
  <c r="V12" i="3"/>
  <c r="U12" i="3"/>
  <c r="T12" i="3"/>
  <c r="T224" i="3" s="1"/>
  <c r="S12" i="3"/>
  <c r="S224" i="3" s="1"/>
  <c r="R12" i="3"/>
  <c r="V11" i="3"/>
  <c r="U11" i="3"/>
  <c r="T11" i="3"/>
  <c r="S11" i="3"/>
  <c r="V10" i="3"/>
  <c r="U10" i="3"/>
  <c r="T10" i="3"/>
  <c r="S10" i="3"/>
  <c r="R10" i="3"/>
  <c r="Q72" i="3"/>
  <c r="Q164" i="3" s="1"/>
  <c r="P72" i="3"/>
  <c r="P164" i="3" s="1"/>
  <c r="O72" i="3"/>
  <c r="O164" i="3" s="1"/>
  <c r="N72" i="3"/>
  <c r="N164" i="3" s="1"/>
  <c r="M72" i="3"/>
  <c r="M164" i="3" s="1"/>
  <c r="L72" i="3"/>
  <c r="L164" i="3" s="1"/>
  <c r="K72" i="3"/>
  <c r="K164" i="3" s="1"/>
  <c r="J72" i="3"/>
  <c r="J164" i="3" s="1"/>
  <c r="I72" i="3"/>
  <c r="I164" i="3" s="1"/>
  <c r="H72" i="3"/>
  <c r="H164" i="3" s="1"/>
  <c r="G72" i="3"/>
  <c r="G164" i="3" s="1"/>
  <c r="F72" i="3"/>
  <c r="F164" i="3" s="1"/>
  <c r="E72" i="3"/>
  <c r="E164" i="3" s="1"/>
  <c r="D72" i="3"/>
  <c r="D164" i="3" s="1"/>
  <c r="C72" i="3"/>
  <c r="C164" i="3" s="1"/>
  <c r="B72" i="3"/>
  <c r="B164" i="3" s="1"/>
  <c r="Q70" i="3"/>
  <c r="Q162" i="3" s="1"/>
  <c r="P70" i="3"/>
  <c r="P162" i="3" s="1"/>
  <c r="O70" i="3"/>
  <c r="O162" i="3" s="1"/>
  <c r="N70" i="3"/>
  <c r="N162" i="3" s="1"/>
  <c r="M70" i="3"/>
  <c r="M162" i="3" s="1"/>
  <c r="L70" i="3"/>
  <c r="L162" i="3" s="1"/>
  <c r="K70" i="3"/>
  <c r="K162" i="3" s="1"/>
  <c r="J70" i="3"/>
  <c r="J162" i="3" s="1"/>
  <c r="I70" i="3"/>
  <c r="I162" i="3" s="1"/>
  <c r="H70" i="3"/>
  <c r="H162" i="3" s="1"/>
  <c r="G70" i="3"/>
  <c r="G162" i="3" s="1"/>
  <c r="F70" i="3"/>
  <c r="F162" i="3" s="1"/>
  <c r="E70" i="3"/>
  <c r="E162" i="3" s="1"/>
  <c r="D70" i="3"/>
  <c r="D162" i="3" s="1"/>
  <c r="C70" i="3"/>
  <c r="C162" i="3" s="1"/>
  <c r="B70" i="3"/>
  <c r="B162" i="3" s="1"/>
  <c r="Q42" i="3"/>
  <c r="P42" i="3"/>
  <c r="O42" i="3"/>
  <c r="N42" i="3"/>
  <c r="M42" i="3"/>
  <c r="L42" i="3"/>
  <c r="K42" i="3"/>
  <c r="J42" i="3"/>
  <c r="I42" i="3"/>
  <c r="H42" i="3"/>
  <c r="G42" i="3"/>
  <c r="F42" i="3"/>
  <c r="E42" i="3"/>
  <c r="D42" i="3"/>
  <c r="C42" i="3"/>
  <c r="B42" i="3"/>
  <c r="Q40" i="3"/>
  <c r="P40" i="3"/>
  <c r="O40" i="3"/>
  <c r="N40" i="3"/>
  <c r="M40" i="3"/>
  <c r="L40" i="3"/>
  <c r="K40" i="3"/>
  <c r="J40" i="3"/>
  <c r="I40" i="3"/>
  <c r="H40" i="3"/>
  <c r="G40" i="3"/>
  <c r="F40" i="3"/>
  <c r="E40" i="3"/>
  <c r="D40" i="3"/>
  <c r="C40" i="3"/>
  <c r="B40" i="3"/>
  <c r="A28" i="3"/>
  <c r="A27" i="3"/>
  <c r="Q12" i="3"/>
  <c r="P12" i="3"/>
  <c r="O12" i="3"/>
  <c r="N12" i="3"/>
  <c r="M12" i="3"/>
  <c r="L12" i="3"/>
  <c r="K12" i="3"/>
  <c r="J12" i="3"/>
  <c r="I12" i="3"/>
  <c r="H12" i="3"/>
  <c r="G12" i="3"/>
  <c r="F12" i="3"/>
  <c r="E12" i="3"/>
  <c r="D12" i="3"/>
  <c r="C12" i="3"/>
  <c r="B12" i="3"/>
  <c r="A12" i="3"/>
  <c r="A11" i="3"/>
  <c r="Q10" i="3"/>
  <c r="P10" i="3"/>
  <c r="O10" i="3"/>
  <c r="N10" i="3"/>
  <c r="M10" i="3"/>
  <c r="L10" i="3"/>
  <c r="K10" i="3"/>
  <c r="J10" i="3"/>
  <c r="I10" i="3"/>
  <c r="H10" i="3"/>
  <c r="G10" i="3"/>
  <c r="F10" i="3"/>
  <c r="E10" i="3"/>
  <c r="D10" i="3"/>
  <c r="C10" i="3"/>
  <c r="B10" i="3"/>
  <c r="A10" i="3"/>
  <c r="A20" i="3"/>
  <c r="A19" i="3"/>
  <c r="A8" i="3"/>
  <c r="A7" i="3"/>
  <c r="A6" i="3"/>
  <c r="G58" i="8"/>
  <c r="G80" i="8" s="1"/>
  <c r="J57" i="8"/>
  <c r="G57" i="8"/>
  <c r="J55" i="8"/>
  <c r="J77" i="8" s="1"/>
  <c r="G55" i="8"/>
  <c r="G77" i="8" s="1"/>
  <c r="G54" i="8"/>
  <c r="G76" i="8" s="1"/>
  <c r="J53" i="8"/>
  <c r="G53" i="8"/>
  <c r="J51" i="8"/>
  <c r="G51" i="8"/>
  <c r="G73" i="8" s="1"/>
  <c r="J58" i="8"/>
  <c r="J80" i="8" s="1"/>
  <c r="H58" i="8"/>
  <c r="H57" i="8"/>
  <c r="B55" i="8"/>
  <c r="J54" i="8"/>
  <c r="J76" i="8" s="1"/>
  <c r="H54" i="8"/>
  <c r="H53" i="8"/>
  <c r="L51" i="3"/>
  <c r="D51" i="3"/>
  <c r="B51" i="3"/>
  <c r="L41" i="3"/>
  <c r="D41" i="3"/>
  <c r="B68" i="10"/>
  <c r="B81" i="3"/>
  <c r="B65" i="10"/>
  <c r="B64" i="10"/>
  <c r="G71" i="3"/>
  <c r="B71" i="3"/>
  <c r="B61" i="10"/>
  <c r="A234" i="3"/>
  <c r="A233" i="3"/>
  <c r="A230" i="3"/>
  <c r="A225" i="3"/>
  <c r="A221" i="3"/>
  <c r="A217" i="3"/>
  <c r="A204" i="3"/>
  <c r="A203" i="3"/>
  <c r="A200" i="3"/>
  <c r="A195" i="3"/>
  <c r="A191" i="3"/>
  <c r="A187" i="3"/>
  <c r="A174" i="3"/>
  <c r="A173" i="3"/>
  <c r="A170" i="3"/>
  <c r="A165" i="3"/>
  <c r="A161" i="3"/>
  <c r="A157" i="3"/>
  <c r="A144" i="3"/>
  <c r="A143" i="3"/>
  <c r="A140" i="3"/>
  <c r="A135" i="3"/>
  <c r="A131" i="3"/>
  <c r="A127" i="3"/>
  <c r="A114" i="3"/>
  <c r="A113" i="3"/>
  <c r="A110" i="3"/>
  <c r="A105" i="3"/>
  <c r="A101" i="3"/>
  <c r="A97" i="3"/>
  <c r="A82" i="3"/>
  <c r="A81" i="3"/>
  <c r="A78" i="3"/>
  <c r="A75" i="3"/>
  <c r="A73" i="3"/>
  <c r="A69" i="3"/>
  <c r="A65" i="3"/>
  <c r="A52" i="3"/>
  <c r="A51" i="3"/>
  <c r="A48" i="3"/>
  <c r="A44" i="3"/>
  <c r="A43" i="3"/>
  <c r="A39" i="3"/>
  <c r="A35" i="3"/>
  <c r="A137" i="3"/>
  <c r="A74" i="3"/>
  <c r="B4" i="1"/>
  <c r="B9" i="1"/>
  <c r="B8" i="1"/>
  <c r="B16" i="1"/>
  <c r="B6" i="1"/>
  <c r="B7" i="1"/>
  <c r="B13" i="1"/>
  <c r="B17" i="1"/>
  <c r="B12" i="1"/>
  <c r="B11" i="1"/>
  <c r="B15" i="1"/>
  <c r="B21" i="1"/>
  <c r="B20" i="1"/>
  <c r="B18" i="1"/>
  <c r="B22" i="1"/>
  <c r="A71" i="3" l="1"/>
  <c r="A42" i="3"/>
  <c r="A66" i="3"/>
  <c r="A67" i="3"/>
  <c r="A100" i="3"/>
  <c r="A49" i="3"/>
  <c r="A192" i="3"/>
  <c r="A134" i="3"/>
  <c r="G222" i="3"/>
  <c r="O222" i="3"/>
  <c r="T222" i="3"/>
  <c r="E224" i="3"/>
  <c r="M224" i="3"/>
  <c r="V233" i="3"/>
  <c r="V222" i="3"/>
  <c r="V224" i="3"/>
  <c r="B224" i="3"/>
  <c r="J224" i="3"/>
  <c r="A149" i="3"/>
  <c r="A120" i="3"/>
  <c r="T193" i="3"/>
  <c r="T203" i="3"/>
  <c r="R222" i="3"/>
  <c r="N222" i="3"/>
  <c r="S222" i="3"/>
  <c r="R224" i="3"/>
  <c r="F222" i="3"/>
  <c r="V192" i="3"/>
  <c r="V194" i="3"/>
  <c r="S223" i="3"/>
  <c r="V193" i="3"/>
  <c r="S203" i="3"/>
  <c r="T223" i="3"/>
  <c r="R192" i="3"/>
  <c r="R194" i="3"/>
  <c r="S192" i="3"/>
  <c r="S194" i="3"/>
  <c r="T192" i="3"/>
  <c r="T194" i="3"/>
  <c r="T233" i="3"/>
  <c r="U192" i="3"/>
  <c r="U194" i="3"/>
  <c r="U222" i="3"/>
  <c r="U224" i="3"/>
  <c r="D222" i="3"/>
  <c r="L222" i="3"/>
  <c r="D224" i="3"/>
  <c r="L224" i="3"/>
  <c r="Q49" i="10"/>
  <c r="Q38" i="10"/>
  <c r="Q60" i="10"/>
  <c r="S57" i="9"/>
  <c r="S46" i="9"/>
  <c r="S35" i="9"/>
  <c r="S24" i="9"/>
  <c r="G67" i="10"/>
  <c r="G63" i="10"/>
  <c r="G59" i="10"/>
  <c r="F57" i="9"/>
  <c r="N57" i="9"/>
  <c r="L64" i="9"/>
  <c r="L62" i="9"/>
  <c r="L60" i="9"/>
  <c r="L58" i="9"/>
  <c r="L56" i="9"/>
  <c r="L65" i="9"/>
  <c r="L61" i="9"/>
  <c r="L23" i="9"/>
  <c r="L45" i="9"/>
  <c r="M67" i="10"/>
  <c r="M63" i="10"/>
  <c r="M59" i="10"/>
  <c r="K65" i="9"/>
  <c r="K61" i="9"/>
  <c r="K64" i="9"/>
  <c r="K62" i="9"/>
  <c r="K60" i="9"/>
  <c r="K58" i="9"/>
  <c r="K56" i="9"/>
  <c r="N51" i="3"/>
  <c r="R24" i="9"/>
  <c r="R57" i="9"/>
  <c r="R46" i="9"/>
  <c r="R35" i="9"/>
  <c r="C67" i="10"/>
  <c r="C59" i="10"/>
  <c r="C63" i="10"/>
  <c r="N67" i="10"/>
  <c r="N63" i="10"/>
  <c r="N59" i="10"/>
  <c r="H71" i="3"/>
  <c r="H62" i="10"/>
  <c r="P71" i="3"/>
  <c r="F81" i="3"/>
  <c r="F66" i="10"/>
  <c r="N81" i="3"/>
  <c r="N66" i="10"/>
  <c r="O24" i="9"/>
  <c r="F41" i="3"/>
  <c r="U62" i="10"/>
  <c r="U51" i="10"/>
  <c r="U40" i="10"/>
  <c r="T30" i="9"/>
  <c r="T41" i="9"/>
  <c r="T52" i="9"/>
  <c r="T63" i="9"/>
  <c r="E81" i="3"/>
  <c r="E66" i="10"/>
  <c r="F63" i="9"/>
  <c r="T62" i="10"/>
  <c r="T51" i="10"/>
  <c r="T40" i="10"/>
  <c r="S63" i="9"/>
  <c r="S52" i="9"/>
  <c r="S30" i="9"/>
  <c r="S41" i="9"/>
  <c r="I60" i="10"/>
  <c r="I62" i="10"/>
  <c r="Q40" i="10"/>
  <c r="Q62" i="10"/>
  <c r="Q51" i="10"/>
  <c r="G66" i="10"/>
  <c r="C57" i="9"/>
  <c r="H41" i="3"/>
  <c r="H39" i="3" s="1"/>
  <c r="H59" i="9"/>
  <c r="P41" i="3"/>
  <c r="H63" i="9"/>
  <c r="P59" i="9"/>
  <c r="H222" i="3"/>
  <c r="P222" i="3"/>
  <c r="F224" i="3"/>
  <c r="N224" i="3"/>
  <c r="V51" i="10"/>
  <c r="V40" i="10"/>
  <c r="V62" i="10"/>
  <c r="R59" i="9"/>
  <c r="R26" i="9"/>
  <c r="R48" i="9"/>
  <c r="R37" i="9"/>
  <c r="U63" i="9"/>
  <c r="U30" i="9"/>
  <c r="U41" i="9"/>
  <c r="U52" i="9"/>
  <c r="P60" i="10"/>
  <c r="F67" i="10"/>
  <c r="F63" i="10"/>
  <c r="F59" i="10"/>
  <c r="H81" i="3"/>
  <c r="P81" i="3"/>
  <c r="P66" i="10"/>
  <c r="Q51" i="3"/>
  <c r="N41" i="3"/>
  <c r="O71" i="3"/>
  <c r="R66" i="10"/>
  <c r="R55" i="10"/>
  <c r="R44" i="10"/>
  <c r="S59" i="9"/>
  <c r="S37" i="9"/>
  <c r="S48" i="9"/>
  <c r="S26" i="9"/>
  <c r="V30" i="9"/>
  <c r="V41" i="9"/>
  <c r="V52" i="9"/>
  <c r="V63" i="9"/>
  <c r="P57" i="9"/>
  <c r="C60" i="10"/>
  <c r="L62" i="10"/>
  <c r="L38" i="10"/>
  <c r="L49" i="10"/>
  <c r="C71" i="3"/>
  <c r="C62" i="10"/>
  <c r="K71" i="3"/>
  <c r="I81" i="3"/>
  <c r="I66" i="10"/>
  <c r="Q66" i="10"/>
  <c r="Q55" i="10"/>
  <c r="Q44" i="10"/>
  <c r="E57" i="9"/>
  <c r="J46" i="9"/>
  <c r="J51" i="3"/>
  <c r="G81" i="3"/>
  <c r="V51" i="3"/>
  <c r="S66" i="10"/>
  <c r="S55" i="10"/>
  <c r="S44" i="10"/>
  <c r="T48" i="9"/>
  <c r="T26" i="9"/>
  <c r="T37" i="9"/>
  <c r="T59" i="9"/>
  <c r="L57" i="9"/>
  <c r="L24" i="9"/>
  <c r="L35" i="9"/>
  <c r="L46" i="9"/>
  <c r="H60" i="10"/>
  <c r="D60" i="10"/>
  <c r="M60" i="10"/>
  <c r="D71" i="3"/>
  <c r="D62" i="10"/>
  <c r="L71" i="3"/>
  <c r="L51" i="10"/>
  <c r="L40" i="10"/>
  <c r="J81" i="3"/>
  <c r="C59" i="9"/>
  <c r="K59" i="9"/>
  <c r="C63" i="9"/>
  <c r="K63" i="9"/>
  <c r="Q52" i="9"/>
  <c r="O81" i="3"/>
  <c r="R60" i="10"/>
  <c r="R49" i="10"/>
  <c r="R38" i="10"/>
  <c r="T66" i="10"/>
  <c r="T55" i="10"/>
  <c r="T44" i="10"/>
  <c r="U41" i="3"/>
  <c r="U59" i="9"/>
  <c r="U26" i="9"/>
  <c r="U37" i="9"/>
  <c r="U48" i="9"/>
  <c r="G62" i="10"/>
  <c r="M81" i="3"/>
  <c r="M66" i="10"/>
  <c r="I67" i="10"/>
  <c r="I63" i="10"/>
  <c r="I59" i="10"/>
  <c r="E60" i="10"/>
  <c r="N60" i="10"/>
  <c r="E71" i="3"/>
  <c r="E62" i="10"/>
  <c r="M71" i="3"/>
  <c r="M62" i="10"/>
  <c r="C81" i="3"/>
  <c r="C66" i="10"/>
  <c r="K81" i="3"/>
  <c r="C65" i="9"/>
  <c r="C61" i="9"/>
  <c r="C64" i="9"/>
  <c r="C62" i="9"/>
  <c r="C60" i="9"/>
  <c r="C58" i="9"/>
  <c r="C56" i="9"/>
  <c r="H57" i="9"/>
  <c r="L59" i="9"/>
  <c r="L26" i="9"/>
  <c r="L48" i="9"/>
  <c r="L37" i="9"/>
  <c r="L63" i="9"/>
  <c r="L30" i="9"/>
  <c r="L52" i="9"/>
  <c r="L41" i="9"/>
  <c r="Q48" i="9"/>
  <c r="R51" i="10"/>
  <c r="R62" i="10"/>
  <c r="R40" i="10"/>
  <c r="U66" i="10"/>
  <c r="U55" i="10"/>
  <c r="U44" i="10"/>
  <c r="V26" i="9"/>
  <c r="V59" i="9"/>
  <c r="V37" i="9"/>
  <c r="V48" i="9"/>
  <c r="G60" i="10"/>
  <c r="F59" i="9"/>
  <c r="Q63" i="9"/>
  <c r="F60" i="10"/>
  <c r="O38" i="10"/>
  <c r="F71" i="3"/>
  <c r="F62" i="10"/>
  <c r="N71" i="3"/>
  <c r="N62" i="10"/>
  <c r="D81" i="3"/>
  <c r="D66" i="10"/>
  <c r="L81" i="3"/>
  <c r="L44" i="10"/>
  <c r="L55" i="10"/>
  <c r="D63" i="9"/>
  <c r="K57" i="9"/>
  <c r="E41" i="3"/>
  <c r="M41" i="3"/>
  <c r="E51" i="3"/>
  <c r="M51" i="3"/>
  <c r="S41" i="3"/>
  <c r="S62" i="10"/>
  <c r="S51" i="10"/>
  <c r="S40" i="10"/>
  <c r="V66" i="10"/>
  <c r="V55" i="10"/>
  <c r="V44" i="10"/>
  <c r="R63" i="9"/>
  <c r="R52" i="9"/>
  <c r="R30" i="9"/>
  <c r="R41" i="9"/>
  <c r="O120" i="8"/>
  <c r="O116" i="8"/>
  <c r="O121" i="8"/>
  <c r="O119" i="8"/>
  <c r="O117" i="8"/>
  <c r="O83" i="8"/>
  <c r="M48" i="10"/>
  <c r="P23" i="9"/>
  <c r="H49" i="10"/>
  <c r="H46" i="9"/>
  <c r="E49" i="10"/>
  <c r="E46" i="9"/>
  <c r="G44" i="10"/>
  <c r="G41" i="9"/>
  <c r="K85" i="8"/>
  <c r="K26" i="9"/>
  <c r="N51" i="10"/>
  <c r="N48" i="9"/>
  <c r="R100" i="8"/>
  <c r="R56" i="8"/>
  <c r="R78" i="8" s="1"/>
  <c r="R111" i="8"/>
  <c r="T85" i="8"/>
  <c r="T118" i="8"/>
  <c r="C40" i="10"/>
  <c r="C37" i="9"/>
  <c r="K40" i="10"/>
  <c r="K37" i="9"/>
  <c r="K52" i="8"/>
  <c r="K74" i="8" s="1"/>
  <c r="K96" i="8"/>
  <c r="H100" i="8"/>
  <c r="H44" i="10"/>
  <c r="H41" i="9"/>
  <c r="Q112" i="8"/>
  <c r="Q41" i="9"/>
  <c r="Q56" i="8"/>
  <c r="Q78" i="8" s="1"/>
  <c r="Q113" i="8"/>
  <c r="Q111" i="8"/>
  <c r="Q100" i="8"/>
  <c r="D85" i="8"/>
  <c r="D26" i="9"/>
  <c r="M26" i="9"/>
  <c r="M85" i="8"/>
  <c r="E30" i="9"/>
  <c r="N123" i="8"/>
  <c r="N89" i="8"/>
  <c r="N30" i="9"/>
  <c r="N124" i="8"/>
  <c r="N122" i="8"/>
  <c r="F51" i="10"/>
  <c r="F48" i="9"/>
  <c r="O51" i="10"/>
  <c r="O48" i="9"/>
  <c r="G55" i="10"/>
  <c r="G52" i="9"/>
  <c r="P55" i="10"/>
  <c r="P52" i="9"/>
  <c r="S56" i="8"/>
  <c r="S78" i="8" s="1"/>
  <c r="S111" i="8"/>
  <c r="S100" i="8"/>
  <c r="U118" i="8"/>
  <c r="U85" i="8"/>
  <c r="J96" i="8"/>
  <c r="J40" i="10"/>
  <c r="J37" i="9"/>
  <c r="D30" i="9"/>
  <c r="E51" i="10"/>
  <c r="E48" i="9"/>
  <c r="F55" i="10"/>
  <c r="F52" i="9"/>
  <c r="D38" i="10"/>
  <c r="D35" i="9"/>
  <c r="D96" i="8"/>
  <c r="D40" i="10"/>
  <c r="D37" i="9"/>
  <c r="M40" i="10"/>
  <c r="M37" i="9"/>
  <c r="M52" i="8"/>
  <c r="M74" i="8" s="1"/>
  <c r="M96" i="8"/>
  <c r="I100" i="8"/>
  <c r="I44" i="10"/>
  <c r="I41" i="9"/>
  <c r="K118" i="8"/>
  <c r="E26" i="9"/>
  <c r="N85" i="8"/>
  <c r="N26" i="9"/>
  <c r="N118" i="8"/>
  <c r="F89" i="8"/>
  <c r="F30" i="9"/>
  <c r="O30" i="9"/>
  <c r="O124" i="8"/>
  <c r="O122" i="8"/>
  <c r="O123" i="8"/>
  <c r="O89" i="8"/>
  <c r="F49" i="10"/>
  <c r="F46" i="9"/>
  <c r="G51" i="10"/>
  <c r="G48" i="9"/>
  <c r="P51" i="10"/>
  <c r="P48" i="9"/>
  <c r="H55" i="10"/>
  <c r="H52" i="9"/>
  <c r="T56" i="8"/>
  <c r="T78" i="8" s="1"/>
  <c r="T111" i="8"/>
  <c r="T100" i="8"/>
  <c r="V85" i="8"/>
  <c r="V118" i="8"/>
  <c r="B96" i="8"/>
  <c r="B40" i="10"/>
  <c r="B37" i="9"/>
  <c r="P112" i="8"/>
  <c r="P100" i="8"/>
  <c r="P44" i="10"/>
  <c r="P41" i="9"/>
  <c r="P56" i="8"/>
  <c r="P78" i="8" s="1"/>
  <c r="P113" i="8"/>
  <c r="P111" i="8"/>
  <c r="G48" i="10"/>
  <c r="B41" i="9"/>
  <c r="B44" i="10"/>
  <c r="B24" i="9"/>
  <c r="F85" i="8"/>
  <c r="F26" i="9"/>
  <c r="G30" i="9"/>
  <c r="P30" i="9"/>
  <c r="P124" i="8"/>
  <c r="P122" i="8"/>
  <c r="P123" i="8"/>
  <c r="P89" i="8"/>
  <c r="H38" i="10"/>
  <c r="H35" i="9"/>
  <c r="F40" i="10"/>
  <c r="F37" i="9"/>
  <c r="O96" i="8"/>
  <c r="O40" i="10"/>
  <c r="O37" i="9"/>
  <c r="O52" i="8"/>
  <c r="O74" i="8" s="1"/>
  <c r="O107" i="8"/>
  <c r="C44" i="10"/>
  <c r="C41" i="9"/>
  <c r="K44" i="10"/>
  <c r="K41" i="9"/>
  <c r="K56" i="8"/>
  <c r="K78" i="8" s="1"/>
  <c r="K113" i="8"/>
  <c r="K111" i="8"/>
  <c r="K112" i="8"/>
  <c r="K100" i="8"/>
  <c r="D24" i="9"/>
  <c r="G85" i="8"/>
  <c r="G26" i="9"/>
  <c r="P26" i="9"/>
  <c r="P118" i="8"/>
  <c r="P85" i="8"/>
  <c r="H30" i="9"/>
  <c r="Q30" i="9"/>
  <c r="Q124" i="8"/>
  <c r="Q122" i="8"/>
  <c r="Q123" i="8"/>
  <c r="Q89" i="8"/>
  <c r="Q83" i="8"/>
  <c r="I51" i="10"/>
  <c r="I48" i="9"/>
  <c r="B55" i="10"/>
  <c r="B52" i="9"/>
  <c r="J55" i="10"/>
  <c r="J52" i="9"/>
  <c r="S52" i="8"/>
  <c r="S74" i="8" s="1"/>
  <c r="S107" i="8"/>
  <c r="S96" i="8"/>
  <c r="V56" i="8"/>
  <c r="V78" i="8" s="1"/>
  <c r="V111" i="8"/>
  <c r="V100" i="8"/>
  <c r="S89" i="8"/>
  <c r="S122" i="8"/>
  <c r="M49" i="10"/>
  <c r="M46" i="9"/>
  <c r="N121" i="8"/>
  <c r="N119" i="8"/>
  <c r="N117" i="8"/>
  <c r="N83" i="8"/>
  <c r="N24" i="9"/>
  <c r="N120" i="8"/>
  <c r="N116" i="8"/>
  <c r="P49" i="10"/>
  <c r="P46" i="9"/>
  <c r="H51" i="10"/>
  <c r="H48" i="9"/>
  <c r="I55" i="10"/>
  <c r="I52" i="9"/>
  <c r="G96" i="8"/>
  <c r="G40" i="10"/>
  <c r="G37" i="9"/>
  <c r="P96" i="8"/>
  <c r="P40" i="10"/>
  <c r="P37" i="9"/>
  <c r="P52" i="8"/>
  <c r="P74" i="8" s="1"/>
  <c r="P107" i="8"/>
  <c r="D44" i="10"/>
  <c r="D41" i="9"/>
  <c r="M44" i="10"/>
  <c r="M41" i="9"/>
  <c r="M56" i="8"/>
  <c r="M78" i="8" s="1"/>
  <c r="M113" i="8"/>
  <c r="M111" i="8"/>
  <c r="M112" i="8"/>
  <c r="M100" i="8"/>
  <c r="P24" i="9"/>
  <c r="P120" i="8"/>
  <c r="P116" i="8"/>
  <c r="P121" i="8"/>
  <c r="P119" i="8"/>
  <c r="P117" i="8"/>
  <c r="P83" i="8"/>
  <c r="H85" i="8"/>
  <c r="H26" i="9"/>
  <c r="Q26" i="9"/>
  <c r="Q118" i="8"/>
  <c r="Q85" i="8"/>
  <c r="I89" i="8"/>
  <c r="I30" i="9"/>
  <c r="P82" i="8"/>
  <c r="I49" i="10"/>
  <c r="B51" i="10"/>
  <c r="B48" i="9"/>
  <c r="J51" i="10"/>
  <c r="J48" i="9"/>
  <c r="C55" i="10"/>
  <c r="C52" i="9"/>
  <c r="K55" i="10"/>
  <c r="K52" i="9"/>
  <c r="T52" i="8"/>
  <c r="T74" i="8" s="1"/>
  <c r="T107" i="8"/>
  <c r="T96" i="8"/>
  <c r="T89" i="8"/>
  <c r="T122" i="8"/>
  <c r="D49" i="10"/>
  <c r="D46" i="9"/>
  <c r="O55" i="10"/>
  <c r="O52" i="9"/>
  <c r="G94" i="8"/>
  <c r="G38" i="10"/>
  <c r="N40" i="10"/>
  <c r="N37" i="9"/>
  <c r="N52" i="8"/>
  <c r="N74" i="8" s="1"/>
  <c r="N96" i="8"/>
  <c r="O26" i="9"/>
  <c r="O118" i="8"/>
  <c r="O85" i="8"/>
  <c r="G49" i="10"/>
  <c r="R21" i="3"/>
  <c r="R203" i="3" s="1"/>
  <c r="U56" i="8"/>
  <c r="U78" i="8" s="1"/>
  <c r="U111" i="8"/>
  <c r="U100" i="8"/>
  <c r="A40" i="3"/>
  <c r="O110" i="8"/>
  <c r="O108" i="8"/>
  <c r="O106" i="8"/>
  <c r="O94" i="8"/>
  <c r="O50" i="8"/>
  <c r="O72" i="8" s="1"/>
  <c r="O109" i="8"/>
  <c r="O105" i="8"/>
  <c r="H96" i="8"/>
  <c r="H40" i="10"/>
  <c r="H37" i="9"/>
  <c r="Q37" i="9"/>
  <c r="Q52" i="8"/>
  <c r="Q74" i="8" s="1"/>
  <c r="Q96" i="8"/>
  <c r="E44" i="10"/>
  <c r="E41" i="9"/>
  <c r="N44" i="10"/>
  <c r="N41" i="9"/>
  <c r="N56" i="8"/>
  <c r="N78" i="8" s="1"/>
  <c r="N113" i="8"/>
  <c r="N111" i="8"/>
  <c r="N112" i="8"/>
  <c r="N100" i="8"/>
  <c r="G83" i="8"/>
  <c r="Q120" i="8"/>
  <c r="Q116" i="8"/>
  <c r="Q121" i="8"/>
  <c r="Q119" i="8"/>
  <c r="Q117" i="8"/>
  <c r="I85" i="8"/>
  <c r="I26" i="9"/>
  <c r="B30" i="9"/>
  <c r="J30" i="9"/>
  <c r="B46" i="9"/>
  <c r="J49" i="10"/>
  <c r="C51" i="10"/>
  <c r="C48" i="9"/>
  <c r="K51" i="10"/>
  <c r="K48" i="9"/>
  <c r="D55" i="10"/>
  <c r="D52" i="9"/>
  <c r="M55" i="10"/>
  <c r="M52" i="9"/>
  <c r="U52" i="8"/>
  <c r="U74" i="8" s="1"/>
  <c r="U107" i="8"/>
  <c r="U96" i="8"/>
  <c r="R118" i="8"/>
  <c r="R85" i="8"/>
  <c r="U122" i="8"/>
  <c r="U89" i="8"/>
  <c r="C85" i="8"/>
  <c r="C26" i="9"/>
  <c r="M123" i="8"/>
  <c r="M30" i="9"/>
  <c r="M124" i="8"/>
  <c r="M122" i="8"/>
  <c r="M89" i="8"/>
  <c r="E40" i="10"/>
  <c r="E37" i="9"/>
  <c r="J44" i="10"/>
  <c r="J41" i="9"/>
  <c r="R96" i="8"/>
  <c r="R52" i="8"/>
  <c r="R74" i="8" s="1"/>
  <c r="R107" i="8"/>
  <c r="R122" i="8"/>
  <c r="R89" i="8"/>
  <c r="P110" i="8"/>
  <c r="P108" i="8"/>
  <c r="P106" i="8"/>
  <c r="P94" i="8"/>
  <c r="P38" i="10"/>
  <c r="P35" i="9"/>
  <c r="P50" i="8"/>
  <c r="P72" i="8" s="1"/>
  <c r="P109" i="8"/>
  <c r="P105" i="8"/>
  <c r="I40" i="10"/>
  <c r="I37" i="9"/>
  <c r="F100" i="8"/>
  <c r="F44" i="10"/>
  <c r="F41" i="9"/>
  <c r="O112" i="8"/>
  <c r="O100" i="8"/>
  <c r="O44" i="10"/>
  <c r="O41" i="9"/>
  <c r="O56" i="8"/>
  <c r="O78" i="8" s="1"/>
  <c r="O113" i="8"/>
  <c r="O111" i="8"/>
  <c r="H24" i="9"/>
  <c r="B26" i="9"/>
  <c r="J85" i="8"/>
  <c r="J26" i="9"/>
  <c r="C30" i="9"/>
  <c r="K123" i="8"/>
  <c r="K89" i="8"/>
  <c r="K30" i="9"/>
  <c r="K124" i="8"/>
  <c r="K122" i="8"/>
  <c r="D51" i="10"/>
  <c r="D48" i="9"/>
  <c r="M51" i="10"/>
  <c r="M48" i="9"/>
  <c r="E55" i="10"/>
  <c r="E52" i="9"/>
  <c r="N55" i="10"/>
  <c r="N52" i="9"/>
  <c r="R11" i="3"/>
  <c r="R223" i="3" s="1"/>
  <c r="V52" i="8"/>
  <c r="V74" i="8" s="1"/>
  <c r="V107" i="8"/>
  <c r="V96" i="8"/>
  <c r="S85" i="8"/>
  <c r="S118" i="8"/>
  <c r="V89" i="8"/>
  <c r="V122" i="8"/>
  <c r="A104" i="3"/>
  <c r="I222" i="3"/>
  <c r="Q222" i="3"/>
  <c r="G224" i="3"/>
  <c r="O224" i="3"/>
  <c r="A194" i="3"/>
  <c r="E222" i="3"/>
  <c r="M222" i="3"/>
  <c r="C224" i="3"/>
  <c r="K224" i="3"/>
  <c r="B222" i="3"/>
  <c r="J222" i="3"/>
  <c r="H224" i="3"/>
  <c r="P224" i="3"/>
  <c r="I192" i="3"/>
  <c r="Q192" i="3"/>
  <c r="E194" i="3"/>
  <c r="M194" i="3"/>
  <c r="H192" i="3"/>
  <c r="P192" i="3"/>
  <c r="D194" i="3"/>
  <c r="L194" i="3"/>
  <c r="A88" i="3"/>
  <c r="B192" i="3"/>
  <c r="J192" i="3"/>
  <c r="F194" i="3"/>
  <c r="N194" i="3"/>
  <c r="C192" i="3"/>
  <c r="K192" i="3"/>
  <c r="G194" i="3"/>
  <c r="O194" i="3"/>
  <c r="D192" i="3"/>
  <c r="L192" i="3"/>
  <c r="H194" i="3"/>
  <c r="P194" i="3"/>
  <c r="E192" i="3"/>
  <c r="M192" i="3"/>
  <c r="I194" i="3"/>
  <c r="Q194" i="3"/>
  <c r="F192" i="3"/>
  <c r="N192" i="3"/>
  <c r="B194" i="3"/>
  <c r="J194" i="3"/>
  <c r="T39" i="3"/>
  <c r="C222" i="3"/>
  <c r="K222" i="3"/>
  <c r="I224" i="3"/>
  <c r="Q224" i="3"/>
  <c r="G192" i="3"/>
  <c r="O192" i="3"/>
  <c r="C194" i="3"/>
  <c r="K194" i="3"/>
  <c r="Q81" i="3"/>
  <c r="U71" i="3"/>
  <c r="V71" i="3"/>
  <c r="T69" i="3"/>
  <c r="I71" i="3"/>
  <c r="Q71" i="3"/>
  <c r="R81" i="3"/>
  <c r="J71" i="3"/>
  <c r="M11" i="3"/>
  <c r="N11" i="3"/>
  <c r="U21" i="3"/>
  <c r="U233" i="3" s="1"/>
  <c r="Q11" i="3"/>
  <c r="Q9" i="3" s="1"/>
  <c r="M21" i="3"/>
  <c r="C111" i="8"/>
  <c r="C100" i="8"/>
  <c r="G122" i="8"/>
  <c r="G89" i="8"/>
  <c r="D111" i="8"/>
  <c r="D100" i="8"/>
  <c r="H122" i="8"/>
  <c r="H89" i="8"/>
  <c r="I11" i="3"/>
  <c r="I9" i="3" s="1"/>
  <c r="I96" i="8"/>
  <c r="E21" i="3"/>
  <c r="E100" i="8"/>
  <c r="H116" i="8"/>
  <c r="H83" i="8"/>
  <c r="D105" i="8"/>
  <c r="D94" i="8"/>
  <c r="I116" i="8"/>
  <c r="I83" i="8"/>
  <c r="B85" i="8"/>
  <c r="B89" i="8"/>
  <c r="J122" i="8"/>
  <c r="J89" i="8"/>
  <c r="C96" i="8"/>
  <c r="G111" i="8"/>
  <c r="G100" i="8"/>
  <c r="D82" i="8"/>
  <c r="J116" i="8"/>
  <c r="J83" i="8"/>
  <c r="C122" i="8"/>
  <c r="C89" i="8"/>
  <c r="H50" i="8"/>
  <c r="H72" i="8" s="1"/>
  <c r="H94" i="8"/>
  <c r="B116" i="8"/>
  <c r="B83" i="8"/>
  <c r="D122" i="8"/>
  <c r="D89" i="8"/>
  <c r="E11" i="3"/>
  <c r="E96" i="8"/>
  <c r="E85" i="8"/>
  <c r="E89" i="8"/>
  <c r="F11" i="3"/>
  <c r="F96" i="8"/>
  <c r="B111" i="8"/>
  <c r="B100" i="8"/>
  <c r="J111" i="8"/>
  <c r="J100" i="8"/>
  <c r="I82" i="8"/>
  <c r="D116" i="8"/>
  <c r="D83" i="8"/>
  <c r="B56" i="9"/>
  <c r="F51" i="3"/>
  <c r="G41" i="3"/>
  <c r="O41" i="3"/>
  <c r="G51" i="3"/>
  <c r="O51" i="3"/>
  <c r="H51" i="3"/>
  <c r="P51" i="3"/>
  <c r="I41" i="3"/>
  <c r="Q41" i="3"/>
  <c r="I51" i="3"/>
  <c r="I46" i="9"/>
  <c r="B41" i="3"/>
  <c r="J41" i="3"/>
  <c r="M45" i="9"/>
  <c r="C41" i="3"/>
  <c r="K41" i="3"/>
  <c r="C51" i="3"/>
  <c r="K51" i="3"/>
  <c r="B50" i="8"/>
  <c r="M118" i="8"/>
  <c r="Q107" i="8"/>
  <c r="G107" i="8"/>
  <c r="I123" i="8"/>
  <c r="T82" i="8"/>
  <c r="S82" i="8"/>
  <c r="C105" i="8"/>
  <c r="C110" i="8"/>
  <c r="I109" i="8"/>
  <c r="C112" i="8"/>
  <c r="G123" i="8"/>
  <c r="I111" i="8"/>
  <c r="C116" i="8"/>
  <c r="I122" i="8"/>
  <c r="G11" i="3"/>
  <c r="O11" i="3"/>
  <c r="F21" i="3"/>
  <c r="N21" i="3"/>
  <c r="D106" i="8"/>
  <c r="G52" i="8"/>
  <c r="G74" i="8" s="1"/>
  <c r="I108" i="8"/>
  <c r="G116" i="8"/>
  <c r="C120" i="8"/>
  <c r="H11" i="3"/>
  <c r="P11" i="3"/>
  <c r="P9" i="3" s="1"/>
  <c r="G21" i="3"/>
  <c r="O21" i="3"/>
  <c r="E108" i="8"/>
  <c r="M107" i="8"/>
  <c r="I106" i="8"/>
  <c r="D107" i="8"/>
  <c r="G108" i="8"/>
  <c r="I110" i="8"/>
  <c r="G112" i="8"/>
  <c r="G119" i="8"/>
  <c r="I124" i="8"/>
  <c r="I112" i="8"/>
  <c r="G117" i="8"/>
  <c r="G120" i="8"/>
  <c r="H21" i="3"/>
  <c r="P21" i="3"/>
  <c r="J106" i="8"/>
  <c r="G118" i="8"/>
  <c r="I119" i="8"/>
  <c r="G50" i="8"/>
  <c r="G105" i="8"/>
  <c r="I117" i="8"/>
  <c r="E123" i="8"/>
  <c r="B11" i="3"/>
  <c r="J11" i="3"/>
  <c r="J9" i="3" s="1"/>
  <c r="I21" i="3"/>
  <c r="Q21" i="3"/>
  <c r="C121" i="8"/>
  <c r="G121" i="8"/>
  <c r="C11" i="3"/>
  <c r="K11" i="3"/>
  <c r="B21" i="3"/>
  <c r="B233" i="3" s="1"/>
  <c r="J21" i="3"/>
  <c r="G113" i="8"/>
  <c r="G56" i="8"/>
  <c r="G106" i="8"/>
  <c r="E113" i="8"/>
  <c r="I118" i="8"/>
  <c r="I121" i="8"/>
  <c r="C124" i="8"/>
  <c r="D11" i="3"/>
  <c r="D9" i="3" s="1"/>
  <c r="L11" i="3"/>
  <c r="C21" i="3"/>
  <c r="K21" i="3"/>
  <c r="G109" i="8"/>
  <c r="C117" i="8"/>
  <c r="B118" i="8"/>
  <c r="I120" i="8"/>
  <c r="J56" i="8"/>
  <c r="G110" i="8"/>
  <c r="G124" i="8"/>
  <c r="D21" i="3"/>
  <c r="L21" i="3"/>
  <c r="U9" i="3"/>
  <c r="B106" i="8"/>
  <c r="I107" i="8"/>
  <c r="I113" i="8"/>
  <c r="C118" i="8"/>
  <c r="B122" i="8"/>
  <c r="V39" i="3"/>
  <c r="S9" i="3"/>
  <c r="R69" i="3"/>
  <c r="T9" i="3"/>
  <c r="S69" i="3"/>
  <c r="V9" i="3"/>
  <c r="R39" i="3"/>
  <c r="V82" i="8"/>
  <c r="A198" i="3"/>
  <c r="A228" i="3"/>
  <c r="A168" i="3"/>
  <c r="A189" i="3"/>
  <c r="A219" i="3"/>
  <c r="A141" i="3"/>
  <c r="A231" i="3"/>
  <c r="A171" i="3"/>
  <c r="A111" i="3"/>
  <c r="A37" i="3"/>
  <c r="A45" i="3"/>
  <c r="B69" i="3"/>
  <c r="A70" i="3"/>
  <c r="A79" i="3"/>
  <c r="A190" i="3"/>
  <c r="A220" i="3"/>
  <c r="A160" i="3"/>
  <c r="A232" i="3"/>
  <c r="A172" i="3"/>
  <c r="A202" i="3"/>
  <c r="A142" i="3"/>
  <c r="A38" i="3"/>
  <c r="A46" i="3"/>
  <c r="A57" i="3"/>
  <c r="A80" i="3"/>
  <c r="A98" i="3"/>
  <c r="A106" i="3"/>
  <c r="A119" i="3"/>
  <c r="A129" i="3"/>
  <c r="A136" i="3"/>
  <c r="A201" i="3"/>
  <c r="A132" i="3"/>
  <c r="A222" i="3"/>
  <c r="A162" i="3"/>
  <c r="A58" i="3"/>
  <c r="A72" i="3"/>
  <c r="A99" i="3"/>
  <c r="A107" i="3"/>
  <c r="A112" i="3"/>
  <c r="A159" i="3"/>
  <c r="A180" i="3"/>
  <c r="A108" i="3"/>
  <c r="A138" i="3"/>
  <c r="A36" i="3"/>
  <c r="A223" i="3"/>
  <c r="A193" i="3"/>
  <c r="A164" i="3"/>
  <c r="A224" i="3"/>
  <c r="A209" i="3"/>
  <c r="A239" i="3"/>
  <c r="A179" i="3"/>
  <c r="A41" i="3"/>
  <c r="A50" i="3"/>
  <c r="A130" i="3"/>
  <c r="A133" i="3"/>
  <c r="A163" i="3"/>
  <c r="A188" i="3"/>
  <c r="A218" i="3"/>
  <c r="A158" i="3"/>
  <c r="A196" i="3"/>
  <c r="A226" i="3"/>
  <c r="A166" i="3"/>
  <c r="D39" i="3"/>
  <c r="A102" i="3"/>
  <c r="A150" i="3"/>
  <c r="A240" i="3"/>
  <c r="A210" i="3"/>
  <c r="L39" i="3"/>
  <c r="G69" i="3"/>
  <c r="A197" i="3"/>
  <c r="A227" i="3"/>
  <c r="A68" i="3"/>
  <c r="A76" i="3"/>
  <c r="A87" i="3"/>
  <c r="A103" i="3"/>
  <c r="A128" i="3"/>
  <c r="A167" i="3"/>
  <c r="H80" i="8"/>
  <c r="G75" i="8"/>
  <c r="B57" i="9"/>
  <c r="B58" i="9"/>
  <c r="B59" i="9"/>
  <c r="B60" i="9"/>
  <c r="B61" i="9"/>
  <c r="B62" i="9"/>
  <c r="B63" i="9"/>
  <c r="B64" i="9"/>
  <c r="B65" i="9"/>
  <c r="G79" i="8"/>
  <c r="J73" i="8"/>
  <c r="B53" i="8"/>
  <c r="B75" i="8" s="1"/>
  <c r="B57" i="8"/>
  <c r="B79" i="8" s="1"/>
  <c r="B105" i="8"/>
  <c r="B107" i="8"/>
  <c r="E51" i="8"/>
  <c r="E73" i="8" s="1"/>
  <c r="E52" i="8"/>
  <c r="E53" i="8"/>
  <c r="E75" i="8" s="1"/>
  <c r="E54" i="8"/>
  <c r="E76" i="8" s="1"/>
  <c r="E55" i="8"/>
  <c r="E77" i="8" s="1"/>
  <c r="E111" i="8"/>
  <c r="E56" i="8"/>
  <c r="E57" i="8"/>
  <c r="E79" i="8" s="1"/>
  <c r="E112" i="8"/>
  <c r="E58" i="8"/>
  <c r="E80" i="8" s="1"/>
  <c r="E116" i="8"/>
  <c r="E117" i="8"/>
  <c r="E118" i="8"/>
  <c r="E120" i="8"/>
  <c r="E121" i="8"/>
  <c r="E122" i="8"/>
  <c r="E124" i="8"/>
  <c r="B112" i="8"/>
  <c r="F105" i="8"/>
  <c r="F50" i="8"/>
  <c r="F106" i="8"/>
  <c r="F51" i="8"/>
  <c r="F107" i="8"/>
  <c r="F52" i="8"/>
  <c r="F53" i="8"/>
  <c r="F75" i="8" s="1"/>
  <c r="F108" i="8"/>
  <c r="F54" i="8"/>
  <c r="F76" i="8" s="1"/>
  <c r="F109" i="8"/>
  <c r="F55" i="8"/>
  <c r="F77" i="8" s="1"/>
  <c r="F110" i="8"/>
  <c r="F111" i="8"/>
  <c r="F56" i="8"/>
  <c r="F57" i="8"/>
  <c r="F79" i="8" s="1"/>
  <c r="F112" i="8"/>
  <c r="F58" i="8"/>
  <c r="F80" i="8" s="1"/>
  <c r="F113" i="8"/>
  <c r="F116" i="8"/>
  <c r="F117" i="8"/>
  <c r="F118" i="8"/>
  <c r="F119" i="8"/>
  <c r="F120" i="8"/>
  <c r="F121" i="8"/>
  <c r="F122" i="8"/>
  <c r="F123" i="8"/>
  <c r="F124" i="8"/>
  <c r="B52" i="8"/>
  <c r="B56" i="8"/>
  <c r="B77" i="8"/>
  <c r="E119" i="8"/>
  <c r="H105" i="8"/>
  <c r="H106" i="8"/>
  <c r="H107" i="8"/>
  <c r="H108" i="8"/>
  <c r="H109" i="8"/>
  <c r="H110" i="8"/>
  <c r="H111" i="8"/>
  <c r="H112" i="8"/>
  <c r="H113" i="8"/>
  <c r="H117" i="8"/>
  <c r="H118" i="8"/>
  <c r="H119" i="8"/>
  <c r="H120" i="8"/>
  <c r="H121" i="8"/>
  <c r="H123" i="8"/>
  <c r="H124" i="8"/>
  <c r="B51" i="8"/>
  <c r="H52" i="8"/>
  <c r="H56" i="8"/>
  <c r="B108" i="8"/>
  <c r="J52" i="8"/>
  <c r="B109" i="8"/>
  <c r="B110" i="8"/>
  <c r="J110" i="8"/>
  <c r="J112" i="8"/>
  <c r="B113" i="8"/>
  <c r="J113" i="8"/>
  <c r="B117" i="8"/>
  <c r="J117" i="8"/>
  <c r="J118" i="8"/>
  <c r="B119" i="8"/>
  <c r="J119" i="8"/>
  <c r="B120" i="8"/>
  <c r="J120" i="8"/>
  <c r="B121" i="8"/>
  <c r="J121" i="8"/>
  <c r="B123" i="8"/>
  <c r="J123" i="8"/>
  <c r="B124" i="8"/>
  <c r="J124" i="8"/>
  <c r="H51" i="8"/>
  <c r="H73" i="8" s="1"/>
  <c r="B54" i="8"/>
  <c r="B76" i="8" s="1"/>
  <c r="H55" i="8"/>
  <c r="H77" i="8" s="1"/>
  <c r="B58" i="8"/>
  <c r="B80" i="8" s="1"/>
  <c r="H76" i="8"/>
  <c r="I50" i="8"/>
  <c r="I51" i="8"/>
  <c r="I52" i="8"/>
  <c r="I53" i="8"/>
  <c r="I75" i="8" s="1"/>
  <c r="I54" i="8"/>
  <c r="I55" i="8"/>
  <c r="I77" i="8" s="1"/>
  <c r="I56" i="8"/>
  <c r="I57" i="8"/>
  <c r="I79" i="8" s="1"/>
  <c r="I58" i="8"/>
  <c r="C109" i="8"/>
  <c r="C113" i="8"/>
  <c r="C119" i="8"/>
  <c r="C123" i="8"/>
  <c r="C50" i="8"/>
  <c r="C51" i="8"/>
  <c r="C52" i="8"/>
  <c r="C53" i="8"/>
  <c r="C54" i="8"/>
  <c r="C76" i="8" s="1"/>
  <c r="C55" i="8"/>
  <c r="C56" i="8"/>
  <c r="C57" i="8"/>
  <c r="C79" i="8" s="1"/>
  <c r="C58" i="8"/>
  <c r="D50" i="8"/>
  <c r="D51" i="8"/>
  <c r="D52" i="8"/>
  <c r="D53" i="8"/>
  <c r="D54" i="8"/>
  <c r="D76" i="8" s="1"/>
  <c r="D55" i="8"/>
  <c r="D56" i="8"/>
  <c r="D57" i="8"/>
  <c r="D79" i="8" s="1"/>
  <c r="D58" i="8"/>
  <c r="D108" i="8"/>
  <c r="D109" i="8"/>
  <c r="D110" i="8"/>
  <c r="D112" i="8"/>
  <c r="D113" i="8"/>
  <c r="D117" i="8"/>
  <c r="D118" i="8"/>
  <c r="D119" i="8"/>
  <c r="D120" i="8"/>
  <c r="D121" i="8"/>
  <c r="D123" i="8"/>
  <c r="D124" i="8"/>
  <c r="H193" i="3" l="1"/>
  <c r="M223" i="3"/>
  <c r="I233" i="3"/>
  <c r="P233" i="3"/>
  <c r="J69" i="3"/>
  <c r="J221" i="3" s="1"/>
  <c r="M69" i="3"/>
  <c r="N69" i="3"/>
  <c r="D69" i="3"/>
  <c r="D221" i="3" s="1"/>
  <c r="P69" i="3"/>
  <c r="P221" i="3" s="1"/>
  <c r="Q69" i="3"/>
  <c r="Q221" i="3" s="1"/>
  <c r="E69" i="3"/>
  <c r="K69" i="3"/>
  <c r="I69" i="3"/>
  <c r="F69" i="3"/>
  <c r="H69" i="3"/>
  <c r="U223" i="3"/>
  <c r="L69" i="3"/>
  <c r="C69" i="3"/>
  <c r="V69" i="3"/>
  <c r="V221" i="3" s="1"/>
  <c r="O69" i="3"/>
  <c r="K39" i="3"/>
  <c r="O233" i="3"/>
  <c r="M39" i="3"/>
  <c r="U193" i="3"/>
  <c r="E39" i="3"/>
  <c r="V203" i="3"/>
  <c r="P39" i="3"/>
  <c r="P191" i="3" s="1"/>
  <c r="N39" i="3"/>
  <c r="F39" i="3"/>
  <c r="S193" i="3"/>
  <c r="E223" i="3"/>
  <c r="C223" i="3"/>
  <c r="C233" i="3"/>
  <c r="J233" i="3"/>
  <c r="K223" i="3"/>
  <c r="U39" i="3"/>
  <c r="N223" i="3"/>
  <c r="D233" i="3"/>
  <c r="E233" i="3"/>
  <c r="G233" i="3"/>
  <c r="U69" i="3"/>
  <c r="D223" i="3"/>
  <c r="P223" i="3"/>
  <c r="R9" i="3"/>
  <c r="R191" i="3" s="1"/>
  <c r="S39" i="3"/>
  <c r="M9" i="3"/>
  <c r="M221" i="3" s="1"/>
  <c r="F223" i="3"/>
  <c r="T191" i="3"/>
  <c r="V191" i="3"/>
  <c r="N233" i="3"/>
  <c r="M233" i="3"/>
  <c r="U203" i="3"/>
  <c r="N9" i="3"/>
  <c r="H233" i="3"/>
  <c r="R193" i="3"/>
  <c r="S221" i="3"/>
  <c r="R233" i="3"/>
  <c r="V223" i="3"/>
  <c r="F233" i="3"/>
  <c r="K233" i="3"/>
  <c r="L66" i="10"/>
  <c r="L223" i="3"/>
  <c r="L233" i="3"/>
  <c r="L60" i="10"/>
  <c r="O35" i="9"/>
  <c r="O46" i="9"/>
  <c r="D57" i="9"/>
  <c r="P63" i="9"/>
  <c r="O61" i="9"/>
  <c r="Q24" i="9"/>
  <c r="J24" i="9"/>
  <c r="J65" i="9"/>
  <c r="R48" i="10"/>
  <c r="R59" i="10"/>
  <c r="S23" i="9"/>
  <c r="S56" i="9"/>
  <c r="S45" i="9"/>
  <c r="O60" i="9"/>
  <c r="O56" i="9"/>
  <c r="O65" i="9"/>
  <c r="E59" i="9"/>
  <c r="N59" i="9"/>
  <c r="M57" i="9"/>
  <c r="B49" i="10"/>
  <c r="K59" i="10"/>
  <c r="K67" i="10"/>
  <c r="K63" i="10"/>
  <c r="K62" i="10"/>
  <c r="L63" i="10"/>
  <c r="L59" i="10"/>
  <c r="L67" i="10"/>
  <c r="L48" i="10"/>
  <c r="H66" i="10"/>
  <c r="M65" i="9"/>
  <c r="M64" i="9"/>
  <c r="M62" i="9"/>
  <c r="M60" i="9"/>
  <c r="M58" i="9"/>
  <c r="M56" i="9"/>
  <c r="M61" i="9"/>
  <c r="R45" i="9"/>
  <c r="R23" i="9"/>
  <c r="R56" i="9"/>
  <c r="G24" i="9"/>
  <c r="G46" i="9"/>
  <c r="M63" i="9"/>
  <c r="Q59" i="9"/>
  <c r="E61" i="9"/>
  <c r="E64" i="9"/>
  <c r="E62" i="9"/>
  <c r="E60" i="9"/>
  <c r="E58" i="9"/>
  <c r="E56" i="9"/>
  <c r="E65" i="9"/>
  <c r="N65" i="9"/>
  <c r="N64" i="9"/>
  <c r="N62" i="9"/>
  <c r="N60" i="9"/>
  <c r="N58" i="9"/>
  <c r="N56" i="9"/>
  <c r="N61" i="9"/>
  <c r="S38" i="10"/>
  <c r="S60" i="10"/>
  <c r="S49" i="10"/>
  <c r="J61" i="9"/>
  <c r="V49" i="10"/>
  <c r="V38" i="10"/>
  <c r="V60" i="10"/>
  <c r="I24" i="9"/>
  <c r="N23" i="9"/>
  <c r="D64" i="9"/>
  <c r="D62" i="9"/>
  <c r="D60" i="9"/>
  <c r="D58" i="9"/>
  <c r="D56" i="9"/>
  <c r="D65" i="9"/>
  <c r="D61" i="9"/>
  <c r="Q57" i="9"/>
  <c r="D67" i="10"/>
  <c r="D63" i="10"/>
  <c r="D59" i="10"/>
  <c r="P65" i="9"/>
  <c r="P61" i="9"/>
  <c r="P62" i="9"/>
  <c r="P58" i="9"/>
  <c r="P56" i="9"/>
  <c r="P60" i="9"/>
  <c r="P64" i="9"/>
  <c r="E67" i="10"/>
  <c r="E63" i="10"/>
  <c r="E59" i="10"/>
  <c r="T23" i="9"/>
  <c r="T45" i="9"/>
  <c r="T56" i="9"/>
  <c r="Q58" i="9"/>
  <c r="Q65" i="9"/>
  <c r="Q61" i="9"/>
  <c r="Q56" i="9"/>
  <c r="Q64" i="9"/>
  <c r="Q62" i="9"/>
  <c r="Q60" i="9"/>
  <c r="G35" i="9"/>
  <c r="E63" i="9"/>
  <c r="D59" i="9"/>
  <c r="H67" i="10"/>
  <c r="H63" i="10"/>
  <c r="H59" i="10"/>
  <c r="P67" i="10"/>
  <c r="P63" i="10"/>
  <c r="P59" i="10"/>
  <c r="N63" i="9"/>
  <c r="I223" i="3"/>
  <c r="V57" i="9"/>
  <c r="V24" i="9"/>
  <c r="V35" i="9"/>
  <c r="V46" i="9"/>
  <c r="U46" i="9"/>
  <c r="U57" i="9"/>
  <c r="U24" i="9"/>
  <c r="U35" i="9"/>
  <c r="Q59" i="10"/>
  <c r="Q48" i="10"/>
  <c r="O49" i="10"/>
  <c r="K66" i="10"/>
  <c r="K60" i="10"/>
  <c r="H65" i="9"/>
  <c r="H61" i="9"/>
  <c r="H64" i="9"/>
  <c r="H60" i="9"/>
  <c r="H58" i="9"/>
  <c r="H62" i="9"/>
  <c r="H56" i="9"/>
  <c r="F64" i="9"/>
  <c r="F62" i="9"/>
  <c r="F60" i="9"/>
  <c r="F58" i="9"/>
  <c r="F56" i="9"/>
  <c r="F65" i="9"/>
  <c r="F61" i="9"/>
  <c r="O57" i="9"/>
  <c r="P62" i="10"/>
  <c r="G57" i="9"/>
  <c r="U60" i="10"/>
  <c r="U49" i="10"/>
  <c r="U38" i="10"/>
  <c r="T49" i="10"/>
  <c r="T60" i="10"/>
  <c r="T38" i="10"/>
  <c r="M59" i="9"/>
  <c r="T46" i="9"/>
  <c r="T35" i="9"/>
  <c r="T24" i="9"/>
  <c r="T57" i="9"/>
  <c r="J94" i="8"/>
  <c r="J38" i="10"/>
  <c r="J35" i="9"/>
  <c r="J107" i="8"/>
  <c r="U116" i="8"/>
  <c r="U83" i="8"/>
  <c r="N38" i="10"/>
  <c r="N35" i="9"/>
  <c r="N50" i="8"/>
  <c r="N72" i="8" s="1"/>
  <c r="N109" i="8"/>
  <c r="N105" i="8"/>
  <c r="N110" i="8"/>
  <c r="N108" i="8"/>
  <c r="N106" i="8"/>
  <c r="N94" i="8"/>
  <c r="B23" i="9"/>
  <c r="C24" i="9"/>
  <c r="S83" i="8"/>
  <c r="S116" i="8"/>
  <c r="F48" i="10"/>
  <c r="F45" i="9"/>
  <c r="J109" i="8"/>
  <c r="J105" i="8"/>
  <c r="U50" i="8"/>
  <c r="U72" i="8" s="1"/>
  <c r="U105" i="8"/>
  <c r="U94" i="8"/>
  <c r="F94" i="8"/>
  <c r="F38" i="10"/>
  <c r="F35" i="9"/>
  <c r="H23" i="9"/>
  <c r="I48" i="10"/>
  <c r="I45" i="9"/>
  <c r="C49" i="10"/>
  <c r="C46" i="9"/>
  <c r="J50" i="8"/>
  <c r="J72" i="8" s="1"/>
  <c r="T50" i="8"/>
  <c r="T72" i="8" s="1"/>
  <c r="T105" i="8"/>
  <c r="T94" i="8"/>
  <c r="I38" i="10"/>
  <c r="I35" i="9"/>
  <c r="K38" i="10"/>
  <c r="K35" i="9"/>
  <c r="K50" i="8"/>
  <c r="K72" i="8" s="1"/>
  <c r="K109" i="8"/>
  <c r="K105" i="8"/>
  <c r="K110" i="8"/>
  <c r="K108" i="8"/>
  <c r="K94" i="8"/>
  <c r="K106" i="8"/>
  <c r="P48" i="10"/>
  <c r="P45" i="9"/>
  <c r="O48" i="10"/>
  <c r="O45" i="9"/>
  <c r="N49" i="10"/>
  <c r="N46" i="9"/>
  <c r="J108" i="8"/>
  <c r="R94" i="8"/>
  <c r="R50" i="8"/>
  <c r="R72" i="8" s="1"/>
  <c r="R105" i="8"/>
  <c r="B94" i="8"/>
  <c r="B35" i="9"/>
  <c r="B38" i="10"/>
  <c r="B45" i="9"/>
  <c r="Q23" i="9"/>
  <c r="Q82" i="8"/>
  <c r="T83" i="8"/>
  <c r="T116" i="8"/>
  <c r="E48" i="10"/>
  <c r="E45" i="9"/>
  <c r="S50" i="8"/>
  <c r="S72" i="8" s="1"/>
  <c r="S105" i="8"/>
  <c r="S94" i="8"/>
  <c r="Q110" i="8"/>
  <c r="Q108" i="8"/>
  <c r="Q106" i="8"/>
  <c r="Q35" i="9"/>
  <c r="Q50" i="8"/>
  <c r="Q72" i="8" s="1"/>
  <c r="Q109" i="8"/>
  <c r="Q105" i="8"/>
  <c r="Q94" i="8"/>
  <c r="C94" i="8"/>
  <c r="C38" i="10"/>
  <c r="C35" i="9"/>
  <c r="D48" i="10"/>
  <c r="D45" i="9"/>
  <c r="N107" i="8"/>
  <c r="F83" i="8"/>
  <c r="F24" i="9"/>
  <c r="H48" i="10"/>
  <c r="H45" i="9"/>
  <c r="E38" i="10"/>
  <c r="E35" i="9"/>
  <c r="Q45" i="9"/>
  <c r="Q46" i="9"/>
  <c r="R116" i="8"/>
  <c r="R83" i="8"/>
  <c r="O82" i="8"/>
  <c r="O23" i="9"/>
  <c r="M121" i="8"/>
  <c r="M119" i="8"/>
  <c r="M117" i="8"/>
  <c r="M24" i="9"/>
  <c r="M120" i="8"/>
  <c r="M116" i="8"/>
  <c r="M83" i="8"/>
  <c r="D23" i="9"/>
  <c r="E107" i="8"/>
  <c r="V50" i="8"/>
  <c r="V72" i="8" s="1"/>
  <c r="V105" i="8"/>
  <c r="V94" i="8"/>
  <c r="V83" i="8"/>
  <c r="V116" i="8"/>
  <c r="G23" i="9"/>
  <c r="M38" i="10"/>
  <c r="M35" i="9"/>
  <c r="M50" i="8"/>
  <c r="M72" i="8" s="1"/>
  <c r="M109" i="8"/>
  <c r="M105" i="8"/>
  <c r="M110" i="8"/>
  <c r="M108" i="8"/>
  <c r="M106" i="8"/>
  <c r="M94" i="8"/>
  <c r="E83" i="8"/>
  <c r="E24" i="9"/>
  <c r="K49" i="10"/>
  <c r="K46" i="9"/>
  <c r="K121" i="8"/>
  <c r="K119" i="8"/>
  <c r="K117" i="8"/>
  <c r="K83" i="8"/>
  <c r="K24" i="9"/>
  <c r="K120" i="8"/>
  <c r="K116" i="8"/>
  <c r="K107" i="8"/>
  <c r="J223" i="3"/>
  <c r="F9" i="3"/>
  <c r="Q233" i="3"/>
  <c r="G203" i="3"/>
  <c r="Q223" i="3"/>
  <c r="M193" i="3"/>
  <c r="N193" i="3"/>
  <c r="H203" i="3"/>
  <c r="F193" i="3"/>
  <c r="O203" i="3"/>
  <c r="E203" i="3"/>
  <c r="E9" i="3"/>
  <c r="J39" i="3"/>
  <c r="J193" i="3"/>
  <c r="P203" i="3"/>
  <c r="O39" i="3"/>
  <c r="O193" i="3"/>
  <c r="N203" i="3"/>
  <c r="E193" i="3"/>
  <c r="J203" i="3"/>
  <c r="K203" i="3"/>
  <c r="B39" i="3"/>
  <c r="B193" i="3"/>
  <c r="I203" i="3"/>
  <c r="G39" i="3"/>
  <c r="G193" i="3"/>
  <c r="D193" i="3"/>
  <c r="B203" i="3"/>
  <c r="C203" i="3"/>
  <c r="Q39" i="3"/>
  <c r="Q193" i="3"/>
  <c r="L203" i="3"/>
  <c r="L193" i="3"/>
  <c r="P193" i="3"/>
  <c r="B9" i="3"/>
  <c r="B221" i="3" s="1"/>
  <c r="B223" i="3"/>
  <c r="K193" i="3"/>
  <c r="I39" i="3"/>
  <c r="I193" i="3"/>
  <c r="F203" i="3"/>
  <c r="Q203" i="3"/>
  <c r="D203" i="3"/>
  <c r="O9" i="3"/>
  <c r="O223" i="3"/>
  <c r="C39" i="3"/>
  <c r="C193" i="3"/>
  <c r="H9" i="3"/>
  <c r="H223" i="3"/>
  <c r="G9" i="3"/>
  <c r="G223" i="3"/>
  <c r="M203" i="3"/>
  <c r="D191" i="3"/>
  <c r="T221" i="3"/>
  <c r="B60" i="10"/>
  <c r="J82" i="8"/>
  <c r="G82" i="8"/>
  <c r="E110" i="8"/>
  <c r="E94" i="8"/>
  <c r="C107" i="8"/>
  <c r="C106" i="8"/>
  <c r="I105" i="8"/>
  <c r="I94" i="8"/>
  <c r="C83" i="8"/>
  <c r="C108" i="8"/>
  <c r="B82" i="8"/>
  <c r="H82" i="8"/>
  <c r="I23" i="9"/>
  <c r="E50" i="8"/>
  <c r="E72" i="8" s="1"/>
  <c r="E105" i="8"/>
  <c r="G78" i="8"/>
  <c r="E106" i="8"/>
  <c r="F78" i="8"/>
  <c r="K9" i="3"/>
  <c r="E109" i="8"/>
  <c r="C9" i="3"/>
  <c r="L9" i="3"/>
  <c r="R82" i="8"/>
  <c r="U82" i="8"/>
  <c r="B72" i="8"/>
  <c r="H74" i="8"/>
  <c r="D80" i="8"/>
  <c r="C80" i="8"/>
  <c r="C72" i="8"/>
  <c r="H78" i="8"/>
  <c r="F73" i="8"/>
  <c r="G72" i="8"/>
  <c r="J78" i="8"/>
  <c r="J79" i="8"/>
  <c r="D75" i="8"/>
  <c r="C75" i="8"/>
  <c r="B73" i="8"/>
  <c r="B78" i="8"/>
  <c r="J75" i="8"/>
  <c r="H79" i="8"/>
  <c r="I78" i="8"/>
  <c r="I74" i="8"/>
  <c r="B74" i="8"/>
  <c r="F74" i="8"/>
  <c r="D74" i="8"/>
  <c r="C78" i="8"/>
  <c r="C74" i="8"/>
  <c r="E74" i="8"/>
  <c r="H75" i="8"/>
  <c r="I73" i="8"/>
  <c r="J74" i="8"/>
  <c r="D78" i="8"/>
  <c r="D72" i="8"/>
  <c r="D77" i="8"/>
  <c r="D73" i="8"/>
  <c r="C77" i="8"/>
  <c r="C73" i="8"/>
  <c r="I80" i="8"/>
  <c r="I76" i="8"/>
  <c r="I72" i="8"/>
  <c r="F72" i="8"/>
  <c r="E78" i="8"/>
  <c r="K221" i="3" l="1"/>
  <c r="F221" i="3"/>
  <c r="H221" i="3"/>
  <c r="N221" i="3"/>
  <c r="E221" i="3"/>
  <c r="M191" i="3"/>
  <c r="O221" i="3"/>
  <c r="U221" i="3"/>
  <c r="I221" i="3"/>
  <c r="S191" i="3"/>
  <c r="U191" i="3"/>
  <c r="I191" i="3"/>
  <c r="N191" i="3"/>
  <c r="R221" i="3"/>
  <c r="J45" i="9"/>
  <c r="J59" i="9"/>
  <c r="J56" i="9"/>
  <c r="O58" i="9"/>
  <c r="J60" i="9"/>
  <c r="J23" i="9"/>
  <c r="J63" i="9"/>
  <c r="O62" i="9"/>
  <c r="J64" i="9"/>
  <c r="J57" i="9"/>
  <c r="O64" i="9"/>
  <c r="O59" i="9"/>
  <c r="J58" i="9"/>
  <c r="J62" i="9"/>
  <c r="O63" i="9"/>
  <c r="U23" i="9"/>
  <c r="U56" i="9"/>
  <c r="U45" i="9"/>
  <c r="V48" i="10"/>
  <c r="V59" i="10"/>
  <c r="O67" i="10"/>
  <c r="O63" i="10"/>
  <c r="O59" i="10"/>
  <c r="O66" i="10"/>
  <c r="O62" i="10"/>
  <c r="V56" i="9"/>
  <c r="V45" i="9"/>
  <c r="V23" i="9"/>
  <c r="S59" i="10"/>
  <c r="S48" i="10"/>
  <c r="G64" i="9"/>
  <c r="G62" i="9"/>
  <c r="G60" i="9"/>
  <c r="G58" i="9"/>
  <c r="G56" i="9"/>
  <c r="G65" i="9"/>
  <c r="G61" i="9"/>
  <c r="G59" i="9"/>
  <c r="G45" i="9"/>
  <c r="G63" i="9"/>
  <c r="O60" i="10"/>
  <c r="T48" i="10"/>
  <c r="T59" i="10"/>
  <c r="B48" i="10"/>
  <c r="U48" i="10"/>
  <c r="U59" i="10"/>
  <c r="J67" i="10"/>
  <c r="J59" i="10"/>
  <c r="J63" i="10"/>
  <c r="J62" i="10"/>
  <c r="J48" i="10"/>
  <c r="J66" i="10"/>
  <c r="J60" i="10"/>
  <c r="I62" i="9"/>
  <c r="I65" i="9"/>
  <c r="I61" i="9"/>
  <c r="I64" i="9"/>
  <c r="I60" i="9"/>
  <c r="I58" i="9"/>
  <c r="I56" i="9"/>
  <c r="I59" i="9"/>
  <c r="I63" i="9"/>
  <c r="I57" i="9"/>
  <c r="N48" i="10"/>
  <c r="N45" i="9"/>
  <c r="N82" i="8"/>
  <c r="F23" i="9"/>
  <c r="F82" i="8"/>
  <c r="C23" i="9"/>
  <c r="K48" i="10"/>
  <c r="K45" i="9"/>
  <c r="E23" i="9"/>
  <c r="F191" i="3"/>
  <c r="C48" i="10"/>
  <c r="C45" i="9"/>
  <c r="M23" i="9"/>
  <c r="M82" i="8"/>
  <c r="K23" i="9"/>
  <c r="K82" i="8"/>
  <c r="G191" i="3"/>
  <c r="C191" i="3"/>
  <c r="B191" i="3"/>
  <c r="H191" i="3"/>
  <c r="Q191" i="3"/>
  <c r="G221" i="3"/>
  <c r="J191" i="3"/>
  <c r="O191" i="3"/>
  <c r="E191" i="3"/>
  <c r="L221" i="3"/>
  <c r="K191" i="3"/>
  <c r="C221" i="3"/>
  <c r="L191" i="3"/>
  <c r="B59" i="10"/>
  <c r="B67" i="10"/>
  <c r="B63" i="10"/>
  <c r="B66" i="10"/>
  <c r="B62" i="10"/>
  <c r="C82" i="8"/>
  <c r="E82" i="8"/>
  <c r="Q28" i="3" l="1"/>
  <c r="D28" i="3"/>
  <c r="K28" i="3"/>
  <c r="N28" i="3"/>
  <c r="E28" i="3"/>
  <c r="M28" i="3"/>
  <c r="L28" i="3"/>
  <c r="J28" i="3"/>
  <c r="S28" i="3"/>
  <c r="G28" i="3"/>
  <c r="R28" i="3"/>
  <c r="T28" i="3"/>
  <c r="H28" i="3"/>
  <c r="B28" i="3"/>
  <c r="O28" i="3"/>
  <c r="I28" i="3"/>
  <c r="C28" i="3"/>
  <c r="F28" i="3"/>
  <c r="P28" i="3"/>
  <c r="U28" i="3" l="1"/>
  <c r="V28" i="3" l="1"/>
  <c r="O15" i="15" l="1"/>
  <c r="N15" i="15" l="1"/>
  <c r="P15" i="15"/>
  <c r="Q15" i="15"/>
  <c r="M15" i="15" l="1"/>
  <c r="L15" i="15" l="1"/>
  <c r="K15" i="15" l="1"/>
  <c r="J15" i="15" l="1"/>
  <c r="I15" i="15"/>
  <c r="H15" i="15" l="1"/>
  <c r="G15" i="15" l="1"/>
  <c r="F15" i="15" l="1"/>
  <c r="E15" i="15" l="1"/>
  <c r="D15" i="15"/>
  <c r="C15" i="15" l="1"/>
  <c r="B15" i="15"/>
  <c r="R15" i="15" l="1"/>
  <c r="S15" i="15" l="1"/>
  <c r="L14" i="15" l="1"/>
  <c r="E27" i="3"/>
  <c r="Q7" i="15"/>
  <c r="G14" i="15"/>
  <c r="M14" i="15"/>
  <c r="R14" i="15"/>
  <c r="P7" i="15"/>
  <c r="P21" i="15" s="1"/>
  <c r="J14" i="15"/>
  <c r="I7" i="15"/>
  <c r="I22" i="15" s="1"/>
  <c r="H7" i="15"/>
  <c r="H22" i="15" s="1"/>
  <c r="B7" i="15"/>
  <c r="F7" i="15"/>
  <c r="F22" i="15" s="1"/>
  <c r="J3" i="15"/>
  <c r="J27" i="3"/>
  <c r="J18" i="15"/>
  <c r="P27" i="3"/>
  <c r="P3" i="15"/>
  <c r="N7" i="15"/>
  <c r="U27" i="3"/>
  <c r="U3" i="15"/>
  <c r="U14" i="15"/>
  <c r="S27" i="3"/>
  <c r="S3" i="15"/>
  <c r="S18" i="15" s="1"/>
  <c r="S14" i="15"/>
  <c r="I27" i="3"/>
  <c r="I3" i="15"/>
  <c r="L3" i="15"/>
  <c r="L18" i="15" s="1"/>
  <c r="L27" i="3"/>
  <c r="S7" i="15"/>
  <c r="S22" i="15" s="1"/>
  <c r="O3" i="15"/>
  <c r="O27" i="3"/>
  <c r="O14" i="15"/>
  <c r="B27" i="3"/>
  <c r="B3" i="15"/>
  <c r="B18" i="15"/>
  <c r="T3" i="15"/>
  <c r="T27" i="3"/>
  <c r="T14" i="15"/>
  <c r="N3" i="15"/>
  <c r="N27" i="3"/>
  <c r="N14" i="15"/>
  <c r="T15" i="15"/>
  <c r="M3" i="15"/>
  <c r="M18" i="15" s="1"/>
  <c r="M27" i="3"/>
  <c r="H3" i="15"/>
  <c r="H18" i="15" s="1"/>
  <c r="H27" i="3"/>
  <c r="T7" i="15"/>
  <c r="T21" i="15" s="1"/>
  <c r="G27" i="3"/>
  <c r="G3" i="15"/>
  <c r="Q27" i="3"/>
  <c r="Q3" i="15"/>
  <c r="J7" i="15"/>
  <c r="J22" i="15" s="1"/>
  <c r="F3" i="15"/>
  <c r="F18" i="15" s="1"/>
  <c r="F27" i="3"/>
  <c r="K27" i="3"/>
  <c r="K3" i="15"/>
  <c r="K18" i="15" s="1"/>
  <c r="K14" i="15"/>
  <c r="O7" i="15"/>
  <c r="O22" i="15" s="1"/>
  <c r="R27" i="3"/>
  <c r="R3" i="15"/>
  <c r="K7" i="15"/>
  <c r="K22" i="15" s="1"/>
  <c r="V27" i="3"/>
  <c r="V3" i="15"/>
  <c r="U7" i="15"/>
  <c r="P23" i="15" l="1"/>
  <c r="I14" i="15"/>
  <c r="H14" i="15"/>
  <c r="Q14" i="15"/>
  <c r="M7" i="15"/>
  <c r="M22" i="15" s="1"/>
  <c r="L7" i="15"/>
  <c r="L22" i="15" s="1"/>
  <c r="G7" i="15"/>
  <c r="G22" i="15" s="1"/>
  <c r="P22" i="15"/>
  <c r="P14" i="15"/>
  <c r="F14" i="15"/>
  <c r="B22" i="15"/>
  <c r="B14" i="15"/>
  <c r="R7" i="15"/>
  <c r="R22" i="15" s="1"/>
  <c r="E3" i="15"/>
  <c r="E17" i="15" s="1"/>
  <c r="U21" i="15"/>
  <c r="U22" i="15"/>
  <c r="Q17" i="15"/>
  <c r="Q13" i="15"/>
  <c r="Q19" i="15"/>
  <c r="K26" i="3"/>
  <c r="Q18" i="15"/>
  <c r="M26" i="3"/>
  <c r="Q23" i="15"/>
  <c r="Q21" i="15"/>
  <c r="I17" i="15"/>
  <c r="I13" i="15"/>
  <c r="I19" i="15"/>
  <c r="S17" i="15"/>
  <c r="S13" i="15"/>
  <c r="S19" i="15"/>
  <c r="N23" i="15"/>
  <c r="N21" i="15"/>
  <c r="E26" i="3"/>
  <c r="Q26" i="3"/>
  <c r="M17" i="15"/>
  <c r="M19" i="15"/>
  <c r="T18" i="15"/>
  <c r="T17" i="15"/>
  <c r="T13" i="15"/>
  <c r="T19" i="15"/>
  <c r="B21" i="15"/>
  <c r="B23" i="15"/>
  <c r="S26" i="3"/>
  <c r="P18" i="15"/>
  <c r="P17" i="15"/>
  <c r="P13" i="15"/>
  <c r="P19" i="15"/>
  <c r="U23" i="15"/>
  <c r="U15" i="15"/>
  <c r="F21" i="15"/>
  <c r="F23" i="15"/>
  <c r="F26" i="3"/>
  <c r="H21" i="15"/>
  <c r="H23" i="15"/>
  <c r="P26" i="3"/>
  <c r="I23" i="15"/>
  <c r="I21" i="15"/>
  <c r="I26" i="3"/>
  <c r="K21" i="15"/>
  <c r="K23" i="15"/>
  <c r="O23" i="15"/>
  <c r="O21" i="15"/>
  <c r="F17" i="15"/>
  <c r="F13" i="15"/>
  <c r="F19" i="15"/>
  <c r="G18" i="15"/>
  <c r="G17" i="15"/>
  <c r="G19" i="15"/>
  <c r="T23" i="15"/>
  <c r="O26" i="3"/>
  <c r="L26" i="3"/>
  <c r="U18" i="15"/>
  <c r="U17" i="15"/>
  <c r="U13" i="15"/>
  <c r="U19" i="15"/>
  <c r="T26" i="3"/>
  <c r="V18" i="15"/>
  <c r="V17" i="15"/>
  <c r="V19" i="15"/>
  <c r="G26" i="3"/>
  <c r="H26" i="3"/>
  <c r="B17" i="15"/>
  <c r="B13" i="15"/>
  <c r="B19" i="15"/>
  <c r="O18" i="15"/>
  <c r="O17" i="15"/>
  <c r="O13" i="15"/>
  <c r="O19" i="15"/>
  <c r="L17" i="15"/>
  <c r="L19" i="15"/>
  <c r="U26" i="3"/>
  <c r="S21" i="15"/>
  <c r="S23" i="15"/>
  <c r="V26" i="3"/>
  <c r="R18" i="15"/>
  <c r="R17" i="15"/>
  <c r="R19" i="15"/>
  <c r="J21" i="15"/>
  <c r="J23" i="15"/>
  <c r="H17" i="15"/>
  <c r="H13" i="15"/>
  <c r="H19" i="15"/>
  <c r="N26" i="3"/>
  <c r="B26" i="3"/>
  <c r="J26" i="3"/>
  <c r="R26" i="3"/>
  <c r="K17" i="15"/>
  <c r="K13" i="15"/>
  <c r="K19" i="15"/>
  <c r="T22" i="15"/>
  <c r="N18" i="15"/>
  <c r="N17" i="15"/>
  <c r="N13" i="15"/>
  <c r="N19" i="15"/>
  <c r="Q22" i="15"/>
  <c r="I18" i="15"/>
  <c r="N22" i="15"/>
  <c r="J17" i="15"/>
  <c r="J13" i="15"/>
  <c r="J19" i="15"/>
  <c r="V15" i="15"/>
  <c r="M23" i="15" l="1"/>
  <c r="M21" i="15"/>
  <c r="G13" i="15"/>
  <c r="M13" i="15"/>
  <c r="G23" i="15"/>
  <c r="G21" i="15"/>
  <c r="L21" i="15"/>
  <c r="E18" i="15"/>
  <c r="R21" i="15"/>
  <c r="L23" i="15"/>
  <c r="R23" i="15"/>
  <c r="R13" i="15"/>
  <c r="L13" i="15"/>
  <c r="E19" i="15"/>
  <c r="C14" i="15"/>
  <c r="D7" i="15"/>
  <c r="C27" i="3"/>
  <c r="C3" i="15"/>
  <c r="V7" i="15"/>
  <c r="V22" i="15" s="1"/>
  <c r="V14" i="15"/>
  <c r="D27" i="3"/>
  <c r="D3" i="15"/>
  <c r="D18" i="15" s="1"/>
  <c r="D14" i="15" l="1"/>
  <c r="C7" i="15"/>
  <c r="C22" i="15" s="1"/>
  <c r="E7" i="15"/>
  <c r="E14" i="15"/>
  <c r="D23" i="15"/>
  <c r="D21" i="15"/>
  <c r="C21" i="15"/>
  <c r="C23" i="15"/>
  <c r="V23" i="15"/>
  <c r="V21" i="15"/>
  <c r="V13" i="15"/>
  <c r="D17" i="15"/>
  <c r="D13" i="15"/>
  <c r="D19" i="15"/>
  <c r="C18" i="15"/>
  <c r="C17" i="15"/>
  <c r="C19" i="15"/>
  <c r="D26" i="3"/>
  <c r="C26" i="3"/>
  <c r="D22" i="15"/>
  <c r="C13" i="15" l="1"/>
  <c r="E13" i="15"/>
  <c r="E21" i="15"/>
  <c r="E23" i="15"/>
  <c r="E22" i="15"/>
  <c r="G88" i="3" l="1"/>
  <c r="L19" i="17"/>
  <c r="L88" i="3"/>
  <c r="L87" i="3"/>
  <c r="L18" i="17"/>
  <c r="S87" i="3"/>
  <c r="S18" i="17"/>
  <c r="K19" i="17"/>
  <c r="L10" i="17"/>
  <c r="K88" i="3" l="1"/>
  <c r="G19" i="17"/>
  <c r="L3" i="17"/>
  <c r="E18" i="17"/>
  <c r="G240" i="3"/>
  <c r="J21" i="16"/>
  <c r="J25" i="16"/>
  <c r="J58" i="3"/>
  <c r="Q11" i="17"/>
  <c r="Q21" i="16"/>
  <c r="Q25" i="16"/>
  <c r="Q58" i="3"/>
  <c r="S239" i="3"/>
  <c r="K87" i="3"/>
  <c r="K3" i="17"/>
  <c r="K18" i="17"/>
  <c r="F19" i="17"/>
  <c r="F88" i="3"/>
  <c r="F11" i="17"/>
  <c r="O58" i="3"/>
  <c r="O25" i="16"/>
  <c r="O21" i="16"/>
  <c r="Q19" i="17"/>
  <c r="Q88" i="3"/>
  <c r="S58" i="3"/>
  <c r="S21" i="16"/>
  <c r="S25" i="16"/>
  <c r="I58" i="3"/>
  <c r="I21" i="16"/>
  <c r="I25" i="16"/>
  <c r="F18" i="17"/>
  <c r="F3" i="17"/>
  <c r="F87" i="3"/>
  <c r="I18" i="17"/>
  <c r="I3" i="17"/>
  <c r="I87" i="3"/>
  <c r="O87" i="3"/>
  <c r="O3" i="17"/>
  <c r="O18" i="17"/>
  <c r="M18" i="17"/>
  <c r="M87" i="3"/>
  <c r="M3" i="17"/>
  <c r="L86" i="3"/>
  <c r="L239" i="3"/>
  <c r="L240" i="3"/>
  <c r="K21" i="16"/>
  <c r="K58" i="3"/>
  <c r="K25" i="16"/>
  <c r="J18" i="17"/>
  <c r="J3" i="17"/>
  <c r="J87" i="3"/>
  <c r="P3" i="17"/>
  <c r="P18" i="17"/>
  <c r="P87" i="3"/>
  <c r="P25" i="16"/>
  <c r="P21" i="16"/>
  <c r="P58" i="3"/>
  <c r="M11" i="17"/>
  <c r="M25" i="16"/>
  <c r="M21" i="16"/>
  <c r="M58" i="3"/>
  <c r="K11" i="17"/>
  <c r="L20" i="16"/>
  <c r="L57" i="3"/>
  <c r="L24" i="16"/>
  <c r="M88" i="3"/>
  <c r="M19" i="17"/>
  <c r="J19" i="17"/>
  <c r="J88" i="3"/>
  <c r="J11" i="17"/>
  <c r="I19" i="17"/>
  <c r="I88" i="3"/>
  <c r="I11" i="17"/>
  <c r="P88" i="3"/>
  <c r="P19" i="17"/>
  <c r="P11" i="17"/>
  <c r="O88" i="3"/>
  <c r="O19" i="17"/>
  <c r="O11" i="17"/>
  <c r="G87" i="3"/>
  <c r="G3" i="17"/>
  <c r="G18" i="17"/>
  <c r="Q18" i="17"/>
  <c r="Q3" i="17"/>
  <c r="Q87" i="3"/>
  <c r="Q10" i="17"/>
  <c r="K10" i="17"/>
  <c r="F10" i="17"/>
  <c r="I23" i="17" l="1"/>
  <c r="I13" i="17"/>
  <c r="J23" i="17"/>
  <c r="J13" i="17"/>
  <c r="L22" i="17"/>
  <c r="L13" i="17"/>
  <c r="O23" i="17"/>
  <c r="O13" i="17"/>
  <c r="K22" i="17"/>
  <c r="K13" i="17"/>
  <c r="Q22" i="17"/>
  <c r="Q13" i="17"/>
  <c r="M22" i="17"/>
  <c r="M13" i="17"/>
  <c r="F23" i="17"/>
  <c r="F13" i="17"/>
  <c r="L17" i="17"/>
  <c r="P23" i="17"/>
  <c r="P13" i="17"/>
  <c r="G22" i="17"/>
  <c r="G13" i="17"/>
  <c r="L23" i="17"/>
  <c r="K240" i="3"/>
  <c r="E3" i="17"/>
  <c r="L21" i="17"/>
  <c r="E87" i="3"/>
  <c r="F22" i="17"/>
  <c r="R58" i="3"/>
  <c r="M23" i="17"/>
  <c r="E10" i="17"/>
  <c r="E20" i="16"/>
  <c r="E57" i="3"/>
  <c r="E28" i="16"/>
  <c r="E24" i="16"/>
  <c r="L29" i="16"/>
  <c r="L27" i="16"/>
  <c r="L23" i="16"/>
  <c r="L19" i="16"/>
  <c r="P86" i="3"/>
  <c r="P239" i="3"/>
  <c r="O86" i="3"/>
  <c r="O239" i="3"/>
  <c r="K86" i="3"/>
  <c r="K239" i="3"/>
  <c r="O10" i="17"/>
  <c r="O24" i="16"/>
  <c r="O20" i="16"/>
  <c r="O9" i="17"/>
  <c r="O57" i="3"/>
  <c r="M17" i="17"/>
  <c r="M21" i="17"/>
  <c r="L25" i="16"/>
  <c r="L21" i="16"/>
  <c r="L58" i="3"/>
  <c r="L11" i="17"/>
  <c r="J210" i="3"/>
  <c r="R21" i="16"/>
  <c r="T19" i="17"/>
  <c r="T11" i="17"/>
  <c r="T88" i="3"/>
  <c r="N19" i="17"/>
  <c r="N88" i="3"/>
  <c r="N11" i="17"/>
  <c r="Q24" i="16"/>
  <c r="Q20" i="16"/>
  <c r="Q57" i="3"/>
  <c r="Q28" i="16"/>
  <c r="Q86" i="3"/>
  <c r="Q239" i="3"/>
  <c r="G21" i="17"/>
  <c r="G17" i="17"/>
  <c r="G23" i="17"/>
  <c r="I240" i="3"/>
  <c r="L209" i="3"/>
  <c r="P210" i="3"/>
  <c r="J86" i="3"/>
  <c r="J239" i="3"/>
  <c r="K210" i="3"/>
  <c r="M86" i="3"/>
  <c r="M239" i="3"/>
  <c r="F86" i="3"/>
  <c r="F239" i="3"/>
  <c r="B3" i="17"/>
  <c r="B18" i="17"/>
  <c r="B87" i="3"/>
  <c r="G86" i="3"/>
  <c r="G239" i="3"/>
  <c r="P17" i="17"/>
  <c r="P21" i="17"/>
  <c r="I210" i="3"/>
  <c r="L9" i="17"/>
  <c r="E58" i="3"/>
  <c r="E21" i="16"/>
  <c r="E25" i="16"/>
  <c r="R18" i="17"/>
  <c r="R87" i="3"/>
  <c r="R3" i="17"/>
  <c r="N21" i="16"/>
  <c r="N25" i="16"/>
  <c r="N58" i="3"/>
  <c r="M24" i="16"/>
  <c r="M20" i="16"/>
  <c r="M57" i="3"/>
  <c r="Q21" i="17"/>
  <c r="Q17" i="17"/>
  <c r="Q9" i="17"/>
  <c r="M210" i="3"/>
  <c r="J22" i="17"/>
  <c r="J21" i="17"/>
  <c r="J17" i="17"/>
  <c r="I86" i="3"/>
  <c r="I239" i="3"/>
  <c r="F21" i="17"/>
  <c r="F17" i="17"/>
  <c r="F240" i="3"/>
  <c r="S19" i="17"/>
  <c r="S88" i="3"/>
  <c r="S11" i="17"/>
  <c r="S3" i="17"/>
  <c r="S13" i="17" s="1"/>
  <c r="R19" i="17"/>
  <c r="R88" i="3"/>
  <c r="B88" i="3"/>
  <c r="B19" i="17"/>
  <c r="H3" i="17"/>
  <c r="H13" i="17" s="1"/>
  <c r="H87" i="3"/>
  <c r="H18" i="17"/>
  <c r="H19" i="17"/>
  <c r="H88" i="3"/>
  <c r="K57" i="3"/>
  <c r="K9" i="17"/>
  <c r="K24" i="16"/>
  <c r="K20" i="16"/>
  <c r="P240" i="3"/>
  <c r="Q23" i="17"/>
  <c r="S24" i="16"/>
  <c r="S20" i="16"/>
  <c r="S57" i="3"/>
  <c r="S10" i="17"/>
  <c r="T25" i="16"/>
  <c r="T21" i="16"/>
  <c r="T58" i="3"/>
  <c r="G57" i="3"/>
  <c r="G20" i="16"/>
  <c r="G24" i="16"/>
  <c r="G28" i="16"/>
  <c r="P20" i="16"/>
  <c r="P57" i="3"/>
  <c r="P24" i="16"/>
  <c r="H11" i="17"/>
  <c r="H21" i="16"/>
  <c r="H58" i="3"/>
  <c r="H25" i="16"/>
  <c r="E19" i="17"/>
  <c r="E88" i="3"/>
  <c r="E11" i="17"/>
  <c r="G10" i="17"/>
  <c r="J240" i="3"/>
  <c r="M240" i="3"/>
  <c r="P10" i="17"/>
  <c r="L238" i="3"/>
  <c r="I22" i="17"/>
  <c r="I17" i="17"/>
  <c r="I21" i="17"/>
  <c r="Q240" i="3"/>
  <c r="O210" i="3"/>
  <c r="Q210" i="3"/>
  <c r="G58" i="3"/>
  <c r="G21" i="16"/>
  <c r="G25" i="16"/>
  <c r="G29" i="16"/>
  <c r="G11" i="17"/>
  <c r="F9" i="17"/>
  <c r="F24" i="16"/>
  <c r="F57" i="3"/>
  <c r="F20" i="16"/>
  <c r="N3" i="17"/>
  <c r="N87" i="3"/>
  <c r="N18" i="17"/>
  <c r="T3" i="17"/>
  <c r="T18" i="17"/>
  <c r="T87" i="3"/>
  <c r="O240" i="3"/>
  <c r="L28" i="16"/>
  <c r="P22" i="17"/>
  <c r="M10" i="17"/>
  <c r="O22" i="17"/>
  <c r="O17" i="17"/>
  <c r="O21" i="17"/>
  <c r="S210" i="3"/>
  <c r="F25" i="16"/>
  <c r="F58" i="3"/>
  <c r="F21" i="16"/>
  <c r="K23" i="17"/>
  <c r="K17" i="17"/>
  <c r="K21" i="17"/>
  <c r="R10" i="17"/>
  <c r="N10" i="17"/>
  <c r="E17" i="17" l="1"/>
  <c r="E13" i="17"/>
  <c r="E21" i="17"/>
  <c r="B23" i="17"/>
  <c r="B13" i="17"/>
  <c r="R22" i="17"/>
  <c r="R13" i="17"/>
  <c r="T23" i="17"/>
  <c r="T13" i="17"/>
  <c r="N22" i="17"/>
  <c r="N13" i="17"/>
  <c r="E239" i="3"/>
  <c r="E86" i="3"/>
  <c r="L56" i="3"/>
  <c r="L208" i="3" s="1"/>
  <c r="E22" i="17"/>
  <c r="E23" i="17"/>
  <c r="R23" i="17"/>
  <c r="R11" i="17"/>
  <c r="R25" i="16"/>
  <c r="F29" i="16"/>
  <c r="K28" i="16"/>
  <c r="C25" i="16"/>
  <c r="C21" i="16"/>
  <c r="C58" i="3"/>
  <c r="D19" i="17"/>
  <c r="D88" i="3"/>
  <c r="D11" i="17"/>
  <c r="P56" i="3"/>
  <c r="P209" i="3"/>
  <c r="S28" i="16"/>
  <c r="S23" i="16"/>
  <c r="S27" i="16"/>
  <c r="S19" i="16"/>
  <c r="S29" i="16"/>
  <c r="S240" i="3"/>
  <c r="S86" i="3"/>
  <c r="I238" i="3"/>
  <c r="R21" i="17"/>
  <c r="R17" i="17"/>
  <c r="E210" i="3"/>
  <c r="N240" i="3"/>
  <c r="K238" i="3"/>
  <c r="D3" i="17"/>
  <c r="D18" i="17"/>
  <c r="D87" i="3"/>
  <c r="U3" i="17"/>
  <c r="U18" i="17"/>
  <c r="U87" i="3"/>
  <c r="U21" i="16"/>
  <c r="U58" i="3"/>
  <c r="U25" i="16"/>
  <c r="P27" i="16"/>
  <c r="P23" i="16"/>
  <c r="P19" i="16"/>
  <c r="P29" i="16"/>
  <c r="S209" i="3"/>
  <c r="S56" i="3"/>
  <c r="M28" i="16"/>
  <c r="M23" i="16"/>
  <c r="M19" i="16"/>
  <c r="M27" i="16"/>
  <c r="M29" i="16"/>
  <c r="R86" i="3"/>
  <c r="R239" i="3"/>
  <c r="O238" i="3"/>
  <c r="T210" i="3"/>
  <c r="K19" i="16"/>
  <c r="K23" i="16"/>
  <c r="K27" i="16"/>
  <c r="K29" i="16"/>
  <c r="B240" i="3"/>
  <c r="M56" i="3"/>
  <c r="M209" i="3"/>
  <c r="B22" i="17"/>
  <c r="B21" i="17"/>
  <c r="B17" i="17"/>
  <c r="F238" i="3"/>
  <c r="Q19" i="16"/>
  <c r="Q27" i="16"/>
  <c r="Q23" i="16"/>
  <c r="Q29" i="16"/>
  <c r="R210" i="3"/>
  <c r="L210" i="3"/>
  <c r="M9" i="17"/>
  <c r="C19" i="17"/>
  <c r="C88" i="3"/>
  <c r="C11" i="17"/>
  <c r="D58" i="3"/>
  <c r="D25" i="16"/>
  <c r="D21" i="16"/>
  <c r="C87" i="3"/>
  <c r="C3" i="17"/>
  <c r="C18" i="17"/>
  <c r="N86" i="3"/>
  <c r="N239" i="3"/>
  <c r="F56" i="3"/>
  <c r="F209" i="3"/>
  <c r="G210" i="3"/>
  <c r="H210" i="3"/>
  <c r="K209" i="3"/>
  <c r="K56" i="3"/>
  <c r="N210" i="3"/>
  <c r="G238" i="3"/>
  <c r="J238" i="3"/>
  <c r="Q209" i="3"/>
  <c r="Q56" i="3"/>
  <c r="O209" i="3"/>
  <c r="O56" i="3"/>
  <c r="E29" i="16"/>
  <c r="E23" i="16"/>
  <c r="E27" i="16"/>
  <c r="E19" i="16"/>
  <c r="C10" i="17"/>
  <c r="G27" i="16"/>
  <c r="G19" i="16"/>
  <c r="G23" i="16"/>
  <c r="H86" i="3"/>
  <c r="H239" i="3"/>
  <c r="Q238" i="3"/>
  <c r="O28" i="16"/>
  <c r="O23" i="16"/>
  <c r="O27" i="16"/>
  <c r="O19" i="16"/>
  <c r="O29" i="16"/>
  <c r="E209" i="3"/>
  <c r="E56" i="3"/>
  <c r="I20" i="16"/>
  <c r="I57" i="3"/>
  <c r="I24" i="16"/>
  <c r="I10" i="17"/>
  <c r="E9" i="17"/>
  <c r="T86" i="3"/>
  <c r="T239" i="3"/>
  <c r="N21" i="17"/>
  <c r="N17" i="17"/>
  <c r="F28" i="16"/>
  <c r="F19" i="16"/>
  <c r="F27" i="16"/>
  <c r="F23" i="16"/>
  <c r="H22" i="17"/>
  <c r="H17" i="17"/>
  <c r="H21" i="17"/>
  <c r="R240" i="3"/>
  <c r="S17" i="17"/>
  <c r="S21" i="17"/>
  <c r="S9" i="17"/>
  <c r="S22" i="17"/>
  <c r="B25" i="16"/>
  <c r="B58" i="3"/>
  <c r="B21" i="16"/>
  <c r="T240" i="3"/>
  <c r="B24" i="16"/>
  <c r="B20" i="16"/>
  <c r="B57" i="3"/>
  <c r="B9" i="17"/>
  <c r="N20" i="16"/>
  <c r="N57" i="3"/>
  <c r="N24" i="16"/>
  <c r="E238" i="3"/>
  <c r="E240" i="3"/>
  <c r="P28" i="16"/>
  <c r="H23" i="17"/>
  <c r="B11" i="17"/>
  <c r="S23" i="17"/>
  <c r="B10" i="17"/>
  <c r="M238" i="3"/>
  <c r="G9" i="17"/>
  <c r="P238" i="3"/>
  <c r="R20" i="16"/>
  <c r="R24" i="16"/>
  <c r="R57" i="3"/>
  <c r="R9" i="17"/>
  <c r="U19" i="17"/>
  <c r="U88" i="3"/>
  <c r="U11" i="17"/>
  <c r="F210" i="3"/>
  <c r="T22" i="17"/>
  <c r="T17" i="17"/>
  <c r="T21" i="17"/>
  <c r="G56" i="3"/>
  <c r="G209" i="3"/>
  <c r="H240" i="3"/>
  <c r="P9" i="17"/>
  <c r="B86" i="3"/>
  <c r="B239" i="3"/>
  <c r="N23" i="17"/>
  <c r="J20" i="16"/>
  <c r="J57" i="3"/>
  <c r="J24" i="16"/>
  <c r="J10" i="17"/>
  <c r="U23" i="17" l="1"/>
  <c r="U13" i="17"/>
  <c r="C23" i="17"/>
  <c r="C13" i="17"/>
  <c r="D23" i="17"/>
  <c r="D13" i="17"/>
  <c r="R28" i="16"/>
  <c r="B29" i="16"/>
  <c r="D22" i="17"/>
  <c r="C22" i="17"/>
  <c r="G208" i="3"/>
  <c r="R209" i="3"/>
  <c r="R56" i="3"/>
  <c r="N209" i="3"/>
  <c r="N56" i="3"/>
  <c r="H10" i="17"/>
  <c r="H57" i="3"/>
  <c r="H20" i="16"/>
  <c r="H28" i="16"/>
  <c r="H24" i="16"/>
  <c r="H238" i="3"/>
  <c r="C24" i="16"/>
  <c r="C20" i="16"/>
  <c r="C28" i="16"/>
  <c r="C57" i="3"/>
  <c r="S208" i="3"/>
  <c r="U10" i="17"/>
  <c r="U20" i="16"/>
  <c r="U24" i="16"/>
  <c r="U57" i="3"/>
  <c r="U28" i="16"/>
  <c r="J28" i="16"/>
  <c r="J27" i="16"/>
  <c r="J23" i="16"/>
  <c r="J19" i="16"/>
  <c r="J29" i="16"/>
  <c r="J9" i="17"/>
  <c r="T238" i="3"/>
  <c r="D210" i="3"/>
  <c r="M208" i="3"/>
  <c r="R238" i="3"/>
  <c r="D86" i="3"/>
  <c r="D239" i="3"/>
  <c r="N27" i="16"/>
  <c r="N23" i="16"/>
  <c r="N19" i="16"/>
  <c r="N29" i="16"/>
  <c r="T24" i="16"/>
  <c r="T20" i="16"/>
  <c r="T57" i="3"/>
  <c r="T10" i="17"/>
  <c r="I209" i="3"/>
  <c r="I56" i="3"/>
  <c r="Q208" i="3"/>
  <c r="U210" i="3"/>
  <c r="V3" i="17"/>
  <c r="V18" i="17"/>
  <c r="V87" i="3"/>
  <c r="J209" i="3"/>
  <c r="J56" i="3"/>
  <c r="U240" i="3"/>
  <c r="N9" i="17"/>
  <c r="S238" i="3"/>
  <c r="C210" i="3"/>
  <c r="B28" i="16"/>
  <c r="B19" i="16"/>
  <c r="B23" i="16"/>
  <c r="B27" i="16"/>
  <c r="I28" i="16"/>
  <c r="I23" i="16"/>
  <c r="I19" i="16"/>
  <c r="I27" i="16"/>
  <c r="I29" i="16"/>
  <c r="I9" i="17"/>
  <c r="F208" i="3"/>
  <c r="U86" i="3"/>
  <c r="U239" i="3"/>
  <c r="D21" i="17"/>
  <c r="D17" i="17"/>
  <c r="D240" i="3"/>
  <c r="V19" i="17"/>
  <c r="V88" i="3"/>
  <c r="V11" i="17"/>
  <c r="B209" i="3"/>
  <c r="B56" i="3"/>
  <c r="B210" i="3"/>
  <c r="C17" i="17"/>
  <c r="C21" i="17"/>
  <c r="V25" i="16"/>
  <c r="V21" i="16"/>
  <c r="V58" i="3"/>
  <c r="N28" i="16"/>
  <c r="C86" i="3"/>
  <c r="C239" i="3"/>
  <c r="C240" i="3"/>
  <c r="P208" i="3"/>
  <c r="D10" i="17"/>
  <c r="D20" i="16"/>
  <c r="D57" i="3"/>
  <c r="D9" i="17"/>
  <c r="D24" i="16"/>
  <c r="B238" i="3"/>
  <c r="R27" i="16"/>
  <c r="R19" i="16"/>
  <c r="R23" i="16"/>
  <c r="R29" i="16"/>
  <c r="E208" i="3"/>
  <c r="O208" i="3"/>
  <c r="K208" i="3"/>
  <c r="N238" i="3"/>
  <c r="U22" i="17"/>
  <c r="U21" i="17"/>
  <c r="U17" i="17"/>
  <c r="U9" i="17"/>
  <c r="V23" i="17" l="1"/>
  <c r="V13" i="17"/>
  <c r="C9" i="17"/>
  <c r="D28" i="16"/>
  <c r="T27" i="16"/>
  <c r="T23" i="16"/>
  <c r="T19" i="16"/>
  <c r="T29" i="16"/>
  <c r="T9" i="17"/>
  <c r="V17" i="17"/>
  <c r="V21" i="17"/>
  <c r="T209" i="3"/>
  <c r="T56" i="3"/>
  <c r="D238" i="3"/>
  <c r="C19" i="16"/>
  <c r="C27" i="16"/>
  <c r="C23" i="16"/>
  <c r="C29" i="16"/>
  <c r="H27" i="16"/>
  <c r="H23" i="16"/>
  <c r="H19" i="16"/>
  <c r="H29" i="16"/>
  <c r="H9" i="17"/>
  <c r="R208" i="3"/>
  <c r="J208" i="3"/>
  <c r="V20" i="16"/>
  <c r="V24" i="16"/>
  <c r="V9" i="17"/>
  <c r="V57" i="3"/>
  <c r="C238" i="3"/>
  <c r="V210" i="3"/>
  <c r="H56" i="3"/>
  <c r="H209" i="3"/>
  <c r="I208" i="3"/>
  <c r="D27" i="16"/>
  <c r="D23" i="16"/>
  <c r="D19" i="16"/>
  <c r="D29" i="16"/>
  <c r="V22" i="17"/>
  <c r="U29" i="16"/>
  <c r="U23" i="16"/>
  <c r="U27" i="16"/>
  <c r="U19" i="16"/>
  <c r="D209" i="3"/>
  <c r="V240" i="3"/>
  <c r="U238" i="3"/>
  <c r="V10" i="17"/>
  <c r="D56" i="3"/>
  <c r="U209" i="3"/>
  <c r="U56" i="3"/>
  <c r="N208" i="3"/>
  <c r="B208" i="3"/>
  <c r="V86" i="3"/>
  <c r="V239" i="3"/>
  <c r="T28" i="16"/>
  <c r="C209" i="3"/>
  <c r="C56" i="3"/>
  <c r="V28" i="16" l="1"/>
  <c r="H208" i="3"/>
  <c r="V238" i="3"/>
  <c r="C208" i="3"/>
  <c r="U208" i="3"/>
  <c r="V209" i="3"/>
  <c r="V56" i="3"/>
  <c r="T208" i="3"/>
  <c r="V27" i="16"/>
  <c r="V23" i="16"/>
  <c r="V19" i="16"/>
  <c r="V29" i="16"/>
  <c r="D208" i="3"/>
  <c r="V208" i="3" l="1"/>
  <c r="S68" i="11" l="1"/>
  <c r="L68" i="11"/>
  <c r="M68" i="11"/>
  <c r="U68" i="11" l="1"/>
  <c r="R68" i="11"/>
  <c r="N68" i="11"/>
  <c r="Q68" i="11"/>
  <c r="V68" i="11"/>
  <c r="J68" i="11"/>
  <c r="O67" i="11"/>
  <c r="K67" i="11"/>
  <c r="O13" i="14" l="1"/>
  <c r="O19" i="14" s="1"/>
  <c r="N13" i="14"/>
  <c r="N19" i="14" s="1"/>
  <c r="T13" i="14"/>
  <c r="T19" i="14" s="1"/>
  <c r="M13" i="14"/>
  <c r="M19" i="14" s="1"/>
  <c r="Q14" i="14"/>
  <c r="T67" i="11"/>
  <c r="L14" i="14"/>
  <c r="L20" i="14" s="1"/>
  <c r="U14" i="14"/>
  <c r="U20" i="14" s="1"/>
  <c r="T14" i="14"/>
  <c r="R14" i="14"/>
  <c r="R20" i="14" s="1"/>
  <c r="N14" i="14"/>
  <c r="N20" i="14" s="1"/>
  <c r="U67" i="11"/>
  <c r="M67" i="11"/>
  <c r="S14" i="14"/>
  <c r="S20" i="14" s="1"/>
  <c r="S13" i="14"/>
  <c r="S19" i="14" s="1"/>
  <c r="R13" i="14"/>
  <c r="R19" i="14" s="1"/>
  <c r="P14" i="14"/>
  <c r="P20" i="14" s="1"/>
  <c r="P13" i="14"/>
  <c r="P19" i="14" s="1"/>
  <c r="Q67" i="11"/>
  <c r="P67" i="11"/>
  <c r="R67" i="11"/>
  <c r="L13" i="14"/>
  <c r="L19" i="14" s="1"/>
  <c r="U13" i="14"/>
  <c r="U19" i="14" s="1"/>
  <c r="N67" i="11"/>
  <c r="I68" i="11"/>
  <c r="S67" i="11"/>
  <c r="L67" i="11"/>
  <c r="V67" i="11"/>
  <c r="M14" i="14"/>
  <c r="M20" i="14" s="1"/>
  <c r="Q13" i="14"/>
  <c r="Q19" i="14" s="1"/>
  <c r="O14" i="14"/>
  <c r="P68" i="11"/>
  <c r="J67" i="11"/>
  <c r="T24" i="11"/>
  <c r="U34" i="11"/>
  <c r="R24" i="11"/>
  <c r="M24" i="11"/>
  <c r="J24" i="11"/>
  <c r="N24" i="11"/>
  <c r="R69" i="11" l="1"/>
  <c r="V14" i="14"/>
  <c r="T69" i="11"/>
  <c r="T20" i="14"/>
  <c r="T68" i="11"/>
  <c r="Q20" i="14"/>
  <c r="Q24" i="11"/>
  <c r="R34" i="11"/>
  <c r="K14" i="14"/>
  <c r="K20" i="14" s="1"/>
  <c r="I67" i="11"/>
  <c r="U24" i="11"/>
  <c r="O24" i="11"/>
  <c r="T34" i="11"/>
  <c r="S24" i="11"/>
  <c r="K68" i="11"/>
  <c r="P24" i="11"/>
  <c r="U69" i="11"/>
  <c r="O68" i="11"/>
  <c r="O20" i="14"/>
  <c r="U15" i="14"/>
  <c r="U21" i="14" s="1"/>
  <c r="R66" i="11" l="1"/>
  <c r="V20" i="14"/>
  <c r="K13" i="14"/>
  <c r="K19" i="14" s="1"/>
  <c r="N69" i="11"/>
  <c r="N34" i="11"/>
  <c r="I24" i="11"/>
  <c r="L24" i="11"/>
  <c r="S69" i="11"/>
  <c r="S34" i="11"/>
  <c r="V13" i="14"/>
  <c r="K24" i="11"/>
  <c r="H68" i="11"/>
  <c r="H24" i="11"/>
  <c r="U4" i="14"/>
  <c r="U12" i="14" s="1"/>
  <c r="U18" i="14" s="1"/>
  <c r="T66" i="11"/>
  <c r="U66" i="11"/>
  <c r="S15" i="14" l="1"/>
  <c r="S4" i="14"/>
  <c r="S12" i="14" s="1"/>
  <c r="S18" i="14" s="1"/>
  <c r="Q15" i="14"/>
  <c r="Q4" i="14"/>
  <c r="Q12" i="14" s="1"/>
  <c r="N15" i="14"/>
  <c r="N4" i="14"/>
  <c r="N12" i="14" s="1"/>
  <c r="N18" i="14" s="1"/>
  <c r="V24" i="11"/>
  <c r="L14" i="3"/>
  <c r="L87" i="11"/>
  <c r="I14" i="3"/>
  <c r="I87" i="11"/>
  <c r="S16" i="3"/>
  <c r="S89" i="11"/>
  <c r="U14" i="3"/>
  <c r="U87" i="11"/>
  <c r="S66" i="11"/>
  <c r="M15" i="14"/>
  <c r="M4" i="14"/>
  <c r="M12" i="14" s="1"/>
  <c r="O14" i="3"/>
  <c r="O87" i="11"/>
  <c r="H67" i="11"/>
  <c r="V69" i="11"/>
  <c r="V34" i="11"/>
  <c r="O15" i="14"/>
  <c r="O21" i="14" s="1"/>
  <c r="O4" i="14"/>
  <c r="O12" i="14" s="1"/>
  <c r="P15" i="14"/>
  <c r="P4" i="14"/>
  <c r="P12" i="14" s="1"/>
  <c r="R15" i="14"/>
  <c r="R21" i="14" s="1"/>
  <c r="R4" i="14"/>
  <c r="R12" i="14" s="1"/>
  <c r="M69" i="11"/>
  <c r="M34" i="11"/>
  <c r="K14" i="3"/>
  <c r="K87" i="11"/>
  <c r="M14" i="3"/>
  <c r="M87" i="11"/>
  <c r="J13" i="14"/>
  <c r="J19" i="14" s="1"/>
  <c r="J14" i="14"/>
  <c r="J20" i="14" s="1"/>
  <c r="R14" i="3"/>
  <c r="R87" i="11"/>
  <c r="T15" i="14"/>
  <c r="T21" i="14" s="1"/>
  <c r="T4" i="14"/>
  <c r="T12" i="14" s="1"/>
  <c r="T18" i="14" s="1"/>
  <c r="T14" i="3"/>
  <c r="T87" i="11"/>
  <c r="V14" i="3"/>
  <c r="V87" i="11"/>
  <c r="N66" i="11"/>
  <c r="S14" i="3"/>
  <c r="S87" i="11"/>
  <c r="N14" i="3"/>
  <c r="N87" i="11"/>
  <c r="P14" i="3"/>
  <c r="P87" i="11"/>
  <c r="O69" i="11"/>
  <c r="O34" i="11"/>
  <c r="G24" i="11"/>
  <c r="J14" i="3"/>
  <c r="J87" i="11"/>
  <c r="Q14" i="3"/>
  <c r="Q87" i="11"/>
  <c r="L69" i="11"/>
  <c r="L34" i="11"/>
  <c r="V19" i="14"/>
  <c r="U16" i="3" l="1"/>
  <c r="U89" i="11"/>
  <c r="L66" i="11"/>
  <c r="R18" i="14"/>
  <c r="I14" i="14"/>
  <c r="V15" i="14"/>
  <c r="V4" i="14"/>
  <c r="V12" i="14" s="1"/>
  <c r="V18" i="14" s="1"/>
  <c r="T16" i="3"/>
  <c r="T89" i="11"/>
  <c r="N21" i="14"/>
  <c r="E24" i="11"/>
  <c r="R16" i="3"/>
  <c r="R89" i="11"/>
  <c r="O18" i="14"/>
  <c r="O66" i="11"/>
  <c r="F24" i="11"/>
  <c r="G68" i="11"/>
  <c r="M16" i="3"/>
  <c r="M89" i="11"/>
  <c r="K69" i="11"/>
  <c r="K34" i="11"/>
  <c r="P69" i="11"/>
  <c r="P21" i="14"/>
  <c r="P34" i="11"/>
  <c r="V16" i="3"/>
  <c r="V89" i="11"/>
  <c r="M18" i="14"/>
  <c r="M66" i="11"/>
  <c r="L15" i="14"/>
  <c r="L21" i="14" s="1"/>
  <c r="L4" i="14"/>
  <c r="L12" i="14" s="1"/>
  <c r="L18" i="14" s="1"/>
  <c r="M21" i="14"/>
  <c r="V66" i="11"/>
  <c r="S21" i="14"/>
  <c r="L16" i="3" l="1"/>
  <c r="L89" i="11"/>
  <c r="U15" i="3"/>
  <c r="U88" i="11"/>
  <c r="U4" i="11"/>
  <c r="Q77" i="11"/>
  <c r="I13" i="14"/>
  <c r="I19" i="14" s="1"/>
  <c r="N77" i="11"/>
  <c r="P15" i="3"/>
  <c r="P88" i="11"/>
  <c r="M77" i="11"/>
  <c r="R15" i="3"/>
  <c r="R88" i="11"/>
  <c r="R4" i="11"/>
  <c r="K15" i="3"/>
  <c r="K88" i="11"/>
  <c r="O15" i="3"/>
  <c r="O88" i="11"/>
  <c r="J15" i="3"/>
  <c r="J88" i="11"/>
  <c r="P18" i="14"/>
  <c r="P66" i="11"/>
  <c r="L77" i="11"/>
  <c r="I77" i="11"/>
  <c r="T77" i="11"/>
  <c r="J77" i="11"/>
  <c r="Q15" i="3"/>
  <c r="Q88" i="11"/>
  <c r="Q69" i="11"/>
  <c r="Q34" i="11"/>
  <c r="I20" i="14"/>
  <c r="S15" i="3"/>
  <c r="S88" i="11"/>
  <c r="S4" i="11"/>
  <c r="O77" i="11"/>
  <c r="U72" i="11"/>
  <c r="K77" i="11"/>
  <c r="M15" i="3"/>
  <c r="M88" i="11"/>
  <c r="M4" i="11"/>
  <c r="N15" i="3"/>
  <c r="N88" i="11"/>
  <c r="N4" i="11"/>
  <c r="J69" i="11"/>
  <c r="J34" i="11"/>
  <c r="L15" i="3"/>
  <c r="L88" i="11"/>
  <c r="L4" i="11"/>
  <c r="S77" i="11"/>
  <c r="S79" i="11"/>
  <c r="R77" i="11"/>
  <c r="U77" i="11"/>
  <c r="Q21" i="14"/>
  <c r="N16" i="3"/>
  <c r="N109" i="11"/>
  <c r="N89" i="11"/>
  <c r="T15" i="3"/>
  <c r="T88" i="11"/>
  <c r="T4" i="11"/>
  <c r="T72" i="11"/>
  <c r="I15" i="3"/>
  <c r="I88" i="11"/>
  <c r="K66" i="11"/>
  <c r="V77" i="11"/>
  <c r="G67" i="11"/>
  <c r="P77" i="11"/>
  <c r="V21" i="14"/>
  <c r="U79" i="11"/>
  <c r="H14" i="3" l="1"/>
  <c r="H87" i="11"/>
  <c r="D24" i="11"/>
  <c r="V15" i="3"/>
  <c r="V88" i="11"/>
  <c r="V4" i="11"/>
  <c r="V108" i="11" s="1"/>
  <c r="R79" i="11"/>
  <c r="J66" i="11"/>
  <c r="M13" i="3"/>
  <c r="U106" i="11"/>
  <c r="U86" i="11"/>
  <c r="U107" i="11"/>
  <c r="U109" i="11"/>
  <c r="S72" i="11"/>
  <c r="L106" i="11"/>
  <c r="L86" i="11"/>
  <c r="L107" i="11"/>
  <c r="S107" i="11"/>
  <c r="S106" i="11"/>
  <c r="S86" i="11"/>
  <c r="S109" i="11"/>
  <c r="R13" i="3"/>
  <c r="U108" i="11"/>
  <c r="M79" i="11"/>
  <c r="O89" i="11"/>
  <c r="O16" i="3"/>
  <c r="V79" i="11"/>
  <c r="F68" i="11"/>
  <c r="T106" i="11"/>
  <c r="T86" i="11"/>
  <c r="T107" i="11"/>
  <c r="T109" i="11"/>
  <c r="L108" i="11"/>
  <c r="N106" i="11"/>
  <c r="N86" i="11"/>
  <c r="N107" i="11"/>
  <c r="S108" i="11"/>
  <c r="T108" i="11"/>
  <c r="U13" i="3"/>
  <c r="I69" i="11"/>
  <c r="I34" i="11"/>
  <c r="L13" i="3"/>
  <c r="N108" i="11"/>
  <c r="S13" i="3"/>
  <c r="L109" i="11"/>
  <c r="T13" i="3"/>
  <c r="N13" i="3"/>
  <c r="T79" i="11"/>
  <c r="M108" i="11"/>
  <c r="M106" i="11"/>
  <c r="M86" i="11"/>
  <c r="M107" i="11"/>
  <c r="M109" i="11"/>
  <c r="Q66" i="11"/>
  <c r="Q18" i="14"/>
  <c r="O4" i="11"/>
  <c r="O109" i="11" s="1"/>
  <c r="R109" i="11"/>
  <c r="R86" i="11"/>
  <c r="R106" i="11"/>
  <c r="R107" i="11"/>
  <c r="R108" i="11"/>
  <c r="T73" i="11"/>
  <c r="L78" i="11" l="1"/>
  <c r="O78" i="11"/>
  <c r="H13" i="14"/>
  <c r="H19" i="14" s="1"/>
  <c r="U73" i="11"/>
  <c r="N78" i="11"/>
  <c r="N14" i="11"/>
  <c r="H14" i="14"/>
  <c r="H20" i="14" s="1"/>
  <c r="C24" i="11"/>
  <c r="F67" i="11"/>
  <c r="V13" i="3"/>
  <c r="S78" i="11"/>
  <c r="S14" i="11"/>
  <c r="S118" i="11" s="1"/>
  <c r="O108" i="11"/>
  <c r="O106" i="11"/>
  <c r="O86" i="11"/>
  <c r="O107" i="11"/>
  <c r="I66" i="11"/>
  <c r="N79" i="11"/>
  <c r="Q78" i="11"/>
  <c r="M78" i="11"/>
  <c r="M14" i="11"/>
  <c r="M118" i="11" s="1"/>
  <c r="V78" i="11"/>
  <c r="V14" i="11"/>
  <c r="K16" i="3"/>
  <c r="K89" i="11"/>
  <c r="K4" i="11"/>
  <c r="K109" i="11" s="1"/>
  <c r="B24" i="11"/>
  <c r="J78" i="11"/>
  <c r="P78" i="11"/>
  <c r="E68" i="11"/>
  <c r="R72" i="11"/>
  <c r="R78" i="11"/>
  <c r="R14" i="11"/>
  <c r="R118" i="11" s="1"/>
  <c r="P16" i="3"/>
  <c r="P89" i="11"/>
  <c r="P4" i="11"/>
  <c r="U78" i="11"/>
  <c r="U14" i="11"/>
  <c r="U118" i="11" s="1"/>
  <c r="K78" i="11"/>
  <c r="T78" i="11"/>
  <c r="T14" i="11"/>
  <c r="I78" i="11"/>
  <c r="O13" i="3"/>
  <c r="V106" i="11"/>
  <c r="V86" i="11"/>
  <c r="V107" i="11"/>
  <c r="V109" i="11"/>
  <c r="O14" i="11"/>
  <c r="V72" i="11"/>
  <c r="Q72" i="11"/>
  <c r="O116" i="11" l="1"/>
  <c r="O76" i="11"/>
  <c r="O117" i="11"/>
  <c r="O118" i="11"/>
  <c r="S73" i="11"/>
  <c r="K13" i="3"/>
  <c r="H77" i="11"/>
  <c r="H15" i="3"/>
  <c r="H88" i="11"/>
  <c r="O79" i="11"/>
  <c r="O119" i="11"/>
  <c r="V118" i="11"/>
  <c r="V116" i="11"/>
  <c r="V76" i="11"/>
  <c r="V117" i="11"/>
  <c r="V119" i="11"/>
  <c r="N116" i="11"/>
  <c r="N76" i="11"/>
  <c r="N117" i="11"/>
  <c r="T116" i="11"/>
  <c r="T76" i="11"/>
  <c r="T117" i="11"/>
  <c r="T119" i="11"/>
  <c r="P109" i="11"/>
  <c r="P106" i="11"/>
  <c r="P86" i="11"/>
  <c r="P107" i="11"/>
  <c r="P108" i="11"/>
  <c r="J16" i="3"/>
  <c r="J89" i="11"/>
  <c r="J4" i="11"/>
  <c r="T118" i="11"/>
  <c r="M116" i="11"/>
  <c r="M76" i="11"/>
  <c r="M117" i="11"/>
  <c r="M119" i="11"/>
  <c r="N119" i="11"/>
  <c r="N118" i="11"/>
  <c r="K15" i="14"/>
  <c r="K21" i="14" s="1"/>
  <c r="K4" i="14"/>
  <c r="K12" i="14" s="1"/>
  <c r="G87" i="11"/>
  <c r="G14" i="3"/>
  <c r="P13" i="3"/>
  <c r="Q89" i="11"/>
  <c r="Q16" i="3"/>
  <c r="Q4" i="11"/>
  <c r="Q109" i="11" s="1"/>
  <c r="H69" i="11"/>
  <c r="H34" i="11"/>
  <c r="U119" i="11"/>
  <c r="U76" i="11"/>
  <c r="U116" i="11"/>
  <c r="U117" i="11"/>
  <c r="R116" i="11"/>
  <c r="R76" i="11"/>
  <c r="R117" i="11"/>
  <c r="R119" i="11"/>
  <c r="K106" i="11"/>
  <c r="K86" i="11"/>
  <c r="K107" i="11"/>
  <c r="K108" i="11"/>
  <c r="S116" i="11"/>
  <c r="S76" i="11"/>
  <c r="S117" i="11"/>
  <c r="S119" i="11"/>
  <c r="P72" i="11"/>
  <c r="I16" i="3" l="1"/>
  <c r="I89" i="11"/>
  <c r="I4" i="11"/>
  <c r="K18" i="14"/>
  <c r="L79" i="11"/>
  <c r="L14" i="11"/>
  <c r="H66" i="11"/>
  <c r="E67" i="11"/>
  <c r="K79" i="11"/>
  <c r="K14" i="11"/>
  <c r="D68" i="11"/>
  <c r="R73" i="11"/>
  <c r="Q108" i="11"/>
  <c r="Q86" i="11"/>
  <c r="Q106" i="11"/>
  <c r="Q107" i="11"/>
  <c r="J15" i="14"/>
  <c r="J21" i="14" s="1"/>
  <c r="J4" i="14"/>
  <c r="J12" i="14" s="1"/>
  <c r="P79" i="11"/>
  <c r="P14" i="11"/>
  <c r="Q13" i="3"/>
  <c r="J109" i="11"/>
  <c r="J86" i="11"/>
  <c r="J106" i="11"/>
  <c r="J107" i="11"/>
  <c r="J108" i="11"/>
  <c r="G13" i="14"/>
  <c r="G19" i="14" s="1"/>
  <c r="G14" i="14"/>
  <c r="G20" i="14" s="1"/>
  <c r="J13" i="3"/>
  <c r="O72" i="11"/>
  <c r="I15" i="14" l="1"/>
  <c r="I21" i="14" s="1"/>
  <c r="I4" i="14"/>
  <c r="I12" i="14" s="1"/>
  <c r="Q73" i="11"/>
  <c r="J18" i="14"/>
  <c r="F14" i="14"/>
  <c r="F14" i="3"/>
  <c r="F87" i="11"/>
  <c r="Q79" i="11"/>
  <c r="Q14" i="11"/>
  <c r="G77" i="11"/>
  <c r="G69" i="11"/>
  <c r="G34" i="11"/>
  <c r="K116" i="11"/>
  <c r="K76" i="11"/>
  <c r="K117" i="11"/>
  <c r="K118" i="11"/>
  <c r="I109" i="11"/>
  <c r="I86" i="11"/>
  <c r="I106" i="11"/>
  <c r="I107" i="11"/>
  <c r="I108" i="11"/>
  <c r="J79" i="11"/>
  <c r="J14" i="11"/>
  <c r="K119" i="11"/>
  <c r="P116" i="11"/>
  <c r="P76" i="11"/>
  <c r="P117" i="11"/>
  <c r="P118" i="11"/>
  <c r="L116" i="11"/>
  <c r="L76" i="11"/>
  <c r="L117" i="11"/>
  <c r="L118" i="11"/>
  <c r="I13" i="3"/>
  <c r="V73" i="11"/>
  <c r="L119" i="11"/>
  <c r="G15" i="3"/>
  <c r="G88" i="11"/>
  <c r="H78" i="11"/>
  <c r="P119" i="11"/>
  <c r="P73" i="11"/>
  <c r="H16" i="3" l="1"/>
  <c r="H89" i="11"/>
  <c r="H4" i="11"/>
  <c r="F20" i="14"/>
  <c r="D67" i="11"/>
  <c r="J76" i="11"/>
  <c r="J116" i="11"/>
  <c r="J117" i="11"/>
  <c r="J118" i="11"/>
  <c r="Q117" i="11"/>
  <c r="Q116" i="11"/>
  <c r="Q76" i="11"/>
  <c r="Q118" i="11"/>
  <c r="J119" i="11"/>
  <c r="F13" i="14"/>
  <c r="F19" i="14" s="1"/>
  <c r="Q119" i="11"/>
  <c r="N72" i="11"/>
  <c r="I79" i="11"/>
  <c r="I14" i="11"/>
  <c r="I18" i="14"/>
  <c r="G66" i="11"/>
  <c r="O73" i="11"/>
  <c r="F69" i="11" l="1"/>
  <c r="F34" i="11"/>
  <c r="F66" i="11" s="1"/>
  <c r="F77" i="11"/>
  <c r="I116" i="11"/>
  <c r="I76" i="11"/>
  <c r="I117" i="11"/>
  <c r="I118" i="11"/>
  <c r="G78" i="11"/>
  <c r="I119" i="11"/>
  <c r="H107" i="11"/>
  <c r="H86" i="11"/>
  <c r="H106" i="11"/>
  <c r="H108" i="11"/>
  <c r="H15" i="14"/>
  <c r="H21" i="14" s="1"/>
  <c r="H4" i="14"/>
  <c r="H12" i="14" s="1"/>
  <c r="H18" i="14" s="1"/>
  <c r="H109" i="11"/>
  <c r="C68" i="11"/>
  <c r="E14" i="3"/>
  <c r="E87" i="11"/>
  <c r="F15" i="3"/>
  <c r="F88" i="11"/>
  <c r="H13" i="3"/>
  <c r="L72" i="11"/>
  <c r="N73" i="11" l="1"/>
  <c r="M72" i="11"/>
  <c r="E14" i="14"/>
  <c r="E20" i="14" s="1"/>
  <c r="E15" i="3"/>
  <c r="E88" i="11"/>
  <c r="C67" i="11"/>
  <c r="G89" i="11"/>
  <c r="G16" i="3"/>
  <c r="G4" i="11"/>
  <c r="E13" i="14"/>
  <c r="E19" i="14" s="1"/>
  <c r="H79" i="11"/>
  <c r="H14" i="11"/>
  <c r="D14" i="3" l="1"/>
  <c r="D87" i="11"/>
  <c r="E69" i="11"/>
  <c r="E34" i="11"/>
  <c r="G15" i="14"/>
  <c r="G21" i="14" s="1"/>
  <c r="G4" i="14"/>
  <c r="G12" i="14" s="1"/>
  <c r="K72" i="11"/>
  <c r="H117" i="11"/>
  <c r="H116" i="11"/>
  <c r="H76" i="11"/>
  <c r="H118" i="11"/>
  <c r="G106" i="11"/>
  <c r="G86" i="11"/>
  <c r="G107" i="11"/>
  <c r="G108" i="11"/>
  <c r="H119" i="11"/>
  <c r="G109" i="11"/>
  <c r="G13" i="3"/>
  <c r="B68" i="11"/>
  <c r="F78" i="11"/>
  <c r="E77" i="11"/>
  <c r="E78" i="11"/>
  <c r="J72" i="11" l="1"/>
  <c r="D15" i="3"/>
  <c r="D88" i="11"/>
  <c r="B67" i="11"/>
  <c r="G79" i="11"/>
  <c r="G14" i="11"/>
  <c r="G119" i="11" s="1"/>
  <c r="D13" i="14"/>
  <c r="D19" i="14" s="1"/>
  <c r="L73" i="11"/>
  <c r="M73" i="11"/>
  <c r="G18" i="14"/>
  <c r="F16" i="3"/>
  <c r="F89" i="11"/>
  <c r="F4" i="11"/>
  <c r="D14" i="14"/>
  <c r="D20" i="14" s="1"/>
  <c r="E66" i="11"/>
  <c r="F109" i="11" l="1"/>
  <c r="F106" i="11"/>
  <c r="F86" i="11"/>
  <c r="F107" i="11"/>
  <c r="F108" i="11"/>
  <c r="F15" i="14"/>
  <c r="F21" i="14" s="1"/>
  <c r="F4" i="14"/>
  <c r="F12" i="14" s="1"/>
  <c r="F18" i="14" s="1"/>
  <c r="D77" i="11"/>
  <c r="F13" i="3"/>
  <c r="C14" i="14"/>
  <c r="C20" i="14" s="1"/>
  <c r="C87" i="11"/>
  <c r="C14" i="3"/>
  <c r="I72" i="11"/>
  <c r="K73" i="11"/>
  <c r="D69" i="11"/>
  <c r="D34" i="11"/>
  <c r="G116" i="11"/>
  <c r="G76" i="11"/>
  <c r="G117" i="11"/>
  <c r="G118" i="11"/>
  <c r="H72" i="11"/>
  <c r="C13" i="14" l="1"/>
  <c r="C19" i="14" s="1"/>
  <c r="J73" i="11"/>
  <c r="C15" i="3"/>
  <c r="C88" i="11"/>
  <c r="F79" i="11"/>
  <c r="F14" i="11"/>
  <c r="D66" i="11"/>
  <c r="D78" i="11"/>
  <c r="E16" i="3"/>
  <c r="E89" i="11"/>
  <c r="E4" i="11"/>
  <c r="B14" i="3" l="1"/>
  <c r="B87" i="11"/>
  <c r="E106" i="11"/>
  <c r="E86" i="11"/>
  <c r="E107" i="11"/>
  <c r="E108" i="11"/>
  <c r="F116" i="11"/>
  <c r="F76" i="11"/>
  <c r="F117" i="11"/>
  <c r="F118" i="11"/>
  <c r="I73" i="11"/>
  <c r="E109" i="11"/>
  <c r="E15" i="14"/>
  <c r="E21" i="14" s="1"/>
  <c r="E4" i="14"/>
  <c r="E12" i="14" s="1"/>
  <c r="E18" i="14" s="1"/>
  <c r="F119" i="11"/>
  <c r="E13" i="3"/>
  <c r="G72" i="11"/>
  <c r="C77" i="11"/>
  <c r="C69" i="11"/>
  <c r="C34" i="11"/>
  <c r="C66" i="11" s="1"/>
  <c r="H73" i="11" l="1"/>
  <c r="F72" i="11"/>
  <c r="D16" i="3"/>
  <c r="D89" i="11"/>
  <c r="D4" i="11"/>
  <c r="B13" i="14"/>
  <c r="B19" i="14" s="1"/>
  <c r="B14" i="14"/>
  <c r="C78" i="11"/>
  <c r="B15" i="3"/>
  <c r="B88" i="11"/>
  <c r="E79" i="11"/>
  <c r="E14" i="11"/>
  <c r="D13" i="3" l="1"/>
  <c r="B69" i="11"/>
  <c r="B34" i="11"/>
  <c r="G73" i="11"/>
  <c r="D15" i="14"/>
  <c r="D4" i="14"/>
  <c r="D12" i="14" s="1"/>
  <c r="E72" i="11"/>
  <c r="B77" i="11"/>
  <c r="E118" i="11"/>
  <c r="E76" i="11"/>
  <c r="E116" i="11"/>
  <c r="E117" i="11"/>
  <c r="D108" i="11"/>
  <c r="D86" i="11"/>
  <c r="D106" i="11"/>
  <c r="D107" i="11"/>
  <c r="E119" i="11"/>
  <c r="B20" i="14"/>
  <c r="D109" i="11"/>
  <c r="B78" i="11" l="1"/>
  <c r="C89" i="11"/>
  <c r="C16" i="3"/>
  <c r="C4" i="11"/>
  <c r="D79" i="11"/>
  <c r="D14" i="11"/>
  <c r="F73" i="11"/>
  <c r="D21" i="14"/>
  <c r="B66" i="11"/>
  <c r="D18" i="14"/>
  <c r="D72" i="11"/>
  <c r="B97" i="11"/>
  <c r="C72" i="11" l="1"/>
  <c r="C108" i="11"/>
  <c r="C86" i="11"/>
  <c r="C106" i="11"/>
  <c r="C107" i="11"/>
  <c r="C109" i="11"/>
  <c r="E73" i="11"/>
  <c r="D116" i="11"/>
  <c r="D76" i="11"/>
  <c r="D117" i="11"/>
  <c r="D118" i="11"/>
  <c r="C13" i="3"/>
  <c r="D119" i="11"/>
  <c r="C15" i="14"/>
  <c r="C21" i="14" s="1"/>
  <c r="C4" i="14"/>
  <c r="C12" i="14" s="1"/>
  <c r="C18" i="14" s="1"/>
  <c r="C97" i="11"/>
  <c r="B72" i="11" l="1"/>
  <c r="C79" i="11"/>
  <c r="C14" i="11"/>
  <c r="B16" i="3"/>
  <c r="B89" i="11"/>
  <c r="B4" i="11"/>
  <c r="B98" i="11"/>
  <c r="D73" i="11"/>
  <c r="C73" i="11"/>
  <c r="B13" i="3" l="1"/>
  <c r="E97" i="11"/>
  <c r="B15" i="14"/>
  <c r="B21" i="14" s="1"/>
  <c r="B4" i="14"/>
  <c r="B12" i="14" s="1"/>
  <c r="C119" i="11"/>
  <c r="C116" i="11"/>
  <c r="C76" i="11"/>
  <c r="C117" i="11"/>
  <c r="C118" i="11"/>
  <c r="D97" i="11"/>
  <c r="D98" i="11"/>
  <c r="C98" i="11"/>
  <c r="B106" i="11"/>
  <c r="B86" i="11"/>
  <c r="B107" i="11"/>
  <c r="B108" i="11"/>
  <c r="B109" i="11"/>
  <c r="B73" i="11"/>
  <c r="F97" i="11" l="1"/>
  <c r="B18" i="14"/>
  <c r="B79" i="11"/>
  <c r="B14" i="11"/>
  <c r="B99" i="11" l="1"/>
  <c r="B44" i="11"/>
  <c r="E98" i="11"/>
  <c r="G97" i="11"/>
  <c r="B119" i="11"/>
  <c r="B76" i="11"/>
  <c r="B116" i="11"/>
  <c r="B117" i="11"/>
  <c r="B118" i="11"/>
  <c r="H97" i="11" l="1"/>
  <c r="C99" i="11"/>
  <c r="C44" i="11"/>
  <c r="B96" i="11"/>
  <c r="F98" i="11"/>
  <c r="D99" i="11" l="1"/>
  <c r="D44" i="11"/>
  <c r="C96" i="11"/>
  <c r="B54" i="11"/>
  <c r="G98" i="11"/>
  <c r="I97" i="11"/>
  <c r="H98" i="11" l="1"/>
  <c r="J97" i="11"/>
  <c r="C54" i="11"/>
  <c r="E99" i="11"/>
  <c r="E44" i="11"/>
  <c r="D54" i="11"/>
  <c r="D96" i="11"/>
  <c r="E54" i="11" l="1"/>
  <c r="I98" i="11"/>
  <c r="F99" i="11"/>
  <c r="F44" i="11"/>
  <c r="K97" i="11"/>
  <c r="E96" i="11"/>
  <c r="F96" i="11" l="1"/>
  <c r="L97" i="11"/>
  <c r="G99" i="11"/>
  <c r="G44" i="11"/>
  <c r="F54" i="11"/>
  <c r="J98" i="11"/>
  <c r="M97" i="11" l="1"/>
  <c r="H99" i="11"/>
  <c r="H44" i="11"/>
  <c r="H96" i="11" s="1"/>
  <c r="G96" i="11"/>
  <c r="K98" i="11"/>
  <c r="G54" i="11" l="1"/>
  <c r="I99" i="11"/>
  <c r="I44" i="11"/>
  <c r="N97" i="11"/>
  <c r="L98" i="11"/>
  <c r="J99" i="11" l="1"/>
  <c r="J44" i="11"/>
  <c r="J96" i="11" s="1"/>
  <c r="H54" i="11"/>
  <c r="I96" i="11"/>
  <c r="O97" i="11"/>
  <c r="I54" i="11"/>
  <c r="M98" i="11"/>
  <c r="N98" i="11" l="1"/>
  <c r="K99" i="11"/>
  <c r="K44" i="11"/>
  <c r="P97" i="11"/>
  <c r="J54" i="11"/>
  <c r="K54" i="11" l="1"/>
  <c r="K96" i="11"/>
  <c r="Q97" i="11"/>
  <c r="L99" i="11"/>
  <c r="L44" i="11"/>
  <c r="O98" i="11"/>
  <c r="L54" i="11" l="1"/>
  <c r="L96" i="11"/>
  <c r="P98" i="11"/>
  <c r="M99" i="11"/>
  <c r="M44" i="11"/>
  <c r="R97" i="11"/>
  <c r="M54" i="11" l="1"/>
  <c r="Q98" i="11"/>
  <c r="N99" i="11"/>
  <c r="N44" i="11"/>
  <c r="M96" i="11"/>
  <c r="S97" i="11"/>
  <c r="N96" i="11" l="1"/>
  <c r="R98" i="11"/>
  <c r="T97" i="11"/>
  <c r="O99" i="11"/>
  <c r="O44" i="11"/>
  <c r="P99" i="11" l="1"/>
  <c r="P44" i="11"/>
  <c r="U97" i="11"/>
  <c r="O54" i="11"/>
  <c r="S98" i="11"/>
  <c r="N54" i="11"/>
  <c r="O96" i="11"/>
  <c r="T98" i="11" l="1"/>
  <c r="Q99" i="11"/>
  <c r="Q44" i="11"/>
  <c r="Q96" i="11" s="1"/>
  <c r="P54" i="11"/>
  <c r="P96" i="11"/>
  <c r="Q54" i="11" l="1"/>
  <c r="U98" i="11"/>
  <c r="R99" i="11"/>
  <c r="R44" i="11"/>
  <c r="R96" i="11" s="1"/>
  <c r="V97" i="11"/>
  <c r="R54" i="11" l="1"/>
  <c r="S99" i="11"/>
  <c r="S44" i="11"/>
  <c r="V98" i="11" l="1"/>
  <c r="T99" i="11"/>
  <c r="T44" i="11"/>
  <c r="S96" i="11"/>
  <c r="S54" i="11"/>
  <c r="U99" i="11" l="1"/>
  <c r="U44" i="11"/>
  <c r="T96" i="11"/>
  <c r="T54" i="11" l="1"/>
  <c r="U96" i="11"/>
  <c r="V99" i="11" l="1"/>
  <c r="V44" i="11"/>
  <c r="V54" i="11"/>
  <c r="U54" i="11"/>
  <c r="V96" i="11" l="1"/>
  <c r="U28" i="11" l="1"/>
  <c r="H28" i="11"/>
  <c r="K28" i="11"/>
  <c r="T28" i="11"/>
  <c r="E28" i="11"/>
  <c r="N28" i="11"/>
  <c r="O28" i="11"/>
  <c r="L28" i="11"/>
  <c r="L23" i="11" s="1"/>
  <c r="J28" i="11"/>
  <c r="R28" i="11"/>
  <c r="P28" i="11"/>
  <c r="M28" i="11"/>
  <c r="Q28" i="11"/>
  <c r="S28" i="11"/>
  <c r="F28" i="11"/>
  <c r="G28" i="11"/>
  <c r="I28" i="11"/>
  <c r="M23" i="11" l="1"/>
  <c r="F23" i="11"/>
  <c r="T23" i="11"/>
  <c r="P23" i="11"/>
  <c r="D28" i="11"/>
  <c r="R23" i="11"/>
  <c r="N23" i="11"/>
  <c r="H23" i="11"/>
  <c r="I23" i="11"/>
  <c r="S23" i="11"/>
  <c r="K23" i="11"/>
  <c r="Q23" i="11"/>
  <c r="J23" i="11"/>
  <c r="E23" i="11"/>
  <c r="U23" i="11"/>
  <c r="O23" i="11"/>
  <c r="V28" i="11"/>
  <c r="G23" i="11"/>
  <c r="I71" i="11" l="1"/>
  <c r="I38" i="11"/>
  <c r="I70" i="11" s="1"/>
  <c r="C28" i="11"/>
  <c r="V23" i="11"/>
  <c r="D23" i="11"/>
  <c r="M38" i="11"/>
  <c r="M70" i="11" s="1"/>
  <c r="M71" i="11"/>
  <c r="G71" i="11"/>
  <c r="G38" i="11"/>
  <c r="G70" i="11" s="1"/>
  <c r="L38" i="11"/>
  <c r="L70" i="11" s="1"/>
  <c r="L71" i="11"/>
  <c r="K71" i="11"/>
  <c r="K38" i="11"/>
  <c r="K70" i="11" s="1"/>
  <c r="R71" i="11"/>
  <c r="R38" i="11"/>
  <c r="R70" i="11" s="1"/>
  <c r="F38" i="11"/>
  <c r="F70" i="11" s="1"/>
  <c r="F71" i="11"/>
  <c r="H71" i="11"/>
  <c r="H38" i="11"/>
  <c r="H70" i="11" s="1"/>
  <c r="N71" i="11"/>
  <c r="N38" i="11"/>
  <c r="N70" i="11" s="1"/>
  <c r="F23" i="3" l="1"/>
  <c r="F91" i="11"/>
  <c r="M23" i="3"/>
  <c r="M91" i="11"/>
  <c r="J71" i="11"/>
  <c r="J38" i="11"/>
  <c r="J70" i="11" s="1"/>
  <c r="T71" i="11"/>
  <c r="T38" i="11"/>
  <c r="T70" i="11" s="1"/>
  <c r="S71" i="11"/>
  <c r="S38" i="11"/>
  <c r="S70" i="11" s="1"/>
  <c r="U71" i="11"/>
  <c r="U38" i="11"/>
  <c r="U70" i="11" s="1"/>
  <c r="P71" i="11"/>
  <c r="P38" i="11"/>
  <c r="P70" i="11" s="1"/>
  <c r="P23" i="3"/>
  <c r="P91" i="11"/>
  <c r="S23" i="3"/>
  <c r="S91" i="11"/>
  <c r="K23" i="3"/>
  <c r="K91" i="11"/>
  <c r="L91" i="11"/>
  <c r="L23" i="3"/>
  <c r="N23" i="3"/>
  <c r="N91" i="11"/>
  <c r="U23" i="3"/>
  <c r="U91" i="11"/>
  <c r="O71" i="11"/>
  <c r="O38" i="11"/>
  <c r="O70" i="11" s="1"/>
  <c r="Q23" i="3"/>
  <c r="Q91" i="11"/>
  <c r="E23" i="3"/>
  <c r="E91" i="11"/>
  <c r="O23" i="3"/>
  <c r="O91" i="11"/>
  <c r="Q38" i="11"/>
  <c r="Q70" i="11" s="1"/>
  <c r="Q71" i="11"/>
  <c r="G23" i="3"/>
  <c r="G91" i="11"/>
  <c r="R91" i="11"/>
  <c r="R23" i="3"/>
  <c r="E71" i="11"/>
  <c r="E38" i="11"/>
  <c r="E70" i="11" s="1"/>
  <c r="H91" i="11"/>
  <c r="H23" i="3"/>
  <c r="I23" i="3"/>
  <c r="I91" i="11"/>
  <c r="T23" i="3"/>
  <c r="T91" i="11"/>
  <c r="V38" i="11"/>
  <c r="V70" i="11" s="1"/>
  <c r="V71" i="11"/>
  <c r="J91" i="11"/>
  <c r="J23" i="3"/>
  <c r="C23" i="11"/>
  <c r="D23" i="3" l="1"/>
  <c r="D91" i="11"/>
  <c r="D38" i="11"/>
  <c r="D70" i="11" s="1"/>
  <c r="D71" i="11"/>
  <c r="B28" i="11"/>
  <c r="V23" i="3"/>
  <c r="V91" i="11"/>
  <c r="H81" i="11" l="1"/>
  <c r="M81" i="11"/>
  <c r="I24" i="3"/>
  <c r="I92" i="11"/>
  <c r="G92" i="11"/>
  <c r="G24" i="3"/>
  <c r="N24" i="3"/>
  <c r="N92" i="11"/>
  <c r="F81" i="11"/>
  <c r="R24" i="3"/>
  <c r="R92" i="11"/>
  <c r="P24" i="3"/>
  <c r="P92" i="11"/>
  <c r="U81" i="11"/>
  <c r="Q24" i="3"/>
  <c r="Q92" i="11"/>
  <c r="O24" i="3"/>
  <c r="O92" i="11"/>
  <c r="S92" i="11"/>
  <c r="S24" i="3"/>
  <c r="O81" i="11"/>
  <c r="E81" i="11"/>
  <c r="C71" i="11"/>
  <c r="C38" i="11"/>
  <c r="C70" i="11" s="1"/>
  <c r="L24" i="3"/>
  <c r="L92" i="11"/>
  <c r="J24" i="3"/>
  <c r="J92" i="11"/>
  <c r="P81" i="11"/>
  <c r="K92" i="11"/>
  <c r="K24" i="3"/>
  <c r="M92" i="11"/>
  <c r="M24" i="3"/>
  <c r="R81" i="11"/>
  <c r="C23" i="3"/>
  <c r="C91" i="11"/>
  <c r="J81" i="11"/>
  <c r="F24" i="3"/>
  <c r="F92" i="11"/>
  <c r="B23" i="11"/>
  <c r="T81" i="11"/>
  <c r="N81" i="11"/>
  <c r="U92" i="11"/>
  <c r="U24" i="3"/>
  <c r="G81" i="11"/>
  <c r="I81" i="11"/>
  <c r="E24" i="3"/>
  <c r="E92" i="11"/>
  <c r="S81" i="11"/>
  <c r="H24" i="3"/>
  <c r="H92" i="11"/>
  <c r="L81" i="11"/>
  <c r="T24" i="3"/>
  <c r="T92" i="11"/>
  <c r="Q81" i="11"/>
  <c r="K81" i="11"/>
  <c r="S8" i="11"/>
  <c r="H8" i="11"/>
  <c r="U8" i="11"/>
  <c r="L8" i="11"/>
  <c r="P8" i="11"/>
  <c r="P113" i="11" l="1"/>
  <c r="P110" i="11"/>
  <c r="P90" i="11"/>
  <c r="P111" i="11"/>
  <c r="P112" i="11"/>
  <c r="L113" i="11"/>
  <c r="L90" i="11"/>
  <c r="L110" i="11"/>
  <c r="L111" i="11"/>
  <c r="L112" i="11"/>
  <c r="U90" i="11"/>
  <c r="U110" i="11"/>
  <c r="U111" i="11"/>
  <c r="U112" i="11"/>
  <c r="H112" i="11"/>
  <c r="H110" i="11"/>
  <c r="H90" i="11"/>
  <c r="H111" i="11"/>
  <c r="S113" i="11"/>
  <c r="S90" i="11"/>
  <c r="S110" i="11"/>
  <c r="S111" i="11"/>
  <c r="S112" i="11"/>
  <c r="T25" i="3"/>
  <c r="T93" i="11"/>
  <c r="N25" i="3"/>
  <c r="N22" i="3" s="1"/>
  <c r="N93" i="11"/>
  <c r="U25" i="3"/>
  <c r="U22" i="3" s="1"/>
  <c r="U93" i="11"/>
  <c r="U113" i="11"/>
  <c r="R93" i="11"/>
  <c r="R25" i="3"/>
  <c r="T8" i="11"/>
  <c r="T113" i="11" s="1"/>
  <c r="G25" i="3"/>
  <c r="G22" i="3" s="1"/>
  <c r="G93" i="11"/>
  <c r="D81" i="11"/>
  <c r="G8" i="11"/>
  <c r="G113" i="11" s="1"/>
  <c r="I25" i="3"/>
  <c r="I93" i="11"/>
  <c r="H93" i="11"/>
  <c r="H25" i="3"/>
  <c r="H22" i="3" s="1"/>
  <c r="H113" i="11"/>
  <c r="P93" i="11"/>
  <c r="P25" i="3"/>
  <c r="D92" i="11"/>
  <c r="D24" i="3"/>
  <c r="S25" i="3"/>
  <c r="S22" i="3" s="1"/>
  <c r="S93" i="11"/>
  <c r="L25" i="3"/>
  <c r="L93" i="11"/>
  <c r="V24" i="3"/>
  <c r="V92" i="11"/>
  <c r="V81" i="11"/>
  <c r="N8" i="11"/>
  <c r="I8" i="11"/>
  <c r="I113" i="11" s="1"/>
  <c r="B38" i="11"/>
  <c r="B70" i="11" s="1"/>
  <c r="B71" i="11"/>
  <c r="R8" i="11"/>
  <c r="R113" i="11" s="1"/>
  <c r="T83" i="11"/>
  <c r="F83" i="11"/>
  <c r="V8" i="11"/>
  <c r="S83" i="11"/>
  <c r="V110" i="11" l="1"/>
  <c r="V90" i="11"/>
  <c r="V111" i="11"/>
  <c r="V112" i="11"/>
  <c r="P82" i="11"/>
  <c r="P18" i="11"/>
  <c r="P123" i="11" s="1"/>
  <c r="T82" i="11"/>
  <c r="T18" i="11"/>
  <c r="H83" i="11"/>
  <c r="S82" i="11"/>
  <c r="S18" i="11"/>
  <c r="J83" i="11"/>
  <c r="M83" i="11"/>
  <c r="K83" i="11"/>
  <c r="E83" i="11"/>
  <c r="L82" i="11"/>
  <c r="L18" i="11"/>
  <c r="L123" i="11" s="1"/>
  <c r="K25" i="3"/>
  <c r="K93" i="11"/>
  <c r="K8" i="11"/>
  <c r="K113" i="11" s="1"/>
  <c r="J25" i="3"/>
  <c r="J93" i="11"/>
  <c r="J8" i="11"/>
  <c r="J113" i="11" s="1"/>
  <c r="T22" i="3"/>
  <c r="C92" i="11"/>
  <c r="C24" i="3"/>
  <c r="N83" i="11"/>
  <c r="E25" i="3"/>
  <c r="E93" i="11"/>
  <c r="E8" i="11"/>
  <c r="F82" i="11"/>
  <c r="F18" i="11"/>
  <c r="F122" i="11" s="1"/>
  <c r="L83" i="11"/>
  <c r="H82" i="11"/>
  <c r="H18" i="11"/>
  <c r="N82" i="11"/>
  <c r="N18" i="11"/>
  <c r="N122" i="11" s="1"/>
  <c r="V25" i="3"/>
  <c r="V22" i="3" s="1"/>
  <c r="V113" i="11"/>
  <c r="V93" i="11"/>
  <c r="I83" i="11"/>
  <c r="Q82" i="11"/>
  <c r="Q18" i="11"/>
  <c r="Q122" i="11" s="1"/>
  <c r="O82" i="11"/>
  <c r="O18" i="11"/>
  <c r="O123" i="11" s="1"/>
  <c r="Q83" i="11"/>
  <c r="M25" i="3"/>
  <c r="M93" i="11"/>
  <c r="M8" i="11"/>
  <c r="O83" i="11"/>
  <c r="J82" i="11"/>
  <c r="J18" i="11"/>
  <c r="R82" i="11"/>
  <c r="R18" i="11"/>
  <c r="R123" i="11" s="1"/>
  <c r="R83" i="11"/>
  <c r="G82" i="11"/>
  <c r="G18" i="11"/>
  <c r="G123" i="11" s="1"/>
  <c r="U83" i="11"/>
  <c r="F25" i="3"/>
  <c r="F93" i="11"/>
  <c r="F8" i="11"/>
  <c r="I82" i="11"/>
  <c r="I18" i="11"/>
  <c r="I123" i="11" s="1"/>
  <c r="U82" i="11"/>
  <c r="U18" i="11"/>
  <c r="Q25" i="3"/>
  <c r="Q93" i="11"/>
  <c r="Q8" i="11"/>
  <c r="C81" i="11"/>
  <c r="P83" i="11"/>
  <c r="K82" i="11"/>
  <c r="K18" i="11"/>
  <c r="K123" i="11" s="1"/>
  <c r="I90" i="11"/>
  <c r="I110" i="11"/>
  <c r="I111" i="11"/>
  <c r="I112" i="11"/>
  <c r="L22" i="3"/>
  <c r="G110" i="11"/>
  <c r="G90" i="11"/>
  <c r="G111" i="11"/>
  <c r="G112" i="11"/>
  <c r="I22" i="3"/>
  <c r="G83" i="11"/>
  <c r="R110" i="11"/>
  <c r="R90" i="11"/>
  <c r="R111" i="11"/>
  <c r="R112" i="11"/>
  <c r="N113" i="11"/>
  <c r="N90" i="11"/>
  <c r="N110" i="11"/>
  <c r="N111" i="11"/>
  <c r="N112" i="11"/>
  <c r="R22" i="3"/>
  <c r="B23" i="3"/>
  <c r="B91" i="11"/>
  <c r="E82" i="11"/>
  <c r="E18" i="11"/>
  <c r="E122" i="11" s="1"/>
  <c r="M82" i="11"/>
  <c r="M18" i="11"/>
  <c r="O25" i="3"/>
  <c r="O93" i="11"/>
  <c r="O8" i="11"/>
  <c r="P22" i="3"/>
  <c r="T111" i="11"/>
  <c r="T90" i="11"/>
  <c r="T110" i="11"/>
  <c r="T112" i="11"/>
  <c r="D83" i="11"/>
  <c r="E123" i="11" l="1"/>
  <c r="K122" i="11"/>
  <c r="O111" i="11"/>
  <c r="O90" i="11"/>
  <c r="O110" i="11"/>
  <c r="O112" i="11"/>
  <c r="Q22" i="3"/>
  <c r="Q120" i="11"/>
  <c r="Q13" i="11"/>
  <c r="Q80" i="11"/>
  <c r="Q121" i="11"/>
  <c r="N121" i="11"/>
  <c r="N120" i="11"/>
  <c r="N80" i="11"/>
  <c r="N13" i="11"/>
  <c r="F123" i="11"/>
  <c r="F120" i="11"/>
  <c r="F80" i="11"/>
  <c r="F13" i="11"/>
  <c r="F121" i="11"/>
  <c r="K111" i="11"/>
  <c r="K110" i="11"/>
  <c r="K90" i="11"/>
  <c r="K112" i="11"/>
  <c r="O113" i="11"/>
  <c r="F110" i="11"/>
  <c r="F90" i="11"/>
  <c r="F111" i="11"/>
  <c r="F112" i="11"/>
  <c r="S123" i="11"/>
  <c r="S80" i="11"/>
  <c r="S120" i="11"/>
  <c r="S13" i="11"/>
  <c r="S121" i="11"/>
  <c r="P13" i="11"/>
  <c r="P75" i="11" s="1"/>
  <c r="P120" i="11"/>
  <c r="P80" i="11"/>
  <c r="P121" i="11"/>
  <c r="J22" i="3"/>
  <c r="S122" i="11"/>
  <c r="P122" i="11"/>
  <c r="O22" i="3"/>
  <c r="U120" i="11"/>
  <c r="U80" i="11"/>
  <c r="U13" i="11"/>
  <c r="U121" i="11"/>
  <c r="F113" i="11"/>
  <c r="R121" i="11"/>
  <c r="R80" i="11"/>
  <c r="R120" i="11"/>
  <c r="R13" i="11"/>
  <c r="M113" i="11"/>
  <c r="M90" i="11"/>
  <c r="M110" i="11"/>
  <c r="M111" i="11"/>
  <c r="M112" i="11"/>
  <c r="H120" i="11"/>
  <c r="H13" i="11"/>
  <c r="H80" i="11"/>
  <c r="H121" i="11"/>
  <c r="E110" i="11"/>
  <c r="E90" i="11"/>
  <c r="E111" i="11"/>
  <c r="E112" i="11"/>
  <c r="K22" i="3"/>
  <c r="D82" i="11"/>
  <c r="D18" i="11"/>
  <c r="D122" i="11" s="1"/>
  <c r="M120" i="11"/>
  <c r="M80" i="11"/>
  <c r="M13" i="11"/>
  <c r="M75" i="11" s="1"/>
  <c r="M121" i="11"/>
  <c r="F22" i="3"/>
  <c r="R122" i="11"/>
  <c r="E113" i="11"/>
  <c r="D25" i="3"/>
  <c r="D93" i="11"/>
  <c r="D8" i="11"/>
  <c r="U122" i="11"/>
  <c r="M22" i="3"/>
  <c r="Q123" i="11"/>
  <c r="H122" i="11"/>
  <c r="M123" i="11"/>
  <c r="H123" i="11"/>
  <c r="V82" i="11"/>
  <c r="V18" i="11"/>
  <c r="V123" i="11" s="1"/>
  <c r="M122" i="11"/>
  <c r="K120" i="11"/>
  <c r="K80" i="11"/>
  <c r="K13" i="11"/>
  <c r="K121" i="11"/>
  <c r="Q113" i="11"/>
  <c r="Q110" i="11"/>
  <c r="Q90" i="11"/>
  <c r="Q111" i="11"/>
  <c r="Q112" i="11"/>
  <c r="I120" i="11"/>
  <c r="I80" i="11"/>
  <c r="I13" i="11"/>
  <c r="I121" i="11"/>
  <c r="U123" i="11"/>
  <c r="J120" i="11"/>
  <c r="J80" i="11"/>
  <c r="J13" i="11"/>
  <c r="J75" i="11" s="1"/>
  <c r="J121" i="11"/>
  <c r="O122" i="11"/>
  <c r="O120" i="11"/>
  <c r="O80" i="11"/>
  <c r="O13" i="11"/>
  <c r="O121" i="11"/>
  <c r="E22" i="3"/>
  <c r="L120" i="11"/>
  <c r="L80" i="11"/>
  <c r="L13" i="11"/>
  <c r="L75" i="11" s="1"/>
  <c r="L121" i="11"/>
  <c r="T123" i="11"/>
  <c r="T120" i="11"/>
  <c r="T80" i="11"/>
  <c r="T13" i="11"/>
  <c r="T75" i="11" s="1"/>
  <c r="T121" i="11"/>
  <c r="V83" i="11"/>
  <c r="E120" i="11"/>
  <c r="E80" i="11"/>
  <c r="E13" i="11"/>
  <c r="E121" i="11"/>
  <c r="I122" i="11"/>
  <c r="G122" i="11"/>
  <c r="G120" i="11"/>
  <c r="G80" i="11"/>
  <c r="G13" i="11"/>
  <c r="G121" i="11"/>
  <c r="J122" i="11"/>
  <c r="N123" i="11"/>
  <c r="J111" i="11"/>
  <c r="J110" i="11"/>
  <c r="J90" i="11"/>
  <c r="J112" i="11"/>
  <c r="L122" i="11"/>
  <c r="J123" i="11"/>
  <c r="T122" i="11"/>
  <c r="T43" i="12" l="1"/>
  <c r="T23" i="12"/>
  <c r="T73" i="12" s="1"/>
  <c r="T53" i="3"/>
  <c r="T33" i="12"/>
  <c r="O75" i="11"/>
  <c r="K75" i="11"/>
  <c r="V120" i="11"/>
  <c r="V80" i="11"/>
  <c r="V13" i="11"/>
  <c r="V121" i="11"/>
  <c r="G53" i="3"/>
  <c r="G43" i="12"/>
  <c r="G23" i="12"/>
  <c r="G73" i="12" s="1"/>
  <c r="G33" i="12"/>
  <c r="U53" i="3"/>
  <c r="U23" i="12"/>
  <c r="U73" i="12" s="1"/>
  <c r="U43" i="12"/>
  <c r="U33" i="12"/>
  <c r="B81" i="11"/>
  <c r="V122" i="11"/>
  <c r="R75" i="11"/>
  <c r="N75" i="11"/>
  <c r="C83" i="11"/>
  <c r="C82" i="11"/>
  <c r="C18" i="11"/>
  <c r="C122" i="11" s="1"/>
  <c r="G75" i="11"/>
  <c r="H75" i="11"/>
  <c r="M53" i="3"/>
  <c r="M43" i="12"/>
  <c r="M23" i="12"/>
  <c r="M73" i="12" s="1"/>
  <c r="M33" i="12"/>
  <c r="E75" i="11"/>
  <c r="N53" i="3"/>
  <c r="N23" i="12"/>
  <c r="N73" i="12" s="1"/>
  <c r="N33" i="12"/>
  <c r="N43" i="12"/>
  <c r="D123" i="11"/>
  <c r="D80" i="11"/>
  <c r="D120" i="11"/>
  <c r="D13" i="11"/>
  <c r="D75" i="11" s="1"/>
  <c r="D121" i="11"/>
  <c r="S75" i="11"/>
  <c r="D113" i="11"/>
  <c r="D110" i="11"/>
  <c r="D90" i="11"/>
  <c r="D111" i="11"/>
  <c r="D112" i="11"/>
  <c r="F75" i="11"/>
  <c r="B24" i="3"/>
  <c r="B92" i="11"/>
  <c r="I75" i="11"/>
  <c r="L23" i="12"/>
  <c r="L73" i="12" s="1"/>
  <c r="L53" i="3"/>
  <c r="L33" i="12"/>
  <c r="L43" i="12"/>
  <c r="D22" i="3"/>
  <c r="C25" i="3"/>
  <c r="C93" i="11"/>
  <c r="C8" i="11"/>
  <c r="C113" i="11" s="1"/>
  <c r="U75" i="11"/>
  <c r="Q75" i="11"/>
  <c r="F53" i="3"/>
  <c r="F43" i="12"/>
  <c r="F23" i="12"/>
  <c r="F73" i="12" s="1"/>
  <c r="F33" i="12"/>
  <c r="B8" i="11"/>
  <c r="B112" i="11" l="1"/>
  <c r="B90" i="11"/>
  <c r="B110" i="11"/>
  <c r="B111" i="11"/>
  <c r="N33" i="13"/>
  <c r="N43" i="13"/>
  <c r="N74" i="3"/>
  <c r="M25" i="14"/>
  <c r="M19" i="12"/>
  <c r="M69" i="12" s="1"/>
  <c r="M4" i="12"/>
  <c r="M39" i="12"/>
  <c r="M29" i="12"/>
  <c r="M44" i="3"/>
  <c r="L19" i="12"/>
  <c r="L69" i="12" s="1"/>
  <c r="L29" i="12"/>
  <c r="L4" i="12"/>
  <c r="L39" i="12"/>
  <c r="L44" i="3"/>
  <c r="L25" i="14"/>
  <c r="B101" i="11"/>
  <c r="M4" i="13"/>
  <c r="M33" i="13"/>
  <c r="M43" i="13"/>
  <c r="M74" i="3"/>
  <c r="F205" i="3"/>
  <c r="C120" i="11"/>
  <c r="C80" i="11"/>
  <c r="C13" i="11"/>
  <c r="C75" i="11" s="1"/>
  <c r="C121" i="11"/>
  <c r="N25" i="14"/>
  <c r="N19" i="12"/>
  <c r="N69" i="12" s="1"/>
  <c r="N29" i="12"/>
  <c r="N39" i="12"/>
  <c r="N44" i="3"/>
  <c r="G205" i="3"/>
  <c r="U4" i="13"/>
  <c r="U33" i="13"/>
  <c r="U43" i="13"/>
  <c r="U74" i="3"/>
  <c r="C22" i="3"/>
  <c r="E53" i="3"/>
  <c r="E33" i="12"/>
  <c r="E23" i="12"/>
  <c r="E73" i="12" s="1"/>
  <c r="E43" i="12"/>
  <c r="G83" i="3"/>
  <c r="G37" i="13"/>
  <c r="G47" i="13"/>
  <c r="L83" i="3"/>
  <c r="L47" i="13"/>
  <c r="L37" i="13"/>
  <c r="O53" i="3"/>
  <c r="O23" i="12"/>
  <c r="O73" i="12" s="1"/>
  <c r="O43" i="12"/>
  <c r="O33" i="12"/>
  <c r="L205" i="3"/>
  <c r="N205" i="3"/>
  <c r="V53" i="3"/>
  <c r="V43" i="12"/>
  <c r="V23" i="12"/>
  <c r="V73" i="12" s="1"/>
  <c r="V33" i="12"/>
  <c r="U205" i="3"/>
  <c r="V75" i="11"/>
  <c r="F83" i="3"/>
  <c r="F37" i="13"/>
  <c r="F47" i="13"/>
  <c r="N4" i="12"/>
  <c r="C123" i="11"/>
  <c r="T205" i="3"/>
  <c r="U29" i="12"/>
  <c r="U25" i="14"/>
  <c r="U4" i="12"/>
  <c r="U19" i="12"/>
  <c r="U69" i="12" s="1"/>
  <c r="U39" i="12"/>
  <c r="U44" i="3"/>
  <c r="M83" i="3"/>
  <c r="M37" i="13"/>
  <c r="M47" i="13"/>
  <c r="N4" i="13"/>
  <c r="N37" i="13"/>
  <c r="N47" i="13"/>
  <c r="N83" i="3"/>
  <c r="H53" i="3"/>
  <c r="H33" i="12"/>
  <c r="H43" i="12"/>
  <c r="H23" i="12"/>
  <c r="H73" i="12" s="1"/>
  <c r="U83" i="3"/>
  <c r="U47" i="13"/>
  <c r="U37" i="13"/>
  <c r="L4" i="13"/>
  <c r="L43" i="13"/>
  <c r="L33" i="13"/>
  <c r="L74" i="3"/>
  <c r="T43" i="13"/>
  <c r="T33" i="13"/>
  <c r="T4" i="13"/>
  <c r="T74" i="3"/>
  <c r="B25" i="3"/>
  <c r="B22" i="3" s="1"/>
  <c r="B93" i="11"/>
  <c r="B113" i="11"/>
  <c r="T83" i="3"/>
  <c r="T47" i="13"/>
  <c r="T37" i="13"/>
  <c r="M205" i="3"/>
  <c r="C112" i="11"/>
  <c r="C110" i="11"/>
  <c r="C90" i="11"/>
  <c r="C111" i="11"/>
  <c r="U235" i="3" l="1"/>
  <c r="M235" i="3"/>
  <c r="T25" i="14"/>
  <c r="T29" i="12"/>
  <c r="T4" i="12"/>
  <c r="T18" i="13" s="1"/>
  <c r="T39" i="12"/>
  <c r="T44" i="3"/>
  <c r="T19" i="12"/>
  <c r="T69" i="12" s="1"/>
  <c r="D33" i="12"/>
  <c r="D23" i="12"/>
  <c r="D73" i="12" s="1"/>
  <c r="D53" i="3"/>
  <c r="D43" i="12"/>
  <c r="M18" i="13"/>
  <c r="O4" i="13"/>
  <c r="O33" i="13"/>
  <c r="O43" i="13"/>
  <c r="O74" i="3"/>
  <c r="U196" i="3"/>
  <c r="F235" i="3"/>
  <c r="L235" i="3"/>
  <c r="H37" i="13"/>
  <c r="H47" i="13"/>
  <c r="H83" i="3"/>
  <c r="V37" i="13"/>
  <c r="V83" i="3"/>
  <c r="V47" i="13"/>
  <c r="E83" i="3"/>
  <c r="E47" i="13"/>
  <c r="E37" i="13"/>
  <c r="E25" i="14"/>
  <c r="E4" i="12"/>
  <c r="E19" i="12"/>
  <c r="E69" i="12" s="1"/>
  <c r="E29" i="12"/>
  <c r="E39" i="12"/>
  <c r="E44" i="3"/>
  <c r="T235" i="3"/>
  <c r="G25" i="14"/>
  <c r="G29" i="12"/>
  <c r="G4" i="12"/>
  <c r="G19" i="12"/>
  <c r="G69" i="12" s="1"/>
  <c r="G39" i="12"/>
  <c r="G44" i="3"/>
  <c r="F33" i="13"/>
  <c r="F4" i="13"/>
  <c r="F43" i="13"/>
  <c r="F74" i="3"/>
  <c r="O83" i="3"/>
  <c r="O47" i="13"/>
  <c r="O37" i="13"/>
  <c r="G4" i="13"/>
  <c r="G43" i="13"/>
  <c r="G33" i="13"/>
  <c r="G74" i="3"/>
  <c r="B83" i="11"/>
  <c r="L18" i="13"/>
  <c r="I23" i="12"/>
  <c r="I73" i="12" s="1"/>
  <c r="I53" i="3"/>
  <c r="I33" i="12"/>
  <c r="I43" i="12"/>
  <c r="V4" i="12"/>
  <c r="V19" i="12"/>
  <c r="V69" i="12" s="1"/>
  <c r="V29" i="12"/>
  <c r="V39" i="12"/>
  <c r="V44" i="3"/>
  <c r="V25" i="14"/>
  <c r="E205" i="3"/>
  <c r="F44" i="12"/>
  <c r="F54" i="3"/>
  <c r="F24" i="12"/>
  <c r="F74" i="12" s="1"/>
  <c r="F34" i="12"/>
  <c r="U18" i="13"/>
  <c r="M196" i="3"/>
  <c r="N18" i="13"/>
  <c r="O205" i="3"/>
  <c r="H4" i="12"/>
  <c r="H25" i="14"/>
  <c r="H39" i="12"/>
  <c r="H19" i="12"/>
  <c r="H69" i="12" s="1"/>
  <c r="H29" i="12"/>
  <c r="H44" i="3"/>
  <c r="L196" i="3"/>
  <c r="N226" i="3"/>
  <c r="E4" i="13"/>
  <c r="E43" i="13"/>
  <c r="E33" i="13"/>
  <c r="E74" i="3"/>
  <c r="B82" i="11"/>
  <c r="B18" i="11"/>
  <c r="L226" i="3"/>
  <c r="H205" i="3"/>
  <c r="O25" i="14"/>
  <c r="O4" i="12"/>
  <c r="O19" i="12"/>
  <c r="O69" i="12" s="1"/>
  <c r="O39" i="12"/>
  <c r="O29" i="12"/>
  <c r="O44" i="3"/>
  <c r="F25" i="14"/>
  <c r="F19" i="12"/>
  <c r="F69" i="12" s="1"/>
  <c r="F39" i="12"/>
  <c r="F29" i="12"/>
  <c r="F44" i="3"/>
  <c r="F4" i="12"/>
  <c r="U226" i="3"/>
  <c r="N196" i="3"/>
  <c r="H43" i="13"/>
  <c r="H33" i="13"/>
  <c r="H4" i="13"/>
  <c r="H74" i="3"/>
  <c r="T226" i="3"/>
  <c r="V205" i="3"/>
  <c r="G235" i="3"/>
  <c r="M226" i="3"/>
  <c r="C101" i="11"/>
  <c r="V4" i="13"/>
  <c r="V43" i="13"/>
  <c r="V33" i="13"/>
  <c r="V74" i="3"/>
  <c r="N235" i="3"/>
  <c r="P53" i="3"/>
  <c r="P23" i="12"/>
  <c r="P73" i="12" s="1"/>
  <c r="P43" i="12"/>
  <c r="P33" i="12"/>
  <c r="I37" i="13" l="1"/>
  <c r="I83" i="3"/>
  <c r="I47" i="13"/>
  <c r="N84" i="3"/>
  <c r="N38" i="13"/>
  <c r="N48" i="13"/>
  <c r="N10" i="13"/>
  <c r="N26" i="13" s="1"/>
  <c r="T85" i="3"/>
  <c r="T49" i="13"/>
  <c r="T39" i="13"/>
  <c r="G196" i="3"/>
  <c r="V235" i="3"/>
  <c r="L44" i="13"/>
  <c r="L34" i="13"/>
  <c r="L75" i="3"/>
  <c r="L6" i="13"/>
  <c r="L22" i="13" s="1"/>
  <c r="G85" i="3"/>
  <c r="G39" i="13"/>
  <c r="G49" i="13"/>
  <c r="N34" i="13"/>
  <c r="N44" i="13"/>
  <c r="N75" i="3"/>
  <c r="F27" i="14"/>
  <c r="F21" i="12"/>
  <c r="F71" i="12" s="1"/>
  <c r="F31" i="12"/>
  <c r="F41" i="12"/>
  <c r="F46" i="3"/>
  <c r="K43" i="12"/>
  <c r="K33" i="12"/>
  <c r="K53" i="3"/>
  <c r="K23" i="12"/>
  <c r="K73" i="12" s="1"/>
  <c r="J53" i="3"/>
  <c r="J23" i="12"/>
  <c r="J73" i="12" s="1"/>
  <c r="J43" i="12"/>
  <c r="J33" i="12"/>
  <c r="H44" i="12"/>
  <c r="H34" i="12"/>
  <c r="H54" i="3"/>
  <c r="H24" i="12"/>
  <c r="H74" i="12" s="1"/>
  <c r="L35" i="13"/>
  <c r="L45" i="13"/>
  <c r="L76" i="3"/>
  <c r="U44" i="13"/>
  <c r="U34" i="13"/>
  <c r="U75" i="3"/>
  <c r="B103" i="11"/>
  <c r="V226" i="3"/>
  <c r="G5" i="12"/>
  <c r="G3" i="12" s="1"/>
  <c r="G20" i="12"/>
  <c r="G70" i="12" s="1"/>
  <c r="G30" i="12"/>
  <c r="G40" i="12"/>
  <c r="G26" i="14"/>
  <c r="G45" i="3"/>
  <c r="N21" i="12"/>
  <c r="N71" i="12" s="1"/>
  <c r="N31" i="12"/>
  <c r="N41" i="12"/>
  <c r="N46" i="3"/>
  <c r="N27" i="14"/>
  <c r="P83" i="3"/>
  <c r="P37" i="13"/>
  <c r="P47" i="13"/>
  <c r="M54" i="3"/>
  <c r="M24" i="12"/>
  <c r="M74" i="12" s="1"/>
  <c r="M34" i="12"/>
  <c r="M44" i="12"/>
  <c r="M10" i="12"/>
  <c r="U20" i="12"/>
  <c r="U70" i="12" s="1"/>
  <c r="U26" i="14"/>
  <c r="U40" i="12"/>
  <c r="U30" i="12"/>
  <c r="U45" i="3"/>
  <c r="U6" i="12"/>
  <c r="E18" i="13"/>
  <c r="L54" i="3"/>
  <c r="L24" i="12"/>
  <c r="L74" i="12" s="1"/>
  <c r="L44" i="12"/>
  <c r="L34" i="12"/>
  <c r="L10" i="12"/>
  <c r="T26" i="14"/>
  <c r="T20" i="12"/>
  <c r="T70" i="12" s="1"/>
  <c r="T40" i="12"/>
  <c r="T30" i="12"/>
  <c r="T45" i="3"/>
  <c r="F18" i="13"/>
  <c r="E235" i="3"/>
  <c r="L21" i="12"/>
  <c r="L71" i="12" s="1"/>
  <c r="L27" i="14"/>
  <c r="L41" i="12"/>
  <c r="L31" i="12"/>
  <c r="L46" i="3"/>
  <c r="O226" i="3"/>
  <c r="D83" i="3"/>
  <c r="D47" i="13"/>
  <c r="D37" i="13"/>
  <c r="P43" i="13"/>
  <c r="P33" i="13"/>
  <c r="P4" i="13"/>
  <c r="P74" i="3"/>
  <c r="T84" i="3"/>
  <c r="T48" i="13"/>
  <c r="T38" i="13"/>
  <c r="T10" i="13"/>
  <c r="T26" i="13" s="1"/>
  <c r="L84" i="3"/>
  <c r="L48" i="13"/>
  <c r="L38" i="13"/>
  <c r="U48" i="13"/>
  <c r="U38" i="13"/>
  <c r="U84" i="3"/>
  <c r="G34" i="13"/>
  <c r="G44" i="13"/>
  <c r="G75" i="3"/>
  <c r="L55" i="3"/>
  <c r="L25" i="12"/>
  <c r="L75" i="12" s="1"/>
  <c r="L35" i="12"/>
  <c r="L45" i="12"/>
  <c r="T55" i="3"/>
  <c r="T35" i="12"/>
  <c r="T45" i="12"/>
  <c r="T25" i="12"/>
  <c r="T75" i="12" s="1"/>
  <c r="B122" i="11"/>
  <c r="B120" i="11"/>
  <c r="B80" i="11"/>
  <c r="B13" i="11"/>
  <c r="B75" i="11" s="1"/>
  <c r="B121" i="11"/>
  <c r="N54" i="3"/>
  <c r="N24" i="12"/>
  <c r="N74" i="12" s="1"/>
  <c r="N44" i="12"/>
  <c r="N34" i="12"/>
  <c r="N10" i="12"/>
  <c r="V196" i="3"/>
  <c r="B123" i="11"/>
  <c r="O235" i="3"/>
  <c r="G6" i="12"/>
  <c r="E196" i="3"/>
  <c r="D33" i="13"/>
  <c r="D4" i="13"/>
  <c r="D43" i="13"/>
  <c r="D74" i="3"/>
  <c r="T44" i="13"/>
  <c r="T34" i="13"/>
  <c r="T75" i="3"/>
  <c r="T5" i="12"/>
  <c r="F84" i="3"/>
  <c r="F48" i="13"/>
  <c r="F38" i="13"/>
  <c r="L26" i="14"/>
  <c r="L40" i="12"/>
  <c r="L30" i="12"/>
  <c r="L5" i="12"/>
  <c r="L20" i="12"/>
  <c r="L70" i="12" s="1"/>
  <c r="L45" i="3"/>
  <c r="L6" i="12"/>
  <c r="H226" i="3"/>
  <c r="U27" i="14"/>
  <c r="U21" i="12"/>
  <c r="U71" i="12" s="1"/>
  <c r="U41" i="12"/>
  <c r="U31" i="12"/>
  <c r="U46" i="3"/>
  <c r="G18" i="13"/>
  <c r="H235" i="3"/>
  <c r="D205" i="3"/>
  <c r="T196" i="3"/>
  <c r="E54" i="3"/>
  <c r="E24" i="12"/>
  <c r="E74" i="12" s="1"/>
  <c r="E44" i="12"/>
  <c r="E34" i="12"/>
  <c r="N85" i="3"/>
  <c r="N49" i="13"/>
  <c r="N39" i="13"/>
  <c r="G84" i="3"/>
  <c r="G38" i="13"/>
  <c r="G48" i="13"/>
  <c r="G10" i="13"/>
  <c r="G26" i="13" s="1"/>
  <c r="C53" i="3"/>
  <c r="C43" i="12"/>
  <c r="C23" i="12"/>
  <c r="C73" i="12" s="1"/>
  <c r="C33" i="12"/>
  <c r="F196" i="3"/>
  <c r="O18" i="13"/>
  <c r="E226" i="3"/>
  <c r="F206" i="3"/>
  <c r="G226" i="3"/>
  <c r="F226" i="3"/>
  <c r="D101" i="11"/>
  <c r="B102" i="11"/>
  <c r="B48" i="11"/>
  <c r="P205" i="3"/>
  <c r="V18" i="13"/>
  <c r="T54" i="3"/>
  <c r="T24" i="12"/>
  <c r="T74" i="12" s="1"/>
  <c r="T44" i="12"/>
  <c r="T34" i="12"/>
  <c r="T10" i="12"/>
  <c r="H18" i="13"/>
  <c r="O196" i="3"/>
  <c r="Q43" i="12"/>
  <c r="Q33" i="12"/>
  <c r="Q53" i="3"/>
  <c r="Q23" i="12"/>
  <c r="Q73" i="12" s="1"/>
  <c r="G41" i="12"/>
  <c r="G21" i="12"/>
  <c r="G71" i="12" s="1"/>
  <c r="G31" i="12"/>
  <c r="G27" i="14"/>
  <c r="G46" i="3"/>
  <c r="H196" i="3"/>
  <c r="G54" i="3"/>
  <c r="G24" i="12"/>
  <c r="G74" i="12" s="1"/>
  <c r="G34" i="12"/>
  <c r="G44" i="12"/>
  <c r="G10" i="12"/>
  <c r="I205" i="3"/>
  <c r="G55" i="3"/>
  <c r="G45" i="12"/>
  <c r="G35" i="12"/>
  <c r="G25" i="12"/>
  <c r="G75" i="12" s="1"/>
  <c r="D19" i="12"/>
  <c r="D69" i="12" s="1"/>
  <c r="D25" i="14"/>
  <c r="D29" i="12"/>
  <c r="D39" i="12"/>
  <c r="D4" i="12"/>
  <c r="D44" i="3"/>
  <c r="N5" i="12"/>
  <c r="N26" i="14"/>
  <c r="N30" i="12"/>
  <c r="N20" i="12"/>
  <c r="N70" i="12" s="1"/>
  <c r="N40" i="12"/>
  <c r="N45" i="3"/>
  <c r="N6" i="12"/>
  <c r="U10" i="13"/>
  <c r="U26" i="13" s="1"/>
  <c r="L10" i="13"/>
  <c r="L26" i="13" s="1"/>
  <c r="N5" i="13"/>
  <c r="G50" i="12" l="1"/>
  <c r="G55" i="12"/>
  <c r="G54" i="12"/>
  <c r="U5" i="13"/>
  <c r="L36" i="13"/>
  <c r="L46" i="13"/>
  <c r="T3" i="12"/>
  <c r="N19" i="13"/>
  <c r="N3" i="13"/>
  <c r="N21" i="13" s="1"/>
  <c r="U36" i="13"/>
  <c r="U46" i="13"/>
  <c r="U3" i="13"/>
  <c r="U21" i="13" s="1"/>
  <c r="C102" i="11"/>
  <c r="U198" i="3"/>
  <c r="D18" i="13"/>
  <c r="N206" i="3"/>
  <c r="T236" i="3"/>
  <c r="T82" i="3"/>
  <c r="M42" i="12"/>
  <c r="M32" i="12"/>
  <c r="M22" i="12"/>
  <c r="M72" i="12" s="1"/>
  <c r="H206" i="3"/>
  <c r="K205" i="3"/>
  <c r="O55" i="3"/>
  <c r="O25" i="12"/>
  <c r="O75" i="12" s="1"/>
  <c r="O45" i="12"/>
  <c r="O35" i="12"/>
  <c r="L227" i="3"/>
  <c r="L73" i="3"/>
  <c r="C83" i="3"/>
  <c r="C47" i="13"/>
  <c r="C37" i="13"/>
  <c r="L85" i="3"/>
  <c r="L39" i="13"/>
  <c r="L49" i="13"/>
  <c r="F45" i="13"/>
  <c r="F35" i="13"/>
  <c r="F76" i="3"/>
  <c r="F85" i="3"/>
  <c r="F39" i="13"/>
  <c r="F49" i="13"/>
  <c r="I4" i="13"/>
  <c r="I43" i="13"/>
  <c r="I33" i="13"/>
  <c r="I74" i="3"/>
  <c r="C33" i="13"/>
  <c r="C4" i="13"/>
  <c r="C43" i="13"/>
  <c r="C74" i="3"/>
  <c r="N3" i="12"/>
  <c r="G236" i="3"/>
  <c r="G82" i="3"/>
  <c r="L38" i="12"/>
  <c r="L28" i="12"/>
  <c r="L18" i="12"/>
  <c r="L68" i="12" s="1"/>
  <c r="L24" i="14"/>
  <c r="F10" i="13"/>
  <c r="F26" i="13" s="1"/>
  <c r="L207" i="3"/>
  <c r="U28" i="12"/>
  <c r="U18" i="12"/>
  <c r="U68" i="12" s="1"/>
  <c r="U38" i="12"/>
  <c r="U24" i="14"/>
  <c r="S53" i="3"/>
  <c r="S23" i="12"/>
  <c r="S73" i="12" s="1"/>
  <c r="S43" i="12"/>
  <c r="S33" i="12"/>
  <c r="V40" i="12"/>
  <c r="V30" i="12"/>
  <c r="V20" i="12"/>
  <c r="V70" i="12" s="1"/>
  <c r="V45" i="3"/>
  <c r="V26" i="14"/>
  <c r="G197" i="3"/>
  <c r="F5" i="12"/>
  <c r="F40" i="12"/>
  <c r="F30" i="12"/>
  <c r="F20" i="12"/>
  <c r="F70" i="12" s="1"/>
  <c r="F45" i="3"/>
  <c r="F26" i="14"/>
  <c r="F6" i="12"/>
  <c r="U55" i="3"/>
  <c r="U35" i="12"/>
  <c r="U25" i="12"/>
  <c r="U75" i="12" s="1"/>
  <c r="U45" i="12"/>
  <c r="R53" i="3"/>
  <c r="R23" i="12"/>
  <c r="R73" i="12" s="1"/>
  <c r="R33" i="12"/>
  <c r="R43" i="12"/>
  <c r="N28" i="12"/>
  <c r="N18" i="12"/>
  <c r="N68" i="12" s="1"/>
  <c r="N38" i="12"/>
  <c r="N24" i="14"/>
  <c r="G32" i="12"/>
  <c r="G42" i="12"/>
  <c r="G22" i="12"/>
  <c r="G72" i="12" s="1"/>
  <c r="G52" i="12"/>
  <c r="L197" i="3"/>
  <c r="L43" i="3"/>
  <c r="U54" i="3"/>
  <c r="U24" i="12"/>
  <c r="U74" i="12" s="1"/>
  <c r="U34" i="12"/>
  <c r="U44" i="12"/>
  <c r="U10" i="12"/>
  <c r="G28" i="12"/>
  <c r="G48" i="12"/>
  <c r="G38" i="12"/>
  <c r="G18" i="12"/>
  <c r="G68" i="12" s="1"/>
  <c r="G24" i="14"/>
  <c r="B43" i="12"/>
  <c r="B23" i="12"/>
  <c r="B73" i="12" s="1"/>
  <c r="B33" i="12"/>
  <c r="B53" i="3"/>
  <c r="D235" i="3"/>
  <c r="U197" i="3"/>
  <c r="U43" i="3"/>
  <c r="M55" i="3"/>
  <c r="M45" i="12"/>
  <c r="M35" i="12"/>
  <c r="M25" i="12"/>
  <c r="M75" i="12" s="1"/>
  <c r="G43" i="3"/>
  <c r="I235" i="3"/>
  <c r="N45" i="13"/>
  <c r="N35" i="13"/>
  <c r="N55" i="13"/>
  <c r="N76" i="3"/>
  <c r="V84" i="3"/>
  <c r="V48" i="13"/>
  <c r="V38" i="13"/>
  <c r="J83" i="3"/>
  <c r="J47" i="13"/>
  <c r="J37" i="13"/>
  <c r="Q43" i="13"/>
  <c r="Q4" i="13"/>
  <c r="Q33" i="13"/>
  <c r="Q74" i="3"/>
  <c r="N197" i="3"/>
  <c r="N43" i="3"/>
  <c r="D196" i="3"/>
  <c r="G37" i="12"/>
  <c r="G17" i="12"/>
  <c r="G67" i="12" s="1"/>
  <c r="G47" i="12"/>
  <c r="G53" i="12"/>
  <c r="G49" i="12"/>
  <c r="N42" i="12"/>
  <c r="N22" i="12"/>
  <c r="N72" i="12" s="1"/>
  <c r="N32" i="12"/>
  <c r="T207" i="3"/>
  <c r="T36" i="13"/>
  <c r="T46" i="13"/>
  <c r="L198" i="3"/>
  <c r="L206" i="3"/>
  <c r="L52" i="3"/>
  <c r="N198" i="3"/>
  <c r="N6" i="13"/>
  <c r="N22" i="13" s="1"/>
  <c r="F5" i="13"/>
  <c r="F34" i="13"/>
  <c r="F44" i="13"/>
  <c r="F75" i="3"/>
  <c r="F6" i="13"/>
  <c r="F22" i="13" s="1"/>
  <c r="V45" i="13"/>
  <c r="V35" i="13"/>
  <c r="V76" i="3"/>
  <c r="O85" i="3"/>
  <c r="O39" i="13"/>
  <c r="O49" i="13"/>
  <c r="H45" i="13"/>
  <c r="H35" i="13"/>
  <c r="H76" i="3"/>
  <c r="Q83" i="3"/>
  <c r="Q47" i="13"/>
  <c r="Q37" i="13"/>
  <c r="M45" i="13"/>
  <c r="M35" i="13"/>
  <c r="M76" i="3"/>
  <c r="O84" i="3"/>
  <c r="O38" i="13"/>
  <c r="O48" i="13"/>
  <c r="O10" i="13"/>
  <c r="O26" i="13" s="1"/>
  <c r="G198" i="3"/>
  <c r="Q205" i="3"/>
  <c r="T206" i="3"/>
  <c r="T52" i="3"/>
  <c r="P4" i="12"/>
  <c r="P29" i="12"/>
  <c r="P19" i="12"/>
  <c r="P69" i="12" s="1"/>
  <c r="P25" i="14"/>
  <c r="P39" i="12"/>
  <c r="P44" i="3"/>
  <c r="G36" i="13"/>
  <c r="G46" i="13"/>
  <c r="T41" i="12"/>
  <c r="T27" i="14"/>
  <c r="T21" i="12"/>
  <c r="T71" i="12" s="1"/>
  <c r="T31" i="12"/>
  <c r="T46" i="3"/>
  <c r="G227" i="3"/>
  <c r="U236" i="3"/>
  <c r="V54" i="3"/>
  <c r="V34" i="12"/>
  <c r="V24" i="12"/>
  <c r="V74" i="12" s="1"/>
  <c r="V44" i="12"/>
  <c r="P235" i="3"/>
  <c r="N55" i="3"/>
  <c r="N45" i="12"/>
  <c r="N35" i="12"/>
  <c r="N25" i="12"/>
  <c r="N75" i="12" s="1"/>
  <c r="M26" i="14"/>
  <c r="M20" i="12"/>
  <c r="M70" i="12" s="1"/>
  <c r="M40" i="12"/>
  <c r="M30" i="12"/>
  <c r="M45" i="3"/>
  <c r="M6" i="12"/>
  <c r="J205" i="3"/>
  <c r="F198" i="3"/>
  <c r="N227" i="3"/>
  <c r="O20" i="12"/>
  <c r="O70" i="12" s="1"/>
  <c r="O40" i="12"/>
  <c r="O5" i="12"/>
  <c r="O30" i="12"/>
  <c r="O45" i="3"/>
  <c r="O26" i="14"/>
  <c r="O6" i="12"/>
  <c r="N236" i="3"/>
  <c r="N82" i="3"/>
  <c r="E44" i="13"/>
  <c r="E34" i="13"/>
  <c r="E75" i="3"/>
  <c r="M85" i="3"/>
  <c r="M49" i="13"/>
  <c r="M39" i="13"/>
  <c r="E101" i="11"/>
  <c r="G51" i="12"/>
  <c r="E30" i="12"/>
  <c r="E40" i="12"/>
  <c r="E20" i="12"/>
  <c r="E70" i="12" s="1"/>
  <c r="E26" i="14"/>
  <c r="E45" i="3"/>
  <c r="I4" i="12"/>
  <c r="I39" i="12"/>
  <c r="I29" i="12"/>
  <c r="I19" i="12"/>
  <c r="I69" i="12" s="1"/>
  <c r="I25" i="14"/>
  <c r="I44" i="3"/>
  <c r="E206" i="3"/>
  <c r="L3" i="12"/>
  <c r="D226" i="3"/>
  <c r="L236" i="3"/>
  <c r="L82" i="3"/>
  <c r="M206" i="3"/>
  <c r="M52" i="3"/>
  <c r="F55" i="3"/>
  <c r="F35" i="12"/>
  <c r="F45" i="12"/>
  <c r="F25" i="12"/>
  <c r="F75" i="12" s="1"/>
  <c r="F10" i="12"/>
  <c r="O54" i="3"/>
  <c r="O34" i="12"/>
  <c r="O24" i="12"/>
  <c r="O74" i="12" s="1"/>
  <c r="O44" i="12"/>
  <c r="O10" i="12"/>
  <c r="L5" i="13"/>
  <c r="O21" i="12"/>
  <c r="O71" i="12" s="1"/>
  <c r="O31" i="12"/>
  <c r="O27" i="14"/>
  <c r="O41" i="12"/>
  <c r="O46" i="3"/>
  <c r="U35" i="13"/>
  <c r="U45" i="13"/>
  <c r="U76" i="3"/>
  <c r="U73" i="3" s="1"/>
  <c r="O35" i="13"/>
  <c r="O45" i="13"/>
  <c r="O76" i="3"/>
  <c r="C103" i="11"/>
  <c r="V44" i="13"/>
  <c r="V34" i="13"/>
  <c r="V75" i="3"/>
  <c r="V6" i="13"/>
  <c r="V22" i="13" s="1"/>
  <c r="U85" i="3"/>
  <c r="U49" i="13"/>
  <c r="U39" i="13"/>
  <c r="G207" i="3"/>
  <c r="B43" i="11"/>
  <c r="B95" i="11" s="1"/>
  <c r="B100" i="11"/>
  <c r="C205" i="3"/>
  <c r="F236" i="3"/>
  <c r="M5" i="12"/>
  <c r="M21" i="12"/>
  <c r="M71" i="12" s="1"/>
  <c r="M41" i="12"/>
  <c r="M31" i="12"/>
  <c r="M46" i="3"/>
  <c r="M27" i="14"/>
  <c r="P226" i="3"/>
  <c r="L32" i="12"/>
  <c r="L22" i="12"/>
  <c r="L72" i="12" s="1"/>
  <c r="L42" i="12"/>
  <c r="U6" i="13"/>
  <c r="U22" i="13" s="1"/>
  <c r="M84" i="3"/>
  <c r="M48" i="13"/>
  <c r="M38" i="13"/>
  <c r="M10" i="13"/>
  <c r="M26" i="13" s="1"/>
  <c r="G237" i="3"/>
  <c r="T237" i="3"/>
  <c r="T6" i="12"/>
  <c r="K83" i="3"/>
  <c r="K47" i="13"/>
  <c r="K37" i="13"/>
  <c r="H44" i="13"/>
  <c r="H34" i="13"/>
  <c r="H75" i="3"/>
  <c r="H6" i="13"/>
  <c r="H22" i="13" s="1"/>
  <c r="G206" i="3"/>
  <c r="G52" i="3"/>
  <c r="T42" i="12"/>
  <c r="T32" i="12"/>
  <c r="T22" i="12"/>
  <c r="T72" i="12" s="1"/>
  <c r="N237" i="3"/>
  <c r="T227" i="3"/>
  <c r="T197" i="3"/>
  <c r="U5" i="12"/>
  <c r="U19" i="13" s="1"/>
  <c r="U227" i="3"/>
  <c r="L228" i="3"/>
  <c r="L32" i="13"/>
  <c r="L42" i="13"/>
  <c r="N36" i="13"/>
  <c r="N46" i="13"/>
  <c r="N56" i="13"/>
  <c r="H5" i="13"/>
  <c r="L52" i="12" l="1"/>
  <c r="N55" i="12"/>
  <c r="T51" i="12"/>
  <c r="N73" i="3"/>
  <c r="F82" i="3"/>
  <c r="F234" i="3" s="1"/>
  <c r="N52" i="3"/>
  <c r="N48" i="12"/>
  <c r="N52" i="12"/>
  <c r="H3" i="13"/>
  <c r="H21" i="13" s="1"/>
  <c r="S83" i="3"/>
  <c r="S37" i="13"/>
  <c r="S47" i="13"/>
  <c r="I34" i="13"/>
  <c r="I44" i="13"/>
  <c r="I75" i="3"/>
  <c r="K4" i="13"/>
  <c r="K43" i="13"/>
  <c r="K33" i="13"/>
  <c r="K74" i="3"/>
  <c r="I84" i="3"/>
  <c r="I48" i="13"/>
  <c r="I38" i="13"/>
  <c r="T28" i="12"/>
  <c r="T18" i="12"/>
  <c r="T68" i="12" s="1"/>
  <c r="T24" i="14"/>
  <c r="T38" i="12"/>
  <c r="T48" i="12"/>
  <c r="M236" i="3"/>
  <c r="M82" i="3"/>
  <c r="M198" i="3"/>
  <c r="O237" i="3"/>
  <c r="V21" i="12"/>
  <c r="V71" i="12" s="1"/>
  <c r="V41" i="12"/>
  <c r="V31" i="12"/>
  <c r="V46" i="3"/>
  <c r="V27" i="14"/>
  <c r="R205" i="3"/>
  <c r="F24" i="14"/>
  <c r="F18" i="12"/>
  <c r="F68" i="12" s="1"/>
  <c r="F38" i="12"/>
  <c r="F28" i="12"/>
  <c r="O207" i="3"/>
  <c r="E55" i="3"/>
  <c r="E25" i="12"/>
  <c r="E75" i="12" s="1"/>
  <c r="E45" i="12"/>
  <c r="E35" i="12"/>
  <c r="E10" i="12"/>
  <c r="U57" i="13"/>
  <c r="U51" i="13"/>
  <c r="U41" i="13"/>
  <c r="U53" i="13"/>
  <c r="U58" i="13"/>
  <c r="U54" i="13"/>
  <c r="D44" i="13"/>
  <c r="D34" i="13"/>
  <c r="D75" i="3"/>
  <c r="P5" i="12"/>
  <c r="B47" i="13"/>
  <c r="B37" i="13"/>
  <c r="B83" i="3"/>
  <c r="G204" i="3"/>
  <c r="E21" i="12"/>
  <c r="E71" i="12" s="1"/>
  <c r="E41" i="12"/>
  <c r="E27" i="14"/>
  <c r="E31" i="12"/>
  <c r="E46" i="3"/>
  <c r="O28" i="12"/>
  <c r="O24" i="14"/>
  <c r="O38" i="12"/>
  <c r="O18" i="12"/>
  <c r="O68" i="12" s="1"/>
  <c r="V228" i="3"/>
  <c r="F32" i="13"/>
  <c r="F42" i="13"/>
  <c r="U42" i="12"/>
  <c r="U32" i="12"/>
  <c r="U22" i="12"/>
  <c r="U72" i="12" s="1"/>
  <c r="V5" i="12"/>
  <c r="F46" i="13"/>
  <c r="F36" i="13"/>
  <c r="N47" i="12"/>
  <c r="N37" i="12"/>
  <c r="N17" i="12"/>
  <c r="N67" i="12" s="1"/>
  <c r="N53" i="12"/>
  <c r="N49" i="12"/>
  <c r="N51" i="12"/>
  <c r="N54" i="12"/>
  <c r="N50" i="12"/>
  <c r="F228" i="3"/>
  <c r="C235" i="3"/>
  <c r="L225" i="3"/>
  <c r="P84" i="3"/>
  <c r="P48" i="13"/>
  <c r="P38" i="13"/>
  <c r="P10" i="12"/>
  <c r="I54" i="3"/>
  <c r="I44" i="12"/>
  <c r="I24" i="12"/>
  <c r="I74" i="12" s="1"/>
  <c r="I34" i="12"/>
  <c r="O206" i="3"/>
  <c r="O52" i="3"/>
  <c r="F207" i="3"/>
  <c r="F52" i="3"/>
  <c r="V206" i="3"/>
  <c r="O236" i="3"/>
  <c r="O82" i="3"/>
  <c r="Q235" i="3"/>
  <c r="F227" i="3"/>
  <c r="F73" i="3"/>
  <c r="N32" i="13"/>
  <c r="N42" i="13"/>
  <c r="N52" i="13"/>
  <c r="L204" i="3"/>
  <c r="Q226" i="3"/>
  <c r="F197" i="3"/>
  <c r="F43" i="3"/>
  <c r="V6" i="12"/>
  <c r="O5" i="13"/>
  <c r="O34" i="13"/>
  <c r="O44" i="13"/>
  <c r="O75" i="3"/>
  <c r="O6" i="13"/>
  <c r="O22" i="13" s="1"/>
  <c r="I18" i="13"/>
  <c r="L237" i="3"/>
  <c r="G35" i="13"/>
  <c r="G45" i="13"/>
  <c r="G76" i="3"/>
  <c r="G6" i="13"/>
  <c r="G22" i="13" s="1"/>
  <c r="G5" i="13"/>
  <c r="P44" i="12"/>
  <c r="P34" i="12"/>
  <c r="P54" i="3"/>
  <c r="P24" i="12"/>
  <c r="P74" i="12" s="1"/>
  <c r="T52" i="12"/>
  <c r="T17" i="12"/>
  <c r="T67" i="12" s="1"/>
  <c r="T37" i="12"/>
  <c r="T47" i="12"/>
  <c r="T53" i="12"/>
  <c r="T49" i="12"/>
  <c r="T55" i="12"/>
  <c r="T50" i="12"/>
  <c r="T54" i="12"/>
  <c r="D84" i="3"/>
  <c r="D38" i="13"/>
  <c r="D48" i="13"/>
  <c r="R83" i="3"/>
  <c r="R47" i="13"/>
  <c r="R37" i="13"/>
  <c r="P44" i="13"/>
  <c r="P34" i="13"/>
  <c r="P75" i="3"/>
  <c r="P40" i="12"/>
  <c r="P20" i="12"/>
  <c r="P70" i="12" s="1"/>
  <c r="P26" i="14"/>
  <c r="P30" i="12"/>
  <c r="P45" i="3"/>
  <c r="H42" i="13"/>
  <c r="H32" i="13"/>
  <c r="M36" i="13"/>
  <c r="M46" i="13"/>
  <c r="U32" i="13"/>
  <c r="U42" i="13"/>
  <c r="U52" i="13"/>
  <c r="U237" i="3"/>
  <c r="H55" i="3"/>
  <c r="H35" i="12"/>
  <c r="H45" i="12"/>
  <c r="H25" i="12"/>
  <c r="H75" i="12" s="1"/>
  <c r="H10" i="12"/>
  <c r="M204" i="3"/>
  <c r="Q6" i="12"/>
  <c r="Q39" i="12"/>
  <c r="Q19" i="12"/>
  <c r="Q69" i="12" s="1"/>
  <c r="Q29" i="12"/>
  <c r="Q25" i="14"/>
  <c r="Q44" i="3"/>
  <c r="Q4" i="12"/>
  <c r="Q18" i="13" s="1"/>
  <c r="M237" i="3"/>
  <c r="O197" i="3"/>
  <c r="O43" i="3"/>
  <c r="N225" i="3"/>
  <c r="P196" i="3"/>
  <c r="M228" i="3"/>
  <c r="B205" i="3"/>
  <c r="H20" i="12"/>
  <c r="H70" i="12" s="1"/>
  <c r="H26" i="14"/>
  <c r="H5" i="12"/>
  <c r="H30" i="12"/>
  <c r="H40" i="12"/>
  <c r="H45" i="3"/>
  <c r="H6" i="12"/>
  <c r="P18" i="13"/>
  <c r="R4" i="12"/>
  <c r="R39" i="12"/>
  <c r="R29" i="12"/>
  <c r="R19" i="12"/>
  <c r="R69" i="12" s="1"/>
  <c r="R25" i="14"/>
  <c r="R44" i="3"/>
  <c r="C25" i="14"/>
  <c r="C19" i="12"/>
  <c r="C69" i="12" s="1"/>
  <c r="C39" i="12"/>
  <c r="C29" i="12"/>
  <c r="C4" i="12"/>
  <c r="C44" i="3"/>
  <c r="U56" i="13"/>
  <c r="H85" i="3"/>
  <c r="H49" i="13"/>
  <c r="H39" i="13"/>
  <c r="E85" i="3"/>
  <c r="E49" i="13"/>
  <c r="E39" i="13"/>
  <c r="B33" i="13"/>
  <c r="B4" i="13"/>
  <c r="B43" i="13"/>
  <c r="B74" i="3"/>
  <c r="E38" i="13"/>
  <c r="E48" i="13"/>
  <c r="E84" i="3"/>
  <c r="E10" i="13"/>
  <c r="E26" i="13" s="1"/>
  <c r="H227" i="3"/>
  <c r="H73" i="3"/>
  <c r="V42" i="13"/>
  <c r="V32" i="13"/>
  <c r="U228" i="3"/>
  <c r="V55" i="3"/>
  <c r="V45" i="12"/>
  <c r="V35" i="12"/>
  <c r="V25" i="12"/>
  <c r="V75" i="12" s="1"/>
  <c r="L19" i="13"/>
  <c r="L3" i="13"/>
  <c r="L21" i="13" s="1"/>
  <c r="L48" i="12"/>
  <c r="L37" i="12"/>
  <c r="L47" i="12"/>
  <c r="L17" i="12"/>
  <c r="L67" i="12" s="1"/>
  <c r="L53" i="12"/>
  <c r="L49" i="12"/>
  <c r="L54" i="12"/>
  <c r="L55" i="12"/>
  <c r="L51" i="12"/>
  <c r="L50" i="12"/>
  <c r="E5" i="12"/>
  <c r="M18" i="12"/>
  <c r="M68" i="12" s="1"/>
  <c r="M28" i="12"/>
  <c r="M38" i="12"/>
  <c r="M24" i="14"/>
  <c r="C54" i="3"/>
  <c r="C44" i="12"/>
  <c r="C34" i="12"/>
  <c r="C24" i="12"/>
  <c r="C74" i="12" s="1"/>
  <c r="V236" i="3"/>
  <c r="M207" i="3"/>
  <c r="V197" i="3"/>
  <c r="I226" i="3"/>
  <c r="T234" i="3"/>
  <c r="C48" i="11"/>
  <c r="R4" i="13"/>
  <c r="R33" i="13"/>
  <c r="R43" i="13"/>
  <c r="R74" i="3"/>
  <c r="D5" i="12"/>
  <c r="B58" i="11"/>
  <c r="B53" i="11" s="1"/>
  <c r="J4" i="13"/>
  <c r="J33" i="13"/>
  <c r="J43" i="13"/>
  <c r="J74" i="3"/>
  <c r="M3" i="12"/>
  <c r="V227" i="3"/>
  <c r="V73" i="3"/>
  <c r="O228" i="3"/>
  <c r="U55" i="13"/>
  <c r="O198" i="3"/>
  <c r="O22" i="12"/>
  <c r="O72" i="12" s="1"/>
  <c r="O42" i="12"/>
  <c r="O32" i="12"/>
  <c r="F32" i="12"/>
  <c r="F22" i="12"/>
  <c r="F72" i="12" s="1"/>
  <c r="F42" i="12"/>
  <c r="I196" i="3"/>
  <c r="E6" i="12"/>
  <c r="M197" i="3"/>
  <c r="M43" i="3"/>
  <c r="V10" i="12"/>
  <c r="U82" i="3"/>
  <c r="T198" i="3"/>
  <c r="T43" i="3"/>
  <c r="T204" i="3"/>
  <c r="O36" i="13"/>
  <c r="O46" i="13"/>
  <c r="N228" i="3"/>
  <c r="U195" i="3"/>
  <c r="U207" i="3"/>
  <c r="C226" i="3"/>
  <c r="I20" i="12"/>
  <c r="I70" i="12" s="1"/>
  <c r="I40" i="12"/>
  <c r="I30" i="12"/>
  <c r="I45" i="3"/>
  <c r="I26" i="14"/>
  <c r="D103" i="11"/>
  <c r="Q5" i="12"/>
  <c r="U3" i="12"/>
  <c r="H27" i="14"/>
  <c r="H41" i="12"/>
  <c r="H31" i="12"/>
  <c r="H21" i="12"/>
  <c r="H71" i="12" s="1"/>
  <c r="H46" i="3"/>
  <c r="L234" i="3"/>
  <c r="E197" i="3"/>
  <c r="E43" i="3"/>
  <c r="M34" i="13"/>
  <c r="M5" i="13"/>
  <c r="M44" i="13"/>
  <c r="M75" i="3"/>
  <c r="M6" i="13"/>
  <c r="M22" i="13" s="1"/>
  <c r="E227" i="3"/>
  <c r="N234" i="3"/>
  <c r="O3" i="12"/>
  <c r="P6" i="12"/>
  <c r="D26" i="14"/>
  <c r="D40" i="12"/>
  <c r="D30" i="12"/>
  <c r="D20" i="12"/>
  <c r="D70" i="12" s="1"/>
  <c r="D45" i="3"/>
  <c r="D6" i="12"/>
  <c r="J235" i="3"/>
  <c r="U206" i="3"/>
  <c r="U52" i="3"/>
  <c r="K19" i="12"/>
  <c r="K69" i="12" s="1"/>
  <c r="K39" i="12"/>
  <c r="K29" i="12"/>
  <c r="K4" i="12"/>
  <c r="K25" i="14"/>
  <c r="K44" i="3"/>
  <c r="H84" i="3"/>
  <c r="H48" i="13"/>
  <c r="H38" i="13"/>
  <c r="H10" i="13"/>
  <c r="H26" i="13" s="1"/>
  <c r="N51" i="13"/>
  <c r="N41" i="13"/>
  <c r="N57" i="13"/>
  <c r="N53" i="13"/>
  <c r="N54" i="13"/>
  <c r="N59" i="13"/>
  <c r="N58" i="13"/>
  <c r="Q44" i="13"/>
  <c r="Q34" i="13"/>
  <c r="Q75" i="3"/>
  <c r="C58" i="11"/>
  <c r="C53" i="11" s="1"/>
  <c r="U225" i="3"/>
  <c r="K235" i="3"/>
  <c r="U59" i="13"/>
  <c r="J4" i="12"/>
  <c r="J19" i="12"/>
  <c r="J69" i="12" s="1"/>
  <c r="J29" i="12"/>
  <c r="J39" i="12"/>
  <c r="J25" i="14"/>
  <c r="J44" i="3"/>
  <c r="N207" i="3"/>
  <c r="H228" i="3"/>
  <c r="T35" i="13"/>
  <c r="T45" i="13"/>
  <c r="T76" i="3"/>
  <c r="T6" i="13"/>
  <c r="T22" i="13" s="1"/>
  <c r="T5" i="13"/>
  <c r="F19" i="13"/>
  <c r="F3" i="13"/>
  <c r="N195" i="3"/>
  <c r="G195" i="3"/>
  <c r="L195" i="3"/>
  <c r="Q30" i="12"/>
  <c r="Q40" i="12"/>
  <c r="Q45" i="3"/>
  <c r="Q26" i="14"/>
  <c r="Q20" i="12"/>
  <c r="Q70" i="12" s="1"/>
  <c r="F3" i="12"/>
  <c r="S205" i="3"/>
  <c r="G234" i="3"/>
  <c r="F237" i="3"/>
  <c r="I6" i="13"/>
  <c r="I22" i="13" s="1"/>
  <c r="P6" i="13"/>
  <c r="P22" i="13" s="1"/>
  <c r="P10" i="13"/>
  <c r="P26" i="13" s="1"/>
  <c r="U52" i="12" l="1"/>
  <c r="O52" i="12"/>
  <c r="H58" i="13"/>
  <c r="H59" i="13"/>
  <c r="F52" i="13"/>
  <c r="F21" i="13"/>
  <c r="V43" i="3"/>
  <c r="V195" i="3" s="1"/>
  <c r="V52" i="3"/>
  <c r="V204" i="3" s="1"/>
  <c r="N204" i="3"/>
  <c r="I5" i="12"/>
  <c r="P3" i="12"/>
  <c r="P49" i="12" s="1"/>
  <c r="P32" i="13"/>
  <c r="P42" i="13"/>
  <c r="I32" i="13"/>
  <c r="I42" i="13"/>
  <c r="P46" i="13"/>
  <c r="P36" i="13"/>
  <c r="C34" i="13"/>
  <c r="C44" i="13"/>
  <c r="C75" i="3"/>
  <c r="D102" i="11"/>
  <c r="D48" i="11"/>
  <c r="K44" i="13"/>
  <c r="K75" i="3"/>
  <c r="K34" i="13"/>
  <c r="E102" i="11"/>
  <c r="G101" i="11"/>
  <c r="T42" i="13"/>
  <c r="T32" i="13"/>
  <c r="K196" i="3"/>
  <c r="D3" i="12"/>
  <c r="V32" i="12"/>
  <c r="V22" i="12"/>
  <c r="V72" i="12" s="1"/>
  <c r="V42" i="12"/>
  <c r="R226" i="3"/>
  <c r="E3" i="12"/>
  <c r="R235" i="3"/>
  <c r="F225" i="3"/>
  <c r="P55" i="3"/>
  <c r="P52" i="3" s="1"/>
  <c r="P45" i="12"/>
  <c r="P35" i="12"/>
  <c r="P25" i="12"/>
  <c r="P75" i="12" s="1"/>
  <c r="B235" i="3"/>
  <c r="D21" i="12"/>
  <c r="D71" i="12" s="1"/>
  <c r="D41" i="12"/>
  <c r="D31" i="12"/>
  <c r="D46" i="3"/>
  <c r="D43" i="3" s="1"/>
  <c r="D27" i="14"/>
  <c r="K226" i="3"/>
  <c r="J44" i="13"/>
  <c r="J34" i="13"/>
  <c r="J75" i="3"/>
  <c r="D85" i="3"/>
  <c r="D49" i="13"/>
  <c r="D39" i="13"/>
  <c r="Q197" i="3"/>
  <c r="T228" i="3"/>
  <c r="T73" i="3"/>
  <c r="M19" i="13"/>
  <c r="M3" i="13"/>
  <c r="M21" i="13" s="1"/>
  <c r="M195" i="3"/>
  <c r="Q54" i="3"/>
  <c r="Q44" i="12"/>
  <c r="Q34" i="12"/>
  <c r="Q24" i="12"/>
  <c r="Q74" i="12" s="1"/>
  <c r="Q10" i="12"/>
  <c r="P42" i="12"/>
  <c r="P32" i="12"/>
  <c r="P22" i="12"/>
  <c r="P72" i="12" s="1"/>
  <c r="G3" i="13"/>
  <c r="G19" i="13"/>
  <c r="J26" i="14"/>
  <c r="J20" i="12"/>
  <c r="J70" i="12" s="1"/>
  <c r="J40" i="12"/>
  <c r="J30" i="12"/>
  <c r="J45" i="3"/>
  <c r="V3" i="12"/>
  <c r="I236" i="3"/>
  <c r="H52" i="13"/>
  <c r="H41" i="13"/>
  <c r="H51" i="13"/>
  <c r="H53" i="13"/>
  <c r="H57" i="13"/>
  <c r="H54" i="13"/>
  <c r="H55" i="13"/>
  <c r="R34" i="13"/>
  <c r="R44" i="13"/>
  <c r="R75" i="3"/>
  <c r="F52" i="12"/>
  <c r="F47" i="12"/>
  <c r="F37" i="12"/>
  <c r="F17" i="12"/>
  <c r="F67" i="12" s="1"/>
  <c r="F53" i="12"/>
  <c r="F49" i="12"/>
  <c r="F54" i="12"/>
  <c r="F51" i="12"/>
  <c r="F55" i="12"/>
  <c r="F50" i="12"/>
  <c r="H236" i="3"/>
  <c r="H82" i="3"/>
  <c r="I197" i="3"/>
  <c r="M37" i="12"/>
  <c r="M47" i="12"/>
  <c r="M17" i="12"/>
  <c r="M67" i="12" s="1"/>
  <c r="M53" i="12"/>
  <c r="M49" i="12"/>
  <c r="M54" i="12"/>
  <c r="M50" i="12"/>
  <c r="M52" i="12"/>
  <c r="M51" i="12"/>
  <c r="M55" i="12"/>
  <c r="J226" i="3"/>
  <c r="J54" i="3"/>
  <c r="J44" i="12"/>
  <c r="J34" i="12"/>
  <c r="J24" i="12"/>
  <c r="J74" i="12" s="1"/>
  <c r="J10" i="12"/>
  <c r="B226" i="3"/>
  <c r="H237" i="3"/>
  <c r="H3" i="12"/>
  <c r="Q28" i="12"/>
  <c r="Q18" i="12"/>
  <c r="Q68" i="12" s="1"/>
  <c r="Q38" i="12"/>
  <c r="Q24" i="14"/>
  <c r="D10" i="13"/>
  <c r="D26" i="13" s="1"/>
  <c r="G42" i="13"/>
  <c r="G32" i="13"/>
  <c r="O19" i="13"/>
  <c r="O3" i="13"/>
  <c r="O204" i="3"/>
  <c r="V198" i="3"/>
  <c r="M234" i="3"/>
  <c r="C40" i="12"/>
  <c r="C20" i="12"/>
  <c r="C70" i="12" s="1"/>
  <c r="C30" i="12"/>
  <c r="C26" i="14"/>
  <c r="C45" i="3"/>
  <c r="H19" i="13"/>
  <c r="R84" i="3"/>
  <c r="R48" i="13"/>
  <c r="R38" i="13"/>
  <c r="U204" i="3"/>
  <c r="D54" i="3"/>
  <c r="D24" i="12"/>
  <c r="D74" i="12" s="1"/>
  <c r="D44" i="12"/>
  <c r="D34" i="12"/>
  <c r="D10" i="12"/>
  <c r="E36" i="13"/>
  <c r="E46" i="13"/>
  <c r="Q3" i="12"/>
  <c r="R20" i="12"/>
  <c r="R70" i="12" s="1"/>
  <c r="R40" i="12"/>
  <c r="R30" i="12"/>
  <c r="R26" i="14"/>
  <c r="R45" i="3"/>
  <c r="G228" i="3"/>
  <c r="G73" i="3"/>
  <c r="D227" i="3"/>
  <c r="J55" i="3"/>
  <c r="J25" i="12"/>
  <c r="J75" i="12" s="1"/>
  <c r="J35" i="12"/>
  <c r="J45" i="12"/>
  <c r="Q41" i="12"/>
  <c r="Q31" i="12"/>
  <c r="Q21" i="12"/>
  <c r="Q71" i="12" s="1"/>
  <c r="Q27" i="14"/>
  <c r="Q46" i="3"/>
  <c r="I227" i="3"/>
  <c r="D58" i="11"/>
  <c r="D53" i="11" s="1"/>
  <c r="I5" i="13"/>
  <c r="J84" i="3"/>
  <c r="J48" i="13"/>
  <c r="J38" i="13"/>
  <c r="K48" i="13"/>
  <c r="K38" i="13"/>
  <c r="K84" i="3"/>
  <c r="J196" i="3"/>
  <c r="D18" i="12"/>
  <c r="D68" i="12" s="1"/>
  <c r="D38" i="12"/>
  <c r="D28" i="12"/>
  <c r="D24" i="14"/>
  <c r="P24" i="14"/>
  <c r="P28" i="12"/>
  <c r="P38" i="12"/>
  <c r="P18" i="12"/>
  <c r="P68" i="12" s="1"/>
  <c r="E195" i="3"/>
  <c r="Q55" i="3"/>
  <c r="Q45" i="12"/>
  <c r="Q35" i="12"/>
  <c r="Q25" i="12"/>
  <c r="Q75" i="12" s="1"/>
  <c r="T195" i="3"/>
  <c r="E28" i="12"/>
  <c r="E18" i="12"/>
  <c r="E68" i="12" s="1"/>
  <c r="E24" i="14"/>
  <c r="E38" i="12"/>
  <c r="V207" i="3"/>
  <c r="Q196" i="3"/>
  <c r="H207" i="3"/>
  <c r="H52" i="3"/>
  <c r="P206" i="3"/>
  <c r="O32" i="13"/>
  <c r="O42" i="13"/>
  <c r="I206" i="3"/>
  <c r="F101" i="11"/>
  <c r="C18" i="13"/>
  <c r="K54" i="3"/>
  <c r="K24" i="12"/>
  <c r="K74" i="12" s="1"/>
  <c r="K44" i="12"/>
  <c r="K34" i="12"/>
  <c r="K10" i="12"/>
  <c r="E207" i="3"/>
  <c r="E52" i="3"/>
  <c r="E103" i="11"/>
  <c r="C84" i="3"/>
  <c r="C48" i="13"/>
  <c r="C38" i="13"/>
  <c r="F51" i="13"/>
  <c r="F41" i="13"/>
  <c r="F57" i="13"/>
  <c r="F53" i="13"/>
  <c r="F58" i="13"/>
  <c r="F59" i="13"/>
  <c r="F54" i="13"/>
  <c r="F55" i="13"/>
  <c r="Q227" i="3"/>
  <c r="H46" i="13"/>
  <c r="H36" i="13"/>
  <c r="H56" i="13"/>
  <c r="D197" i="3"/>
  <c r="O37" i="12"/>
  <c r="O47" i="12"/>
  <c r="O17" i="12"/>
  <c r="O67" i="12" s="1"/>
  <c r="O53" i="12"/>
  <c r="O49" i="12"/>
  <c r="O54" i="12"/>
  <c r="O51" i="12"/>
  <c r="O55" i="12"/>
  <c r="O50" i="12"/>
  <c r="M32" i="13"/>
  <c r="M52" i="13"/>
  <c r="M42" i="13"/>
  <c r="I3" i="12"/>
  <c r="I27" i="14"/>
  <c r="I41" i="12"/>
  <c r="I31" i="12"/>
  <c r="I21" i="12"/>
  <c r="I71" i="12" s="1"/>
  <c r="I46" i="3"/>
  <c r="I6" i="12"/>
  <c r="H225" i="3"/>
  <c r="E237" i="3"/>
  <c r="C196" i="3"/>
  <c r="H24" i="14"/>
  <c r="H38" i="12"/>
  <c r="H28" i="12"/>
  <c r="H18" i="12"/>
  <c r="H68" i="12" s="1"/>
  <c r="E45" i="13"/>
  <c r="E35" i="13"/>
  <c r="E76" i="3"/>
  <c r="E6" i="13"/>
  <c r="E22" i="13" s="1"/>
  <c r="E5" i="13"/>
  <c r="P227" i="3"/>
  <c r="O227" i="3"/>
  <c r="O73" i="3"/>
  <c r="V28" i="12"/>
  <c r="V18" i="12"/>
  <c r="V68" i="12" s="1"/>
  <c r="V38" i="12"/>
  <c r="V24" i="14"/>
  <c r="F56" i="13"/>
  <c r="E198" i="3"/>
  <c r="D55" i="3"/>
  <c r="D35" i="12"/>
  <c r="D25" i="12"/>
  <c r="D75" i="12" s="1"/>
  <c r="D45" i="12"/>
  <c r="P85" i="3"/>
  <c r="P39" i="13"/>
  <c r="P49" i="13"/>
  <c r="P45" i="13"/>
  <c r="P35" i="13"/>
  <c r="P76" i="3"/>
  <c r="I45" i="13"/>
  <c r="I35" i="13"/>
  <c r="I76" i="3"/>
  <c r="S4" i="13"/>
  <c r="S33" i="13"/>
  <c r="S43" i="13"/>
  <c r="S74" i="3"/>
  <c r="C5" i="12"/>
  <c r="R54" i="3"/>
  <c r="R44" i="12"/>
  <c r="R34" i="12"/>
  <c r="R24" i="12"/>
  <c r="R74" i="12" s="1"/>
  <c r="M227" i="3"/>
  <c r="M73" i="3"/>
  <c r="I55" i="3"/>
  <c r="I45" i="12"/>
  <c r="I35" i="12"/>
  <c r="I25" i="12"/>
  <c r="I75" i="12" s="1"/>
  <c r="R18" i="13"/>
  <c r="C206" i="3"/>
  <c r="M48" i="12"/>
  <c r="L52" i="13"/>
  <c r="L41" i="13"/>
  <c r="L51" i="13"/>
  <c r="L53" i="13"/>
  <c r="L57" i="13"/>
  <c r="L54" i="13"/>
  <c r="L58" i="13"/>
  <c r="L55" i="13"/>
  <c r="L59" i="13"/>
  <c r="L56" i="13"/>
  <c r="E82" i="3"/>
  <c r="E236" i="3"/>
  <c r="B19" i="12"/>
  <c r="B69" i="12" s="1"/>
  <c r="B29" i="12"/>
  <c r="B4" i="12"/>
  <c r="B18" i="13" s="1"/>
  <c r="B39" i="12"/>
  <c r="B25" i="14"/>
  <c r="B44" i="3"/>
  <c r="H197" i="3"/>
  <c r="H43" i="3"/>
  <c r="O195" i="3"/>
  <c r="P197" i="3"/>
  <c r="F195" i="3"/>
  <c r="V85" i="3"/>
  <c r="V39" i="13"/>
  <c r="V49" i="13"/>
  <c r="V10" i="13"/>
  <c r="V26" i="13" s="1"/>
  <c r="V5" i="13"/>
  <c r="K18" i="13"/>
  <c r="S235" i="3"/>
  <c r="T19" i="13"/>
  <c r="T3" i="13"/>
  <c r="T21" i="13" s="1"/>
  <c r="H198" i="3"/>
  <c r="U49" i="12"/>
  <c r="U47" i="12"/>
  <c r="U37" i="12"/>
  <c r="U53" i="12"/>
  <c r="U17" i="12"/>
  <c r="U67" i="12" s="1"/>
  <c r="U50" i="12"/>
  <c r="U51" i="12"/>
  <c r="U48" i="12"/>
  <c r="U54" i="12"/>
  <c r="U55" i="12"/>
  <c r="U234" i="3"/>
  <c r="V225" i="3"/>
  <c r="J18" i="13"/>
  <c r="S39" i="12"/>
  <c r="S19" i="12"/>
  <c r="S69" i="12" s="1"/>
  <c r="S29" i="12"/>
  <c r="S4" i="12"/>
  <c r="S25" i="14"/>
  <c r="S44" i="3"/>
  <c r="C43" i="11"/>
  <c r="C95" i="11" s="1"/>
  <c r="C100" i="11"/>
  <c r="R196" i="3"/>
  <c r="H42" i="12"/>
  <c r="H32" i="12"/>
  <c r="H22" i="12"/>
  <c r="H72" i="12" s="1"/>
  <c r="P50" i="12"/>
  <c r="P5" i="13"/>
  <c r="D236" i="3"/>
  <c r="O234" i="3"/>
  <c r="F204" i="3"/>
  <c r="I10" i="12"/>
  <c r="P236" i="3"/>
  <c r="O48" i="12"/>
  <c r="P31" i="12"/>
  <c r="P41" i="12"/>
  <c r="P21" i="12"/>
  <c r="P71" i="12" s="1"/>
  <c r="P46" i="3"/>
  <c r="P27" i="14"/>
  <c r="E42" i="12"/>
  <c r="E32" i="12"/>
  <c r="E22" i="12"/>
  <c r="E72" i="12" s="1"/>
  <c r="F48" i="12"/>
  <c r="K5" i="12"/>
  <c r="K3" i="12" s="1"/>
  <c r="K30" i="12"/>
  <c r="K26" i="14"/>
  <c r="K20" i="12"/>
  <c r="K70" i="12" s="1"/>
  <c r="K40" i="12"/>
  <c r="K45" i="3"/>
  <c r="F103" i="11"/>
  <c r="J10" i="13"/>
  <c r="J26" i="13" s="1"/>
  <c r="C6" i="13"/>
  <c r="C22" i="13" s="1"/>
  <c r="V48" i="12" l="1"/>
  <c r="P54" i="12"/>
  <c r="Q55" i="12"/>
  <c r="H52" i="12"/>
  <c r="D54" i="12"/>
  <c r="I51" i="12"/>
  <c r="E52" i="12"/>
  <c r="P53" i="12"/>
  <c r="P52" i="12"/>
  <c r="P37" i="12"/>
  <c r="P51" i="12"/>
  <c r="P47" i="12"/>
  <c r="P48" i="12"/>
  <c r="P17" i="12"/>
  <c r="P67" i="12" s="1"/>
  <c r="P55" i="12"/>
  <c r="G52" i="13"/>
  <c r="G21" i="13"/>
  <c r="O52" i="13"/>
  <c r="O21" i="13"/>
  <c r="D82" i="3"/>
  <c r="D234" i="3" s="1"/>
  <c r="P82" i="3"/>
  <c r="P234" i="3" s="1"/>
  <c r="I52" i="3"/>
  <c r="I204" i="3" s="1"/>
  <c r="Q43" i="3"/>
  <c r="Q195" i="3" s="1"/>
  <c r="I43" i="3"/>
  <c r="D55" i="12"/>
  <c r="E48" i="12"/>
  <c r="I55" i="12"/>
  <c r="Q51" i="12"/>
  <c r="H48" i="12"/>
  <c r="D51" i="12"/>
  <c r="C3" i="12"/>
  <c r="C32" i="13"/>
  <c r="C42" i="13"/>
  <c r="J36" i="13"/>
  <c r="J46" i="13"/>
  <c r="K17" i="12"/>
  <c r="K67" i="12" s="1"/>
  <c r="K47" i="12"/>
  <c r="K37" i="12"/>
  <c r="K53" i="12"/>
  <c r="K49" i="12"/>
  <c r="K54" i="12"/>
  <c r="K50" i="12"/>
  <c r="S84" i="3"/>
  <c r="S38" i="13"/>
  <c r="S48" i="13"/>
  <c r="R45" i="13"/>
  <c r="R35" i="13"/>
  <c r="R76" i="3"/>
  <c r="I19" i="13"/>
  <c r="I3" i="13"/>
  <c r="I21" i="13" s="1"/>
  <c r="H195" i="3"/>
  <c r="E234" i="3"/>
  <c r="M225" i="3"/>
  <c r="R55" i="3"/>
  <c r="R25" i="12"/>
  <c r="R75" i="12" s="1"/>
  <c r="R45" i="12"/>
  <c r="R35" i="12"/>
  <c r="E42" i="13"/>
  <c r="E32" i="13"/>
  <c r="E204" i="3"/>
  <c r="Q45" i="13"/>
  <c r="Q35" i="13"/>
  <c r="Q76" i="3"/>
  <c r="Q5" i="13"/>
  <c r="Q6" i="13"/>
  <c r="Q22" i="13" s="1"/>
  <c r="Q198" i="3"/>
  <c r="R197" i="3"/>
  <c r="C197" i="3"/>
  <c r="Q206" i="3"/>
  <c r="Q52" i="3"/>
  <c r="M41" i="13"/>
  <c r="M51" i="13"/>
  <c r="M53" i="13"/>
  <c r="M57" i="13"/>
  <c r="M59" i="13"/>
  <c r="M55" i="13"/>
  <c r="M58" i="13"/>
  <c r="M54" i="13"/>
  <c r="M56" i="13"/>
  <c r="D198" i="3"/>
  <c r="E48" i="11"/>
  <c r="D43" i="11"/>
  <c r="D95" i="11" s="1"/>
  <c r="D100" i="11"/>
  <c r="H101" i="11"/>
  <c r="C85" i="3"/>
  <c r="C49" i="13"/>
  <c r="C39" i="13"/>
  <c r="K45" i="13"/>
  <c r="K35" i="13"/>
  <c r="K76" i="3"/>
  <c r="V19" i="13"/>
  <c r="V3" i="13"/>
  <c r="V21" i="13" s="1"/>
  <c r="R206" i="3"/>
  <c r="P228" i="3"/>
  <c r="O225" i="3"/>
  <c r="E228" i="3"/>
  <c r="E73" i="3"/>
  <c r="C236" i="3"/>
  <c r="K206" i="3"/>
  <c r="Q54" i="12"/>
  <c r="Q47" i="12"/>
  <c r="Q37" i="12"/>
  <c r="Q17" i="12"/>
  <c r="Q67" i="12" s="1"/>
  <c r="Q53" i="12"/>
  <c r="Q49" i="12"/>
  <c r="Q50" i="12"/>
  <c r="K45" i="12"/>
  <c r="K35" i="12"/>
  <c r="K55" i="3"/>
  <c r="K25" i="12"/>
  <c r="K75" i="12" s="1"/>
  <c r="K55" i="12"/>
  <c r="Q48" i="12"/>
  <c r="J52" i="3"/>
  <c r="J206" i="3"/>
  <c r="V53" i="12"/>
  <c r="V47" i="12"/>
  <c r="V37" i="12"/>
  <c r="V17" i="12"/>
  <c r="V67" i="12" s="1"/>
  <c r="V49" i="12"/>
  <c r="V54" i="12"/>
  <c r="V50" i="12"/>
  <c r="V51" i="12"/>
  <c r="V55" i="12"/>
  <c r="K197" i="3"/>
  <c r="I52" i="12"/>
  <c r="I42" i="12"/>
  <c r="I32" i="12"/>
  <c r="I22" i="12"/>
  <c r="I72" i="12" s="1"/>
  <c r="S196" i="3"/>
  <c r="Q85" i="3"/>
  <c r="Q39" i="13"/>
  <c r="Q49" i="13"/>
  <c r="V46" i="13"/>
  <c r="V36" i="13"/>
  <c r="D207" i="3"/>
  <c r="K41" i="12"/>
  <c r="K31" i="12"/>
  <c r="K21" i="12"/>
  <c r="K71" i="12" s="1"/>
  <c r="K27" i="14"/>
  <c r="K51" i="12"/>
  <c r="K46" i="3"/>
  <c r="K6" i="12"/>
  <c r="P204" i="3"/>
  <c r="J207" i="3"/>
  <c r="D206" i="3"/>
  <c r="D52" i="3"/>
  <c r="R236" i="3"/>
  <c r="D46" i="13"/>
  <c r="D36" i="13"/>
  <c r="R5" i="13"/>
  <c r="G51" i="13"/>
  <c r="G41" i="13"/>
  <c r="G57" i="13"/>
  <c r="G53" i="13"/>
  <c r="G54" i="13"/>
  <c r="G59" i="13"/>
  <c r="G58" i="13"/>
  <c r="G56" i="13"/>
  <c r="G55" i="13"/>
  <c r="C21" i="12"/>
  <c r="C71" i="12" s="1"/>
  <c r="C27" i="14"/>
  <c r="C31" i="12"/>
  <c r="C41" i="12"/>
  <c r="C46" i="3"/>
  <c r="C6" i="12"/>
  <c r="I228" i="3"/>
  <c r="I73" i="3"/>
  <c r="I28" i="12"/>
  <c r="I18" i="12"/>
  <c r="I68" i="12" s="1"/>
  <c r="I48" i="12"/>
  <c r="I38" i="12"/>
  <c r="I24" i="14"/>
  <c r="D35" i="13"/>
  <c r="D45" i="13"/>
  <c r="D76" i="3"/>
  <c r="D6" i="13"/>
  <c r="D22" i="13" s="1"/>
  <c r="D5" i="13"/>
  <c r="R6" i="13"/>
  <c r="R22" i="13" s="1"/>
  <c r="J197" i="3"/>
  <c r="K227" i="3"/>
  <c r="C227" i="3"/>
  <c r="S44" i="13"/>
  <c r="S34" i="13"/>
  <c r="S75" i="3"/>
  <c r="S10" i="12"/>
  <c r="R10" i="12"/>
  <c r="S26" i="14"/>
  <c r="S30" i="12"/>
  <c r="S40" i="12"/>
  <c r="S20" i="12"/>
  <c r="S70" i="12" s="1"/>
  <c r="S45" i="3"/>
  <c r="P73" i="3"/>
  <c r="I198" i="3"/>
  <c r="D195" i="3"/>
  <c r="C10" i="13"/>
  <c r="C26" i="13" s="1"/>
  <c r="K32" i="12"/>
  <c r="K42" i="12"/>
  <c r="K22" i="12"/>
  <c r="K72" i="12" s="1"/>
  <c r="K52" i="12"/>
  <c r="K6" i="13"/>
  <c r="K22" i="13" s="1"/>
  <c r="O53" i="13"/>
  <c r="O51" i="13"/>
  <c r="O41" i="13"/>
  <c r="O57" i="13"/>
  <c r="O58" i="13"/>
  <c r="O55" i="13"/>
  <c r="O59" i="13"/>
  <c r="O54" i="13"/>
  <c r="O56" i="13"/>
  <c r="J32" i="12"/>
  <c r="J22" i="12"/>
  <c r="J72" i="12" s="1"/>
  <c r="J42" i="12"/>
  <c r="Q32" i="12"/>
  <c r="Q52" i="12"/>
  <c r="Q22" i="12"/>
  <c r="Q72" i="12" s="1"/>
  <c r="Q42" i="12"/>
  <c r="D237" i="3"/>
  <c r="C45" i="13"/>
  <c r="C35" i="13"/>
  <c r="C76" i="3"/>
  <c r="E58" i="11"/>
  <c r="E53" i="11" s="1"/>
  <c r="B84" i="3"/>
  <c r="B38" i="13"/>
  <c r="B48" i="13"/>
  <c r="P198" i="3"/>
  <c r="S18" i="13"/>
  <c r="B196" i="3"/>
  <c r="I207" i="3"/>
  <c r="S226" i="3"/>
  <c r="P237" i="3"/>
  <c r="H204" i="3"/>
  <c r="Q207" i="3"/>
  <c r="K236" i="3"/>
  <c r="J236" i="3"/>
  <c r="G225" i="3"/>
  <c r="D42" i="12"/>
  <c r="D32" i="12"/>
  <c r="D22" i="12"/>
  <c r="D72" i="12" s="1"/>
  <c r="D52" i="12"/>
  <c r="S54" i="3"/>
  <c r="S34" i="12"/>
  <c r="S24" i="12"/>
  <c r="S74" i="12" s="1"/>
  <c r="S44" i="12"/>
  <c r="Q84" i="3"/>
  <c r="Q48" i="13"/>
  <c r="Q38" i="13"/>
  <c r="Q10" i="13"/>
  <c r="Q26" i="13" s="1"/>
  <c r="H47" i="12"/>
  <c r="H37" i="12"/>
  <c r="H17" i="12"/>
  <c r="H67" i="12" s="1"/>
  <c r="H53" i="12"/>
  <c r="H49" i="12"/>
  <c r="H54" i="12"/>
  <c r="H50" i="12"/>
  <c r="H55" i="12"/>
  <c r="H51" i="12"/>
  <c r="H234" i="3"/>
  <c r="R227" i="3"/>
  <c r="B20" i="12"/>
  <c r="B70" i="12" s="1"/>
  <c r="B40" i="12"/>
  <c r="B30" i="12"/>
  <c r="B45" i="3"/>
  <c r="B26" i="14"/>
  <c r="T225" i="3"/>
  <c r="E47" i="12"/>
  <c r="E37" i="12"/>
  <c r="E17" i="12"/>
  <c r="E67" i="12" s="1"/>
  <c r="E53" i="12"/>
  <c r="E49" i="12"/>
  <c r="E54" i="12"/>
  <c r="E50" i="12"/>
  <c r="E51" i="12"/>
  <c r="E55" i="12"/>
  <c r="R27" i="14"/>
  <c r="R21" i="12"/>
  <c r="R71" i="12" s="1"/>
  <c r="R31" i="12"/>
  <c r="R41" i="12"/>
  <c r="R46" i="3"/>
  <c r="R6" i="12"/>
  <c r="C5" i="13"/>
  <c r="J39" i="13"/>
  <c r="J49" i="13"/>
  <c r="J85" i="3"/>
  <c r="R49" i="13"/>
  <c r="R39" i="13"/>
  <c r="R85" i="3"/>
  <c r="T52" i="13"/>
  <c r="T51" i="13"/>
  <c r="T41" i="13"/>
  <c r="T53" i="13"/>
  <c r="T57" i="13"/>
  <c r="T58" i="13"/>
  <c r="T59" i="13"/>
  <c r="T54" i="13"/>
  <c r="T56" i="13"/>
  <c r="T55" i="13"/>
  <c r="I47" i="12"/>
  <c r="I37" i="12"/>
  <c r="I17" i="12"/>
  <c r="I67" i="12" s="1"/>
  <c r="I53" i="12"/>
  <c r="I49" i="12"/>
  <c r="I50" i="12"/>
  <c r="I54" i="12"/>
  <c r="J41" i="12"/>
  <c r="J31" i="12"/>
  <c r="J21" i="12"/>
  <c r="J71" i="12" s="1"/>
  <c r="J27" i="14"/>
  <c r="J46" i="3"/>
  <c r="J6" i="12"/>
  <c r="I85" i="3"/>
  <c r="I39" i="13"/>
  <c r="I49" i="13"/>
  <c r="I10" i="13"/>
  <c r="I26" i="13" s="1"/>
  <c r="R5" i="12"/>
  <c r="J5" i="12"/>
  <c r="J227" i="3"/>
  <c r="P207" i="3"/>
  <c r="B34" i="13"/>
  <c r="B44" i="13"/>
  <c r="B75" i="3"/>
  <c r="P19" i="13"/>
  <c r="P3" i="13"/>
  <c r="P21" i="13" s="1"/>
  <c r="P43" i="3"/>
  <c r="V237" i="3"/>
  <c r="V82" i="3"/>
  <c r="R10" i="13"/>
  <c r="R26" i="13" s="1"/>
  <c r="C55" i="3"/>
  <c r="C25" i="12"/>
  <c r="C75" i="12" s="1"/>
  <c r="C45" i="12"/>
  <c r="C35" i="12"/>
  <c r="C10" i="12"/>
  <c r="E19" i="13"/>
  <c r="E3" i="13"/>
  <c r="E21" i="13" s="1"/>
  <c r="V52" i="12"/>
  <c r="D48" i="12"/>
  <c r="D37" i="12"/>
  <c r="D17" i="12"/>
  <c r="D67" i="12" s="1"/>
  <c r="D47" i="12"/>
  <c r="D53" i="12"/>
  <c r="D49" i="12"/>
  <c r="D50" i="12"/>
  <c r="S10" i="13"/>
  <c r="S26" i="13" s="1"/>
  <c r="C51" i="12" l="1"/>
  <c r="C82" i="3"/>
  <c r="C234" i="3" s="1"/>
  <c r="R73" i="3"/>
  <c r="K43" i="3"/>
  <c r="R52" i="3"/>
  <c r="R204" i="3" s="1"/>
  <c r="I195" i="3"/>
  <c r="B5" i="12"/>
  <c r="C55" i="12"/>
  <c r="S36" i="13"/>
  <c r="S46" i="13"/>
  <c r="V234" i="3"/>
  <c r="B227" i="3"/>
  <c r="J198" i="3"/>
  <c r="J43" i="3"/>
  <c r="C228" i="3"/>
  <c r="I237" i="3"/>
  <c r="I82" i="3"/>
  <c r="J82" i="3"/>
  <c r="J237" i="3"/>
  <c r="R198" i="3"/>
  <c r="R43" i="3"/>
  <c r="Q36" i="13"/>
  <c r="Q46" i="13"/>
  <c r="C18" i="12"/>
  <c r="C68" i="12" s="1"/>
  <c r="C28" i="12"/>
  <c r="C48" i="12"/>
  <c r="C38" i="12"/>
  <c r="C24" i="14"/>
  <c r="S6" i="13"/>
  <c r="S22" i="13" s="1"/>
  <c r="S35" i="13"/>
  <c r="S45" i="13"/>
  <c r="S76" i="3"/>
  <c r="S21" i="12"/>
  <c r="S71" i="12" s="1"/>
  <c r="S41" i="12"/>
  <c r="S31" i="12"/>
  <c r="S46" i="3"/>
  <c r="S27" i="14"/>
  <c r="S6" i="12"/>
  <c r="C73" i="3"/>
  <c r="K198" i="3"/>
  <c r="G103" i="11"/>
  <c r="S55" i="3"/>
  <c r="S45" i="12"/>
  <c r="S25" i="12"/>
  <c r="S75" i="12" s="1"/>
  <c r="S35" i="12"/>
  <c r="R42" i="13"/>
  <c r="R32" i="13"/>
  <c r="J45" i="13"/>
  <c r="J35" i="13"/>
  <c r="J76" i="3"/>
  <c r="J6" i="13"/>
  <c r="J22" i="13" s="1"/>
  <c r="J5" i="13"/>
  <c r="R207" i="3"/>
  <c r="Q228" i="3"/>
  <c r="Q73" i="3"/>
  <c r="C207" i="3"/>
  <c r="C52" i="3"/>
  <c r="K85" i="3"/>
  <c r="K39" i="13"/>
  <c r="K49" i="13"/>
  <c r="K10" i="13"/>
  <c r="K26" i="13" s="1"/>
  <c r="R3" i="12"/>
  <c r="S5" i="12"/>
  <c r="C198" i="3"/>
  <c r="C43" i="3"/>
  <c r="D204" i="3"/>
  <c r="K207" i="3"/>
  <c r="Q204" i="3"/>
  <c r="I41" i="13"/>
  <c r="I51" i="13"/>
  <c r="I57" i="13"/>
  <c r="I53" i="13"/>
  <c r="I58" i="13"/>
  <c r="I54" i="13"/>
  <c r="I55" i="13"/>
  <c r="I52" i="13"/>
  <c r="B35" i="13"/>
  <c r="B45" i="13"/>
  <c r="B76" i="3"/>
  <c r="E52" i="13"/>
  <c r="E41" i="13"/>
  <c r="E51" i="13"/>
  <c r="E53" i="13"/>
  <c r="E57" i="13"/>
  <c r="E54" i="13"/>
  <c r="E58" i="13"/>
  <c r="E59" i="13"/>
  <c r="E56" i="13"/>
  <c r="E55" i="13"/>
  <c r="I36" i="13"/>
  <c r="I46" i="13"/>
  <c r="I56" i="13"/>
  <c r="R82" i="3"/>
  <c r="R237" i="3"/>
  <c r="S206" i="3"/>
  <c r="S227" i="3"/>
  <c r="B35" i="12"/>
  <c r="B45" i="12"/>
  <c r="B25" i="12"/>
  <c r="B75" i="12" s="1"/>
  <c r="B55" i="3"/>
  <c r="Q237" i="3"/>
  <c r="B54" i="3"/>
  <c r="B44" i="12"/>
  <c r="B34" i="12"/>
  <c r="B24" i="12"/>
  <c r="B74" i="12" s="1"/>
  <c r="B10" i="12"/>
  <c r="I101" i="11"/>
  <c r="S39" i="13"/>
  <c r="S85" i="3"/>
  <c r="S49" i="13"/>
  <c r="F58" i="11"/>
  <c r="F53" i="11" s="1"/>
  <c r="R36" i="13"/>
  <c r="R46" i="13"/>
  <c r="P195" i="3"/>
  <c r="I59" i="13"/>
  <c r="C19" i="13"/>
  <c r="C3" i="13"/>
  <c r="B197" i="3"/>
  <c r="B236" i="3"/>
  <c r="C46" i="13"/>
  <c r="C36" i="13"/>
  <c r="P225" i="3"/>
  <c r="R22" i="12"/>
  <c r="R72" i="12" s="1"/>
  <c r="R42" i="12"/>
  <c r="R32" i="12"/>
  <c r="D19" i="13"/>
  <c r="D3" i="13"/>
  <c r="D21" i="13" s="1"/>
  <c r="R19" i="13"/>
  <c r="R3" i="13"/>
  <c r="J204" i="3"/>
  <c r="K228" i="3"/>
  <c r="K73" i="3"/>
  <c r="C22" i="12"/>
  <c r="C72" i="12" s="1"/>
  <c r="C42" i="12"/>
  <c r="C32" i="12"/>
  <c r="C52" i="12"/>
  <c r="P56" i="13"/>
  <c r="P51" i="13"/>
  <c r="P41" i="13"/>
  <c r="P57" i="13"/>
  <c r="P53" i="13"/>
  <c r="P54" i="13"/>
  <c r="P58" i="13"/>
  <c r="P52" i="13"/>
  <c r="P55" i="13"/>
  <c r="P59" i="13"/>
  <c r="K5" i="13"/>
  <c r="Q236" i="3"/>
  <c r="Q82" i="3"/>
  <c r="K32" i="13"/>
  <c r="K42" i="13"/>
  <c r="S197" i="3"/>
  <c r="S5" i="13"/>
  <c r="D42" i="13"/>
  <c r="D32" i="13"/>
  <c r="K28" i="12"/>
  <c r="K18" i="12"/>
  <c r="K68" i="12" s="1"/>
  <c r="K38" i="12"/>
  <c r="K48" i="12"/>
  <c r="K24" i="14"/>
  <c r="B21" i="12"/>
  <c r="B71" i="12" s="1"/>
  <c r="B41" i="12"/>
  <c r="B31" i="12"/>
  <c r="B27" i="14"/>
  <c r="B46" i="3"/>
  <c r="B6" i="12"/>
  <c r="C237" i="3"/>
  <c r="E43" i="11"/>
  <c r="E95" i="11" s="1"/>
  <c r="E100" i="11"/>
  <c r="Q42" i="13"/>
  <c r="Q32" i="13"/>
  <c r="R228" i="3"/>
  <c r="C37" i="12"/>
  <c r="C47" i="12"/>
  <c r="C17" i="12"/>
  <c r="C67" i="12" s="1"/>
  <c r="C53" i="12"/>
  <c r="C49" i="12"/>
  <c r="C54" i="12"/>
  <c r="C50" i="12"/>
  <c r="G102" i="11"/>
  <c r="G48" i="11"/>
  <c r="B5" i="13"/>
  <c r="B6" i="13"/>
  <c r="B22" i="13" s="1"/>
  <c r="J3" i="12"/>
  <c r="J28" i="12"/>
  <c r="J38" i="12"/>
  <c r="J24" i="14"/>
  <c r="J18" i="12"/>
  <c r="J68" i="12" s="1"/>
  <c r="R28" i="12"/>
  <c r="R38" i="12"/>
  <c r="R18" i="12"/>
  <c r="R68" i="12" s="1"/>
  <c r="R24" i="14"/>
  <c r="S42" i="12"/>
  <c r="S22" i="12"/>
  <c r="S72" i="12" s="1"/>
  <c r="S32" i="12"/>
  <c r="D228" i="3"/>
  <c r="D73" i="3"/>
  <c r="I225" i="3"/>
  <c r="K52" i="3"/>
  <c r="E225" i="3"/>
  <c r="V56" i="13"/>
  <c r="V41" i="13"/>
  <c r="V51" i="13"/>
  <c r="V57" i="13"/>
  <c r="V53" i="13"/>
  <c r="V54" i="13"/>
  <c r="V55" i="13"/>
  <c r="V58" i="13"/>
  <c r="V52" i="13"/>
  <c r="V59" i="13"/>
  <c r="F102" i="11"/>
  <c r="F48" i="11"/>
  <c r="Q19" i="13"/>
  <c r="Q3" i="13"/>
  <c r="Q21" i="13" s="1"/>
  <c r="S236" i="3"/>
  <c r="J48" i="12" l="1"/>
  <c r="R52" i="12"/>
  <c r="C56" i="13"/>
  <c r="C21" i="13"/>
  <c r="R52" i="13"/>
  <c r="R21" i="13"/>
  <c r="S82" i="3"/>
  <c r="B73" i="3"/>
  <c r="B225" i="3" s="1"/>
  <c r="R225" i="3"/>
  <c r="S43" i="3"/>
  <c r="S195" i="3" s="1"/>
  <c r="S52" i="3"/>
  <c r="S204" i="3" s="1"/>
  <c r="K195" i="3"/>
  <c r="B3" i="12"/>
  <c r="B54" i="12" s="1"/>
  <c r="R56" i="13"/>
  <c r="B19" i="13"/>
  <c r="B3" i="13"/>
  <c r="B52" i="13" s="1"/>
  <c r="K204" i="3"/>
  <c r="B38" i="12"/>
  <c r="B28" i="12"/>
  <c r="B18" i="12"/>
  <c r="B68" i="12" s="1"/>
  <c r="B24" i="14"/>
  <c r="B207" i="3"/>
  <c r="J19" i="13"/>
  <c r="J3" i="13"/>
  <c r="S18" i="12"/>
  <c r="S68" i="12" s="1"/>
  <c r="S38" i="12"/>
  <c r="S28" i="12"/>
  <c r="S24" i="14"/>
  <c r="S32" i="13"/>
  <c r="S42" i="13"/>
  <c r="R195" i="3"/>
  <c r="B42" i="13"/>
  <c r="B32" i="13"/>
  <c r="S19" i="13"/>
  <c r="S3" i="13"/>
  <c r="K19" i="13"/>
  <c r="K3" i="13"/>
  <c r="K21" i="13" s="1"/>
  <c r="K225" i="3"/>
  <c r="D52" i="13"/>
  <c r="D41" i="13"/>
  <c r="D51" i="13"/>
  <c r="D53" i="13"/>
  <c r="D57" i="13"/>
  <c r="D54" i="13"/>
  <c r="D58" i="13"/>
  <c r="D59" i="13"/>
  <c r="D55" i="13"/>
  <c r="D56" i="13"/>
  <c r="J42" i="13"/>
  <c r="J32" i="13"/>
  <c r="H103" i="11"/>
  <c r="H102" i="11"/>
  <c r="Q234" i="3"/>
  <c r="B206" i="3"/>
  <c r="B52" i="3"/>
  <c r="K237" i="3"/>
  <c r="K82" i="3"/>
  <c r="S198" i="3"/>
  <c r="S228" i="3"/>
  <c r="Q59" i="13"/>
  <c r="Q51" i="13"/>
  <c r="Q41" i="13"/>
  <c r="Q57" i="13"/>
  <c r="Q53" i="13"/>
  <c r="Q54" i="13"/>
  <c r="Q55" i="13"/>
  <c r="Q58" i="13"/>
  <c r="J101" i="11"/>
  <c r="G58" i="11"/>
  <c r="G53" i="11" s="1"/>
  <c r="F43" i="11"/>
  <c r="F95" i="11" s="1"/>
  <c r="F100" i="11"/>
  <c r="S3" i="12"/>
  <c r="R48" i="12"/>
  <c r="R47" i="12"/>
  <c r="R17" i="12"/>
  <c r="R67" i="12" s="1"/>
  <c r="R37" i="12"/>
  <c r="R53" i="12"/>
  <c r="R49" i="12"/>
  <c r="R54" i="12"/>
  <c r="R50" i="12"/>
  <c r="R55" i="12"/>
  <c r="R51" i="12"/>
  <c r="C204" i="3"/>
  <c r="S207" i="3"/>
  <c r="Q56" i="13"/>
  <c r="D225" i="3"/>
  <c r="C52" i="13"/>
  <c r="C41" i="13"/>
  <c r="C51" i="13"/>
  <c r="C53" i="13"/>
  <c r="C57" i="13"/>
  <c r="C58" i="13"/>
  <c r="C54" i="13"/>
  <c r="C59" i="13"/>
  <c r="C55" i="13"/>
  <c r="Q225" i="3"/>
  <c r="J228" i="3"/>
  <c r="J73" i="3"/>
  <c r="J50" i="12"/>
  <c r="J47" i="12"/>
  <c r="J37" i="12"/>
  <c r="J17" i="12"/>
  <c r="J67" i="12" s="1"/>
  <c r="J53" i="12"/>
  <c r="J49" i="12"/>
  <c r="J55" i="12"/>
  <c r="J54" i="12"/>
  <c r="J52" i="12"/>
  <c r="J51" i="12"/>
  <c r="Q52" i="13"/>
  <c r="R55" i="13"/>
  <c r="R51" i="13"/>
  <c r="R41" i="13"/>
  <c r="R57" i="13"/>
  <c r="R53" i="13"/>
  <c r="R54" i="13"/>
  <c r="R58" i="13"/>
  <c r="R59" i="13"/>
  <c r="S237" i="3"/>
  <c r="C195" i="3"/>
  <c r="J234" i="3"/>
  <c r="S73" i="3"/>
  <c r="B39" i="13"/>
  <c r="B49" i="13"/>
  <c r="B85" i="3"/>
  <c r="B10" i="13"/>
  <c r="B26" i="13" s="1"/>
  <c r="B198" i="3"/>
  <c r="G43" i="11"/>
  <c r="G95" i="11" s="1"/>
  <c r="G100" i="11"/>
  <c r="B42" i="12"/>
  <c r="B32" i="12"/>
  <c r="B22" i="12"/>
  <c r="B72" i="12" s="1"/>
  <c r="R234" i="3"/>
  <c r="B228" i="3"/>
  <c r="K36" i="13"/>
  <c r="K46" i="13"/>
  <c r="C225" i="3"/>
  <c r="I234" i="3"/>
  <c r="J195" i="3"/>
  <c r="B43" i="3"/>
  <c r="B53" i="12" l="1"/>
  <c r="B17" i="12"/>
  <c r="B67" i="12" s="1"/>
  <c r="K56" i="13"/>
  <c r="B49" i="12"/>
  <c r="J52" i="13"/>
  <c r="J21" i="13"/>
  <c r="B51" i="12"/>
  <c r="B47" i="12"/>
  <c r="B37" i="12"/>
  <c r="B52" i="12"/>
  <c r="B48" i="12"/>
  <c r="S234" i="3"/>
  <c r="B59" i="13"/>
  <c r="B21" i="13"/>
  <c r="S52" i="13"/>
  <c r="S21" i="13"/>
  <c r="B50" i="12"/>
  <c r="B55" i="12"/>
  <c r="I103" i="11"/>
  <c r="B56" i="13"/>
  <c r="B51" i="13"/>
  <c r="B41" i="13"/>
  <c r="B53" i="13"/>
  <c r="B57" i="13"/>
  <c r="B58" i="13"/>
  <c r="B54" i="13"/>
  <c r="B55" i="13"/>
  <c r="B195" i="3"/>
  <c r="K51" i="13"/>
  <c r="K41" i="13"/>
  <c r="K57" i="13"/>
  <c r="K53" i="13"/>
  <c r="K54" i="13"/>
  <c r="K58" i="13"/>
  <c r="K55" i="13"/>
  <c r="K52" i="13"/>
  <c r="K59" i="13"/>
  <c r="I102" i="11"/>
  <c r="J225" i="3"/>
  <c r="S17" i="12"/>
  <c r="S67" i="12" s="1"/>
  <c r="S47" i="12"/>
  <c r="S37" i="12"/>
  <c r="S53" i="12"/>
  <c r="S49" i="12"/>
  <c r="S50" i="12"/>
  <c r="S54" i="12"/>
  <c r="S51" i="12"/>
  <c r="S52" i="12"/>
  <c r="S55" i="12"/>
  <c r="B204" i="3"/>
  <c r="H48" i="11"/>
  <c r="S51" i="13"/>
  <c r="S41" i="13"/>
  <c r="S57" i="13"/>
  <c r="S53" i="13"/>
  <c r="S54" i="13"/>
  <c r="S58" i="13"/>
  <c r="S55" i="13"/>
  <c r="S59" i="13"/>
  <c r="S56" i="13"/>
  <c r="J53" i="13"/>
  <c r="J51" i="13"/>
  <c r="J41" i="13"/>
  <c r="J57" i="13"/>
  <c r="J54" i="13"/>
  <c r="J58" i="13"/>
  <c r="J59" i="13"/>
  <c r="J56" i="13"/>
  <c r="J55" i="13"/>
  <c r="H58" i="11"/>
  <c r="H53" i="11" s="1"/>
  <c r="K101" i="11"/>
  <c r="B36" i="13"/>
  <c r="B46" i="13"/>
  <c r="S225" i="3"/>
  <c r="S48" i="12"/>
  <c r="B237" i="3"/>
  <c r="B82" i="3"/>
  <c r="K234" i="3"/>
  <c r="I48" i="11" l="1"/>
  <c r="I43" i="11" s="1"/>
  <c r="I95" i="11" s="1"/>
  <c r="L101" i="11"/>
  <c r="J103" i="11"/>
  <c r="B234" i="3"/>
  <c r="I58" i="11"/>
  <c r="I53" i="11" s="1"/>
  <c r="H43" i="11"/>
  <c r="H95" i="11" s="1"/>
  <c r="H100" i="11"/>
  <c r="J102" i="11"/>
  <c r="I100" i="11" l="1"/>
  <c r="J48" i="11"/>
  <c r="J100" i="11" s="1"/>
  <c r="K103" i="11"/>
  <c r="J58" i="11"/>
  <c r="J53" i="11" s="1"/>
  <c r="K102" i="11"/>
  <c r="K48" i="11"/>
  <c r="M101" i="11"/>
  <c r="J43" i="11" l="1"/>
  <c r="J95" i="11" s="1"/>
  <c r="L103" i="11"/>
  <c r="K43" i="11"/>
  <c r="K95" i="11" s="1"/>
  <c r="K100" i="11"/>
  <c r="K58" i="11"/>
  <c r="K53" i="11" s="1"/>
  <c r="L102" i="11"/>
  <c r="L48" i="11"/>
  <c r="N101" i="11"/>
  <c r="L58" i="11" l="1"/>
  <c r="L53" i="11" s="1"/>
  <c r="L100" i="11"/>
  <c r="L43" i="11"/>
  <c r="L95" i="11" s="1"/>
  <c r="O101" i="11"/>
  <c r="M102" i="11"/>
  <c r="M103" i="11"/>
  <c r="M48" i="11" l="1"/>
  <c r="M43" i="11" s="1"/>
  <c r="M95" i="11" s="1"/>
  <c r="N103" i="11"/>
  <c r="P101" i="11"/>
  <c r="N102" i="11"/>
  <c r="M58" i="11"/>
  <c r="M53" i="11" s="1"/>
  <c r="M100" i="11" l="1"/>
  <c r="Q101" i="11"/>
  <c r="O103" i="11"/>
  <c r="O102" i="11"/>
  <c r="O48" i="11"/>
  <c r="N48" i="11"/>
  <c r="P102" i="11" l="1"/>
  <c r="P103" i="11"/>
  <c r="O58" i="11"/>
  <c r="O53" i="11" s="1"/>
  <c r="N43" i="11"/>
  <c r="N95" i="11" s="1"/>
  <c r="N100" i="11"/>
  <c r="O43" i="11"/>
  <c r="O95" i="11" s="1"/>
  <c r="O100" i="11"/>
  <c r="R101" i="11"/>
  <c r="N58" i="11"/>
  <c r="N53" i="11" s="1"/>
  <c r="S101" i="11" l="1"/>
  <c r="Q102" i="11"/>
  <c r="P58" i="11"/>
  <c r="P53" i="11" s="1"/>
  <c r="Q103" i="11"/>
  <c r="P48" i="11"/>
  <c r="Q48" i="11" l="1"/>
  <c r="Q100" i="11" s="1"/>
  <c r="Q58" i="11"/>
  <c r="Q53" i="11" s="1"/>
  <c r="P43" i="11"/>
  <c r="P95" i="11" s="1"/>
  <c r="P100" i="11"/>
  <c r="R103" i="11"/>
  <c r="R102" i="11"/>
  <c r="T101" i="11"/>
  <c r="Q43" i="11" l="1"/>
  <c r="Q95" i="11" s="1"/>
  <c r="R48" i="11"/>
  <c r="U101" i="11"/>
  <c r="R58" i="11"/>
  <c r="R53" i="11" s="1"/>
  <c r="S103" i="11"/>
  <c r="R43" i="11"/>
  <c r="R95" i="11" s="1"/>
  <c r="R100" i="11"/>
  <c r="S102" i="11"/>
  <c r="S48" i="11"/>
  <c r="S43" i="11" l="1"/>
  <c r="S95" i="11" s="1"/>
  <c r="S100" i="11"/>
  <c r="V101" i="11"/>
  <c r="T102" i="11"/>
  <c r="S58" i="11"/>
  <c r="S53" i="11" s="1"/>
  <c r="T103" i="11"/>
  <c r="T48" i="11" l="1"/>
  <c r="T58" i="11"/>
  <c r="T53" i="11" s="1"/>
  <c r="T43" i="11"/>
  <c r="T95" i="11" s="1"/>
  <c r="T100" i="11"/>
  <c r="U102" i="11"/>
  <c r="U103" i="11"/>
  <c r="U48" i="11" l="1"/>
  <c r="V102" i="11"/>
  <c r="U58" i="11"/>
  <c r="U53" i="11" s="1"/>
  <c r="V103" i="11"/>
  <c r="U43" i="11"/>
  <c r="U95" i="11" s="1"/>
  <c r="U100" i="11"/>
  <c r="V58" i="11" l="1"/>
  <c r="V53" i="11" s="1"/>
  <c r="V48" i="11"/>
  <c r="V43" i="11" l="1"/>
  <c r="V95" i="11" s="1"/>
  <c r="V100" i="11"/>
  <c r="X10" i="5" l="1"/>
  <c r="X5" i="5"/>
  <c r="Y51" i="6"/>
  <c r="X51" i="6"/>
  <c r="X50" i="6"/>
  <c r="X5" i="6"/>
  <c r="Y5" i="6"/>
  <c r="Y5" i="5"/>
  <c r="X48" i="6"/>
  <c r="Y10" i="5"/>
  <c r="Y50" i="6"/>
  <c r="X10" i="6" l="1"/>
  <c r="X4" i="6" s="1"/>
  <c r="Y10" i="6"/>
  <c r="Y4" i="6" s="1"/>
  <c r="X49" i="6"/>
  <c r="Y49" i="6"/>
  <c r="Y48" i="6"/>
  <c r="W10" i="6" l="1"/>
  <c r="L10" i="6" l="1"/>
  <c r="M10" i="6" l="1"/>
  <c r="J10" i="6"/>
  <c r="N10" i="6"/>
  <c r="B10" i="6"/>
  <c r="K10" i="6"/>
  <c r="U10" i="6"/>
  <c r="C10" i="6"/>
  <c r="F10" i="6"/>
  <c r="I10" i="6"/>
  <c r="E10" i="6"/>
  <c r="H10" i="6"/>
  <c r="G10" i="6"/>
  <c r="Q10" i="6"/>
  <c r="T10" i="6"/>
  <c r="S10" i="6"/>
  <c r="R10" i="6"/>
  <c r="P10" i="6"/>
  <c r="O10" i="6"/>
  <c r="D10" i="6"/>
  <c r="V10" i="6"/>
  <c r="I49" i="6" l="1"/>
  <c r="I5" i="5"/>
  <c r="S49" i="6"/>
  <c r="I48" i="6"/>
  <c r="D49" i="6"/>
  <c r="L49" i="6"/>
  <c r="G51" i="6"/>
  <c r="O51" i="6"/>
  <c r="C10" i="5" l="1"/>
  <c r="D10" i="5"/>
  <c r="B10" i="5"/>
  <c r="I10" i="5"/>
  <c r="S10" i="5"/>
  <c r="S5" i="5"/>
  <c r="L5" i="5"/>
  <c r="D5" i="5"/>
  <c r="Q10" i="5"/>
  <c r="T5" i="5"/>
  <c r="N51" i="6"/>
  <c r="K10" i="5"/>
  <c r="J5" i="5"/>
  <c r="C5" i="5"/>
  <c r="O48" i="6"/>
  <c r="T10" i="5"/>
  <c r="L10" i="5"/>
  <c r="J49" i="6"/>
  <c r="W51" i="6"/>
  <c r="Q5" i="5"/>
  <c r="R10" i="5"/>
  <c r="B49" i="6"/>
  <c r="F51" i="6"/>
  <c r="J10" i="5"/>
  <c r="B5" i="5"/>
  <c r="K49" i="6"/>
  <c r="B48" i="6"/>
  <c r="U50" i="6"/>
  <c r="U5" i="6"/>
  <c r="D50" i="6"/>
  <c r="D5" i="6"/>
  <c r="J51" i="6"/>
  <c r="I5" i="6"/>
  <c r="I4" i="6" s="1"/>
  <c r="I50" i="6"/>
  <c r="I51" i="6"/>
  <c r="N10" i="5"/>
  <c r="F5" i="5"/>
  <c r="M49" i="6"/>
  <c r="W50" i="6"/>
  <c r="E10" i="5"/>
  <c r="Q48" i="6"/>
  <c r="C49" i="6"/>
  <c r="R49" i="6"/>
  <c r="G48" i="6"/>
  <c r="S5" i="6"/>
  <c r="S50" i="6"/>
  <c r="R50" i="6"/>
  <c r="S48" i="6"/>
  <c r="U51" i="6"/>
  <c r="B51" i="6"/>
  <c r="H5" i="5"/>
  <c r="T51" i="6"/>
  <c r="S51" i="6"/>
  <c r="H49" i="6"/>
  <c r="W49" i="6"/>
  <c r="L48" i="6"/>
  <c r="O10" i="5"/>
  <c r="V49" i="6"/>
  <c r="K48" i="6"/>
  <c r="H50" i="6"/>
  <c r="F10" i="5"/>
  <c r="P51" i="6"/>
  <c r="E49" i="6"/>
  <c r="U5" i="5"/>
  <c r="N5" i="6"/>
  <c r="N4" i="6" s="1"/>
  <c r="N50" i="6"/>
  <c r="T49" i="6"/>
  <c r="L51" i="6"/>
  <c r="V48" i="6"/>
  <c r="K51" i="6"/>
  <c r="U48" i="6"/>
  <c r="P10" i="5"/>
  <c r="G10" i="5"/>
  <c r="P48" i="6"/>
  <c r="M50" i="6"/>
  <c r="M5" i="6"/>
  <c r="W48" i="6"/>
  <c r="T50" i="6"/>
  <c r="K5" i="6"/>
  <c r="K50" i="6"/>
  <c r="O49" i="6"/>
  <c r="D48" i="6"/>
  <c r="N49" i="6"/>
  <c r="C48" i="6"/>
  <c r="H51" i="6"/>
  <c r="R48" i="6"/>
  <c r="U10" i="5"/>
  <c r="M5" i="5"/>
  <c r="E50" i="6"/>
  <c r="E5" i="6"/>
  <c r="K5" i="5"/>
  <c r="M51" i="6"/>
  <c r="L5" i="6"/>
  <c r="L50" i="6"/>
  <c r="D51" i="6"/>
  <c r="N48" i="6"/>
  <c r="C51" i="6"/>
  <c r="M48" i="6"/>
  <c r="H10" i="5"/>
  <c r="P5" i="5"/>
  <c r="Q50" i="6"/>
  <c r="W5" i="5"/>
  <c r="V5" i="5"/>
  <c r="O5" i="6"/>
  <c r="O4" i="6" s="1"/>
  <c r="O50" i="6"/>
  <c r="F5" i="6"/>
  <c r="F4" i="6" s="1"/>
  <c r="F50" i="6"/>
  <c r="V5" i="6"/>
  <c r="V50" i="6"/>
  <c r="H48" i="6"/>
  <c r="G5" i="5"/>
  <c r="E51" i="6"/>
  <c r="J5" i="6"/>
  <c r="J4" i="6" s="1"/>
  <c r="J50" i="6"/>
  <c r="R51" i="6"/>
  <c r="G49" i="6"/>
  <c r="V10" i="5"/>
  <c r="N5" i="5"/>
  <c r="U49" i="6"/>
  <c r="J48" i="6"/>
  <c r="M10" i="5"/>
  <c r="V51" i="6"/>
  <c r="R5" i="5"/>
  <c r="Q49" i="6"/>
  <c r="F48" i="6"/>
  <c r="C50" i="6"/>
  <c r="P49" i="6"/>
  <c r="E48" i="6"/>
  <c r="T48" i="6"/>
  <c r="W10" i="5"/>
  <c r="O5" i="5"/>
  <c r="Q51" i="6"/>
  <c r="F49" i="6"/>
  <c r="P50" i="6"/>
  <c r="G5" i="6"/>
  <c r="G4" i="6" s="1"/>
  <c r="G50" i="6"/>
  <c r="B5" i="6"/>
  <c r="B4" i="6" s="1"/>
  <c r="B50" i="6"/>
  <c r="E5" i="5"/>
  <c r="C5" i="6" l="1"/>
  <c r="C4" i="6" s="1"/>
  <c r="L4" i="6"/>
  <c r="T5" i="6"/>
  <c r="T4" i="6" s="1"/>
  <c r="E4" i="6"/>
  <c r="H5" i="6"/>
  <c r="H4" i="6" s="1"/>
  <c r="W5" i="6"/>
  <c r="W4" i="6" s="1"/>
  <c r="D4" i="6"/>
  <c r="P5" i="6"/>
  <c r="P4" i="6" s="1"/>
  <c r="R5" i="6"/>
  <c r="R4" i="6" s="1"/>
  <c r="U4" i="6"/>
  <c r="M4" i="6"/>
  <c r="V4" i="6"/>
  <c r="Q5" i="6"/>
  <c r="Q4" i="6" s="1"/>
  <c r="K4" i="6"/>
  <c r="S4" i="6"/>
  <c r="J11" i="7" l="1"/>
  <c r="K11" i="7" l="1"/>
  <c r="B38" i="7" l="1"/>
  <c r="H38" i="7" l="1"/>
  <c r="E38" i="7"/>
  <c r="D38" i="7"/>
  <c r="J38" i="7"/>
  <c r="F38" i="7"/>
  <c r="I38" i="7"/>
  <c r="C38" i="7"/>
  <c r="G38" i="7"/>
  <c r="I123" i="7" l="1"/>
  <c r="I204" i="7"/>
  <c r="I11" i="7"/>
  <c r="C123" i="7"/>
  <c r="C204" i="7"/>
  <c r="C11" i="7"/>
  <c r="G204" i="7"/>
  <c r="G123" i="7"/>
  <c r="G11" i="7"/>
  <c r="H123" i="7"/>
  <c r="H204" i="7"/>
  <c r="H11" i="7"/>
  <c r="B204" i="7"/>
  <c r="B11" i="7"/>
  <c r="B123" i="7"/>
  <c r="F11" i="7"/>
  <c r="F204" i="7"/>
  <c r="F123" i="7"/>
  <c r="D123" i="7"/>
  <c r="D204" i="7"/>
  <c r="D11" i="7"/>
  <c r="E204" i="7"/>
  <c r="E123" i="7"/>
  <c r="E11" i="7"/>
  <c r="K38" i="7"/>
  <c r="L11" i="7" l="1"/>
  <c r="L38" i="7"/>
  <c r="M11" i="7" l="1"/>
  <c r="N11" i="7" l="1"/>
  <c r="P32" i="7" l="1"/>
  <c r="M32" i="7"/>
  <c r="O32" i="7"/>
  <c r="Q32" i="7" l="1"/>
  <c r="N32" i="7"/>
  <c r="L32" i="7" l="1"/>
  <c r="R32" i="7"/>
  <c r="B32" i="7"/>
  <c r="S32" i="7"/>
  <c r="O5" i="7"/>
  <c r="K5" i="7" l="1"/>
  <c r="K32" i="7"/>
  <c r="M5" i="7"/>
  <c r="N5" i="7"/>
  <c r="P5" i="7"/>
  <c r="R5" i="7"/>
  <c r="L5" i="7"/>
  <c r="Q5" i="7"/>
  <c r="T32" i="7" l="1"/>
  <c r="T5" i="7" l="1"/>
  <c r="J5" i="7"/>
  <c r="S5" i="7"/>
  <c r="M38" i="7" l="1"/>
  <c r="N38" i="7" l="1"/>
  <c r="B44" i="7" l="1"/>
  <c r="B43" i="7"/>
  <c r="B51" i="7"/>
  <c r="B52" i="7"/>
  <c r="B45" i="7"/>
  <c r="B37" i="7"/>
  <c r="D32" i="7"/>
  <c r="B50" i="7"/>
  <c r="C32" i="7" l="1"/>
  <c r="F32" i="7"/>
  <c r="B41" i="7"/>
  <c r="E32" i="7"/>
  <c r="G32" i="7"/>
  <c r="H32" i="7"/>
  <c r="B36" i="7"/>
  <c r="B39" i="7"/>
  <c r="B49" i="7"/>
  <c r="B35" i="7"/>
  <c r="U32" i="7" l="1"/>
  <c r="B16" i="7"/>
  <c r="B18" i="7"/>
  <c r="B24" i="7"/>
  <c r="B114" i="4"/>
  <c r="B34" i="7"/>
  <c r="I32" i="7"/>
  <c r="B25" i="7"/>
  <c r="B23" i="7"/>
  <c r="B10" i="7"/>
  <c r="J32" i="7"/>
  <c r="V32" i="7"/>
  <c r="O38" i="7"/>
  <c r="O11" i="7" l="1"/>
  <c r="H5" i="7"/>
  <c r="C5" i="7"/>
  <c r="P11" i="7"/>
  <c r="B33" i="7"/>
  <c r="I5" i="7"/>
  <c r="B5" i="7"/>
  <c r="B124" i="7"/>
  <c r="B12" i="7"/>
  <c r="B8" i="7"/>
  <c r="F5" i="7"/>
  <c r="B128" i="4"/>
  <c r="B48" i="7"/>
  <c r="B14" i="7"/>
  <c r="D5" i="7"/>
  <c r="E5" i="7"/>
  <c r="U5" i="7"/>
  <c r="G5" i="7"/>
  <c r="C52" i="7"/>
  <c r="C39" i="7"/>
  <c r="C50" i="7"/>
  <c r="C37" i="7"/>
  <c r="C51" i="7"/>
  <c r="P38" i="7"/>
  <c r="C43" i="7"/>
  <c r="C45" i="7"/>
  <c r="C25" i="7" l="1"/>
  <c r="X32" i="7"/>
  <c r="C16" i="7"/>
  <c r="B42" i="7"/>
  <c r="B121" i="4"/>
  <c r="W32" i="7"/>
  <c r="C10" i="7"/>
  <c r="C41" i="7"/>
  <c r="C18" i="7"/>
  <c r="C23" i="7"/>
  <c r="B47" i="7"/>
  <c r="C24" i="7"/>
  <c r="V5" i="7"/>
  <c r="C124" i="7" l="1"/>
  <c r="C12" i="7"/>
  <c r="B40" i="7"/>
  <c r="B112" i="4"/>
  <c r="Y32" i="7"/>
  <c r="C14" i="7"/>
  <c r="X5" i="7"/>
  <c r="W5" i="7"/>
  <c r="D50" i="7"/>
  <c r="D39" i="7"/>
  <c r="D52" i="7"/>
  <c r="D37" i="7"/>
  <c r="D51" i="7"/>
  <c r="Q38" i="7"/>
  <c r="D43" i="7"/>
  <c r="D45" i="7"/>
  <c r="D23" i="7" l="1"/>
  <c r="D16" i="7"/>
  <c r="D18" i="7"/>
  <c r="Q11" i="7"/>
  <c r="D25" i="7"/>
  <c r="D10" i="7"/>
  <c r="B31" i="7"/>
  <c r="D24" i="7"/>
  <c r="D41" i="7"/>
  <c r="D12" i="7" l="1"/>
  <c r="D124" i="7"/>
  <c r="Y5" i="7"/>
  <c r="D14" i="7"/>
  <c r="E37" i="7"/>
  <c r="E39" i="7"/>
  <c r="E52" i="7"/>
  <c r="E51" i="7"/>
  <c r="E50" i="7"/>
  <c r="E45" i="7"/>
  <c r="E43" i="7"/>
  <c r="E12" i="7" l="1"/>
  <c r="E24" i="7"/>
  <c r="E18" i="7"/>
  <c r="E23" i="7"/>
  <c r="E16" i="7"/>
  <c r="E10" i="7"/>
  <c r="E25" i="7"/>
  <c r="R38" i="7"/>
  <c r="E41" i="7" l="1"/>
  <c r="R11" i="7"/>
  <c r="F37" i="7"/>
  <c r="F50" i="7"/>
  <c r="F51" i="7"/>
  <c r="F39" i="7"/>
  <c r="F52" i="7"/>
  <c r="F45" i="7"/>
  <c r="F43" i="7"/>
  <c r="F9" i="7" l="1"/>
  <c r="F18" i="7"/>
  <c r="F12" i="7"/>
  <c r="F23" i="7"/>
  <c r="F10" i="7"/>
  <c r="F24" i="7"/>
  <c r="E14" i="7"/>
  <c r="E9" i="7" l="1"/>
  <c r="F25" i="7"/>
  <c r="F41" i="7"/>
  <c r="F16" i="7"/>
  <c r="G39" i="7"/>
  <c r="G51" i="7"/>
  <c r="G37" i="7"/>
  <c r="G52" i="7"/>
  <c r="S38" i="7"/>
  <c r="G43" i="7"/>
  <c r="G45" i="7"/>
  <c r="D9" i="7" l="1"/>
  <c r="F8" i="7"/>
  <c r="F14" i="7"/>
  <c r="E8" i="7"/>
  <c r="G12" i="7"/>
  <c r="G24" i="7"/>
  <c r="G17" i="7"/>
  <c r="S11" i="7"/>
  <c r="G16" i="7"/>
  <c r="F17" i="7"/>
  <c r="G18" i="7"/>
  <c r="G10" i="7"/>
  <c r="G25" i="7"/>
  <c r="G50" i="7"/>
  <c r="G23" i="7" l="1"/>
  <c r="E17" i="7"/>
  <c r="E87" i="4"/>
  <c r="C9" i="7"/>
  <c r="G9" i="7"/>
  <c r="D8" i="7"/>
  <c r="H52" i="7"/>
  <c r="H37" i="7"/>
  <c r="H51" i="7"/>
  <c r="H39" i="7"/>
  <c r="H45" i="7"/>
  <c r="T38" i="7"/>
  <c r="C8" i="7" l="1"/>
  <c r="H12" i="7"/>
  <c r="G8" i="7"/>
  <c r="H18" i="7"/>
  <c r="H10" i="7"/>
  <c r="H25" i="7"/>
  <c r="F87" i="4"/>
  <c r="E60" i="4"/>
  <c r="E7" i="7"/>
  <c r="D87" i="4"/>
  <c r="F94" i="4"/>
  <c r="T11" i="7"/>
  <c r="B9" i="7"/>
  <c r="D17" i="7"/>
  <c r="G41" i="7"/>
  <c r="H17" i="7"/>
  <c r="H24" i="7"/>
  <c r="C36" i="7"/>
  <c r="H50" i="7"/>
  <c r="H43" i="7"/>
  <c r="C35" i="7"/>
  <c r="F85" i="4" l="1"/>
  <c r="J24" i="7"/>
  <c r="E6" i="7"/>
  <c r="E94" i="4"/>
  <c r="E85" i="4" s="1"/>
  <c r="F7" i="7"/>
  <c r="F60" i="4"/>
  <c r="B87" i="4"/>
  <c r="H9" i="7"/>
  <c r="J18" i="7"/>
  <c r="F15" i="7"/>
  <c r="F67" i="4"/>
  <c r="H23" i="7"/>
  <c r="G14" i="7"/>
  <c r="D7" i="7"/>
  <c r="D60" i="4"/>
  <c r="C87" i="4"/>
  <c r="C17" i="7"/>
  <c r="H16" i="7"/>
  <c r="I52" i="7"/>
  <c r="J51" i="7"/>
  <c r="I51" i="7"/>
  <c r="I39" i="7"/>
  <c r="D35" i="7"/>
  <c r="I45" i="7"/>
  <c r="H35" i="7"/>
  <c r="H8" i="7" l="1"/>
  <c r="D94" i="4"/>
  <c r="D85" i="4" s="1"/>
  <c r="B17" i="7"/>
  <c r="H41" i="7"/>
  <c r="I25" i="7"/>
  <c r="I12" i="7"/>
  <c r="B60" i="4"/>
  <c r="B7" i="7"/>
  <c r="G94" i="4"/>
  <c r="K18" i="7"/>
  <c r="I17" i="7"/>
  <c r="C7" i="7"/>
  <c r="C60" i="4"/>
  <c r="E15" i="7"/>
  <c r="E67" i="4"/>
  <c r="J16" i="7"/>
  <c r="F13" i="7"/>
  <c r="F6" i="7"/>
  <c r="F58" i="4"/>
  <c r="I24" i="7"/>
  <c r="C34" i="7"/>
  <c r="C114" i="4"/>
  <c r="G87" i="4"/>
  <c r="D6" i="7"/>
  <c r="C44" i="7"/>
  <c r="D36" i="7"/>
  <c r="I37" i="7"/>
  <c r="I50" i="7"/>
  <c r="J45" i="7"/>
  <c r="I43" i="7"/>
  <c r="C33" i="7" l="1"/>
  <c r="H94" i="4"/>
  <c r="H15" i="7"/>
  <c r="I18" i="7"/>
  <c r="C6" i="7"/>
  <c r="C94" i="4"/>
  <c r="C85" i="4" s="1"/>
  <c r="I23" i="7"/>
  <c r="B6" i="7"/>
  <c r="D15" i="7"/>
  <c r="D67" i="4"/>
  <c r="I16" i="7"/>
  <c r="F4" i="7"/>
  <c r="E13" i="7"/>
  <c r="E58" i="4"/>
  <c r="H87" i="4"/>
  <c r="G7" i="7"/>
  <c r="G60" i="4"/>
  <c r="H14" i="7"/>
  <c r="U11" i="7"/>
  <c r="I10" i="7"/>
  <c r="I9" i="7"/>
  <c r="K24" i="7"/>
  <c r="G85" i="4"/>
  <c r="G15" i="7"/>
  <c r="G67" i="4"/>
  <c r="D44" i="7"/>
  <c r="J39" i="7"/>
  <c r="K51" i="7"/>
  <c r="K45" i="7"/>
  <c r="J43" i="7"/>
  <c r="U38" i="7"/>
  <c r="L45" i="7"/>
  <c r="H67" i="4" l="1"/>
  <c r="E4" i="7"/>
  <c r="J17" i="7"/>
  <c r="I8" i="7"/>
  <c r="H13" i="7"/>
  <c r="D34" i="7"/>
  <c r="D114" i="4"/>
  <c r="D33" i="7" s="1"/>
  <c r="G6" i="7"/>
  <c r="G58" i="4"/>
  <c r="B94" i="4"/>
  <c r="B85" i="4" s="1"/>
  <c r="K16" i="7"/>
  <c r="J12" i="7"/>
  <c r="I41" i="7"/>
  <c r="G13" i="7"/>
  <c r="H85" i="4"/>
  <c r="M10" i="7"/>
  <c r="H7" i="7"/>
  <c r="H60" i="4"/>
  <c r="D13" i="7"/>
  <c r="D58" i="4"/>
  <c r="C15" i="7"/>
  <c r="C67" i="4"/>
  <c r="E36" i="7"/>
  <c r="J52" i="7"/>
  <c r="J37" i="7"/>
  <c r="M45" i="7"/>
  <c r="K43" i="7"/>
  <c r="V11" i="7" l="1"/>
  <c r="F22" i="7"/>
  <c r="B15" i="7"/>
  <c r="B67" i="4"/>
  <c r="C22" i="7"/>
  <c r="L18" i="7"/>
  <c r="H6" i="7"/>
  <c r="H58" i="4"/>
  <c r="G22" i="7"/>
  <c r="L24" i="7"/>
  <c r="G4" i="7"/>
  <c r="B22" i="7"/>
  <c r="H22" i="7"/>
  <c r="J10" i="7"/>
  <c r="E22" i="7"/>
  <c r="J9" i="7"/>
  <c r="C13" i="7"/>
  <c r="C58" i="4"/>
  <c r="D22" i="7"/>
  <c r="I14" i="7"/>
  <c r="C42" i="7"/>
  <c r="C121" i="4"/>
  <c r="I22" i="7"/>
  <c r="J25" i="7"/>
  <c r="D4" i="7"/>
  <c r="E44" i="7"/>
  <c r="K39" i="7"/>
  <c r="J50" i="7"/>
  <c r="V38" i="7"/>
  <c r="C49" i="7"/>
  <c r="E35" i="7"/>
  <c r="L43" i="7"/>
  <c r="L51" i="7"/>
  <c r="I87" i="4" l="1"/>
  <c r="M18" i="7"/>
  <c r="J23" i="7"/>
  <c r="G101" i="4"/>
  <c r="I94" i="4"/>
  <c r="K17" i="7"/>
  <c r="L16" i="7"/>
  <c r="C4" i="7"/>
  <c r="F101" i="4"/>
  <c r="J8" i="7"/>
  <c r="N10" i="7"/>
  <c r="C40" i="7"/>
  <c r="C112" i="4"/>
  <c r="B13" i="7"/>
  <c r="B58" i="4"/>
  <c r="C101" i="4"/>
  <c r="K12" i="7"/>
  <c r="H4" i="7"/>
  <c r="D101" i="4"/>
  <c r="B101" i="4"/>
  <c r="J41" i="7"/>
  <c r="E101" i="4"/>
  <c r="H101" i="4"/>
  <c r="I101" i="4"/>
  <c r="N45" i="7"/>
  <c r="F36" i="7"/>
  <c r="L39" i="7"/>
  <c r="K37" i="7"/>
  <c r="N51" i="7"/>
  <c r="M43" i="7"/>
  <c r="M51" i="7"/>
  <c r="O10" i="7" l="1"/>
  <c r="J14" i="7"/>
  <c r="C31" i="7"/>
  <c r="G21" i="7"/>
  <c r="G74" i="4"/>
  <c r="C48" i="7"/>
  <c r="C128" i="4"/>
  <c r="I21" i="7"/>
  <c r="I74" i="4"/>
  <c r="B74" i="4"/>
  <c r="B21" i="7"/>
  <c r="M16" i="7"/>
  <c r="R12" i="7"/>
  <c r="J22" i="7"/>
  <c r="O18" i="7"/>
  <c r="H21" i="7"/>
  <c r="H74" i="4"/>
  <c r="D74" i="4"/>
  <c r="D21" i="7"/>
  <c r="N24" i="7"/>
  <c r="C74" i="4"/>
  <c r="C21" i="7"/>
  <c r="D42" i="7"/>
  <c r="D121" i="4"/>
  <c r="M24" i="7"/>
  <c r="E74" i="4"/>
  <c r="E21" i="7"/>
  <c r="B4" i="7"/>
  <c r="I15" i="7"/>
  <c r="I67" i="4"/>
  <c r="I7" i="7"/>
  <c r="I60" i="4"/>
  <c r="I6" i="7" s="1"/>
  <c r="K10" i="7"/>
  <c r="L12" i="7"/>
  <c r="K9" i="7"/>
  <c r="F21" i="7"/>
  <c r="F74" i="4"/>
  <c r="I85" i="4"/>
  <c r="F44" i="7"/>
  <c r="L37" i="7"/>
  <c r="K50" i="7"/>
  <c r="K52" i="7"/>
  <c r="O51" i="7"/>
  <c r="O45" i="7"/>
  <c r="F35" i="7"/>
  <c r="D49" i="7"/>
  <c r="J87" i="4" l="1"/>
  <c r="O24" i="7"/>
  <c r="K8" i="7"/>
  <c r="K23" i="7"/>
  <c r="K41" i="7"/>
  <c r="I58" i="4"/>
  <c r="I13" i="7"/>
  <c r="B20" i="7"/>
  <c r="J94" i="4"/>
  <c r="J85" i="4" s="1"/>
  <c r="N18" i="7"/>
  <c r="D112" i="4"/>
  <c r="D40" i="7"/>
  <c r="I20" i="7"/>
  <c r="W11" i="7"/>
  <c r="L10" i="7"/>
  <c r="D20" i="7"/>
  <c r="J101" i="4"/>
  <c r="H20" i="7"/>
  <c r="C47" i="7"/>
  <c r="E34" i="7"/>
  <c r="E114" i="4"/>
  <c r="L17" i="7"/>
  <c r="C20" i="7"/>
  <c r="R10" i="7"/>
  <c r="F20" i="7"/>
  <c r="G20" i="7"/>
  <c r="K25" i="7"/>
  <c r="E20" i="7"/>
  <c r="M37" i="7"/>
  <c r="G36" i="7"/>
  <c r="P51" i="7"/>
  <c r="W38" i="7"/>
  <c r="K87" i="4" l="1"/>
  <c r="L8" i="7"/>
  <c r="N43" i="7"/>
  <c r="P10" i="7"/>
  <c r="E33" i="7"/>
  <c r="S12" i="7"/>
  <c r="D31" i="7"/>
  <c r="P24" i="7"/>
  <c r="K14" i="7"/>
  <c r="D48" i="7"/>
  <c r="D128" i="4"/>
  <c r="E42" i="7"/>
  <c r="E121" i="4"/>
  <c r="E40" i="7" s="1"/>
  <c r="M12" i="7"/>
  <c r="K22" i="7"/>
  <c r="I4" i="7"/>
  <c r="J74" i="4"/>
  <c r="J21" i="7"/>
  <c r="J15" i="7"/>
  <c r="J67" i="4"/>
  <c r="J60" i="4"/>
  <c r="J7" i="7"/>
  <c r="L9" i="7"/>
  <c r="G44" i="7"/>
  <c r="L52" i="7"/>
  <c r="L50" i="7"/>
  <c r="M39" i="7"/>
  <c r="E49" i="7"/>
  <c r="Q51" i="7"/>
  <c r="P45" i="7"/>
  <c r="G35" i="7"/>
  <c r="O43" i="7"/>
  <c r="Q24" i="7" l="1"/>
  <c r="X11" i="7"/>
  <c r="R25" i="7"/>
  <c r="L25" i="7"/>
  <c r="L41" i="7"/>
  <c r="L23" i="7"/>
  <c r="J20" i="7"/>
  <c r="D47" i="7"/>
  <c r="K94" i="4"/>
  <c r="K85" i="4" s="1"/>
  <c r="N16" i="7"/>
  <c r="S10" i="7"/>
  <c r="K101" i="4"/>
  <c r="M17" i="7"/>
  <c r="P18" i="7"/>
  <c r="T24" i="7"/>
  <c r="J6" i="7"/>
  <c r="J58" i="4"/>
  <c r="E112" i="4"/>
  <c r="K7" i="7"/>
  <c r="K60" i="4"/>
  <c r="F34" i="7"/>
  <c r="F114" i="4"/>
  <c r="Q25" i="7"/>
  <c r="J13" i="7"/>
  <c r="N37" i="7"/>
  <c r="H36" i="7"/>
  <c r="X38" i="7"/>
  <c r="Q10" i="7" l="1"/>
  <c r="T12" i="7"/>
  <c r="K6" i="7"/>
  <c r="L14" i="7"/>
  <c r="L94" i="4"/>
  <c r="L15" i="7"/>
  <c r="T10" i="7"/>
  <c r="E31" i="7"/>
  <c r="O16" i="7"/>
  <c r="J4" i="7"/>
  <c r="K15" i="7"/>
  <c r="K67" i="4"/>
  <c r="K13" i="7" s="1"/>
  <c r="L22" i="7"/>
  <c r="N12" i="7"/>
  <c r="K74" i="4"/>
  <c r="K21" i="7"/>
  <c r="F42" i="7"/>
  <c r="F121" i="4"/>
  <c r="F40" i="7" s="1"/>
  <c r="E48" i="7"/>
  <c r="E128" i="4"/>
  <c r="F33" i="7"/>
  <c r="H44" i="7"/>
  <c r="M50" i="7"/>
  <c r="O37" i="7"/>
  <c r="N39" i="7"/>
  <c r="F49" i="7"/>
  <c r="Q45" i="7"/>
  <c r="I35" i="7"/>
  <c r="K58" i="4" l="1"/>
  <c r="K4" i="7" s="1"/>
  <c r="F112" i="4"/>
  <c r="L67" i="4"/>
  <c r="L13" i="7" s="1"/>
  <c r="M9" i="7"/>
  <c r="F31" i="7"/>
  <c r="L101" i="4"/>
  <c r="G34" i="7"/>
  <c r="G114" i="4"/>
  <c r="E47" i="7"/>
  <c r="H114" i="4"/>
  <c r="H34" i="7"/>
  <c r="S25" i="7"/>
  <c r="L87" i="4"/>
  <c r="L85" i="4" s="1"/>
  <c r="U24" i="7"/>
  <c r="N17" i="7"/>
  <c r="Q18" i="7"/>
  <c r="R24" i="7"/>
  <c r="M23" i="7"/>
  <c r="K20" i="7"/>
  <c r="I36" i="7"/>
  <c r="M52" i="7"/>
  <c r="Y38" i="7"/>
  <c r="R51" i="7"/>
  <c r="P43" i="7"/>
  <c r="M8" i="7" l="1"/>
  <c r="R23" i="7"/>
  <c r="U12" i="7"/>
  <c r="F128" i="4"/>
  <c r="F48" i="7"/>
  <c r="Y11" i="7"/>
  <c r="U10" i="7"/>
  <c r="L74" i="4"/>
  <c r="L21" i="7"/>
  <c r="M25" i="7"/>
  <c r="H33" i="7"/>
  <c r="M41" i="7"/>
  <c r="T25" i="7"/>
  <c r="G42" i="7"/>
  <c r="G121" i="4"/>
  <c r="G40" i="7" s="1"/>
  <c r="O12" i="7"/>
  <c r="P16" i="7"/>
  <c r="L60" i="4"/>
  <c r="L7" i="7"/>
  <c r="G33" i="7"/>
  <c r="P37" i="7"/>
  <c r="N52" i="7"/>
  <c r="O39" i="7"/>
  <c r="I44" i="7"/>
  <c r="S51" i="7"/>
  <c r="J35" i="7"/>
  <c r="G49" i="7"/>
  <c r="T51" i="7"/>
  <c r="R45" i="7"/>
  <c r="G112" i="4" l="1"/>
  <c r="N25" i="7"/>
  <c r="V24" i="7"/>
  <c r="M87" i="4"/>
  <c r="O17" i="7"/>
  <c r="L6" i="7"/>
  <c r="L58" i="4"/>
  <c r="F47" i="7"/>
  <c r="N9" i="7"/>
  <c r="W12" i="7"/>
  <c r="N23" i="7"/>
  <c r="L20" i="7"/>
  <c r="I34" i="7"/>
  <c r="I114" i="4"/>
  <c r="R18" i="7"/>
  <c r="V25" i="7"/>
  <c r="M22" i="7"/>
  <c r="R22" i="7"/>
  <c r="G31" i="7"/>
  <c r="M94" i="4"/>
  <c r="M15" i="7"/>
  <c r="S24" i="7"/>
  <c r="M14" i="7"/>
  <c r="P39" i="7"/>
  <c r="N50" i="7"/>
  <c r="J36" i="7"/>
  <c r="U51" i="7"/>
  <c r="S45" i="7"/>
  <c r="M67" i="4" l="1"/>
  <c r="M13" i="7" s="1"/>
  <c r="H42" i="7"/>
  <c r="H121" i="4"/>
  <c r="R101" i="4"/>
  <c r="S18" i="7"/>
  <c r="W24" i="7"/>
  <c r="V12" i="7"/>
  <c r="S23" i="7"/>
  <c r="P12" i="7"/>
  <c r="I33" i="7"/>
  <c r="M85" i="4"/>
  <c r="N22" i="7"/>
  <c r="M7" i="7"/>
  <c r="M60" i="4"/>
  <c r="S22" i="7"/>
  <c r="M101" i="4"/>
  <c r="G128" i="4"/>
  <c r="G48" i="7"/>
  <c r="N8" i="7"/>
  <c r="U25" i="7"/>
  <c r="L4" i="7"/>
  <c r="W25" i="7"/>
  <c r="V10" i="7"/>
  <c r="J44" i="7"/>
  <c r="Q37" i="7"/>
  <c r="Q43" i="7"/>
  <c r="H49" i="7"/>
  <c r="K35" i="7"/>
  <c r="O9" i="7" l="1"/>
  <c r="O23" i="7"/>
  <c r="P17" i="7"/>
  <c r="J114" i="4"/>
  <c r="J34" i="7"/>
  <c r="Q16" i="7"/>
  <c r="N41" i="7"/>
  <c r="N87" i="4"/>
  <c r="M6" i="7"/>
  <c r="M58" i="4"/>
  <c r="R21" i="7"/>
  <c r="R74" i="4"/>
  <c r="N101" i="4"/>
  <c r="G47" i="7"/>
  <c r="H40" i="7"/>
  <c r="H112" i="4"/>
  <c r="M74" i="4"/>
  <c r="M21" i="7"/>
  <c r="V51" i="7"/>
  <c r="Q39" i="7"/>
  <c r="O52" i="7"/>
  <c r="K36" i="7"/>
  <c r="O50" i="7"/>
  <c r="T45" i="7"/>
  <c r="S101" i="4" l="1"/>
  <c r="M20" i="7"/>
  <c r="J33" i="7"/>
  <c r="U18" i="7"/>
  <c r="H31" i="7"/>
  <c r="X12" i="7"/>
  <c r="N15" i="7"/>
  <c r="N94" i="4"/>
  <c r="N85" i="4" s="1"/>
  <c r="O8" i="7"/>
  <c r="W10" i="7"/>
  <c r="X24" i="7"/>
  <c r="O25" i="7"/>
  <c r="R20" i="7"/>
  <c r="V18" i="7"/>
  <c r="M4" i="7"/>
  <c r="N14" i="7"/>
  <c r="H128" i="4"/>
  <c r="H48" i="7"/>
  <c r="T23" i="7"/>
  <c r="I42" i="7"/>
  <c r="I121" i="4"/>
  <c r="Q12" i="7"/>
  <c r="N74" i="4"/>
  <c r="N21" i="7"/>
  <c r="T18" i="7"/>
  <c r="N60" i="4"/>
  <c r="N7" i="7"/>
  <c r="R37" i="7"/>
  <c r="K44" i="7"/>
  <c r="R39" i="7"/>
  <c r="L35" i="7"/>
  <c r="I49" i="7"/>
  <c r="U45" i="7"/>
  <c r="N67" i="4" l="1"/>
  <c r="N13" i="7" s="1"/>
  <c r="T22" i="7"/>
  <c r="Q17" i="7"/>
  <c r="U23" i="7"/>
  <c r="K114" i="4"/>
  <c r="K34" i="7"/>
  <c r="O87" i="4"/>
  <c r="W18" i="7"/>
  <c r="Q176" i="4"/>
  <c r="N6" i="7"/>
  <c r="N58" i="4"/>
  <c r="I40" i="7"/>
  <c r="I112" i="4"/>
  <c r="O41" i="7"/>
  <c r="O22" i="7"/>
  <c r="P23" i="7"/>
  <c r="X25" i="7"/>
  <c r="Y12" i="7"/>
  <c r="N20" i="7"/>
  <c r="H47" i="7"/>
  <c r="S74" i="4"/>
  <c r="S21" i="7"/>
  <c r="P50" i="7"/>
  <c r="L36" i="7"/>
  <c r="R43" i="7"/>
  <c r="R16" i="7" l="1"/>
  <c r="K33" i="7"/>
  <c r="O14" i="7"/>
  <c r="X18" i="7"/>
  <c r="P25" i="7"/>
  <c r="T101" i="4"/>
  <c r="I31" i="7"/>
  <c r="I48" i="7"/>
  <c r="I128" i="4"/>
  <c r="S20" i="7"/>
  <c r="O101" i="4"/>
  <c r="N4" i="7"/>
  <c r="O7" i="7"/>
  <c r="O60" i="4"/>
  <c r="O6" i="7" s="1"/>
  <c r="J42" i="7"/>
  <c r="J121" i="4"/>
  <c r="Y24" i="7"/>
  <c r="S37" i="7"/>
  <c r="L44" i="7"/>
  <c r="W51" i="7"/>
  <c r="P52" i="7"/>
  <c r="Q52" i="7"/>
  <c r="S39" i="7"/>
  <c r="J49" i="7"/>
  <c r="M35" i="7"/>
  <c r="V45" i="7"/>
  <c r="R17" i="7" l="1"/>
  <c r="O21" i="7"/>
  <c r="O74" i="4"/>
  <c r="V23" i="7"/>
  <c r="X10" i="7"/>
  <c r="J40" i="7"/>
  <c r="J112" i="4"/>
  <c r="T74" i="4"/>
  <c r="T21" i="7"/>
  <c r="L34" i="7"/>
  <c r="L114" i="4"/>
  <c r="O94" i="4"/>
  <c r="O85" i="4" s="1"/>
  <c r="Y18" i="7"/>
  <c r="P22" i="7"/>
  <c r="I47" i="7"/>
  <c r="Y25" i="7"/>
  <c r="M36" i="7"/>
  <c r="T39" i="7"/>
  <c r="Q50" i="7"/>
  <c r="R52" i="7"/>
  <c r="O15" i="7" l="1"/>
  <c r="O67" i="4"/>
  <c r="L33" i="7"/>
  <c r="Q23" i="7"/>
  <c r="P41" i="7"/>
  <c r="P101" i="4"/>
  <c r="W23" i="7"/>
  <c r="T20" i="7"/>
  <c r="O20" i="7"/>
  <c r="Y10" i="7"/>
  <c r="J31" i="7"/>
  <c r="J128" i="4"/>
  <c r="J48" i="7"/>
  <c r="K42" i="7"/>
  <c r="K121" i="4"/>
  <c r="R50" i="7"/>
  <c r="S52" i="7"/>
  <c r="X51" i="7"/>
  <c r="M44" i="7"/>
  <c r="T37" i="7"/>
  <c r="N35" i="7"/>
  <c r="W45" i="7"/>
  <c r="K49" i="7"/>
  <c r="S43" i="7"/>
  <c r="J47" i="7" l="1"/>
  <c r="Q22" i="7"/>
  <c r="P14" i="7"/>
  <c r="S16" i="7"/>
  <c r="P21" i="7"/>
  <c r="P74" i="4"/>
  <c r="M114" i="4"/>
  <c r="M33" i="7" s="1"/>
  <c r="M34" i="7"/>
  <c r="K40" i="7"/>
  <c r="K112" i="4"/>
  <c r="O58" i="4"/>
  <c r="O13" i="7"/>
  <c r="S17" i="7"/>
  <c r="U39" i="7"/>
  <c r="N36" i="7"/>
  <c r="X45" i="7"/>
  <c r="K31" i="7" l="1"/>
  <c r="Q41" i="7"/>
  <c r="L42" i="7"/>
  <c r="L121" i="4"/>
  <c r="P20" i="7"/>
  <c r="P94" i="4"/>
  <c r="K48" i="7"/>
  <c r="K128" i="4"/>
  <c r="Q101" i="4"/>
  <c r="X23" i="7"/>
  <c r="O4" i="7"/>
  <c r="U37" i="7"/>
  <c r="T52" i="7"/>
  <c r="Y51" i="7"/>
  <c r="S50" i="7"/>
  <c r="N44" i="7"/>
  <c r="L49" i="7"/>
  <c r="T17" i="7" l="1"/>
  <c r="Q21" i="7"/>
  <c r="Q74" i="4"/>
  <c r="L40" i="7"/>
  <c r="L112" i="4"/>
  <c r="K47" i="7"/>
  <c r="N34" i="7"/>
  <c r="N114" i="4"/>
  <c r="Q14" i="7"/>
  <c r="P15" i="7"/>
  <c r="P67" i="4"/>
  <c r="U52" i="7"/>
  <c r="O36" i="7"/>
  <c r="V39" i="7"/>
  <c r="T43" i="7"/>
  <c r="Y45" i="7"/>
  <c r="L48" i="7" l="1"/>
  <c r="L128" i="4"/>
  <c r="Y23" i="7"/>
  <c r="P13" i="7"/>
  <c r="L31" i="7"/>
  <c r="M42" i="7"/>
  <c r="M121" i="4"/>
  <c r="T16" i="7"/>
  <c r="Q20" i="7"/>
  <c r="U17" i="7"/>
  <c r="N33" i="7"/>
  <c r="R41" i="7"/>
  <c r="Q94" i="4"/>
  <c r="T50" i="7"/>
  <c r="O44" i="7"/>
  <c r="V37" i="7"/>
  <c r="M49" i="7"/>
  <c r="R14" i="7" l="1"/>
  <c r="X22" i="7"/>
  <c r="M112" i="4"/>
  <c r="M40" i="7"/>
  <c r="Q15" i="7"/>
  <c r="Q67" i="4"/>
  <c r="Q13" i="7" s="1"/>
  <c r="L47" i="7"/>
  <c r="V52" i="7"/>
  <c r="U50" i="7"/>
  <c r="W39" i="7"/>
  <c r="W37" i="7"/>
  <c r="U43" i="7"/>
  <c r="M48" i="7" l="1"/>
  <c r="M128" i="4"/>
  <c r="M31" i="7"/>
  <c r="R94" i="4"/>
  <c r="V17" i="7"/>
  <c r="U16" i="7"/>
  <c r="S41" i="7"/>
  <c r="X101" i="4"/>
  <c r="N42" i="7"/>
  <c r="N121" i="4"/>
  <c r="W52" i="7"/>
  <c r="P36" i="7"/>
  <c r="P44" i="7"/>
  <c r="N49" i="7"/>
  <c r="P9" i="7" l="1"/>
  <c r="Y22" i="7"/>
  <c r="N40" i="7"/>
  <c r="N112" i="4"/>
  <c r="S14" i="7"/>
  <c r="X74" i="4"/>
  <c r="X21" i="7"/>
  <c r="R15" i="7"/>
  <c r="R67" i="4"/>
  <c r="M47" i="7"/>
  <c r="Y101" i="4"/>
  <c r="X39" i="7"/>
  <c r="V50" i="7"/>
  <c r="X37" i="7"/>
  <c r="P35" i="7"/>
  <c r="W17" i="7" l="1"/>
  <c r="N48" i="7"/>
  <c r="N128" i="4"/>
  <c r="T41" i="7"/>
  <c r="R13" i="7"/>
  <c r="N31" i="7"/>
  <c r="S94" i="4"/>
  <c r="P8" i="7"/>
  <c r="Y21" i="7"/>
  <c r="Y74" i="4"/>
  <c r="X20" i="7"/>
  <c r="O42" i="7"/>
  <c r="O121" i="4"/>
  <c r="Q44" i="7"/>
  <c r="X52" i="7"/>
  <c r="O49" i="7"/>
  <c r="V43" i="7"/>
  <c r="O35" i="7"/>
  <c r="T14" i="7" l="1"/>
  <c r="O40" i="7"/>
  <c r="S15" i="7"/>
  <c r="S67" i="4"/>
  <c r="N47" i="7"/>
  <c r="U9" i="7"/>
  <c r="V16" i="7"/>
  <c r="Y20" i="7"/>
  <c r="P87" i="4"/>
  <c r="P85" i="4" s="1"/>
  <c r="Y39" i="7"/>
  <c r="Y37" i="7"/>
  <c r="R44" i="7"/>
  <c r="W50" i="7"/>
  <c r="U8" i="7" l="1"/>
  <c r="S13" i="7"/>
  <c r="U22" i="7"/>
  <c r="Q9" i="7"/>
  <c r="T94" i="4"/>
  <c r="P42" i="7"/>
  <c r="P121" i="4"/>
  <c r="P40" i="7" s="1"/>
  <c r="P34" i="7"/>
  <c r="P114" i="4"/>
  <c r="O48" i="7"/>
  <c r="O128" i="4"/>
  <c r="P7" i="7"/>
  <c r="P60" i="4"/>
  <c r="Y52" i="7"/>
  <c r="Q36" i="7"/>
  <c r="X50" i="7"/>
  <c r="P49" i="7"/>
  <c r="W43" i="7"/>
  <c r="O114" i="4" l="1"/>
  <c r="O34" i="7"/>
  <c r="U41" i="7"/>
  <c r="W16" i="7"/>
  <c r="P33" i="7"/>
  <c r="P112" i="4"/>
  <c r="U101" i="4"/>
  <c r="U87" i="4"/>
  <c r="X17" i="7"/>
  <c r="P6" i="7"/>
  <c r="P58" i="4"/>
  <c r="Q8" i="7"/>
  <c r="V9" i="7"/>
  <c r="T15" i="7"/>
  <c r="T67" i="4"/>
  <c r="O47" i="7"/>
  <c r="S44" i="7"/>
  <c r="Q35" i="7"/>
  <c r="T13" i="7" l="1"/>
  <c r="P4" i="7"/>
  <c r="P31" i="7"/>
  <c r="P128" i="4"/>
  <c r="P48" i="7"/>
  <c r="U14" i="7"/>
  <c r="U94" i="4"/>
  <c r="U85" i="4" s="1"/>
  <c r="U15" i="7"/>
  <c r="U7" i="7"/>
  <c r="U60" i="4"/>
  <c r="R9" i="7"/>
  <c r="Q42" i="7"/>
  <c r="Q121" i="4"/>
  <c r="Q40" i="7" s="1"/>
  <c r="V22" i="7"/>
  <c r="U21" i="7"/>
  <c r="U74" i="4"/>
  <c r="Q87" i="4"/>
  <c r="Q85" i="4" s="1"/>
  <c r="V8" i="7"/>
  <c r="O33" i="7"/>
  <c r="O112" i="4"/>
  <c r="Y50" i="7"/>
  <c r="R36" i="7"/>
  <c r="Q49" i="7"/>
  <c r="U20" i="7" l="1"/>
  <c r="O31" i="7"/>
  <c r="U6" i="7"/>
  <c r="P47" i="7"/>
  <c r="V87" i="4"/>
  <c r="W9" i="7"/>
  <c r="Q34" i="7"/>
  <c r="Q114" i="4"/>
  <c r="U67" i="4"/>
  <c r="U58" i="4" s="1"/>
  <c r="R8" i="7"/>
  <c r="Q7" i="7"/>
  <c r="Q60" i="4"/>
  <c r="T44" i="7"/>
  <c r="S36" i="7"/>
  <c r="R35" i="7"/>
  <c r="X43" i="7"/>
  <c r="Q128" i="4" l="1"/>
  <c r="Q48" i="7"/>
  <c r="W22" i="7"/>
  <c r="R42" i="7"/>
  <c r="R121" i="4"/>
  <c r="R40" i="7" s="1"/>
  <c r="X16" i="7"/>
  <c r="Q33" i="7"/>
  <c r="Q112" i="4"/>
  <c r="U4" i="7"/>
  <c r="W8" i="7"/>
  <c r="V101" i="4"/>
  <c r="Q6" i="7"/>
  <c r="Q58" i="4"/>
  <c r="R87" i="4"/>
  <c r="R85" i="4" s="1"/>
  <c r="S9" i="7"/>
  <c r="V60" i="4"/>
  <c r="V7" i="7"/>
  <c r="V41" i="7"/>
  <c r="Y17" i="7"/>
  <c r="U13" i="7"/>
  <c r="R49" i="7"/>
  <c r="S35" i="7"/>
  <c r="W87" i="4" l="1"/>
  <c r="V14" i="7"/>
  <c r="V21" i="7"/>
  <c r="V74" i="4"/>
  <c r="X9" i="7"/>
  <c r="S8" i="7"/>
  <c r="R7" i="7"/>
  <c r="R60" i="4"/>
  <c r="Q4" i="7"/>
  <c r="W101" i="4"/>
  <c r="V6" i="7"/>
  <c r="Q31" i="7"/>
  <c r="Q47" i="7"/>
  <c r="U44" i="7"/>
  <c r="S42" i="7" l="1"/>
  <c r="S121" i="4"/>
  <c r="S40" i="7" s="1"/>
  <c r="R128" i="4"/>
  <c r="R48" i="7"/>
  <c r="R6" i="7"/>
  <c r="R58" i="4"/>
  <c r="V20" i="7"/>
  <c r="V94" i="4"/>
  <c r="V85" i="4" s="1"/>
  <c r="W41" i="7"/>
  <c r="R114" i="4"/>
  <c r="R34" i="7"/>
  <c r="W21" i="7"/>
  <c r="W74" i="4"/>
  <c r="S87" i="4"/>
  <c r="S85" i="4" s="1"/>
  <c r="W7" i="7"/>
  <c r="W60" i="4"/>
  <c r="S49" i="7"/>
  <c r="Y43" i="7"/>
  <c r="R4" i="7" l="1"/>
  <c r="Y9" i="7"/>
  <c r="W14" i="7"/>
  <c r="R33" i="7"/>
  <c r="R112" i="4"/>
  <c r="X8" i="7"/>
  <c r="S7" i="7"/>
  <c r="S60" i="4"/>
  <c r="X87" i="4"/>
  <c r="V15" i="7"/>
  <c r="V67" i="4"/>
  <c r="R47" i="7"/>
  <c r="Y16" i="7"/>
  <c r="W20" i="7"/>
  <c r="T9" i="7"/>
  <c r="W6" i="7"/>
  <c r="V44" i="7"/>
  <c r="T36" i="7"/>
  <c r="R31" i="7" l="1"/>
  <c r="X7" i="7"/>
  <c r="X60" i="4"/>
  <c r="X6" i="7" s="1"/>
  <c r="T42" i="7"/>
  <c r="T121" i="4"/>
  <c r="T40" i="7" s="1"/>
  <c r="S6" i="7"/>
  <c r="S58" i="4"/>
  <c r="S128" i="4"/>
  <c r="S48" i="7"/>
  <c r="Y8" i="7"/>
  <c r="T8" i="7"/>
  <c r="S114" i="4"/>
  <c r="S34" i="7"/>
  <c r="V13" i="7"/>
  <c r="V58" i="4"/>
  <c r="W94" i="4"/>
  <c r="W85" i="4" s="1"/>
  <c r="U36" i="7"/>
  <c r="T35" i="7"/>
  <c r="T49" i="7"/>
  <c r="S33" i="7" l="1"/>
  <c r="S112" i="4"/>
  <c r="W15" i="7"/>
  <c r="W67" i="4"/>
  <c r="Y87" i="4"/>
  <c r="T34" i="7"/>
  <c r="T114" i="4"/>
  <c r="V4" i="7"/>
  <c r="T87" i="4"/>
  <c r="T85" i="4" s="1"/>
  <c r="X41" i="7"/>
  <c r="S47" i="7"/>
  <c r="S4" i="7"/>
  <c r="W44" i="7"/>
  <c r="U35" i="7"/>
  <c r="T33" i="7" l="1"/>
  <c r="T112" i="4"/>
  <c r="T60" i="4"/>
  <c r="T7" i="7"/>
  <c r="U42" i="7"/>
  <c r="U121" i="4"/>
  <c r="U40" i="7" s="1"/>
  <c r="Y60" i="4"/>
  <c r="Y7" i="7"/>
  <c r="T48" i="7"/>
  <c r="T128" i="4"/>
  <c r="W13" i="7"/>
  <c r="W58" i="4"/>
  <c r="X94" i="4"/>
  <c r="X85" i="4" s="1"/>
  <c r="X15" i="7"/>
  <c r="X14" i="7"/>
  <c r="S31" i="7"/>
  <c r="Y41" i="7"/>
  <c r="V36" i="7"/>
  <c r="U49" i="7"/>
  <c r="X67" i="4" l="1"/>
  <c r="W4" i="7"/>
  <c r="T47" i="7"/>
  <c r="X58" i="4"/>
  <c r="X13" i="7"/>
  <c r="T6" i="7"/>
  <c r="T58" i="4"/>
  <c r="U34" i="7"/>
  <c r="U114" i="4"/>
  <c r="T31" i="7"/>
  <c r="Y6" i="7"/>
  <c r="W36" i="7"/>
  <c r="X44" i="7"/>
  <c r="V35" i="7"/>
  <c r="V42" i="7" l="1"/>
  <c r="V121" i="4"/>
  <c r="X4" i="7"/>
  <c r="U33" i="7"/>
  <c r="U112" i="4"/>
  <c r="Y94" i="4"/>
  <c r="Y85" i="4" s="1"/>
  <c r="T4" i="7"/>
  <c r="U128" i="4"/>
  <c r="U48" i="7"/>
  <c r="X36" i="7"/>
  <c r="V49" i="7"/>
  <c r="V34" i="7" l="1"/>
  <c r="V114" i="4"/>
  <c r="V33" i="7" s="1"/>
  <c r="U31" i="7"/>
  <c r="U47" i="7"/>
  <c r="V112" i="4"/>
  <c r="V40" i="7"/>
  <c r="Y14" i="7"/>
  <c r="Y67" i="4"/>
  <c r="Y15" i="7"/>
  <c r="Y44" i="7"/>
  <c r="W35" i="7"/>
  <c r="V31" i="7" l="1"/>
  <c r="W42" i="7"/>
  <c r="W121" i="4"/>
  <c r="W40" i="7" s="1"/>
  <c r="Y13" i="7"/>
  <c r="Y58" i="4"/>
  <c r="V128" i="4"/>
  <c r="V48" i="7"/>
  <c r="Y36" i="7"/>
  <c r="W49" i="7"/>
  <c r="V47" i="7" l="1"/>
  <c r="Y4" i="7"/>
  <c r="W114" i="4"/>
  <c r="W34" i="7"/>
  <c r="X35" i="7"/>
  <c r="X42" i="7" l="1"/>
  <c r="X121" i="4"/>
  <c r="X40" i="7" s="1"/>
  <c r="W48" i="7"/>
  <c r="W128" i="4"/>
  <c r="W33" i="7"/>
  <c r="W112" i="4"/>
  <c r="X49" i="7"/>
  <c r="W31" i="7" l="1"/>
  <c r="W47" i="7"/>
  <c r="X34" i="7"/>
  <c r="X114" i="4"/>
  <c r="Y35" i="7"/>
  <c r="X33" i="7" l="1"/>
  <c r="X112" i="4"/>
  <c r="X128" i="4"/>
  <c r="X48" i="7"/>
  <c r="Y121" i="4"/>
  <c r="Y40" i="7" s="1"/>
  <c r="Y42" i="7"/>
  <c r="Y49" i="7"/>
  <c r="Y114" i="4" l="1"/>
  <c r="Y34" i="7"/>
  <c r="Y69" i="7"/>
  <c r="X47" i="7"/>
  <c r="X31" i="7"/>
  <c r="Y48" i="7" l="1"/>
  <c r="Y128" i="4"/>
  <c r="Y62" i="7"/>
  <c r="Y60" i="7" s="1"/>
  <c r="Y33" i="7"/>
  <c r="Y112" i="4"/>
  <c r="Y76" i="7" l="1"/>
  <c r="Y31" i="7"/>
  <c r="Y47" i="7"/>
  <c r="B169" i="4" l="1"/>
  <c r="E169" i="4"/>
  <c r="L169" i="4"/>
  <c r="J169" i="4"/>
  <c r="M169" i="4"/>
  <c r="N169" i="4"/>
  <c r="F169" i="4"/>
  <c r="I169" i="4"/>
  <c r="C169" i="4"/>
  <c r="D169" i="4"/>
  <c r="Q169" i="4"/>
  <c r="O169" i="4"/>
  <c r="G169" i="4"/>
  <c r="H169" i="4"/>
  <c r="K169" i="4"/>
  <c r="P169" i="4"/>
  <c r="R169" i="4" l="1"/>
  <c r="S169" i="4" l="1"/>
  <c r="T169" i="4" l="1"/>
  <c r="U169" i="4" l="1"/>
  <c r="W169" i="4" l="1"/>
  <c r="V169" i="4"/>
  <c r="X169" i="4" l="1"/>
  <c r="Q178" i="4" l="1"/>
  <c r="P178" i="4" l="1"/>
  <c r="P182" i="4"/>
  <c r="Q182" i="4"/>
  <c r="O178" i="4" l="1"/>
  <c r="V27" i="4" l="1"/>
  <c r="W27" i="4"/>
  <c r="R182" i="4" l="1"/>
  <c r="X27" i="4"/>
  <c r="S182" i="4" l="1"/>
  <c r="Y27" i="4"/>
  <c r="W53" i="4" l="1"/>
  <c r="V53" i="4"/>
  <c r="W28" i="4"/>
  <c r="V28" i="4"/>
  <c r="W26" i="4" l="1"/>
  <c r="V26" i="4"/>
  <c r="X53" i="4"/>
  <c r="Y53" i="4"/>
  <c r="Q14" i="4"/>
  <c r="X28" i="4"/>
  <c r="Y28" i="4"/>
  <c r="X26" i="4" l="1"/>
  <c r="Y26" i="4"/>
  <c r="W163" i="4"/>
  <c r="W20" i="3"/>
  <c r="Q205" i="4"/>
  <c r="V163" i="4"/>
  <c r="V20" i="3"/>
  <c r="Q18" i="4"/>
  <c r="Q209" i="4" l="1"/>
  <c r="X163" i="4"/>
  <c r="X20" i="3"/>
  <c r="Y163" i="4"/>
  <c r="Y20" i="3"/>
  <c r="V28" i="7"/>
  <c r="V192" i="4"/>
  <c r="V219" i="4"/>
  <c r="W28" i="7" l="1"/>
  <c r="W192" i="4"/>
  <c r="W219" i="4"/>
  <c r="Y28" i="7" l="1"/>
  <c r="Y192" i="4"/>
  <c r="Y219" i="4"/>
  <c r="X28" i="7"/>
  <c r="X192" i="4"/>
  <c r="X219" i="4"/>
  <c r="P129" i="5" l="1"/>
  <c r="P75" i="5"/>
  <c r="P130" i="7" s="1"/>
  <c r="N178" i="4" l="1"/>
  <c r="P123" i="6"/>
  <c r="P150" i="6"/>
  <c r="P69" i="6"/>
  <c r="M178" i="4" l="1"/>
  <c r="L178" i="4" l="1"/>
  <c r="M27" i="4"/>
  <c r="Q27" i="4"/>
  <c r="N27" i="4"/>
  <c r="L27" i="4"/>
  <c r="P27" i="4"/>
  <c r="O27" i="4"/>
  <c r="K27" i="4" l="1"/>
  <c r="O53" i="4" l="1"/>
  <c r="N53" i="4"/>
  <c r="M28" i="4"/>
  <c r="M53" i="4"/>
  <c r="Q53" i="4"/>
  <c r="P53" i="4"/>
  <c r="Q28" i="4"/>
  <c r="J27" i="4"/>
  <c r="P28" i="4"/>
  <c r="N28" i="4"/>
  <c r="O28" i="4"/>
  <c r="N26" i="4" l="1"/>
  <c r="P26" i="4"/>
  <c r="Q26" i="4"/>
  <c r="O26" i="4"/>
  <c r="M26" i="4"/>
  <c r="L53" i="4"/>
  <c r="L28" i="4"/>
  <c r="I27" i="4"/>
  <c r="L26" i="4" l="1"/>
  <c r="Q163" i="4"/>
  <c r="Q20" i="3"/>
  <c r="P176" i="4"/>
  <c r="N163" i="4"/>
  <c r="N20" i="3"/>
  <c r="O163" i="4"/>
  <c r="O20" i="3"/>
  <c r="K53" i="4"/>
  <c r="P163" i="4"/>
  <c r="P20" i="3"/>
  <c r="K178" i="4"/>
  <c r="M163" i="4"/>
  <c r="M20" i="3"/>
  <c r="K28" i="4"/>
  <c r="H27" i="4"/>
  <c r="K26" i="4" l="1"/>
  <c r="J178" i="4"/>
  <c r="L163" i="4"/>
  <c r="L20" i="3"/>
  <c r="J53" i="4"/>
  <c r="O176" i="4"/>
  <c r="J28" i="4"/>
  <c r="G27" i="4"/>
  <c r="J26" i="4" l="1"/>
  <c r="M28" i="7"/>
  <c r="M192" i="4"/>
  <c r="M219" i="4"/>
  <c r="I178" i="4"/>
  <c r="O28" i="7"/>
  <c r="O192" i="4"/>
  <c r="O219" i="4"/>
  <c r="Q28" i="7"/>
  <c r="Q192" i="4"/>
  <c r="Q219" i="4"/>
  <c r="I53" i="4"/>
  <c r="N28" i="7"/>
  <c r="N192" i="4"/>
  <c r="N219" i="4"/>
  <c r="K163" i="4"/>
  <c r="K20" i="3"/>
  <c r="P28" i="7"/>
  <c r="P192" i="4"/>
  <c r="P219" i="4"/>
  <c r="N176" i="4"/>
  <c r="Q180" i="4"/>
  <c r="I28" i="4"/>
  <c r="I26" i="4" l="1"/>
  <c r="Q175" i="4"/>
  <c r="H178" i="4"/>
  <c r="J163" i="4"/>
  <c r="J20" i="3"/>
  <c r="H53" i="4"/>
  <c r="M176" i="4"/>
  <c r="L28" i="7"/>
  <c r="L192" i="4"/>
  <c r="L219" i="4"/>
  <c r="Q16" i="4"/>
  <c r="H28" i="4"/>
  <c r="H26" i="4" l="1"/>
  <c r="K28" i="7"/>
  <c r="K192" i="4"/>
  <c r="K219" i="4"/>
  <c r="G53" i="4"/>
  <c r="I163" i="4"/>
  <c r="I20" i="3"/>
  <c r="G178" i="4"/>
  <c r="L176" i="4"/>
  <c r="Q207" i="4"/>
  <c r="G28" i="4"/>
  <c r="G26" i="4" l="1"/>
  <c r="J28" i="7"/>
  <c r="J192" i="4"/>
  <c r="J219" i="4"/>
  <c r="K176" i="4"/>
  <c r="F178" i="4"/>
  <c r="H163" i="4"/>
  <c r="H20" i="3"/>
  <c r="I28" i="7" l="1"/>
  <c r="I192" i="4"/>
  <c r="I219" i="4"/>
  <c r="G163" i="4"/>
  <c r="G20" i="3"/>
  <c r="E178" i="4"/>
  <c r="T182" i="4"/>
  <c r="J176" i="4"/>
  <c r="Y182" i="4" l="1"/>
  <c r="D178" i="4"/>
  <c r="U182" i="4"/>
  <c r="H28" i="7"/>
  <c r="H192" i="4"/>
  <c r="H219" i="4"/>
  <c r="X182" i="4"/>
  <c r="I176" i="4"/>
  <c r="W182" i="4"/>
  <c r="V182" i="4"/>
  <c r="G28" i="7" l="1"/>
  <c r="G192" i="4"/>
  <c r="G219" i="4"/>
  <c r="H176" i="4"/>
  <c r="B178" i="4"/>
  <c r="C178" i="4"/>
  <c r="Q69" i="5" l="1"/>
  <c r="Q124" i="7" s="1"/>
  <c r="Q123" i="5"/>
  <c r="G176" i="4"/>
  <c r="Q117" i="6" l="1"/>
  <c r="Q144" i="6"/>
  <c r="Q63" i="6"/>
  <c r="P123" i="5"/>
  <c r="P69" i="5"/>
  <c r="P124" i="7" s="1"/>
  <c r="F176" i="4"/>
  <c r="P117" i="6" l="1"/>
  <c r="P144" i="6"/>
  <c r="P63" i="6"/>
  <c r="Q75" i="5"/>
  <c r="Q130" i="7" s="1"/>
  <c r="Q129" i="5"/>
  <c r="Q102" i="5"/>
  <c r="E176" i="4"/>
  <c r="N181" i="4"/>
  <c r="Q123" i="6" l="1"/>
  <c r="Q150" i="6"/>
  <c r="Q69" i="6"/>
  <c r="Q96" i="6"/>
  <c r="D12" i="4"/>
  <c r="D63" i="6"/>
  <c r="D257" i="4"/>
  <c r="D176" i="4"/>
  <c r="P175" i="4"/>
  <c r="G69" i="5"/>
  <c r="G124" i="7" s="1"/>
  <c r="G123" i="5"/>
  <c r="C12" i="4" l="1"/>
  <c r="C257" i="4"/>
  <c r="C176" i="4"/>
  <c r="C63" i="6"/>
  <c r="D90" i="6"/>
  <c r="D96" i="5"/>
  <c r="D230" i="4"/>
  <c r="D203" i="4"/>
  <c r="B257" i="4"/>
  <c r="B12" i="4"/>
  <c r="B176" i="4"/>
  <c r="B63" i="6"/>
  <c r="F123" i="5"/>
  <c r="F69" i="5"/>
  <c r="F124" i="7" s="1"/>
  <c r="G117" i="6"/>
  <c r="G144" i="6"/>
  <c r="G63" i="6"/>
  <c r="E69" i="5" l="1"/>
  <c r="E124" i="7" s="1"/>
  <c r="E123" i="5"/>
  <c r="B203" i="4"/>
  <c r="B90" i="6"/>
  <c r="B96" i="5"/>
  <c r="B230" i="4"/>
  <c r="F117" i="6"/>
  <c r="F144" i="6"/>
  <c r="F63" i="6"/>
  <c r="C90" i="6"/>
  <c r="C96" i="5"/>
  <c r="C230" i="4"/>
  <c r="C203" i="4"/>
  <c r="D123" i="5" l="1"/>
  <c r="D69" i="5"/>
  <c r="D150" i="5"/>
  <c r="Q189" i="4"/>
  <c r="E117" i="6"/>
  <c r="E144" i="6"/>
  <c r="E63" i="6"/>
  <c r="Q185" i="4"/>
  <c r="P189" i="4" l="1"/>
  <c r="Q186" i="4"/>
  <c r="D117" i="6"/>
  <c r="D144" i="6"/>
  <c r="O181" i="4"/>
  <c r="C123" i="5"/>
  <c r="C150" i="5"/>
  <c r="C69" i="5"/>
  <c r="Q174" i="4"/>
  <c r="P185" i="4"/>
  <c r="B150" i="5"/>
  <c r="B123" i="5"/>
  <c r="B69" i="5"/>
  <c r="Q21" i="4"/>
  <c r="Q25" i="4"/>
  <c r="B117" i="6" l="1"/>
  <c r="B144" i="6"/>
  <c r="O189" i="4"/>
  <c r="O185" i="4"/>
  <c r="Q216" i="4"/>
  <c r="C117" i="6"/>
  <c r="C144" i="6"/>
  <c r="P186" i="4"/>
  <c r="Q212" i="4"/>
  <c r="P21" i="4"/>
  <c r="Q22" i="4"/>
  <c r="P25" i="4"/>
  <c r="N189" i="4" l="1"/>
  <c r="P174" i="4"/>
  <c r="O186" i="4"/>
  <c r="N185" i="4"/>
  <c r="Q181" i="4"/>
  <c r="P216" i="4"/>
  <c r="Q213" i="4"/>
  <c r="P212" i="4"/>
  <c r="O21" i="4"/>
  <c r="P22" i="4"/>
  <c r="O25" i="4"/>
  <c r="Q179" i="4" l="1"/>
  <c r="Q40" i="4"/>
  <c r="P213" i="4"/>
  <c r="O212" i="4"/>
  <c r="M185" i="4"/>
  <c r="O174" i="4"/>
  <c r="O216" i="4"/>
  <c r="O22" i="4"/>
  <c r="Q4" i="5"/>
  <c r="Q47" i="6" s="1"/>
  <c r="N25" i="4"/>
  <c r="N21" i="4"/>
  <c r="Q17" i="4"/>
  <c r="Q73" i="5" l="1"/>
  <c r="Q128" i="7" s="1"/>
  <c r="Q127" i="5"/>
  <c r="Q100" i="5"/>
  <c r="L174" i="4"/>
  <c r="L185" i="4"/>
  <c r="N216" i="4"/>
  <c r="Q177" i="4"/>
  <c r="N212" i="4"/>
  <c r="O213" i="4"/>
  <c r="N174" i="4"/>
  <c r="Q136" i="5"/>
  <c r="Q82" i="5"/>
  <c r="Q137" i="7" s="1"/>
  <c r="Q109" i="5"/>
  <c r="Q208" i="4"/>
  <c r="M21" i="4"/>
  <c r="Q15" i="4"/>
  <c r="Q206" i="4" l="1"/>
  <c r="Q13" i="4"/>
  <c r="M212" i="4"/>
  <c r="K185" i="4"/>
  <c r="Q130" i="6"/>
  <c r="Q157" i="6"/>
  <c r="Q76" i="6"/>
  <c r="Q103" i="6"/>
  <c r="M174" i="4"/>
  <c r="P181" i="4"/>
  <c r="P4" i="5"/>
  <c r="P47" i="6" s="1"/>
  <c r="P136" i="5"/>
  <c r="P82" i="5"/>
  <c r="P137" i="7" s="1"/>
  <c r="P109" i="5"/>
  <c r="Q121" i="6"/>
  <c r="Q67" i="6"/>
  <c r="Q209" i="7" s="1"/>
  <c r="Q94" i="6"/>
  <c r="L21" i="4"/>
  <c r="J185" i="4" l="1"/>
  <c r="O82" i="5"/>
  <c r="O137" i="7" s="1"/>
  <c r="O136" i="5"/>
  <c r="O109" i="5"/>
  <c r="L212" i="4"/>
  <c r="Q204" i="4"/>
  <c r="Q150" i="4"/>
  <c r="Q8" i="3"/>
  <c r="P130" i="6"/>
  <c r="P157" i="6"/>
  <c r="P76" i="6"/>
  <c r="P103" i="6"/>
  <c r="K21" i="4"/>
  <c r="G12" i="4"/>
  <c r="G203" i="4" l="1"/>
  <c r="G90" i="6"/>
  <c r="G96" i="5"/>
  <c r="I185" i="4"/>
  <c r="N82" i="5"/>
  <c r="N137" i="7" s="1"/>
  <c r="N136" i="5"/>
  <c r="N109" i="5"/>
  <c r="H123" i="5"/>
  <c r="H69" i="5"/>
  <c r="H124" i="7" s="1"/>
  <c r="O157" i="6"/>
  <c r="O130" i="6"/>
  <c r="O76" i="6"/>
  <c r="O103" i="6"/>
  <c r="K212" i="4"/>
  <c r="I123" i="5"/>
  <c r="I69" i="5"/>
  <c r="I124" i="7" s="1"/>
  <c r="J21" i="4"/>
  <c r="F12" i="4"/>
  <c r="J212" i="4" l="1"/>
  <c r="N130" i="6"/>
  <c r="N157" i="6"/>
  <c r="N76" i="6"/>
  <c r="N103" i="6"/>
  <c r="H117" i="6"/>
  <c r="H144" i="6"/>
  <c r="H63" i="6"/>
  <c r="I117" i="6"/>
  <c r="I144" i="6"/>
  <c r="I63" i="6"/>
  <c r="H185" i="4"/>
  <c r="F203" i="4"/>
  <c r="F90" i="6"/>
  <c r="F96" i="5"/>
  <c r="I21" i="4"/>
  <c r="E12" i="4"/>
  <c r="I212" i="4" l="1"/>
  <c r="G185" i="4"/>
  <c r="E96" i="5"/>
  <c r="E90" i="6"/>
  <c r="E203" i="4"/>
  <c r="H21" i="4"/>
  <c r="F185" i="4" l="1"/>
  <c r="H212" i="4"/>
  <c r="G21" i="4"/>
  <c r="E185" i="4" l="1"/>
  <c r="G212" i="4"/>
  <c r="F21" i="4"/>
  <c r="D185" i="4" l="1"/>
  <c r="F212" i="4"/>
  <c r="E21" i="4"/>
  <c r="E212" i="4" l="1"/>
  <c r="R178" i="4"/>
  <c r="B185" i="4"/>
  <c r="C185" i="4"/>
  <c r="D21" i="4"/>
  <c r="R180" i="4" l="1"/>
  <c r="D212" i="4"/>
  <c r="R14" i="4"/>
  <c r="R205" i="4" l="1"/>
  <c r="R75" i="5"/>
  <c r="R130" i="7" s="1"/>
  <c r="R129" i="5"/>
  <c r="C21" i="4"/>
  <c r="B21" i="4"/>
  <c r="R18" i="4"/>
  <c r="R16" i="4"/>
  <c r="R207" i="4" l="1"/>
  <c r="B212" i="4"/>
  <c r="R123" i="6"/>
  <c r="R150" i="6"/>
  <c r="R69" i="6"/>
  <c r="R102" i="5"/>
  <c r="R96" i="6"/>
  <c r="R209" i="4"/>
  <c r="C212" i="4"/>
  <c r="I12" i="4" l="1"/>
  <c r="H12" i="4"/>
  <c r="I203" i="4" l="1"/>
  <c r="I96" i="5"/>
  <c r="I90" i="6"/>
  <c r="H203" i="4"/>
  <c r="H90" i="6"/>
  <c r="H96" i="5"/>
  <c r="R174" i="4" l="1"/>
  <c r="R176" i="4" l="1"/>
  <c r="R175" i="4" l="1"/>
  <c r="M5" i="4" l="1"/>
  <c r="K5" i="4"/>
  <c r="L5" i="4"/>
  <c r="M196" i="4" l="1"/>
  <c r="M6" i="3"/>
  <c r="K196" i="4"/>
  <c r="K6" i="3"/>
  <c r="L196" i="4"/>
  <c r="L6" i="3"/>
  <c r="N5" i="4"/>
  <c r="J5" i="4"/>
  <c r="J196" i="4" l="1"/>
  <c r="J6" i="3"/>
  <c r="N196" i="4"/>
  <c r="N6" i="3"/>
  <c r="I5" i="4"/>
  <c r="O5" i="4"/>
  <c r="I196" i="4" l="1"/>
  <c r="I6" i="3"/>
  <c r="O196" i="4"/>
  <c r="O6" i="3"/>
  <c r="P5" i="4"/>
  <c r="H5" i="4"/>
  <c r="R123" i="5" l="1"/>
  <c r="R69" i="5"/>
  <c r="R124" i="7" s="1"/>
  <c r="P196" i="4"/>
  <c r="P6" i="3"/>
  <c r="H196" i="4"/>
  <c r="H6" i="3"/>
  <c r="Q5" i="4"/>
  <c r="G5" i="4"/>
  <c r="G196" i="4" l="1"/>
  <c r="G6" i="3"/>
  <c r="Q196" i="4"/>
  <c r="Q6" i="3"/>
  <c r="R117" i="6"/>
  <c r="R144" i="6"/>
  <c r="R63" i="6"/>
  <c r="F5" i="4"/>
  <c r="F196" i="4" l="1"/>
  <c r="F6" i="3"/>
  <c r="E5" i="4"/>
  <c r="E196" i="4" l="1"/>
  <c r="E6" i="3"/>
  <c r="D5" i="4"/>
  <c r="D196" i="4" l="1"/>
  <c r="D6" i="3"/>
  <c r="C5" i="4"/>
  <c r="C196" i="4" l="1"/>
  <c r="C6" i="3"/>
  <c r="B5" i="4"/>
  <c r="B196" i="4" l="1"/>
  <c r="B6" i="3"/>
  <c r="S129" i="5"/>
  <c r="S75" i="5"/>
  <c r="S130" i="7" s="1"/>
  <c r="S180" i="4" l="1"/>
  <c r="S123" i="6"/>
  <c r="S150" i="6"/>
  <c r="S69" i="6"/>
  <c r="R5" i="4"/>
  <c r="S5" i="4"/>
  <c r="W5" i="4"/>
  <c r="X5" i="4"/>
  <c r="R196" i="4" l="1"/>
  <c r="R6" i="3"/>
  <c r="S178" i="4"/>
  <c r="W6" i="3"/>
  <c r="W196" i="4"/>
  <c r="S196" i="4"/>
  <c r="S6" i="3"/>
  <c r="X6" i="3"/>
  <c r="X196" i="4"/>
  <c r="S16" i="4"/>
  <c r="S207" i="4" l="1"/>
  <c r="S14" i="4"/>
  <c r="S205" i="4" l="1"/>
  <c r="S18" i="4"/>
  <c r="R27" i="4"/>
  <c r="U27" i="4"/>
  <c r="T27" i="4"/>
  <c r="S209" i="4" l="1"/>
  <c r="S102" i="5"/>
  <c r="S96" i="6"/>
  <c r="T53" i="4" l="1"/>
  <c r="R53" i="4"/>
  <c r="U53" i="4"/>
  <c r="R28" i="4"/>
  <c r="T28" i="4"/>
  <c r="U28" i="4"/>
  <c r="R26" i="4" l="1"/>
  <c r="U26" i="4"/>
  <c r="T26" i="4"/>
  <c r="T163" i="4" l="1"/>
  <c r="T20" i="3"/>
  <c r="S174" i="4"/>
  <c r="R163" i="4"/>
  <c r="R20" i="3"/>
  <c r="U163" i="4"/>
  <c r="U20" i="3"/>
  <c r="T28" i="7" l="1"/>
  <c r="T192" i="4"/>
  <c r="T219" i="4"/>
  <c r="U28" i="7"/>
  <c r="U192" i="4"/>
  <c r="U219" i="4"/>
  <c r="S176" i="4"/>
  <c r="R28" i="7" l="1"/>
  <c r="R192" i="4"/>
  <c r="R219" i="4"/>
  <c r="S175" i="4" l="1"/>
  <c r="T129" i="5" l="1"/>
  <c r="T75" i="5"/>
  <c r="T130" i="7" s="1"/>
  <c r="T180" i="4" l="1"/>
  <c r="T123" i="6"/>
  <c r="T150" i="6"/>
  <c r="T69" i="6"/>
  <c r="T178" i="4"/>
  <c r="T14" i="4" l="1"/>
  <c r="T16" i="4"/>
  <c r="T205" i="4" l="1"/>
  <c r="T207" i="4"/>
  <c r="T18" i="4"/>
  <c r="S69" i="5" l="1"/>
  <c r="S124" i="7" s="1"/>
  <c r="S123" i="5"/>
  <c r="T174" i="4"/>
  <c r="T209" i="4"/>
  <c r="T96" i="6"/>
  <c r="T102" i="5"/>
  <c r="S117" i="6" l="1"/>
  <c r="S144" i="6"/>
  <c r="S63" i="6"/>
  <c r="T176" i="4" l="1"/>
  <c r="P180" i="4" l="1"/>
  <c r="P179" i="4" l="1"/>
  <c r="P40" i="4"/>
  <c r="P14" i="4"/>
  <c r="P16" i="4"/>
  <c r="P177" i="4" l="1"/>
  <c r="P207" i="4"/>
  <c r="P205" i="4"/>
  <c r="P18" i="4"/>
  <c r="P17" i="4"/>
  <c r="P15" i="4"/>
  <c r="P13" i="4" l="1"/>
  <c r="P204" i="4" s="1"/>
  <c r="P8" i="3"/>
  <c r="O180" i="4"/>
  <c r="P208" i="4"/>
  <c r="P206" i="4"/>
  <c r="P102" i="5"/>
  <c r="P209" i="4"/>
  <c r="P96" i="6"/>
  <c r="P150" i="4" l="1"/>
  <c r="O179" i="4"/>
  <c r="O40" i="4"/>
  <c r="N180" i="4"/>
  <c r="O182" i="4"/>
  <c r="P127" i="5"/>
  <c r="P73" i="5"/>
  <c r="P128" i="7" s="1"/>
  <c r="P100" i="5"/>
  <c r="O14" i="4"/>
  <c r="O16" i="4"/>
  <c r="M180" i="4" l="1"/>
  <c r="O205" i="4"/>
  <c r="P121" i="6"/>
  <c r="P67" i="6"/>
  <c r="P209" i="7" s="1"/>
  <c r="P94" i="6"/>
  <c r="O177" i="4"/>
  <c r="M181" i="4"/>
  <c r="N182" i="4"/>
  <c r="O207" i="4"/>
  <c r="N16" i="4"/>
  <c r="N14" i="4"/>
  <c r="O15" i="4"/>
  <c r="O17" i="4"/>
  <c r="O18" i="4"/>
  <c r="O206" i="4" l="1"/>
  <c r="L180" i="4"/>
  <c r="O209" i="4"/>
  <c r="M182" i="4"/>
  <c r="L181" i="4"/>
  <c r="O208" i="4"/>
  <c r="O13" i="4"/>
  <c r="N179" i="4"/>
  <c r="N40" i="4"/>
  <c r="M179" i="4"/>
  <c r="M40" i="4"/>
  <c r="M177" i="4" s="1"/>
  <c r="N205" i="4"/>
  <c r="N207" i="4"/>
  <c r="M17" i="4"/>
  <c r="M14" i="4"/>
  <c r="N17" i="4"/>
  <c r="M16" i="4"/>
  <c r="N18" i="4"/>
  <c r="N15" i="4"/>
  <c r="N206" i="4" l="1"/>
  <c r="N13" i="4"/>
  <c r="N177" i="4"/>
  <c r="N208" i="4"/>
  <c r="M207" i="4"/>
  <c r="M205" i="4"/>
  <c r="N209" i="4"/>
  <c r="L182" i="4"/>
  <c r="M208" i="4"/>
  <c r="K181" i="4"/>
  <c r="L179" i="4"/>
  <c r="L40" i="4"/>
  <c r="K180" i="4"/>
  <c r="O127" i="5"/>
  <c r="O73" i="5"/>
  <c r="O128" i="7" s="1"/>
  <c r="O100" i="5"/>
  <c r="O204" i="4"/>
  <c r="O150" i="4"/>
  <c r="O8" i="3"/>
  <c r="L17" i="4"/>
  <c r="L14" i="4"/>
  <c r="M15" i="4"/>
  <c r="M18" i="4"/>
  <c r="L16" i="4"/>
  <c r="M13" i="4" l="1"/>
  <c r="O121" i="6"/>
  <c r="O67" i="6"/>
  <c r="O209" i="7" s="1"/>
  <c r="O94" i="6"/>
  <c r="M206" i="4"/>
  <c r="L205" i="4"/>
  <c r="J180" i="4"/>
  <c r="L177" i="4"/>
  <c r="M204" i="4"/>
  <c r="M150" i="4"/>
  <c r="M8" i="3"/>
  <c r="J181" i="4"/>
  <c r="N204" i="4"/>
  <c r="N150" i="4"/>
  <c r="N8" i="3"/>
  <c r="K182" i="4"/>
  <c r="L207" i="4"/>
  <c r="L208" i="4"/>
  <c r="M209" i="4"/>
  <c r="K17" i="4"/>
  <c r="L18" i="4"/>
  <c r="L15" i="4"/>
  <c r="K16" i="4"/>
  <c r="K14" i="4"/>
  <c r="L13" i="4" l="1"/>
  <c r="L150" i="4"/>
  <c r="L204" i="4"/>
  <c r="L8" i="3"/>
  <c r="K205" i="4"/>
  <c r="I181" i="4"/>
  <c r="L209" i="4"/>
  <c r="J179" i="4"/>
  <c r="J40" i="4"/>
  <c r="K179" i="4"/>
  <c r="K40" i="4"/>
  <c r="J182" i="4"/>
  <c r="K207" i="4"/>
  <c r="K208" i="4"/>
  <c r="O129" i="5"/>
  <c r="O75" i="5"/>
  <c r="O130" i="7" s="1"/>
  <c r="O102" i="5"/>
  <c r="L206" i="4"/>
  <c r="I180" i="4"/>
  <c r="K15" i="4"/>
  <c r="T5" i="4"/>
  <c r="J16" i="4"/>
  <c r="J14" i="4"/>
  <c r="J17" i="4"/>
  <c r="K18" i="4"/>
  <c r="K206" i="4" l="1"/>
  <c r="K13" i="4"/>
  <c r="J205" i="4"/>
  <c r="H181" i="4"/>
  <c r="O123" i="6"/>
  <c r="O150" i="6"/>
  <c r="O69" i="6"/>
  <c r="O96" i="6"/>
  <c r="T175" i="4"/>
  <c r="J207" i="4"/>
  <c r="K177" i="4"/>
  <c r="N129" i="5"/>
  <c r="N75" i="5"/>
  <c r="N130" i="7" s="1"/>
  <c r="N102" i="5"/>
  <c r="I182" i="4"/>
  <c r="I179" i="4"/>
  <c r="I40" i="4"/>
  <c r="J208" i="4"/>
  <c r="H180" i="4"/>
  <c r="J177" i="4"/>
  <c r="K209" i="4"/>
  <c r="T196" i="4"/>
  <c r="T6" i="3"/>
  <c r="I17" i="4"/>
  <c r="I16" i="4"/>
  <c r="U5" i="4"/>
  <c r="I14" i="4"/>
  <c r="J18" i="4"/>
  <c r="G181" i="4" l="1"/>
  <c r="U178" i="4"/>
  <c r="I208" i="4"/>
  <c r="I205" i="4"/>
  <c r="J209" i="4"/>
  <c r="H182" i="4"/>
  <c r="I177" i="4"/>
  <c r="U180" i="4"/>
  <c r="K204" i="4"/>
  <c r="K150" i="4"/>
  <c r="K8" i="3"/>
  <c r="G180" i="4"/>
  <c r="N123" i="6"/>
  <c r="N150" i="6"/>
  <c r="N69" i="6"/>
  <c r="N96" i="6"/>
  <c r="U196" i="4"/>
  <c r="U6" i="3"/>
  <c r="I207" i="4"/>
  <c r="M75" i="5"/>
  <c r="M130" i="7" s="1"/>
  <c r="M129" i="5"/>
  <c r="M102" i="5"/>
  <c r="U129" i="5"/>
  <c r="U75" i="5"/>
  <c r="U130" i="7" s="1"/>
  <c r="H179" i="4"/>
  <c r="H40" i="4"/>
  <c r="I18" i="4"/>
  <c r="H17" i="4"/>
  <c r="H16" i="4"/>
  <c r="I15" i="4"/>
  <c r="J15" i="4"/>
  <c r="V5" i="4"/>
  <c r="H14" i="4"/>
  <c r="I13" i="4" l="1"/>
  <c r="I150" i="4"/>
  <c r="I204" i="4"/>
  <c r="I8" i="3"/>
  <c r="G182" i="4"/>
  <c r="U150" i="6"/>
  <c r="U123" i="6"/>
  <c r="U69" i="6"/>
  <c r="H205" i="4"/>
  <c r="V196" i="4"/>
  <c r="V6" i="3"/>
  <c r="F180" i="4"/>
  <c r="I206" i="4"/>
  <c r="H208" i="4"/>
  <c r="H207" i="4"/>
  <c r="H177" i="4"/>
  <c r="M123" i="6"/>
  <c r="M150" i="6"/>
  <c r="M69" i="6"/>
  <c r="M96" i="6"/>
  <c r="F181" i="4"/>
  <c r="J206" i="4"/>
  <c r="J13" i="4"/>
  <c r="I209" i="4"/>
  <c r="L129" i="5"/>
  <c r="L75" i="5"/>
  <c r="L130" i="7" s="1"/>
  <c r="L102" i="5"/>
  <c r="G17" i="4"/>
  <c r="G16" i="4"/>
  <c r="G14" i="4"/>
  <c r="H18" i="4"/>
  <c r="G208" i="4" l="1"/>
  <c r="L150" i="6"/>
  <c r="L123" i="6"/>
  <c r="L69" i="6"/>
  <c r="L96" i="6"/>
  <c r="K75" i="5"/>
  <c r="K130" i="7" s="1"/>
  <c r="K129" i="5"/>
  <c r="K102" i="5"/>
  <c r="G205" i="4"/>
  <c r="F182" i="4"/>
  <c r="J150" i="4"/>
  <c r="J204" i="4"/>
  <c r="J8" i="3"/>
  <c r="E181" i="4"/>
  <c r="G207" i="4"/>
  <c r="E180" i="4"/>
  <c r="G179" i="4"/>
  <c r="G40" i="4"/>
  <c r="H209" i="4"/>
  <c r="F179" i="4"/>
  <c r="F40" i="4"/>
  <c r="H15" i="4"/>
  <c r="U18" i="4"/>
  <c r="F17" i="4"/>
  <c r="F16" i="4"/>
  <c r="G18" i="4"/>
  <c r="U14" i="4"/>
  <c r="F14" i="4"/>
  <c r="K150" i="6" l="1"/>
  <c r="K123" i="6"/>
  <c r="K69" i="6"/>
  <c r="K96" i="6"/>
  <c r="E182" i="4"/>
  <c r="F207" i="4"/>
  <c r="U209" i="4"/>
  <c r="U96" i="6"/>
  <c r="U102" i="5"/>
  <c r="F177" i="4"/>
  <c r="J75" i="5"/>
  <c r="J130" i="7" s="1"/>
  <c r="J129" i="5"/>
  <c r="J102" i="5"/>
  <c r="F205" i="4"/>
  <c r="G209" i="4"/>
  <c r="G177" i="4"/>
  <c r="U205" i="4"/>
  <c r="F208" i="4"/>
  <c r="D181" i="4"/>
  <c r="D180" i="4"/>
  <c r="H206" i="4"/>
  <c r="H13" i="4"/>
  <c r="E14" i="4"/>
  <c r="E17" i="4"/>
  <c r="F15" i="4"/>
  <c r="F18" i="4"/>
  <c r="G15" i="4"/>
  <c r="E16" i="4"/>
  <c r="U16" i="4"/>
  <c r="U207" i="4" l="1"/>
  <c r="C181" i="4"/>
  <c r="F209" i="4"/>
  <c r="H204" i="4"/>
  <c r="H150" i="4"/>
  <c r="H8" i="3"/>
  <c r="F206" i="4"/>
  <c r="F13" i="4"/>
  <c r="I75" i="5"/>
  <c r="I130" i="7" s="1"/>
  <c r="I129" i="5"/>
  <c r="I102" i="5"/>
  <c r="D182" i="4"/>
  <c r="G206" i="4"/>
  <c r="G13" i="4"/>
  <c r="D179" i="4"/>
  <c r="D40" i="4"/>
  <c r="E179" i="4"/>
  <c r="E40" i="4"/>
  <c r="J150" i="6"/>
  <c r="J123" i="6"/>
  <c r="J69" i="6"/>
  <c r="J96" i="6"/>
  <c r="E205" i="4"/>
  <c r="E207" i="4"/>
  <c r="E208" i="4"/>
  <c r="C180" i="4"/>
  <c r="D16" i="4"/>
  <c r="D17" i="4"/>
  <c r="D14" i="4"/>
  <c r="E18" i="4"/>
  <c r="B180" i="4" l="1"/>
  <c r="E177" i="4"/>
  <c r="C182" i="4"/>
  <c r="H129" i="5"/>
  <c r="H75" i="5"/>
  <c r="H130" i="7" s="1"/>
  <c r="H102" i="5"/>
  <c r="D207" i="4"/>
  <c r="G150" i="4"/>
  <c r="G204" i="4"/>
  <c r="G8" i="3"/>
  <c r="I123" i="6"/>
  <c r="I150" i="6"/>
  <c r="I69" i="6"/>
  <c r="I96" i="6"/>
  <c r="D177" i="4"/>
  <c r="T123" i="5"/>
  <c r="T69" i="5"/>
  <c r="T124" i="7" s="1"/>
  <c r="D205" i="4"/>
  <c r="D208" i="4"/>
  <c r="E209" i="4"/>
  <c r="B182" i="4"/>
  <c r="F204" i="4"/>
  <c r="F150" i="4"/>
  <c r="F8" i="3"/>
  <c r="D15" i="4"/>
  <c r="C17" i="4"/>
  <c r="C14" i="4"/>
  <c r="E15" i="4"/>
  <c r="C16" i="4"/>
  <c r="D18" i="4"/>
  <c r="C179" i="4" l="1"/>
  <c r="C40" i="4"/>
  <c r="T144" i="6"/>
  <c r="T117" i="6"/>
  <c r="T63" i="6"/>
  <c r="D206" i="4"/>
  <c r="D13" i="4"/>
  <c r="C208" i="4"/>
  <c r="C207" i="4"/>
  <c r="G129" i="5"/>
  <c r="G75" i="5"/>
  <c r="G130" i="7" s="1"/>
  <c r="G102" i="5"/>
  <c r="E206" i="4"/>
  <c r="E13" i="4"/>
  <c r="D209" i="4"/>
  <c r="C205" i="4"/>
  <c r="H123" i="6"/>
  <c r="H150" i="6"/>
  <c r="H69" i="6"/>
  <c r="H96" i="6"/>
  <c r="Q187" i="4"/>
  <c r="C18" i="4"/>
  <c r="B18" i="4"/>
  <c r="B16" i="4"/>
  <c r="B14" i="4"/>
  <c r="C15" i="4"/>
  <c r="C206" i="4" l="1"/>
  <c r="C13" i="4"/>
  <c r="R186" i="4"/>
  <c r="D150" i="4"/>
  <c r="D204" i="4"/>
  <c r="D8" i="3"/>
  <c r="C177" i="4"/>
  <c r="P187" i="4"/>
  <c r="C209" i="4"/>
  <c r="B207" i="4"/>
  <c r="E150" i="4"/>
  <c r="E204" i="4"/>
  <c r="E8" i="3"/>
  <c r="F75" i="5"/>
  <c r="F130" i="7" s="1"/>
  <c r="F129" i="5"/>
  <c r="F102" i="5"/>
  <c r="B205" i="4"/>
  <c r="B209" i="4"/>
  <c r="G150" i="6"/>
  <c r="G123" i="6"/>
  <c r="G69" i="6"/>
  <c r="G96" i="6"/>
  <c r="S27" i="4"/>
  <c r="Q23" i="4"/>
  <c r="S187" i="4" l="1"/>
  <c r="F123" i="6"/>
  <c r="F150" i="6"/>
  <c r="F69" i="6"/>
  <c r="F96" i="6"/>
  <c r="S186" i="4"/>
  <c r="E129" i="5"/>
  <c r="E75" i="5"/>
  <c r="E130" i="7" s="1"/>
  <c r="E102" i="5"/>
  <c r="O187" i="4"/>
  <c r="R185" i="4"/>
  <c r="C150" i="4"/>
  <c r="C204" i="4"/>
  <c r="C8" i="3"/>
  <c r="Q214" i="4"/>
  <c r="S185" i="4"/>
  <c r="R187" i="4"/>
  <c r="R21" i="4"/>
  <c r="R22" i="4"/>
  <c r="R23" i="4"/>
  <c r="P23" i="4"/>
  <c r="R212" i="4" l="1"/>
  <c r="B73" i="5"/>
  <c r="B128" i="7" s="1"/>
  <c r="B127" i="5"/>
  <c r="B100" i="5"/>
  <c r="Q188" i="4"/>
  <c r="Q47" i="4"/>
  <c r="R214" i="4"/>
  <c r="E150" i="6"/>
  <c r="E123" i="6"/>
  <c r="E69" i="6"/>
  <c r="E96" i="6"/>
  <c r="D75" i="5"/>
  <c r="D130" i="7" s="1"/>
  <c r="D129" i="5"/>
  <c r="D102" i="5"/>
  <c r="R189" i="4"/>
  <c r="P214" i="4"/>
  <c r="R213" i="4"/>
  <c r="S21" i="4"/>
  <c r="S23" i="4"/>
  <c r="S22" i="4"/>
  <c r="O23" i="4"/>
  <c r="Q173" i="4" l="1"/>
  <c r="S212" i="4"/>
  <c r="D123" i="6"/>
  <c r="D150" i="6"/>
  <c r="D69" i="6"/>
  <c r="D96" i="6"/>
  <c r="R188" i="4"/>
  <c r="R47" i="4"/>
  <c r="S189" i="4"/>
  <c r="S213" i="4"/>
  <c r="T187" i="4"/>
  <c r="O214" i="4"/>
  <c r="C75" i="5"/>
  <c r="C130" i="7" s="1"/>
  <c r="C129" i="5"/>
  <c r="C102" i="5"/>
  <c r="T186" i="4"/>
  <c r="Q134" i="5"/>
  <c r="Q80" i="5"/>
  <c r="Q135" i="7" s="1"/>
  <c r="Q107" i="5"/>
  <c r="S214" i="4"/>
  <c r="Q46" i="4"/>
  <c r="Q184" i="4"/>
  <c r="S53" i="4"/>
  <c r="B129" i="5"/>
  <c r="B75" i="5"/>
  <c r="B130" i="7" s="1"/>
  <c r="B102" i="5"/>
  <c r="P188" i="4"/>
  <c r="P47" i="4"/>
  <c r="T185" i="4"/>
  <c r="B121" i="6"/>
  <c r="B67" i="6"/>
  <c r="B209" i="7" s="1"/>
  <c r="B94" i="6"/>
  <c r="S28" i="4"/>
  <c r="Q24" i="4"/>
  <c r="R25" i="4"/>
  <c r="S26" i="4" l="1"/>
  <c r="U187" i="4"/>
  <c r="C123" i="6"/>
  <c r="C150" i="6"/>
  <c r="C69" i="6"/>
  <c r="C96" i="6"/>
  <c r="B123" i="6"/>
  <c r="B150" i="6"/>
  <c r="B69" i="6"/>
  <c r="B96" i="6"/>
  <c r="R216" i="4"/>
  <c r="O188" i="4"/>
  <c r="O47" i="4"/>
  <c r="Q128" i="6"/>
  <c r="Q74" i="6"/>
  <c r="Q216" i="7" s="1"/>
  <c r="Q101" i="6"/>
  <c r="N188" i="4"/>
  <c r="Q171" i="4"/>
  <c r="P80" i="5"/>
  <c r="P135" i="7" s="1"/>
  <c r="P134" i="5"/>
  <c r="P107" i="5"/>
  <c r="R46" i="4"/>
  <c r="R265" i="4" s="1"/>
  <c r="R184" i="4"/>
  <c r="T189" i="4"/>
  <c r="U186" i="4"/>
  <c r="P184" i="4"/>
  <c r="P46" i="4"/>
  <c r="Q215" i="4"/>
  <c r="Q20" i="4"/>
  <c r="Q265" i="4"/>
  <c r="Q264" i="4"/>
  <c r="Q272" i="4"/>
  <c r="Q273" i="4"/>
  <c r="Q271" i="4"/>
  <c r="Q270" i="4"/>
  <c r="Q266" i="4"/>
  <c r="Q267" i="4"/>
  <c r="Q268" i="4"/>
  <c r="Q269" i="4"/>
  <c r="U185" i="4"/>
  <c r="M189" i="4"/>
  <c r="R24" i="4"/>
  <c r="T23" i="4"/>
  <c r="S25" i="4"/>
  <c r="T22" i="4"/>
  <c r="Q33" i="4"/>
  <c r="T21" i="4"/>
  <c r="P24" i="4"/>
  <c r="Q170" i="4" l="1"/>
  <c r="Q31" i="4"/>
  <c r="P215" i="4"/>
  <c r="P20" i="4"/>
  <c r="N187" i="4"/>
  <c r="U189" i="4"/>
  <c r="M187" i="4"/>
  <c r="N186" i="4"/>
  <c r="N47" i="4"/>
  <c r="T214" i="4"/>
  <c r="P173" i="4"/>
  <c r="Q172" i="4"/>
  <c r="Q253" i="4"/>
  <c r="R215" i="4"/>
  <c r="R20" i="4"/>
  <c r="P128" i="6"/>
  <c r="P74" i="6"/>
  <c r="P216" i="7" s="1"/>
  <c r="P101" i="6"/>
  <c r="P265" i="4"/>
  <c r="P264" i="4"/>
  <c r="P272" i="4"/>
  <c r="P273" i="4"/>
  <c r="P271" i="4"/>
  <c r="P270" i="4"/>
  <c r="P266" i="4"/>
  <c r="P267" i="4"/>
  <c r="P268" i="4"/>
  <c r="P269" i="4"/>
  <c r="T212" i="4"/>
  <c r="S163" i="4"/>
  <c r="S20" i="3"/>
  <c r="S188" i="4"/>
  <c r="S47" i="4"/>
  <c r="T213" i="4"/>
  <c r="Q211" i="4"/>
  <c r="Q157" i="4"/>
  <c r="Q19" i="4"/>
  <c r="Q238" i="4"/>
  <c r="Q19" i="3"/>
  <c r="O46" i="4"/>
  <c r="O184" i="4"/>
  <c r="S216" i="4"/>
  <c r="R264" i="4"/>
  <c r="R272" i="4"/>
  <c r="R273" i="4"/>
  <c r="R271" i="4"/>
  <c r="R267" i="4"/>
  <c r="R266" i="4"/>
  <c r="R268" i="4"/>
  <c r="R270" i="4"/>
  <c r="R269" i="4"/>
  <c r="O134" i="5"/>
  <c r="O80" i="5"/>
  <c r="O135" i="7" s="1"/>
  <c r="O107" i="5"/>
  <c r="U22" i="4"/>
  <c r="U23" i="4"/>
  <c r="M25" i="4"/>
  <c r="T25" i="4"/>
  <c r="N24" i="4"/>
  <c r="U21" i="4"/>
  <c r="O24" i="4"/>
  <c r="R181" i="4" l="1"/>
  <c r="O215" i="4"/>
  <c r="O20" i="4"/>
  <c r="U213" i="4"/>
  <c r="R19" i="4"/>
  <c r="R157" i="4"/>
  <c r="R211" i="4"/>
  <c r="R19" i="3"/>
  <c r="M188" i="4"/>
  <c r="T188" i="4"/>
  <c r="T47" i="4"/>
  <c r="T216" i="4"/>
  <c r="O265" i="4"/>
  <c r="O264" i="4"/>
  <c r="O272" i="4"/>
  <c r="O273" i="4"/>
  <c r="O271" i="4"/>
  <c r="O270" i="4"/>
  <c r="O266" i="4"/>
  <c r="O267" i="4"/>
  <c r="O268" i="4"/>
  <c r="O269" i="4"/>
  <c r="O128" i="6"/>
  <c r="O74" i="6"/>
  <c r="O216" i="7" s="1"/>
  <c r="O101" i="6"/>
  <c r="Q18" i="3"/>
  <c r="Q258" i="4"/>
  <c r="Q249" i="4"/>
  <c r="Q30" i="4"/>
  <c r="Q257" i="4"/>
  <c r="Q168" i="4"/>
  <c r="Q250" i="4"/>
  <c r="Q259" i="4"/>
  <c r="Q263" i="4"/>
  <c r="Q261" i="4"/>
  <c r="Q256" i="4"/>
  <c r="Q255" i="4"/>
  <c r="Q262" i="4"/>
  <c r="Q260" i="4"/>
  <c r="Q254" i="4"/>
  <c r="Q252" i="4"/>
  <c r="P171" i="4"/>
  <c r="Q120" i="5"/>
  <c r="Q66" i="5"/>
  <c r="Q121" i="7" s="1"/>
  <c r="N46" i="4"/>
  <c r="N265" i="4"/>
  <c r="N184" i="4"/>
  <c r="Q251" i="4"/>
  <c r="U212" i="4"/>
  <c r="L186" i="4"/>
  <c r="N215" i="4"/>
  <c r="M216" i="4"/>
  <c r="Q244" i="4"/>
  <c r="Q237" i="4"/>
  <c r="Q156" i="4"/>
  <c r="Q245" i="4"/>
  <c r="Q246" i="4"/>
  <c r="Q243" i="4"/>
  <c r="Q239" i="4"/>
  <c r="Q240" i="4"/>
  <c r="Q241" i="4"/>
  <c r="Q242" i="4"/>
  <c r="L188" i="4"/>
  <c r="M186" i="4"/>
  <c r="M47" i="4"/>
  <c r="U214" i="4"/>
  <c r="S46" i="4"/>
  <c r="S265" i="4" s="1"/>
  <c r="S184" i="4"/>
  <c r="P157" i="4"/>
  <c r="P19" i="4"/>
  <c r="P238" i="4" s="1"/>
  <c r="P211" i="4"/>
  <c r="P19" i="3"/>
  <c r="N23" i="4"/>
  <c r="U25" i="4"/>
  <c r="M24" i="4"/>
  <c r="N22" i="4"/>
  <c r="S24" i="4"/>
  <c r="R4" i="5"/>
  <c r="R47" i="6" s="1"/>
  <c r="M215" i="4" l="1"/>
  <c r="L187" i="4"/>
  <c r="M184" i="4"/>
  <c r="M46" i="4"/>
  <c r="M265" i="4"/>
  <c r="P18" i="3"/>
  <c r="R244" i="4"/>
  <c r="R237" i="4"/>
  <c r="R156" i="4"/>
  <c r="R245" i="4"/>
  <c r="R246" i="4"/>
  <c r="R239" i="4"/>
  <c r="R241" i="4"/>
  <c r="R240" i="4"/>
  <c r="R243" i="4"/>
  <c r="R242" i="4"/>
  <c r="R173" i="4"/>
  <c r="O173" i="4"/>
  <c r="S173" i="4"/>
  <c r="U216" i="4"/>
  <c r="S28" i="7"/>
  <c r="S192" i="4"/>
  <c r="S219" i="4"/>
  <c r="R136" i="5"/>
  <c r="R82" i="5"/>
  <c r="R137" i="7" s="1"/>
  <c r="R109" i="5"/>
  <c r="S215" i="4"/>
  <c r="S20" i="4"/>
  <c r="N213" i="4"/>
  <c r="N20" i="4"/>
  <c r="S264" i="4"/>
  <c r="S272" i="4"/>
  <c r="S267" i="4"/>
  <c r="S268" i="4"/>
  <c r="S266" i="4"/>
  <c r="S273" i="4"/>
  <c r="S270" i="4"/>
  <c r="S271" i="4"/>
  <c r="S269" i="4"/>
  <c r="R18" i="3"/>
  <c r="R171" i="4"/>
  <c r="N214" i="4"/>
  <c r="P81" i="5"/>
  <c r="P136" i="7" s="1"/>
  <c r="P135" i="5"/>
  <c r="P108" i="5"/>
  <c r="Q81" i="5"/>
  <c r="Q136" i="7" s="1"/>
  <c r="Q135" i="5"/>
  <c r="Q108" i="5"/>
  <c r="R238" i="4"/>
  <c r="P242" i="4"/>
  <c r="P156" i="4"/>
  <c r="P237" i="4"/>
  <c r="P245" i="4"/>
  <c r="P246" i="4"/>
  <c r="P244" i="4"/>
  <c r="P243" i="4"/>
  <c r="P239" i="4"/>
  <c r="P240" i="4"/>
  <c r="P241" i="4"/>
  <c r="O175" i="4"/>
  <c r="T184" i="4"/>
  <c r="T46" i="4"/>
  <c r="T265" i="4" s="1"/>
  <c r="O211" i="4"/>
  <c r="O19" i="4"/>
  <c r="O238" i="4" s="1"/>
  <c r="O157" i="4"/>
  <c r="O19" i="3"/>
  <c r="N264" i="4"/>
  <c r="N272" i="4"/>
  <c r="N273" i="4"/>
  <c r="N271" i="4"/>
  <c r="N266" i="4"/>
  <c r="N270" i="4"/>
  <c r="N269" i="4"/>
  <c r="N267" i="4"/>
  <c r="N268" i="4"/>
  <c r="Q17" i="3"/>
  <c r="Q114" i="6"/>
  <c r="Q60" i="6"/>
  <c r="Q202" i="7" s="1"/>
  <c r="M23" i="4"/>
  <c r="Q10" i="4"/>
  <c r="L24" i="4"/>
  <c r="Q12" i="4"/>
  <c r="Q11" i="4"/>
  <c r="Q9" i="4"/>
  <c r="T24" i="4"/>
  <c r="M22" i="4"/>
  <c r="S4" i="5"/>
  <c r="S47" i="6" s="1"/>
  <c r="N173" i="4" l="1"/>
  <c r="M213" i="4"/>
  <c r="M20" i="4"/>
  <c r="K186" i="4"/>
  <c r="Q201" i="4"/>
  <c r="Q119" i="3"/>
  <c r="Q120" i="3"/>
  <c r="Q109" i="3"/>
  <c r="Q115" i="3"/>
  <c r="Q114" i="3"/>
  <c r="Q113" i="3"/>
  <c r="Q117" i="3"/>
  <c r="Q116" i="3"/>
  <c r="Q118" i="3"/>
  <c r="Q112" i="3"/>
  <c r="Q111" i="3"/>
  <c r="O18" i="3"/>
  <c r="P129" i="6"/>
  <c r="P75" i="6"/>
  <c r="P217" i="7" s="1"/>
  <c r="P102" i="6"/>
  <c r="S19" i="4"/>
  <c r="S157" i="4"/>
  <c r="S211" i="4"/>
  <c r="S19" i="3"/>
  <c r="P17" i="3"/>
  <c r="P110" i="3" s="1"/>
  <c r="Q202" i="4"/>
  <c r="N211" i="4"/>
  <c r="N19" i="4"/>
  <c r="N238" i="4" s="1"/>
  <c r="N157" i="4"/>
  <c r="N19" i="3"/>
  <c r="P66" i="5"/>
  <c r="P121" i="7" s="1"/>
  <c r="P120" i="5"/>
  <c r="J188" i="4"/>
  <c r="T215" i="4"/>
  <c r="T20" i="4"/>
  <c r="N175" i="4"/>
  <c r="K187" i="4"/>
  <c r="O171" i="4"/>
  <c r="M214" i="4"/>
  <c r="O237" i="4"/>
  <c r="O156" i="4"/>
  <c r="O245" i="4"/>
  <c r="O246" i="4"/>
  <c r="O244" i="4"/>
  <c r="O239" i="4"/>
  <c r="O243" i="4"/>
  <c r="O240" i="4"/>
  <c r="O241" i="4"/>
  <c r="O242" i="4"/>
  <c r="S171" i="4"/>
  <c r="Q96" i="5"/>
  <c r="Q203" i="4"/>
  <c r="Q90" i="6"/>
  <c r="R130" i="6"/>
  <c r="R157" i="6"/>
  <c r="R76" i="6"/>
  <c r="R103" i="6"/>
  <c r="R17" i="3"/>
  <c r="R110" i="3" s="1"/>
  <c r="L189" i="4"/>
  <c r="L215" i="4"/>
  <c r="K188" i="4"/>
  <c r="R179" i="4"/>
  <c r="R40" i="4"/>
  <c r="Q129" i="6"/>
  <c r="Q75" i="6"/>
  <c r="Q217" i="7" s="1"/>
  <c r="Q102" i="6"/>
  <c r="L47" i="4"/>
  <c r="P172" i="4"/>
  <c r="P33" i="4"/>
  <c r="M271" i="4"/>
  <c r="M264" i="4"/>
  <c r="M272" i="4"/>
  <c r="M273" i="4"/>
  <c r="M266" i="4"/>
  <c r="M270" i="4"/>
  <c r="M268" i="4"/>
  <c r="M269" i="4"/>
  <c r="M267" i="4"/>
  <c r="Q200" i="4"/>
  <c r="Q93" i="5"/>
  <c r="Q87" i="6"/>
  <c r="Q110" i="3"/>
  <c r="T264" i="4"/>
  <c r="T272" i="4"/>
  <c r="T273" i="4"/>
  <c r="T271" i="4"/>
  <c r="T268" i="4"/>
  <c r="T267" i="4"/>
  <c r="T266" i="4"/>
  <c r="T270" i="4"/>
  <c r="T269" i="4"/>
  <c r="O81" i="5"/>
  <c r="O136" i="7" s="1"/>
  <c r="O135" i="5"/>
  <c r="O108" i="5"/>
  <c r="S82" i="5"/>
  <c r="S137" i="7" s="1"/>
  <c r="S136" i="5"/>
  <c r="S109" i="5"/>
  <c r="O11" i="4"/>
  <c r="R17" i="4"/>
  <c r="L23" i="4"/>
  <c r="L22" i="4"/>
  <c r="K24" i="4"/>
  <c r="T4" i="5"/>
  <c r="T47" i="6" s="1"/>
  <c r="Q7" i="4"/>
  <c r="K47" i="4"/>
  <c r="K215" i="4" l="1"/>
  <c r="K184" i="4"/>
  <c r="K46" i="4"/>
  <c r="K265" i="4" s="1"/>
  <c r="J187" i="4"/>
  <c r="M175" i="4"/>
  <c r="O202" i="4"/>
  <c r="L46" i="4"/>
  <c r="L265" i="4" s="1"/>
  <c r="L184" i="4"/>
  <c r="N18" i="3"/>
  <c r="O17" i="3"/>
  <c r="O110" i="3" s="1"/>
  <c r="Q198" i="4"/>
  <c r="J186" i="4"/>
  <c r="S246" i="4"/>
  <c r="S237" i="4"/>
  <c r="S156" i="4"/>
  <c r="S245" i="4"/>
  <c r="S241" i="4"/>
  <c r="S239" i="4"/>
  <c r="S240" i="4"/>
  <c r="S244" i="4"/>
  <c r="S243" i="4"/>
  <c r="S242" i="4"/>
  <c r="S130" i="6"/>
  <c r="S157" i="6"/>
  <c r="S76" i="6"/>
  <c r="S103" i="6"/>
  <c r="N80" i="5"/>
  <c r="N135" i="7" s="1"/>
  <c r="N134" i="5"/>
  <c r="N107" i="5"/>
  <c r="Q74" i="5"/>
  <c r="Q129" i="7" s="1"/>
  <c r="Q128" i="5"/>
  <c r="Q101" i="5"/>
  <c r="P113" i="3"/>
  <c r="P119" i="3"/>
  <c r="P114" i="3"/>
  <c r="P120" i="3"/>
  <c r="P115" i="3"/>
  <c r="P116" i="3"/>
  <c r="P109" i="3"/>
  <c r="P118" i="3"/>
  <c r="P117" i="3"/>
  <c r="P112" i="3"/>
  <c r="P111" i="3"/>
  <c r="S172" i="4"/>
  <c r="L213" i="4"/>
  <c r="M136" i="5"/>
  <c r="M82" i="5"/>
  <c r="M137" i="7" s="1"/>
  <c r="M109" i="5"/>
  <c r="P170" i="4"/>
  <c r="P31" i="4"/>
  <c r="N244" i="4"/>
  <c r="N156" i="4"/>
  <c r="N237" i="4"/>
  <c r="N245" i="4"/>
  <c r="N246" i="4"/>
  <c r="N243" i="4"/>
  <c r="N239" i="4"/>
  <c r="N242" i="4"/>
  <c r="N240" i="4"/>
  <c r="N241" i="4"/>
  <c r="S18" i="3"/>
  <c r="N171" i="4"/>
  <c r="M173" i="4"/>
  <c r="L214" i="4"/>
  <c r="S33" i="4"/>
  <c r="O121" i="5"/>
  <c r="O67" i="5"/>
  <c r="O122" i="7" s="1"/>
  <c r="S238" i="4"/>
  <c r="I188" i="4"/>
  <c r="R208" i="4"/>
  <c r="R115" i="3"/>
  <c r="R114" i="3"/>
  <c r="R113" i="3"/>
  <c r="R120" i="3"/>
  <c r="R116" i="3"/>
  <c r="R117" i="3"/>
  <c r="R118" i="3"/>
  <c r="R119" i="3"/>
  <c r="R109" i="3"/>
  <c r="R112" i="3"/>
  <c r="R111" i="3"/>
  <c r="R172" i="4"/>
  <c r="R33" i="4"/>
  <c r="R177" i="4"/>
  <c r="P114" i="6"/>
  <c r="P60" i="6"/>
  <c r="P202" i="7" s="1"/>
  <c r="T136" i="5"/>
  <c r="T82" i="5"/>
  <c r="T137" i="7" s="1"/>
  <c r="T109" i="5"/>
  <c r="M211" i="4"/>
  <c r="M157" i="4"/>
  <c r="M19" i="4"/>
  <c r="M238" i="4" s="1"/>
  <c r="M19" i="3"/>
  <c r="K189" i="4"/>
  <c r="O129" i="6"/>
  <c r="O75" i="6"/>
  <c r="O217" i="7" s="1"/>
  <c r="O102" i="6"/>
  <c r="T19" i="4"/>
  <c r="T157" i="4"/>
  <c r="T211" i="4"/>
  <c r="T19" i="3"/>
  <c r="Q8" i="4"/>
  <c r="N11" i="4"/>
  <c r="J24" i="4"/>
  <c r="N33" i="4"/>
  <c r="R15" i="4"/>
  <c r="L25" i="4"/>
  <c r="L20" i="4" s="1"/>
  <c r="K22" i="4"/>
  <c r="N31" i="4" l="1"/>
  <c r="N170" i="4"/>
  <c r="N251" i="4"/>
  <c r="T238" i="4"/>
  <c r="T237" i="4"/>
  <c r="T156" i="4"/>
  <c r="T245" i="4"/>
  <c r="T246" i="4"/>
  <c r="T244" i="4"/>
  <c r="T239" i="4"/>
  <c r="T240" i="4"/>
  <c r="T241" i="4"/>
  <c r="T243" i="4"/>
  <c r="T242" i="4"/>
  <c r="Q67" i="5"/>
  <c r="Q122" i="7" s="1"/>
  <c r="Q121" i="5"/>
  <c r="Q94" i="5"/>
  <c r="O172" i="4"/>
  <c r="O33" i="4"/>
  <c r="T130" i="6"/>
  <c r="T157" i="6"/>
  <c r="T76" i="6"/>
  <c r="T103" i="6"/>
  <c r="N128" i="6"/>
  <c r="N74" i="6"/>
  <c r="N216" i="7" s="1"/>
  <c r="N101" i="6"/>
  <c r="H188" i="4"/>
  <c r="P30" i="4"/>
  <c r="P249" i="4"/>
  <c r="P168" i="4"/>
  <c r="P250" i="4"/>
  <c r="P263" i="4"/>
  <c r="P259" i="4"/>
  <c r="P257" i="4"/>
  <c r="P256" i="4"/>
  <c r="P255" i="4"/>
  <c r="P262" i="4"/>
  <c r="P261" i="4"/>
  <c r="P260" i="4"/>
  <c r="P258" i="4"/>
  <c r="P254" i="4"/>
  <c r="P252" i="4"/>
  <c r="P253" i="4"/>
  <c r="L211" i="4"/>
  <c r="L19" i="4"/>
  <c r="L157" i="4"/>
  <c r="L19" i="3"/>
  <c r="P128" i="5"/>
  <c r="P74" i="5"/>
  <c r="P129" i="7" s="1"/>
  <c r="P101" i="5"/>
  <c r="P251" i="4"/>
  <c r="K271" i="4"/>
  <c r="K264" i="4"/>
  <c r="K272" i="4"/>
  <c r="K273" i="4"/>
  <c r="K266" i="4"/>
  <c r="K268" i="4"/>
  <c r="K267" i="4"/>
  <c r="K269" i="4"/>
  <c r="L175" i="4"/>
  <c r="N172" i="4"/>
  <c r="N253" i="4"/>
  <c r="T173" i="4"/>
  <c r="R206" i="4"/>
  <c r="R13" i="4"/>
  <c r="M18" i="3"/>
  <c r="Q199" i="4"/>
  <c r="S170" i="4"/>
  <c r="P121" i="5"/>
  <c r="P67" i="5"/>
  <c r="P122" i="7" s="1"/>
  <c r="O120" i="3"/>
  <c r="O115" i="3"/>
  <c r="O119" i="3"/>
  <c r="O116" i="3"/>
  <c r="O117" i="3"/>
  <c r="O113" i="3"/>
  <c r="O114" i="3"/>
  <c r="O109" i="3"/>
  <c r="O118" i="3"/>
  <c r="O112" i="3"/>
  <c r="O111" i="3"/>
  <c r="L173" i="4"/>
  <c r="J215" i="4"/>
  <c r="T18" i="3"/>
  <c r="O115" i="6"/>
  <c r="O61" i="6"/>
  <c r="O203" i="7" s="1"/>
  <c r="R170" i="4"/>
  <c r="R31" i="4"/>
  <c r="R251" i="4" s="1"/>
  <c r="M128" i="6"/>
  <c r="M74" i="6"/>
  <c r="M216" i="7" s="1"/>
  <c r="M101" i="6"/>
  <c r="M171" i="4"/>
  <c r="M244" i="4"/>
  <c r="M156" i="4"/>
  <c r="M237" i="4"/>
  <c r="M245" i="4"/>
  <c r="M246" i="4"/>
  <c r="M239" i="4"/>
  <c r="M243" i="4"/>
  <c r="M242" i="4"/>
  <c r="M240" i="4"/>
  <c r="M241" i="4"/>
  <c r="O66" i="5"/>
  <c r="O121" i="7" s="1"/>
  <c r="O120" i="5"/>
  <c r="Q6" i="4"/>
  <c r="J189" i="4"/>
  <c r="K213" i="4"/>
  <c r="K270" i="4"/>
  <c r="N135" i="5"/>
  <c r="N81" i="5"/>
  <c r="N136" i="7" s="1"/>
  <c r="N108" i="5"/>
  <c r="Q122" i="6"/>
  <c r="Q68" i="6"/>
  <c r="Q210" i="7" s="1"/>
  <c r="Q95" i="6"/>
  <c r="S17" i="3"/>
  <c r="J47" i="4"/>
  <c r="I186" i="4"/>
  <c r="L216" i="4"/>
  <c r="L243" i="4"/>
  <c r="I187" i="4"/>
  <c r="N202" i="4"/>
  <c r="M157" i="6"/>
  <c r="M130" i="6"/>
  <c r="M76" i="6"/>
  <c r="M103" i="6"/>
  <c r="O74" i="5"/>
  <c r="O129" i="7" s="1"/>
  <c r="O128" i="5"/>
  <c r="O101" i="5"/>
  <c r="U136" i="5"/>
  <c r="U82" i="5"/>
  <c r="U137" i="7" s="1"/>
  <c r="U109" i="5"/>
  <c r="N17" i="3"/>
  <c r="N110" i="3" s="1"/>
  <c r="L264" i="4"/>
  <c r="L272" i="4"/>
  <c r="L273" i="4"/>
  <c r="L271" i="4"/>
  <c r="L266" i="4"/>
  <c r="L267" i="4"/>
  <c r="L269" i="4"/>
  <c r="L268" i="4"/>
  <c r="L270" i="4"/>
  <c r="M80" i="5"/>
  <c r="M135" i="7" s="1"/>
  <c r="M134" i="5"/>
  <c r="M107" i="5"/>
  <c r="R11" i="4"/>
  <c r="P9" i="4"/>
  <c r="K23" i="4"/>
  <c r="R9" i="4"/>
  <c r="P12" i="4"/>
  <c r="P11" i="4"/>
  <c r="I24" i="4"/>
  <c r="R12" i="4"/>
  <c r="P10" i="4"/>
  <c r="R10" i="4"/>
  <c r="K25" i="4"/>
  <c r="M11" i="4"/>
  <c r="J22" i="4"/>
  <c r="I47" i="4"/>
  <c r="I46" i="4" l="1"/>
  <c r="I184" i="4"/>
  <c r="I265" i="4"/>
  <c r="M172" i="4"/>
  <c r="T171" i="4"/>
  <c r="K174" i="4"/>
  <c r="P203" i="4"/>
  <c r="P90" i="6"/>
  <c r="P96" i="5"/>
  <c r="S118" i="3"/>
  <c r="S114" i="3"/>
  <c r="S109" i="3"/>
  <c r="S120" i="3"/>
  <c r="S113" i="3"/>
  <c r="S115" i="3"/>
  <c r="S116" i="3"/>
  <c r="S117" i="3"/>
  <c r="S119" i="3"/>
  <c r="S112" i="3"/>
  <c r="S111" i="3"/>
  <c r="M33" i="4"/>
  <c r="M17" i="3"/>
  <c r="M110" i="3" s="1"/>
  <c r="L81" i="5"/>
  <c r="L136" i="7" s="1"/>
  <c r="L135" i="5"/>
  <c r="L108" i="5"/>
  <c r="I215" i="4"/>
  <c r="U130" i="6"/>
  <c r="U157" i="6"/>
  <c r="U76" i="6"/>
  <c r="U103" i="6"/>
  <c r="L156" i="4"/>
  <c r="L237" i="4"/>
  <c r="L245" i="4"/>
  <c r="L246" i="4"/>
  <c r="L244" i="4"/>
  <c r="L239" i="4"/>
  <c r="L242" i="4"/>
  <c r="L241" i="4"/>
  <c r="L240" i="4"/>
  <c r="S181" i="4"/>
  <c r="H187" i="4"/>
  <c r="R203" i="4"/>
  <c r="R90" i="6"/>
  <c r="R96" i="5"/>
  <c r="N114" i="3"/>
  <c r="N117" i="3"/>
  <c r="N109" i="3"/>
  <c r="N120" i="3"/>
  <c r="N119" i="3"/>
  <c r="N116" i="3"/>
  <c r="N118" i="3"/>
  <c r="N115" i="3"/>
  <c r="N113" i="3"/>
  <c r="N112" i="3"/>
  <c r="N111" i="3"/>
  <c r="U188" i="4"/>
  <c r="U47" i="4"/>
  <c r="L171" i="4"/>
  <c r="P202" i="4"/>
  <c r="P115" i="6"/>
  <c r="P61" i="6"/>
  <c r="P203" i="7" s="1"/>
  <c r="O122" i="6"/>
  <c r="O68" i="6"/>
  <c r="O210" i="7" s="1"/>
  <c r="O95" i="6"/>
  <c r="M135" i="5"/>
  <c r="M81" i="5"/>
  <c r="M136" i="7" s="1"/>
  <c r="M108" i="5"/>
  <c r="H186" i="4"/>
  <c r="K107" i="5"/>
  <c r="M202" i="4"/>
  <c r="R200" i="4"/>
  <c r="Q115" i="6"/>
  <c r="Q61" i="6"/>
  <c r="Q203" i="7" s="1"/>
  <c r="Q88" i="6"/>
  <c r="L134" i="5"/>
  <c r="L80" i="5"/>
  <c r="L135" i="7" s="1"/>
  <c r="L107" i="5"/>
  <c r="N129" i="6"/>
  <c r="N75" i="6"/>
  <c r="N217" i="7" s="1"/>
  <c r="N102" i="6"/>
  <c r="N121" i="5"/>
  <c r="N67" i="5"/>
  <c r="N122" i="7" s="1"/>
  <c r="K216" i="4"/>
  <c r="K214" i="4"/>
  <c r="O114" i="6"/>
  <c r="O60" i="6"/>
  <c r="O202" i="7" s="1"/>
  <c r="R150" i="4"/>
  <c r="R204" i="4"/>
  <c r="R8" i="3"/>
  <c r="O170" i="4"/>
  <c r="O31" i="4"/>
  <c r="O251" i="4" s="1"/>
  <c r="I189" i="4"/>
  <c r="I270" i="4"/>
  <c r="K173" i="4"/>
  <c r="K175" i="4"/>
  <c r="R201" i="4"/>
  <c r="P200" i="4"/>
  <c r="P87" i="6"/>
  <c r="P93" i="5"/>
  <c r="J184" i="4"/>
  <c r="J46" i="4"/>
  <c r="J265" i="4" s="1"/>
  <c r="R73" i="5"/>
  <c r="R128" i="7" s="1"/>
  <c r="R127" i="5"/>
  <c r="R100" i="5"/>
  <c r="L18" i="3"/>
  <c r="J213" i="4"/>
  <c r="P201" i="4"/>
  <c r="P88" i="6"/>
  <c r="P94" i="5"/>
  <c r="R202" i="4"/>
  <c r="S110" i="3"/>
  <c r="K20" i="4"/>
  <c r="Q143" i="4"/>
  <c r="Q197" i="4"/>
  <c r="Q7" i="3"/>
  <c r="Q4" i="4"/>
  <c r="P122" i="6"/>
  <c r="P68" i="6"/>
  <c r="P210" i="7" s="1"/>
  <c r="P95" i="6"/>
  <c r="R249" i="4"/>
  <c r="R30" i="4"/>
  <c r="R168" i="4"/>
  <c r="R250" i="4"/>
  <c r="R263" i="4"/>
  <c r="R259" i="4"/>
  <c r="R261" i="4"/>
  <c r="R255" i="4"/>
  <c r="R257" i="4"/>
  <c r="R256" i="4"/>
  <c r="R262" i="4"/>
  <c r="R252" i="4"/>
  <c r="R254" i="4"/>
  <c r="R260" i="4"/>
  <c r="R253" i="4"/>
  <c r="R258" i="4"/>
  <c r="T17" i="3"/>
  <c r="T110" i="3" s="1"/>
  <c r="L238" i="4"/>
  <c r="N252" i="4"/>
  <c r="N30" i="4"/>
  <c r="N249" i="4"/>
  <c r="N168" i="4"/>
  <c r="N250" i="4"/>
  <c r="N259" i="4"/>
  <c r="N257" i="4"/>
  <c r="N262" i="4"/>
  <c r="N255" i="4"/>
  <c r="N261" i="4"/>
  <c r="N263" i="4"/>
  <c r="N260" i="4"/>
  <c r="N258" i="4"/>
  <c r="N256" i="4"/>
  <c r="N254" i="4"/>
  <c r="J25" i="4"/>
  <c r="J23" i="4"/>
  <c r="J20" i="4" s="1"/>
  <c r="P7" i="4"/>
  <c r="H24" i="4"/>
  <c r="L11" i="4"/>
  <c r="I22" i="4"/>
  <c r="H47" i="4"/>
  <c r="L33" i="4"/>
  <c r="J19" i="4" l="1"/>
  <c r="J157" i="4"/>
  <c r="J211" i="4"/>
  <c r="J238" i="4"/>
  <c r="J19" i="3"/>
  <c r="L170" i="4"/>
  <c r="L31" i="4"/>
  <c r="L253" i="4" s="1"/>
  <c r="H184" i="4"/>
  <c r="H46" i="4"/>
  <c r="H265" i="4" s="1"/>
  <c r="K171" i="4"/>
  <c r="G186" i="4"/>
  <c r="G187" i="4"/>
  <c r="R121" i="6"/>
  <c r="R67" i="6"/>
  <c r="R209" i="7" s="1"/>
  <c r="R94" i="6"/>
  <c r="L128" i="6"/>
  <c r="L74" i="6"/>
  <c r="L216" i="7" s="1"/>
  <c r="L101" i="6"/>
  <c r="L202" i="4"/>
  <c r="H189" i="4"/>
  <c r="H270" i="4"/>
  <c r="T181" i="4"/>
  <c r="L17" i="3"/>
  <c r="L110" i="3" s="1"/>
  <c r="O30" i="4"/>
  <c r="O168" i="4"/>
  <c r="O249" i="4"/>
  <c r="O250" i="4"/>
  <c r="O259" i="4"/>
  <c r="O257" i="4"/>
  <c r="O262" i="4"/>
  <c r="O255" i="4"/>
  <c r="O261" i="4"/>
  <c r="O260" i="4"/>
  <c r="O263" i="4"/>
  <c r="O258" i="4"/>
  <c r="O254" i="4"/>
  <c r="O256" i="4"/>
  <c r="O252" i="4"/>
  <c r="O253" i="4"/>
  <c r="M129" i="6"/>
  <c r="M75" i="6"/>
  <c r="M217" i="7" s="1"/>
  <c r="M102" i="6"/>
  <c r="I213" i="4"/>
  <c r="S179" i="4"/>
  <c r="S40" i="4"/>
  <c r="U184" i="4"/>
  <c r="U46" i="4"/>
  <c r="M121" i="5"/>
  <c r="M67" i="5"/>
  <c r="M122" i="7" s="1"/>
  <c r="M114" i="3"/>
  <c r="M120" i="3"/>
  <c r="M117" i="3"/>
  <c r="M119" i="3"/>
  <c r="M118" i="3"/>
  <c r="M113" i="3"/>
  <c r="M109" i="3"/>
  <c r="M115" i="3"/>
  <c r="M116" i="3"/>
  <c r="M112" i="3"/>
  <c r="M111" i="3"/>
  <c r="Q110" i="6"/>
  <c r="Q66" i="3"/>
  <c r="Q56" i="6"/>
  <c r="Q198" i="7" s="1"/>
  <c r="Q83" i="6"/>
  <c r="H215" i="4"/>
  <c r="K157" i="4"/>
  <c r="K211" i="4"/>
  <c r="K19" i="4"/>
  <c r="K19" i="3"/>
  <c r="J81" i="5"/>
  <c r="J136" i="7" s="1"/>
  <c r="J135" i="5"/>
  <c r="J108" i="5"/>
  <c r="Q62" i="5"/>
  <c r="Q117" i="7" s="1"/>
  <c r="Q116" i="5"/>
  <c r="Q36" i="3"/>
  <c r="Q89" i="5"/>
  <c r="P198" i="4"/>
  <c r="Q141" i="4"/>
  <c r="Q195" i="4"/>
  <c r="Q222" i="4"/>
  <c r="Q232" i="4"/>
  <c r="Q236" i="4"/>
  <c r="Q234" i="4"/>
  <c r="Q235" i="4"/>
  <c r="Q233" i="4"/>
  <c r="Q231" i="4"/>
  <c r="Q223" i="4"/>
  <c r="Q229" i="4"/>
  <c r="Q228" i="4"/>
  <c r="Q230" i="4"/>
  <c r="Q227" i="4"/>
  <c r="Q225" i="4"/>
  <c r="Q226" i="4"/>
  <c r="K134" i="5"/>
  <c r="K80" i="5"/>
  <c r="K135" i="7" s="1"/>
  <c r="N127" i="5"/>
  <c r="N73" i="5"/>
  <c r="N128" i="7" s="1"/>
  <c r="N100" i="5"/>
  <c r="M170" i="4"/>
  <c r="M31" i="4"/>
  <c r="M251" i="4" s="1"/>
  <c r="T116" i="3"/>
  <c r="T114" i="3"/>
  <c r="T113" i="3"/>
  <c r="T117" i="3"/>
  <c r="T118" i="3"/>
  <c r="T119" i="3"/>
  <c r="T109" i="3"/>
  <c r="T115" i="3"/>
  <c r="T120" i="3"/>
  <c r="T112" i="3"/>
  <c r="T111" i="3"/>
  <c r="Q5" i="3"/>
  <c r="L129" i="6"/>
  <c r="L75" i="6"/>
  <c r="L217" i="7" s="1"/>
  <c r="L102" i="6"/>
  <c r="N115" i="6"/>
  <c r="N61" i="6"/>
  <c r="N203" i="7" s="1"/>
  <c r="N128" i="5"/>
  <c r="N74" i="5"/>
  <c r="N129" i="7" s="1"/>
  <c r="N101" i="5"/>
  <c r="L172" i="4"/>
  <c r="G188" i="4"/>
  <c r="J214" i="4"/>
  <c r="J107" i="5"/>
  <c r="J241" i="4"/>
  <c r="J216" i="4"/>
  <c r="J243" i="4"/>
  <c r="Q224" i="4"/>
  <c r="L121" i="5"/>
  <c r="L67" i="5"/>
  <c r="L122" i="7" s="1"/>
  <c r="Q125" i="5"/>
  <c r="Q71" i="5"/>
  <c r="Q126" i="7" s="1"/>
  <c r="Q98" i="5"/>
  <c r="J264" i="4"/>
  <c r="J272" i="4"/>
  <c r="J273" i="4"/>
  <c r="J271" i="4"/>
  <c r="J266" i="4"/>
  <c r="J269" i="4"/>
  <c r="J267" i="4"/>
  <c r="J268" i="4"/>
  <c r="J270" i="4"/>
  <c r="Q132" i="5"/>
  <c r="Q78" i="5"/>
  <c r="Q133" i="7" s="1"/>
  <c r="Q105" i="5"/>
  <c r="S127" i="5"/>
  <c r="S73" i="5"/>
  <c r="S128" i="7" s="1"/>
  <c r="S100" i="5"/>
  <c r="I264" i="4"/>
  <c r="I272" i="4"/>
  <c r="I273" i="4"/>
  <c r="I271" i="4"/>
  <c r="I266" i="4"/>
  <c r="I269" i="4"/>
  <c r="I267" i="4"/>
  <c r="I268" i="4"/>
  <c r="O12" i="4"/>
  <c r="I23" i="4"/>
  <c r="S17" i="4"/>
  <c r="S9" i="4"/>
  <c r="N9" i="4"/>
  <c r="K10" i="4"/>
  <c r="O10" i="4"/>
  <c r="G24" i="4"/>
  <c r="I25" i="4"/>
  <c r="O9" i="4"/>
  <c r="K11" i="4"/>
  <c r="S12" i="4"/>
  <c r="N12" i="4"/>
  <c r="S10" i="4"/>
  <c r="N10" i="4"/>
  <c r="S11" i="4"/>
  <c r="R8" i="4"/>
  <c r="R7" i="4"/>
  <c r="U24" i="4"/>
  <c r="P8" i="4"/>
  <c r="H22" i="4"/>
  <c r="O4" i="5"/>
  <c r="O47" i="6" s="1"/>
  <c r="G215" i="4" l="1"/>
  <c r="H213" i="4"/>
  <c r="R198" i="4"/>
  <c r="R6" i="4"/>
  <c r="K202" i="4"/>
  <c r="S208" i="4"/>
  <c r="T172" i="4"/>
  <c r="T33" i="4"/>
  <c r="M128" i="5"/>
  <c r="M74" i="5"/>
  <c r="M129" i="7" s="1"/>
  <c r="M101" i="5"/>
  <c r="K243" i="4"/>
  <c r="K156" i="4"/>
  <c r="K237" i="4"/>
  <c r="K245" i="4"/>
  <c r="K246" i="4"/>
  <c r="K244" i="4"/>
  <c r="K239" i="4"/>
  <c r="K242" i="4"/>
  <c r="K240" i="4"/>
  <c r="K241" i="4"/>
  <c r="N120" i="5"/>
  <c r="N66" i="5"/>
  <c r="N121" i="7" s="1"/>
  <c r="S121" i="6"/>
  <c r="S67" i="6"/>
  <c r="S209" i="7" s="1"/>
  <c r="S94" i="6"/>
  <c r="K128" i="6"/>
  <c r="K74" i="6"/>
  <c r="K216" i="7" s="1"/>
  <c r="K101" i="6"/>
  <c r="F188" i="4"/>
  <c r="U215" i="4"/>
  <c r="U20" i="4"/>
  <c r="O200" i="4"/>
  <c r="O87" i="6"/>
  <c r="O93" i="5"/>
  <c r="O201" i="4"/>
  <c r="O88" i="6"/>
  <c r="O94" i="5"/>
  <c r="I214" i="4"/>
  <c r="N122" i="6"/>
  <c r="N68" i="6"/>
  <c r="N210" i="7" s="1"/>
  <c r="N95" i="6"/>
  <c r="P71" i="5"/>
  <c r="P126" i="7" s="1"/>
  <c r="P125" i="5"/>
  <c r="P98" i="5"/>
  <c r="H271" i="4"/>
  <c r="H264" i="4"/>
  <c r="H272" i="4"/>
  <c r="H273" i="4"/>
  <c r="H266" i="4"/>
  <c r="H269" i="4"/>
  <c r="H268" i="4"/>
  <c r="H267" i="4"/>
  <c r="G189" i="4"/>
  <c r="J173" i="4"/>
  <c r="F186" i="4"/>
  <c r="N87" i="6"/>
  <c r="T179" i="4"/>
  <c r="T40" i="4"/>
  <c r="R199" i="4"/>
  <c r="K201" i="4"/>
  <c r="O203" i="4"/>
  <c r="O96" i="5"/>
  <c r="K81" i="5"/>
  <c r="K136" i="7" s="1"/>
  <c r="K135" i="5"/>
  <c r="K108" i="5"/>
  <c r="S80" i="5"/>
  <c r="S135" i="7" s="1"/>
  <c r="S134" i="5"/>
  <c r="S107" i="5"/>
  <c r="I20" i="4"/>
  <c r="G47" i="4"/>
  <c r="J174" i="4"/>
  <c r="F187" i="4"/>
  <c r="N94" i="5"/>
  <c r="N201" i="4"/>
  <c r="N88" i="6"/>
  <c r="N93" i="5"/>
  <c r="N200" i="4"/>
  <c r="Q188" i="3"/>
  <c r="Q218" i="3"/>
  <c r="L136" i="5"/>
  <c r="L82" i="5"/>
  <c r="L137" i="7" s="1"/>
  <c r="L109" i="5"/>
  <c r="L249" i="4"/>
  <c r="L168" i="4"/>
  <c r="L250" i="4"/>
  <c r="L259" i="4"/>
  <c r="L257" i="4"/>
  <c r="L255" i="4"/>
  <c r="L262" i="4"/>
  <c r="L261" i="4"/>
  <c r="L260" i="4"/>
  <c r="L263" i="4"/>
  <c r="L258" i="4"/>
  <c r="L254" i="4"/>
  <c r="L256" i="4"/>
  <c r="L30" i="4"/>
  <c r="L252" i="4"/>
  <c r="R80" i="5"/>
  <c r="R135" i="7" s="1"/>
  <c r="R134" i="5"/>
  <c r="R107" i="5"/>
  <c r="J80" i="5"/>
  <c r="J135" i="7" s="1"/>
  <c r="J134" i="5"/>
  <c r="K18" i="3"/>
  <c r="O69" i="5"/>
  <c r="O124" i="7" s="1"/>
  <c r="O123" i="5"/>
  <c r="L251" i="4"/>
  <c r="P199" i="4"/>
  <c r="J175" i="4"/>
  <c r="S202" i="4"/>
  <c r="S201" i="4"/>
  <c r="I216" i="4"/>
  <c r="Q4" i="3"/>
  <c r="Q97" i="3" s="1"/>
  <c r="M258" i="4"/>
  <c r="M30" i="4"/>
  <c r="M168" i="4"/>
  <c r="M249" i="4"/>
  <c r="M250" i="4"/>
  <c r="M259" i="4"/>
  <c r="M257" i="4"/>
  <c r="M255" i="4"/>
  <c r="M262" i="4"/>
  <c r="M261" i="4"/>
  <c r="M260" i="4"/>
  <c r="M263" i="4"/>
  <c r="M256" i="4"/>
  <c r="M254" i="4"/>
  <c r="M252" i="4"/>
  <c r="M253" i="4"/>
  <c r="P6" i="4"/>
  <c r="K238" i="4"/>
  <c r="S177" i="4"/>
  <c r="S31" i="4"/>
  <c r="S258" i="4" s="1"/>
  <c r="L74" i="5"/>
  <c r="L129" i="7" s="1"/>
  <c r="L128" i="5"/>
  <c r="L101" i="5"/>
  <c r="J244" i="4"/>
  <c r="J156" i="4"/>
  <c r="J237" i="4"/>
  <c r="J245" i="4"/>
  <c r="J246" i="4"/>
  <c r="J239" i="4"/>
  <c r="J242" i="4"/>
  <c r="J240" i="4"/>
  <c r="I107" i="5"/>
  <c r="S93" i="5"/>
  <c r="N203" i="4"/>
  <c r="S200" i="4"/>
  <c r="N121" i="6"/>
  <c r="N67" i="6"/>
  <c r="N209" i="7" s="1"/>
  <c r="N94" i="6"/>
  <c r="I135" i="5"/>
  <c r="I81" i="5"/>
  <c r="I136" i="7" s="1"/>
  <c r="I108" i="5"/>
  <c r="M73" i="5"/>
  <c r="M128" i="7" s="1"/>
  <c r="M127" i="5"/>
  <c r="M100" i="5"/>
  <c r="P62" i="5"/>
  <c r="P117" i="7" s="1"/>
  <c r="P116" i="5"/>
  <c r="P36" i="3"/>
  <c r="P89" i="5"/>
  <c r="U265" i="4"/>
  <c r="U264" i="4"/>
  <c r="U272" i="4"/>
  <c r="U273" i="4"/>
  <c r="U271" i="4"/>
  <c r="U267" i="4"/>
  <c r="U268" i="4"/>
  <c r="U266" i="4"/>
  <c r="U270" i="4"/>
  <c r="U269" i="4"/>
  <c r="P78" i="5"/>
  <c r="P133" i="7" s="1"/>
  <c r="P132" i="5"/>
  <c r="P105" i="5"/>
  <c r="L120" i="3"/>
  <c r="L114" i="3"/>
  <c r="L118" i="3"/>
  <c r="L115" i="3"/>
  <c r="L116" i="3"/>
  <c r="L113" i="3"/>
  <c r="L117" i="3"/>
  <c r="L119" i="3"/>
  <c r="L109" i="3"/>
  <c r="L112" i="3"/>
  <c r="L111" i="3"/>
  <c r="L115" i="6"/>
  <c r="L61" i="6"/>
  <c r="L203" i="7" s="1"/>
  <c r="S96" i="5"/>
  <c r="S90" i="6"/>
  <c r="S203" i="4"/>
  <c r="M115" i="6"/>
  <c r="M61" i="6"/>
  <c r="M203" i="7" s="1"/>
  <c r="O68" i="5"/>
  <c r="O123" i="7" s="1"/>
  <c r="O122" i="5"/>
  <c r="O95" i="5"/>
  <c r="N122" i="5"/>
  <c r="N68" i="5"/>
  <c r="N123" i="7" s="1"/>
  <c r="N95" i="5"/>
  <c r="J18" i="3"/>
  <c r="H23" i="4"/>
  <c r="T17" i="4"/>
  <c r="H25" i="4"/>
  <c r="G22" i="4"/>
  <c r="N7" i="4"/>
  <c r="O7" i="4"/>
  <c r="S7" i="4"/>
  <c r="F47" i="4"/>
  <c r="N4" i="5"/>
  <c r="N47" i="6" s="1"/>
  <c r="S15" i="4"/>
  <c r="F24" i="4"/>
  <c r="F215" i="4" l="1"/>
  <c r="F184" i="4"/>
  <c r="S206" i="4"/>
  <c r="S13" i="4"/>
  <c r="T208" i="4"/>
  <c r="S198" i="4"/>
  <c r="E188" i="4"/>
  <c r="O198" i="4"/>
  <c r="E187" i="4"/>
  <c r="H214" i="4"/>
  <c r="M66" i="5"/>
  <c r="M121" i="7" s="1"/>
  <c r="M120" i="5"/>
  <c r="P188" i="3"/>
  <c r="Q105" i="3"/>
  <c r="Q102" i="3"/>
  <c r="Q101" i="3"/>
  <c r="Q103" i="3"/>
  <c r="Q104" i="3"/>
  <c r="Q96" i="3"/>
  <c r="Q108" i="3"/>
  <c r="Q106" i="3"/>
  <c r="Q107" i="3"/>
  <c r="Q100" i="3"/>
  <c r="Q98" i="3"/>
  <c r="Q99" i="3"/>
  <c r="J128" i="6"/>
  <c r="J74" i="6"/>
  <c r="J216" i="7" s="1"/>
  <c r="J101" i="6"/>
  <c r="O117" i="6"/>
  <c r="O144" i="6"/>
  <c r="O63" i="6"/>
  <c r="L127" i="5"/>
  <c r="L73" i="5"/>
  <c r="L128" i="7" s="1"/>
  <c r="L100" i="5"/>
  <c r="T170" i="4"/>
  <c r="T31" i="4"/>
  <c r="T258" i="4" s="1"/>
  <c r="S128" i="6"/>
  <c r="S74" i="6"/>
  <c r="S216" i="7" s="1"/>
  <c r="S101" i="6"/>
  <c r="I175" i="4"/>
  <c r="I11" i="4"/>
  <c r="I62" i="6"/>
  <c r="I256" i="4"/>
  <c r="I173" i="4"/>
  <c r="E186" i="4"/>
  <c r="I174" i="4"/>
  <c r="G213" i="4"/>
  <c r="N69" i="5"/>
  <c r="N124" i="7" s="1"/>
  <c r="N123" i="5"/>
  <c r="O116" i="6"/>
  <c r="O62" i="6"/>
  <c r="O204" i="7" s="1"/>
  <c r="O89" i="6"/>
  <c r="T177" i="4"/>
  <c r="R128" i="6"/>
  <c r="R74" i="6"/>
  <c r="R216" i="7" s="1"/>
  <c r="R101" i="6"/>
  <c r="J129" i="6"/>
  <c r="J75" i="6"/>
  <c r="J217" i="7" s="1"/>
  <c r="J102" i="6"/>
  <c r="Q126" i="6"/>
  <c r="Q72" i="6"/>
  <c r="Q214" i="7" s="1"/>
  <c r="Q99" i="6"/>
  <c r="P110" i="6"/>
  <c r="P66" i="3"/>
  <c r="P56" i="6"/>
  <c r="P198" i="7" s="1"/>
  <c r="P83" i="6"/>
  <c r="N116" i="6"/>
  <c r="N62" i="6"/>
  <c r="N204" i="7" s="1"/>
  <c r="N89" i="6"/>
  <c r="S120" i="5"/>
  <c r="S66" i="5"/>
  <c r="S121" i="7" s="1"/>
  <c r="K129" i="6"/>
  <c r="K75" i="6"/>
  <c r="K217" i="7" s="1"/>
  <c r="K102" i="6"/>
  <c r="M122" i="5"/>
  <c r="M68" i="5"/>
  <c r="M123" i="7" s="1"/>
  <c r="M95" i="5"/>
  <c r="G184" i="4"/>
  <c r="G46" i="4"/>
  <c r="M122" i="6"/>
  <c r="M68" i="6"/>
  <c r="M210" i="7" s="1"/>
  <c r="M95" i="6"/>
  <c r="R120" i="5"/>
  <c r="R66" i="5"/>
  <c r="R121" i="7" s="1"/>
  <c r="R93" i="5"/>
  <c r="N198" i="4"/>
  <c r="H216" i="4"/>
  <c r="L130" i="6"/>
  <c r="L157" i="6"/>
  <c r="L76" i="6"/>
  <c r="L103" i="6"/>
  <c r="I211" i="4"/>
  <c r="I157" i="4"/>
  <c r="I19" i="4"/>
  <c r="I19" i="3"/>
  <c r="H20" i="4"/>
  <c r="F189" i="4"/>
  <c r="J171" i="4"/>
  <c r="K82" i="5"/>
  <c r="K137" i="7" s="1"/>
  <c r="K136" i="5"/>
  <c r="K109" i="5"/>
  <c r="I134" i="5"/>
  <c r="I80" i="5"/>
  <c r="I135" i="7" s="1"/>
  <c r="K17" i="3"/>
  <c r="K110" i="3" s="1"/>
  <c r="U211" i="4"/>
  <c r="U157" i="4"/>
  <c r="U19" i="4"/>
  <c r="U19" i="3"/>
  <c r="J17" i="3"/>
  <c r="J110" i="3" s="1"/>
  <c r="M121" i="6"/>
  <c r="M67" i="6"/>
  <c r="M209" i="7" s="1"/>
  <c r="M94" i="6"/>
  <c r="L122" i="6"/>
  <c r="L68" i="6"/>
  <c r="L210" i="7" s="1"/>
  <c r="L95" i="6"/>
  <c r="P143" i="4"/>
  <c r="P197" i="4"/>
  <c r="P7" i="3"/>
  <c r="P4" i="4"/>
  <c r="N96" i="5"/>
  <c r="S249" i="4"/>
  <c r="S168" i="4"/>
  <c r="S30" i="4"/>
  <c r="S250" i="4"/>
  <c r="S263" i="4"/>
  <c r="S261" i="4"/>
  <c r="S259" i="4"/>
  <c r="S255" i="4"/>
  <c r="S257" i="4"/>
  <c r="S256" i="4"/>
  <c r="S254" i="4"/>
  <c r="S252" i="4"/>
  <c r="S253" i="4"/>
  <c r="S251" i="4"/>
  <c r="S262" i="4"/>
  <c r="S260" i="4"/>
  <c r="K172" i="4"/>
  <c r="K33" i="4"/>
  <c r="O90" i="6"/>
  <c r="N114" i="6"/>
  <c r="N60" i="6"/>
  <c r="N202" i="7" s="1"/>
  <c r="R197" i="4"/>
  <c r="R143" i="4"/>
  <c r="R7" i="3"/>
  <c r="R4" i="4"/>
  <c r="M9" i="4"/>
  <c r="O8" i="4"/>
  <c r="O6" i="4" s="1"/>
  <c r="M10" i="4"/>
  <c r="E24" i="4"/>
  <c r="J10" i="4"/>
  <c r="J11" i="4"/>
  <c r="N8" i="4"/>
  <c r="N6" i="4" s="1"/>
  <c r="G23" i="4"/>
  <c r="M12" i="4"/>
  <c r="S8" i="4"/>
  <c r="S6" i="4" s="1"/>
  <c r="G25" i="4"/>
  <c r="T15" i="4"/>
  <c r="M4" i="5"/>
  <c r="M47" i="6" s="1"/>
  <c r="F22" i="4"/>
  <c r="E47" i="4"/>
  <c r="J33" i="4"/>
  <c r="G20" i="4" l="1"/>
  <c r="S4" i="4"/>
  <c r="S224" i="4" s="1"/>
  <c r="S143" i="4"/>
  <c r="S197" i="4"/>
  <c r="S7" i="3"/>
  <c r="O143" i="4"/>
  <c r="O197" i="4"/>
  <c r="O7" i="3"/>
  <c r="O4" i="4"/>
  <c r="E184" i="4"/>
  <c r="J170" i="4"/>
  <c r="J31" i="4"/>
  <c r="G211" i="4"/>
  <c r="G19" i="4"/>
  <c r="G241" i="4" s="1"/>
  <c r="G157" i="4"/>
  <c r="G19" i="3"/>
  <c r="N143" i="4"/>
  <c r="N197" i="4"/>
  <c r="N7" i="3"/>
  <c r="N4" i="4"/>
  <c r="N226" i="4" s="1"/>
  <c r="E215" i="4"/>
  <c r="C188" i="4"/>
  <c r="M123" i="5"/>
  <c r="M69" i="5"/>
  <c r="M124" i="7" s="1"/>
  <c r="U244" i="4"/>
  <c r="U156" i="4"/>
  <c r="U237" i="4"/>
  <c r="U245" i="4"/>
  <c r="U246" i="4"/>
  <c r="U241" i="4"/>
  <c r="U240" i="4"/>
  <c r="U239" i="4"/>
  <c r="U243" i="4"/>
  <c r="U242" i="4"/>
  <c r="I244" i="4"/>
  <c r="I237" i="4"/>
  <c r="I156" i="4"/>
  <c r="I245" i="4"/>
  <c r="I246" i="4"/>
  <c r="I239" i="4"/>
  <c r="I242" i="4"/>
  <c r="I240" i="4"/>
  <c r="I243" i="4"/>
  <c r="I241" i="4"/>
  <c r="L121" i="6"/>
  <c r="L67" i="6"/>
  <c r="L209" i="7" s="1"/>
  <c r="L94" i="6"/>
  <c r="P122" i="5"/>
  <c r="P68" i="5"/>
  <c r="P123" i="7" s="1"/>
  <c r="P95" i="5"/>
  <c r="R71" i="5"/>
  <c r="R126" i="7" s="1"/>
  <c r="R125" i="5"/>
  <c r="R98" i="5"/>
  <c r="K157" i="6"/>
  <c r="K130" i="6"/>
  <c r="K76" i="6"/>
  <c r="K103" i="6"/>
  <c r="L120" i="5"/>
  <c r="L66" i="5"/>
  <c r="L121" i="7" s="1"/>
  <c r="M203" i="4"/>
  <c r="M96" i="5"/>
  <c r="J201" i="4"/>
  <c r="M87" i="6"/>
  <c r="M200" i="4"/>
  <c r="M93" i="5"/>
  <c r="I128" i="6"/>
  <c r="I74" i="6"/>
  <c r="I216" i="7" s="1"/>
  <c r="I101" i="6"/>
  <c r="M114" i="6"/>
  <c r="M60" i="6"/>
  <c r="M202" i="7" s="1"/>
  <c r="I129" i="6"/>
  <c r="I75" i="6"/>
  <c r="I217" i="7" s="1"/>
  <c r="I102" i="6"/>
  <c r="S110" i="6"/>
  <c r="S66" i="3"/>
  <c r="S56" i="6"/>
  <c r="S198" i="7" s="1"/>
  <c r="S83" i="6"/>
  <c r="P141" i="4"/>
  <c r="P195" i="4"/>
  <c r="P222" i="4"/>
  <c r="P223" i="4"/>
  <c r="P232" i="4"/>
  <c r="P234" i="4"/>
  <c r="P233" i="4"/>
  <c r="P231" i="4"/>
  <c r="P235" i="4"/>
  <c r="P236" i="4"/>
  <c r="P230" i="4"/>
  <c r="P229" i="4"/>
  <c r="P227" i="4"/>
  <c r="P228" i="4"/>
  <c r="P225" i="4"/>
  <c r="P226" i="4"/>
  <c r="J119" i="3"/>
  <c r="J113" i="3"/>
  <c r="J116" i="3"/>
  <c r="J117" i="3"/>
  <c r="J118" i="3"/>
  <c r="J120" i="3"/>
  <c r="J114" i="3"/>
  <c r="J109" i="3"/>
  <c r="J115" i="3"/>
  <c r="J112" i="3"/>
  <c r="J111" i="3"/>
  <c r="N144" i="6"/>
  <c r="N117" i="6"/>
  <c r="N63" i="6"/>
  <c r="N90" i="6"/>
  <c r="G271" i="4"/>
  <c r="G264" i="4"/>
  <c r="G272" i="4"/>
  <c r="G273" i="4"/>
  <c r="G266" i="4"/>
  <c r="G269" i="4"/>
  <c r="G268" i="4"/>
  <c r="G267" i="4"/>
  <c r="G270" i="4"/>
  <c r="R132" i="5"/>
  <c r="R78" i="5"/>
  <c r="R133" i="7" s="1"/>
  <c r="R105" i="5"/>
  <c r="G214" i="4"/>
  <c r="R222" i="4"/>
  <c r="R141" i="4"/>
  <c r="R195" i="4"/>
  <c r="R232" i="4"/>
  <c r="R234" i="4"/>
  <c r="R236" i="4"/>
  <c r="R223" i="4"/>
  <c r="R235" i="4"/>
  <c r="R233" i="4"/>
  <c r="R230" i="4"/>
  <c r="R228" i="4"/>
  <c r="R229" i="4"/>
  <c r="R227" i="4"/>
  <c r="R231" i="4"/>
  <c r="R225" i="4"/>
  <c r="R226" i="4"/>
  <c r="P5" i="3"/>
  <c r="J82" i="5"/>
  <c r="J137" i="7" s="1"/>
  <c r="J136" i="5"/>
  <c r="J109" i="5"/>
  <c r="S204" i="4"/>
  <c r="S150" i="4"/>
  <c r="S231" i="4"/>
  <c r="S8" i="3"/>
  <c r="Q119" i="6"/>
  <c r="Q65" i="6"/>
  <c r="Q207" i="7" s="1"/>
  <c r="Q92" i="6"/>
  <c r="D186" i="4"/>
  <c r="P126" i="6"/>
  <c r="P72" i="6"/>
  <c r="P214" i="7" s="1"/>
  <c r="P99" i="6"/>
  <c r="N199" i="4"/>
  <c r="R5" i="3"/>
  <c r="P224" i="4"/>
  <c r="H135" i="5"/>
  <c r="H81" i="5"/>
  <c r="H136" i="7" s="1"/>
  <c r="H108" i="5"/>
  <c r="M116" i="6"/>
  <c r="M62" i="6"/>
  <c r="M204" i="7" s="1"/>
  <c r="M89" i="6"/>
  <c r="G265" i="4"/>
  <c r="R116" i="5"/>
  <c r="R62" i="5"/>
  <c r="R117" i="7" s="1"/>
  <c r="R36" i="3"/>
  <c r="R89" i="5"/>
  <c r="K127" i="5"/>
  <c r="K73" i="5"/>
  <c r="K128" i="7" s="1"/>
  <c r="K100" i="5"/>
  <c r="H256" i="4"/>
  <c r="H11" i="4"/>
  <c r="H175" i="4"/>
  <c r="H62" i="6"/>
  <c r="D187" i="4"/>
  <c r="F213" i="4"/>
  <c r="I171" i="4"/>
  <c r="M94" i="5"/>
  <c r="M88" i="6"/>
  <c r="M201" i="4"/>
  <c r="R224" i="4"/>
  <c r="H157" i="4"/>
  <c r="H19" i="4"/>
  <c r="H238" i="4" s="1"/>
  <c r="H211" i="4"/>
  <c r="H19" i="3"/>
  <c r="L122" i="5"/>
  <c r="L68" i="5"/>
  <c r="L123" i="7" s="1"/>
  <c r="L95" i="5"/>
  <c r="J172" i="4"/>
  <c r="J253" i="4"/>
  <c r="E189" i="4"/>
  <c r="H174" i="4"/>
  <c r="T206" i="4"/>
  <c r="T13" i="4"/>
  <c r="G216" i="4"/>
  <c r="G243" i="4"/>
  <c r="J202" i="4"/>
  <c r="K170" i="4"/>
  <c r="K31" i="4"/>
  <c r="S78" i="5"/>
  <c r="S133" i="7" s="1"/>
  <c r="S132" i="5"/>
  <c r="S105" i="5"/>
  <c r="S62" i="5"/>
  <c r="S117" i="7" s="1"/>
  <c r="S116" i="5"/>
  <c r="S36" i="3"/>
  <c r="S89" i="5"/>
  <c r="K121" i="5"/>
  <c r="K67" i="5"/>
  <c r="K122" i="7" s="1"/>
  <c r="K94" i="5"/>
  <c r="S125" i="5"/>
  <c r="S71" i="5"/>
  <c r="S126" i="7" s="1"/>
  <c r="S98" i="5"/>
  <c r="U18" i="3"/>
  <c r="S114" i="6"/>
  <c r="S60" i="6"/>
  <c r="S202" i="7" s="1"/>
  <c r="S87" i="6"/>
  <c r="H134" i="5"/>
  <c r="H80" i="5"/>
  <c r="H135" i="7" s="1"/>
  <c r="I18" i="3"/>
  <c r="I229" i="4"/>
  <c r="I89" i="6"/>
  <c r="I95" i="5"/>
  <c r="I202" i="4"/>
  <c r="T251" i="4"/>
  <c r="T249" i="4"/>
  <c r="T30" i="4"/>
  <c r="T168" i="4"/>
  <c r="T250" i="4"/>
  <c r="T263" i="4"/>
  <c r="T261" i="4"/>
  <c r="T259" i="4"/>
  <c r="T255" i="4"/>
  <c r="T257" i="4"/>
  <c r="T256" i="4"/>
  <c r="T254" i="4"/>
  <c r="T252" i="4"/>
  <c r="T262" i="4"/>
  <c r="T260" i="4"/>
  <c r="T253" i="4"/>
  <c r="H107" i="5"/>
  <c r="D188" i="4"/>
  <c r="H173" i="4"/>
  <c r="S199" i="4"/>
  <c r="S226" i="4"/>
  <c r="O199" i="4"/>
  <c r="O226" i="4"/>
  <c r="U238" i="4"/>
  <c r="K120" i="3"/>
  <c r="K115" i="3"/>
  <c r="K114" i="3"/>
  <c r="K119" i="3"/>
  <c r="K116" i="3"/>
  <c r="K113" i="3"/>
  <c r="K117" i="3"/>
  <c r="K109" i="3"/>
  <c r="K118" i="3"/>
  <c r="K112" i="3"/>
  <c r="K111" i="3"/>
  <c r="I238" i="4"/>
  <c r="R81" i="5"/>
  <c r="R136" i="7" s="1"/>
  <c r="R135" i="5"/>
  <c r="R108" i="5"/>
  <c r="P218" i="3"/>
  <c r="R114" i="6"/>
  <c r="R60" i="6"/>
  <c r="R202" i="7" s="1"/>
  <c r="R87" i="6"/>
  <c r="F25" i="4"/>
  <c r="L9" i="4"/>
  <c r="T10" i="4"/>
  <c r="L12" i="4"/>
  <c r="T12" i="4"/>
  <c r="T9" i="4"/>
  <c r="L10" i="4"/>
  <c r="I10" i="4"/>
  <c r="T11" i="4"/>
  <c r="F23" i="4"/>
  <c r="D24" i="4"/>
  <c r="E22" i="4"/>
  <c r="M7" i="4"/>
  <c r="F20" i="4" l="1"/>
  <c r="F157" i="4" s="1"/>
  <c r="F19" i="3"/>
  <c r="D215" i="4"/>
  <c r="I172" i="4"/>
  <c r="T202" i="4"/>
  <c r="S188" i="3"/>
  <c r="H129" i="6"/>
  <c r="H75" i="6"/>
  <c r="H217" i="7" s="1"/>
  <c r="H102" i="6"/>
  <c r="I136" i="5"/>
  <c r="I82" i="5"/>
  <c r="I137" i="7" s="1"/>
  <c r="I109" i="5"/>
  <c r="Q122" i="5"/>
  <c r="Q68" i="5"/>
  <c r="Q123" i="7" s="1"/>
  <c r="Q95" i="5"/>
  <c r="K115" i="6"/>
  <c r="K61" i="6"/>
  <c r="K203" i="7" s="1"/>
  <c r="K88" i="6"/>
  <c r="S5" i="3"/>
  <c r="P119" i="6"/>
  <c r="P65" i="6"/>
  <c r="P207" i="7" s="1"/>
  <c r="P92" i="6"/>
  <c r="R110" i="6"/>
  <c r="R66" i="3"/>
  <c r="R56" i="6"/>
  <c r="R198" i="7" s="1"/>
  <c r="R83" i="6"/>
  <c r="G174" i="4"/>
  <c r="T96" i="5"/>
  <c r="T203" i="4"/>
  <c r="T90" i="6"/>
  <c r="L69" i="5"/>
  <c r="L124" i="7" s="1"/>
  <c r="L123" i="5"/>
  <c r="R67" i="5"/>
  <c r="R122" i="7" s="1"/>
  <c r="R121" i="5"/>
  <c r="R94" i="5"/>
  <c r="J262" i="4"/>
  <c r="J168" i="4"/>
  <c r="J249" i="4"/>
  <c r="J30" i="4"/>
  <c r="J250" i="4"/>
  <c r="J259" i="4"/>
  <c r="J257" i="4"/>
  <c r="J261" i="4"/>
  <c r="J260" i="4"/>
  <c r="J263" i="4"/>
  <c r="J258" i="4"/>
  <c r="J255" i="4"/>
  <c r="J254" i="4"/>
  <c r="J256" i="4"/>
  <c r="J252" i="4"/>
  <c r="O232" i="4"/>
  <c r="O141" i="4"/>
  <c r="O195" i="4"/>
  <c r="O222" i="4"/>
  <c r="O223" i="4"/>
  <c r="O234" i="4"/>
  <c r="O233" i="4"/>
  <c r="O236" i="4"/>
  <c r="O235" i="4"/>
  <c r="O231" i="4"/>
  <c r="O229" i="4"/>
  <c r="O230" i="4"/>
  <c r="O228" i="4"/>
  <c r="O227" i="4"/>
  <c r="O225" i="4"/>
  <c r="D189" i="4"/>
  <c r="I201" i="4"/>
  <c r="L200" i="4"/>
  <c r="L93" i="5"/>
  <c r="L87" i="6"/>
  <c r="K251" i="4"/>
  <c r="K249" i="4"/>
  <c r="K30" i="4"/>
  <c r="K168" i="4"/>
  <c r="K250" i="4"/>
  <c r="K259" i="4"/>
  <c r="K257" i="4"/>
  <c r="K261" i="4"/>
  <c r="K262" i="4"/>
  <c r="K263" i="4"/>
  <c r="K260" i="4"/>
  <c r="K258" i="4"/>
  <c r="K256" i="4"/>
  <c r="K255" i="4"/>
  <c r="K254" i="4"/>
  <c r="K252" i="4"/>
  <c r="K253" i="4"/>
  <c r="H18" i="3"/>
  <c r="V129" i="5"/>
  <c r="V75" i="5"/>
  <c r="V130" i="7" s="1"/>
  <c r="J73" i="5"/>
  <c r="J128" i="7" s="1"/>
  <c r="J127" i="5"/>
  <c r="J100" i="5"/>
  <c r="M117" i="6"/>
  <c r="M144" i="6"/>
  <c r="M63" i="6"/>
  <c r="S218" i="3"/>
  <c r="G18" i="3"/>
  <c r="O5" i="3"/>
  <c r="C186" i="4"/>
  <c r="E213" i="4"/>
  <c r="L201" i="4"/>
  <c r="L94" i="5"/>
  <c r="L88" i="6"/>
  <c r="I17" i="3"/>
  <c r="I110" i="3" s="1"/>
  <c r="G80" i="5"/>
  <c r="G135" i="7" s="1"/>
  <c r="G134" i="5"/>
  <c r="K68" i="5"/>
  <c r="K123" i="7" s="1"/>
  <c r="K122" i="5"/>
  <c r="K95" i="5"/>
  <c r="K74" i="5"/>
  <c r="K129" i="7" s="1"/>
  <c r="K128" i="5"/>
  <c r="K101" i="5"/>
  <c r="J130" i="6"/>
  <c r="J157" i="6"/>
  <c r="J76" i="6"/>
  <c r="J103" i="6"/>
  <c r="N141" i="4"/>
  <c r="N195" i="4"/>
  <c r="N222" i="4"/>
  <c r="N223" i="4"/>
  <c r="N232" i="4"/>
  <c r="N234" i="4"/>
  <c r="N235" i="4"/>
  <c r="N233" i="4"/>
  <c r="N236" i="4"/>
  <c r="N231" i="4"/>
  <c r="N229" i="4"/>
  <c r="N227" i="4"/>
  <c r="N230" i="4"/>
  <c r="N228" i="4"/>
  <c r="N225" i="4"/>
  <c r="J251" i="4"/>
  <c r="O224" i="4"/>
  <c r="B186" i="4"/>
  <c r="G173" i="4"/>
  <c r="T200" i="4"/>
  <c r="G107" i="5"/>
  <c r="O116" i="5"/>
  <c r="O62" i="5"/>
  <c r="O117" i="7" s="1"/>
  <c r="O36" i="3"/>
  <c r="O89" i="5"/>
  <c r="N5" i="3"/>
  <c r="G240" i="4"/>
  <c r="G156" i="4"/>
  <c r="G237" i="4"/>
  <c r="G245" i="4"/>
  <c r="G246" i="4"/>
  <c r="G244" i="4"/>
  <c r="G239" i="4"/>
  <c r="G242" i="4"/>
  <c r="M198" i="4"/>
  <c r="G11" i="4"/>
  <c r="G175" i="4"/>
  <c r="G256" i="4"/>
  <c r="G62" i="6"/>
  <c r="L4" i="5"/>
  <c r="L47" i="6" s="1"/>
  <c r="L203" i="4"/>
  <c r="L96" i="5"/>
  <c r="R129" i="6"/>
  <c r="R75" i="6"/>
  <c r="R217" i="7" s="1"/>
  <c r="R102" i="6"/>
  <c r="U17" i="3"/>
  <c r="U110" i="3" s="1"/>
  <c r="T150" i="4"/>
  <c r="T204" i="4"/>
  <c r="T8" i="3"/>
  <c r="H242" i="4"/>
  <c r="H237" i="4"/>
  <c r="H156" i="4"/>
  <c r="H245" i="4"/>
  <c r="H246" i="4"/>
  <c r="H244" i="4"/>
  <c r="H239" i="4"/>
  <c r="H240" i="4"/>
  <c r="H241" i="4"/>
  <c r="H243" i="4"/>
  <c r="H89" i="6"/>
  <c r="H95" i="5"/>
  <c r="H229" i="4"/>
  <c r="H202" i="4"/>
  <c r="R188" i="3"/>
  <c r="K120" i="5"/>
  <c r="K66" i="5"/>
  <c r="K121" i="7" s="1"/>
  <c r="P4" i="3"/>
  <c r="P97" i="3" s="1"/>
  <c r="P116" i="6"/>
  <c r="P62" i="6"/>
  <c r="P204" i="7" s="1"/>
  <c r="P89" i="6"/>
  <c r="L114" i="6"/>
  <c r="L60" i="6"/>
  <c r="L202" i="7" s="1"/>
  <c r="C187" i="4"/>
  <c r="H171" i="4"/>
  <c r="F216" i="4"/>
  <c r="L116" i="6"/>
  <c r="L62" i="6"/>
  <c r="L204" i="7" s="1"/>
  <c r="L89" i="6"/>
  <c r="K121" i="6"/>
  <c r="K67" i="6"/>
  <c r="K209" i="7" s="1"/>
  <c r="K94" i="6"/>
  <c r="I33" i="4"/>
  <c r="R4" i="3"/>
  <c r="R97" i="3" s="1"/>
  <c r="D47" i="4"/>
  <c r="O132" i="5"/>
  <c r="O78" i="5"/>
  <c r="O133" i="7" s="1"/>
  <c r="O105" i="5"/>
  <c r="O125" i="5"/>
  <c r="O71" i="5"/>
  <c r="O126" i="7" s="1"/>
  <c r="O98" i="5"/>
  <c r="N224" i="4"/>
  <c r="G238" i="4"/>
  <c r="S141" i="4"/>
  <c r="S195" i="4"/>
  <c r="S222" i="4"/>
  <c r="S223" i="4"/>
  <c r="S234" i="4"/>
  <c r="S232" i="4"/>
  <c r="S236" i="4"/>
  <c r="S235" i="4"/>
  <c r="S229" i="4"/>
  <c r="S230" i="4"/>
  <c r="S227" i="4"/>
  <c r="S228" i="4"/>
  <c r="S225" i="4"/>
  <c r="S233" i="4"/>
  <c r="F214" i="4"/>
  <c r="F107" i="5"/>
  <c r="T201" i="4"/>
  <c r="H128" i="6"/>
  <c r="H74" i="6"/>
  <c r="H216" i="7" s="1"/>
  <c r="H101" i="6"/>
  <c r="M90" i="6"/>
  <c r="T7" i="4"/>
  <c r="C24" i="4"/>
  <c r="L7" i="4"/>
  <c r="E25" i="4"/>
  <c r="K9" i="4"/>
  <c r="K12" i="4"/>
  <c r="E23" i="4"/>
  <c r="H10" i="4"/>
  <c r="M8" i="4"/>
  <c r="M6" i="4" s="1"/>
  <c r="K4" i="5"/>
  <c r="K47" i="6" s="1"/>
  <c r="D22" i="4"/>
  <c r="F211" i="4" l="1"/>
  <c r="M4" i="4"/>
  <c r="M143" i="4"/>
  <c r="M197" i="4"/>
  <c r="M224" i="4"/>
  <c r="M7" i="3"/>
  <c r="B188" i="4"/>
  <c r="L198" i="4"/>
  <c r="G128" i="6"/>
  <c r="G74" i="6"/>
  <c r="G216" i="7" s="1"/>
  <c r="G101" i="6"/>
  <c r="T80" i="5"/>
  <c r="T135" i="7" s="1"/>
  <c r="T134" i="5"/>
  <c r="T107" i="5"/>
  <c r="J121" i="6"/>
  <c r="J67" i="6"/>
  <c r="J209" i="7" s="1"/>
  <c r="J94" i="6"/>
  <c r="O4" i="3"/>
  <c r="O97" i="3" s="1"/>
  <c r="M62" i="5"/>
  <c r="M117" i="7" s="1"/>
  <c r="M116" i="5"/>
  <c r="M36" i="3"/>
  <c r="M89" i="5"/>
  <c r="S4" i="3"/>
  <c r="S97" i="3" s="1"/>
  <c r="F174" i="4"/>
  <c r="H201" i="4"/>
  <c r="K96" i="5"/>
  <c r="K203" i="4"/>
  <c r="N125" i="5"/>
  <c r="N71" i="5"/>
  <c r="N126" i="7" s="1"/>
  <c r="N98" i="5"/>
  <c r="M78" i="5"/>
  <c r="M133" i="7" s="1"/>
  <c r="M132" i="5"/>
  <c r="M105" i="5"/>
  <c r="K123" i="5"/>
  <c r="K69" i="5"/>
  <c r="K124" i="7" s="1"/>
  <c r="F134" i="5"/>
  <c r="F80" i="5"/>
  <c r="F135" i="7" s="1"/>
  <c r="C189" i="4"/>
  <c r="F173" i="4"/>
  <c r="K93" i="5"/>
  <c r="K200" i="4"/>
  <c r="K87" i="6"/>
  <c r="O188" i="3"/>
  <c r="Q116" i="6"/>
  <c r="Q62" i="6"/>
  <c r="Q204" i="7" s="1"/>
  <c r="Q89" i="6"/>
  <c r="K122" i="6"/>
  <c r="K68" i="6"/>
  <c r="K210" i="7" s="1"/>
  <c r="K95" i="6"/>
  <c r="E216" i="4"/>
  <c r="D184" i="4"/>
  <c r="T127" i="5"/>
  <c r="T73" i="5"/>
  <c r="T128" i="7" s="1"/>
  <c r="T100" i="5"/>
  <c r="I66" i="5"/>
  <c r="I121" i="7" s="1"/>
  <c r="I120" i="5"/>
  <c r="C47" i="4"/>
  <c r="D213" i="4"/>
  <c r="S126" i="6"/>
  <c r="S72" i="6"/>
  <c r="S214" i="7" s="1"/>
  <c r="S99" i="6"/>
  <c r="R126" i="6"/>
  <c r="R72" i="6"/>
  <c r="R214" i="7" s="1"/>
  <c r="R99" i="6"/>
  <c r="H136" i="5"/>
  <c r="H82" i="5"/>
  <c r="H137" i="7" s="1"/>
  <c r="H109" i="5"/>
  <c r="G202" i="4"/>
  <c r="G89" i="6"/>
  <c r="G95" i="5"/>
  <c r="G229" i="4"/>
  <c r="M125" i="5"/>
  <c r="M71" i="5"/>
  <c r="M126" i="7" s="1"/>
  <c r="M98" i="5"/>
  <c r="N62" i="5"/>
  <c r="N117" i="7" s="1"/>
  <c r="N116" i="5"/>
  <c r="N36" i="3"/>
  <c r="N89" i="5"/>
  <c r="I130" i="6"/>
  <c r="I157" i="6"/>
  <c r="I76" i="6"/>
  <c r="I103" i="6"/>
  <c r="L117" i="6"/>
  <c r="L144" i="6"/>
  <c r="L63" i="6"/>
  <c r="I73" i="5"/>
  <c r="I128" i="7" s="1"/>
  <c r="I127" i="5"/>
  <c r="I100" i="5"/>
  <c r="H17" i="3"/>
  <c r="H110" i="3" s="1"/>
  <c r="N132" i="5"/>
  <c r="N78" i="5"/>
  <c r="N133" i="7" s="1"/>
  <c r="N105" i="5"/>
  <c r="B187" i="4"/>
  <c r="F11" i="4"/>
  <c r="F175" i="4"/>
  <c r="F256" i="4"/>
  <c r="F62" i="6"/>
  <c r="M199" i="4"/>
  <c r="M226" i="4"/>
  <c r="E107" i="5"/>
  <c r="E214" i="4"/>
  <c r="C215" i="4"/>
  <c r="K116" i="6"/>
  <c r="K62" i="6"/>
  <c r="K204" i="7" s="1"/>
  <c r="K89" i="6"/>
  <c r="R103" i="3"/>
  <c r="R101" i="3"/>
  <c r="R96" i="3"/>
  <c r="R104" i="3"/>
  <c r="R106" i="3"/>
  <c r="R107" i="3"/>
  <c r="R105" i="3"/>
  <c r="R102" i="3"/>
  <c r="R108" i="3"/>
  <c r="R98" i="3"/>
  <c r="R100" i="3"/>
  <c r="R99" i="3"/>
  <c r="K114" i="6"/>
  <c r="K60" i="6"/>
  <c r="K202" i="7" s="1"/>
  <c r="G135" i="5"/>
  <c r="G81" i="5"/>
  <c r="G136" i="7" s="1"/>
  <c r="G108" i="5"/>
  <c r="G17" i="3"/>
  <c r="G110" i="3" s="1"/>
  <c r="O110" i="6"/>
  <c r="O66" i="3"/>
  <c r="O56" i="6"/>
  <c r="O198" i="7" s="1"/>
  <c r="O83" i="6"/>
  <c r="V180" i="4"/>
  <c r="P105" i="3"/>
  <c r="P104" i="3"/>
  <c r="P101" i="3"/>
  <c r="P106" i="3"/>
  <c r="P96" i="3"/>
  <c r="P107" i="3"/>
  <c r="P103" i="3"/>
  <c r="P102" i="3"/>
  <c r="P108" i="3"/>
  <c r="P98" i="3"/>
  <c r="P100" i="3"/>
  <c r="P99" i="3"/>
  <c r="U109" i="3"/>
  <c r="U117" i="3"/>
  <c r="U120" i="3"/>
  <c r="U115" i="3"/>
  <c r="U119" i="3"/>
  <c r="U114" i="3"/>
  <c r="U118" i="3"/>
  <c r="U113" i="3"/>
  <c r="U116" i="3"/>
  <c r="U112" i="3"/>
  <c r="U111" i="3"/>
  <c r="L90" i="6"/>
  <c r="N4" i="3"/>
  <c r="N97" i="3" s="1"/>
  <c r="B47" i="4"/>
  <c r="I114" i="3"/>
  <c r="I119" i="3"/>
  <c r="I115" i="3"/>
  <c r="I109" i="3"/>
  <c r="I118" i="3"/>
  <c r="I116" i="3"/>
  <c r="I113" i="3"/>
  <c r="I120" i="3"/>
  <c r="I117" i="3"/>
  <c r="I112" i="3"/>
  <c r="I111" i="3"/>
  <c r="E20" i="4"/>
  <c r="B189" i="4"/>
  <c r="R119" i="6"/>
  <c r="R65" i="6"/>
  <c r="R207" i="7" s="1"/>
  <c r="R92" i="6"/>
  <c r="G171" i="4"/>
  <c r="T198" i="4"/>
  <c r="R115" i="6"/>
  <c r="R61" i="6"/>
  <c r="R203" i="7" s="1"/>
  <c r="R88" i="6"/>
  <c r="I170" i="4"/>
  <c r="I31" i="4"/>
  <c r="I251" i="4" s="1"/>
  <c r="V123" i="6"/>
  <c r="V150" i="6"/>
  <c r="V69" i="6"/>
  <c r="J120" i="5"/>
  <c r="J66" i="5"/>
  <c r="J121" i="7" s="1"/>
  <c r="J121" i="5"/>
  <c r="J67" i="5"/>
  <c r="J122" i="7" s="1"/>
  <c r="J94" i="5"/>
  <c r="R218" i="3"/>
  <c r="D23" i="4"/>
  <c r="D25" i="4"/>
  <c r="G10" i="4"/>
  <c r="K7" i="4"/>
  <c r="I4" i="5"/>
  <c r="I47" i="6" s="1"/>
  <c r="B22" i="4"/>
  <c r="L8" i="4"/>
  <c r="T8" i="4"/>
  <c r="C22" i="4"/>
  <c r="N110" i="6" l="1"/>
  <c r="N66" i="3"/>
  <c r="N56" i="6"/>
  <c r="N198" i="7" s="1"/>
  <c r="N83" i="6"/>
  <c r="O119" i="6"/>
  <c r="O65" i="6"/>
  <c r="O207" i="7" s="1"/>
  <c r="O92" i="6"/>
  <c r="E174" i="4"/>
  <c r="U174" i="4"/>
  <c r="T199" i="4"/>
  <c r="L199" i="4"/>
  <c r="R68" i="5"/>
  <c r="R123" i="7" s="1"/>
  <c r="R122" i="5"/>
  <c r="R95" i="5"/>
  <c r="F202" i="4"/>
  <c r="F89" i="6"/>
  <c r="F229" i="4"/>
  <c r="F95" i="5"/>
  <c r="S128" i="5"/>
  <c r="S74" i="5"/>
  <c r="S129" i="7" s="1"/>
  <c r="S101" i="5"/>
  <c r="S135" i="5"/>
  <c r="S81" i="5"/>
  <c r="S136" i="7" s="1"/>
  <c r="S108" i="5"/>
  <c r="P64" i="5"/>
  <c r="P119" i="7" s="1"/>
  <c r="P118" i="5"/>
  <c r="P91" i="5"/>
  <c r="G129" i="6"/>
  <c r="G75" i="6"/>
  <c r="G217" i="7" s="1"/>
  <c r="G102" i="6"/>
  <c r="S119" i="6"/>
  <c r="S65" i="6"/>
  <c r="S207" i="7" s="1"/>
  <c r="S92" i="6"/>
  <c r="U173" i="4"/>
  <c r="E11" i="4"/>
  <c r="E175" i="4"/>
  <c r="E62" i="6"/>
  <c r="E256" i="4"/>
  <c r="D214" i="4"/>
  <c r="B184" i="4"/>
  <c r="G109" i="3"/>
  <c r="G117" i="3"/>
  <c r="G118" i="3"/>
  <c r="G115" i="3"/>
  <c r="G114" i="3"/>
  <c r="G113" i="3"/>
  <c r="G116" i="3"/>
  <c r="G119" i="3"/>
  <c r="G120" i="3"/>
  <c r="G112" i="3"/>
  <c r="G111" i="3"/>
  <c r="H172" i="4"/>
  <c r="H33" i="4"/>
  <c r="N188" i="3"/>
  <c r="J122" i="5"/>
  <c r="J68" i="5"/>
  <c r="J123" i="7" s="1"/>
  <c r="J95" i="5"/>
  <c r="M5" i="3"/>
  <c r="E173" i="4"/>
  <c r="F171" i="4"/>
  <c r="J128" i="5"/>
  <c r="J74" i="5"/>
  <c r="J129" i="7" s="1"/>
  <c r="J101" i="5"/>
  <c r="D20" i="4"/>
  <c r="O105" i="3"/>
  <c r="O108" i="3"/>
  <c r="O107" i="3"/>
  <c r="O104" i="3"/>
  <c r="O106" i="3"/>
  <c r="O96" i="3"/>
  <c r="O101" i="3"/>
  <c r="O103" i="3"/>
  <c r="O102" i="3"/>
  <c r="O98" i="3"/>
  <c r="O100" i="3"/>
  <c r="O99" i="3"/>
  <c r="C213" i="4"/>
  <c r="P112" i="6"/>
  <c r="P58" i="6"/>
  <c r="P200" i="7" s="1"/>
  <c r="P85" i="6"/>
  <c r="G172" i="4"/>
  <c r="I168" i="4"/>
  <c r="I30" i="4"/>
  <c r="I249" i="4"/>
  <c r="I250" i="4"/>
  <c r="I259" i="4"/>
  <c r="I257" i="4"/>
  <c r="I261" i="4"/>
  <c r="I262" i="4"/>
  <c r="I260" i="4"/>
  <c r="I263" i="4"/>
  <c r="I258" i="4"/>
  <c r="I255" i="4"/>
  <c r="I254" i="4"/>
  <c r="I252" i="4"/>
  <c r="I253" i="4"/>
  <c r="K117" i="6"/>
  <c r="K144" i="6"/>
  <c r="K63" i="6"/>
  <c r="H118" i="3"/>
  <c r="H114" i="3"/>
  <c r="H115" i="3"/>
  <c r="H120" i="3"/>
  <c r="H109" i="3"/>
  <c r="H119" i="3"/>
  <c r="H117" i="3"/>
  <c r="H116" i="3"/>
  <c r="H113" i="3"/>
  <c r="H112" i="3"/>
  <c r="H111" i="3"/>
  <c r="J115" i="6"/>
  <c r="J61" i="6"/>
  <c r="J203" i="7" s="1"/>
  <c r="J88" i="6"/>
  <c r="T121" i="6"/>
  <c r="T67" i="6"/>
  <c r="T209" i="7" s="1"/>
  <c r="T94" i="6"/>
  <c r="T128" i="6"/>
  <c r="T74" i="6"/>
  <c r="T216" i="7" s="1"/>
  <c r="T101" i="6"/>
  <c r="O126" i="6"/>
  <c r="O72" i="6"/>
  <c r="O214" i="7" s="1"/>
  <c r="O99" i="6"/>
  <c r="M110" i="6"/>
  <c r="M66" i="3"/>
  <c r="M56" i="6"/>
  <c r="M198" i="7" s="1"/>
  <c r="M83" i="6"/>
  <c r="B213" i="4"/>
  <c r="E211" i="4"/>
  <c r="E157" i="4"/>
  <c r="E19" i="3"/>
  <c r="T120" i="5"/>
  <c r="T66" i="5"/>
  <c r="T121" i="7" s="1"/>
  <c r="T93" i="5"/>
  <c r="I67" i="5"/>
  <c r="I122" i="7" s="1"/>
  <c r="I121" i="5"/>
  <c r="I94" i="5"/>
  <c r="C184" i="4"/>
  <c r="R128" i="5"/>
  <c r="R74" i="5"/>
  <c r="R129" i="7" s="1"/>
  <c r="R101" i="5"/>
  <c r="I121" i="6"/>
  <c r="I67" i="6"/>
  <c r="I209" i="7" s="1"/>
  <c r="I94" i="6"/>
  <c r="Q112" i="6"/>
  <c r="Q58" i="6"/>
  <c r="Q200" i="7" s="1"/>
  <c r="Q85" i="6"/>
  <c r="U175" i="4"/>
  <c r="G33" i="4"/>
  <c r="N105" i="3"/>
  <c r="N103" i="3"/>
  <c r="N108" i="3"/>
  <c r="N104" i="3"/>
  <c r="N106" i="3"/>
  <c r="N96" i="3"/>
  <c r="N107" i="3"/>
  <c r="N102" i="3"/>
  <c r="N101" i="3"/>
  <c r="N98" i="3"/>
  <c r="N100" i="3"/>
  <c r="N99" i="3"/>
  <c r="J114" i="6"/>
  <c r="J60" i="6"/>
  <c r="J202" i="7" s="1"/>
  <c r="K90" i="6"/>
  <c r="F81" i="5"/>
  <c r="F136" i="7" s="1"/>
  <c r="F135" i="5"/>
  <c r="F108" i="5"/>
  <c r="D216" i="4"/>
  <c r="T6" i="4"/>
  <c r="G82" i="5"/>
  <c r="G137" i="7" s="1"/>
  <c r="G136" i="5"/>
  <c r="G109" i="5"/>
  <c r="M188" i="3"/>
  <c r="L6" i="4"/>
  <c r="H157" i="6"/>
  <c r="H130" i="6"/>
  <c r="H76" i="6"/>
  <c r="H103" i="6"/>
  <c r="K198" i="4"/>
  <c r="G201" i="4"/>
  <c r="Q64" i="5"/>
  <c r="Q119" i="7" s="1"/>
  <c r="Q118" i="5"/>
  <c r="Q91" i="5"/>
  <c r="O218" i="3"/>
  <c r="F128" i="6"/>
  <c r="F74" i="6"/>
  <c r="F216" i="7" s="1"/>
  <c r="F101" i="6"/>
  <c r="E80" i="5"/>
  <c r="E135" i="7" s="1"/>
  <c r="E134" i="5"/>
  <c r="S103" i="3"/>
  <c r="S105" i="3"/>
  <c r="S101" i="3"/>
  <c r="S108" i="3"/>
  <c r="S107" i="3"/>
  <c r="S96" i="3"/>
  <c r="S102" i="3"/>
  <c r="S106" i="3"/>
  <c r="S104" i="3"/>
  <c r="S98" i="3"/>
  <c r="S100" i="3"/>
  <c r="S99" i="3"/>
  <c r="M231" i="4"/>
  <c r="M195" i="4"/>
  <c r="M222" i="4"/>
  <c r="M141" i="4"/>
  <c r="M223" i="4"/>
  <c r="M235" i="4"/>
  <c r="M234" i="4"/>
  <c r="M232" i="4"/>
  <c r="M236" i="4"/>
  <c r="M233" i="4"/>
  <c r="M229" i="4"/>
  <c r="M228" i="4"/>
  <c r="M230" i="4"/>
  <c r="M227" i="4"/>
  <c r="M225" i="4"/>
  <c r="J12" i="4"/>
  <c r="C23" i="4"/>
  <c r="B23" i="4"/>
  <c r="J9" i="4"/>
  <c r="B25" i="4"/>
  <c r="B24" i="4"/>
  <c r="F10" i="4"/>
  <c r="H9" i="4"/>
  <c r="C25" i="4"/>
  <c r="I9" i="4"/>
  <c r="J4" i="5"/>
  <c r="J47" i="6" s="1"/>
  <c r="F33" i="4"/>
  <c r="K8" i="4"/>
  <c r="H4" i="5"/>
  <c r="H47" i="6" s="1"/>
  <c r="B20" i="4" l="1"/>
  <c r="F170" i="4"/>
  <c r="F31" i="4"/>
  <c r="B211" i="4"/>
  <c r="B157" i="4"/>
  <c r="B19" i="3"/>
  <c r="K199" i="4"/>
  <c r="V174" i="4"/>
  <c r="L110" i="6"/>
  <c r="L66" i="3"/>
  <c r="L56" i="6"/>
  <c r="L198" i="7" s="1"/>
  <c r="L83" i="6"/>
  <c r="I200" i="4"/>
  <c r="I93" i="5"/>
  <c r="I87" i="6"/>
  <c r="B216" i="4"/>
  <c r="K6" i="4"/>
  <c r="G130" i="6"/>
  <c r="G157" i="6"/>
  <c r="G76" i="6"/>
  <c r="G103" i="6"/>
  <c r="T143" i="4"/>
  <c r="T197" i="4"/>
  <c r="T7" i="3"/>
  <c r="T4" i="4"/>
  <c r="J116" i="6"/>
  <c r="J62" i="6"/>
  <c r="J204" i="7" s="1"/>
  <c r="J89" i="6"/>
  <c r="R116" i="6"/>
  <c r="R62" i="6"/>
  <c r="R204" i="7" s="1"/>
  <c r="R89" i="6"/>
  <c r="H170" i="4"/>
  <c r="H31" i="4"/>
  <c r="H251" i="4" s="1"/>
  <c r="L78" i="5"/>
  <c r="L133" i="7" s="1"/>
  <c r="L132" i="5"/>
  <c r="L105" i="5"/>
  <c r="U171" i="4"/>
  <c r="M119" i="6"/>
  <c r="M65" i="6"/>
  <c r="M207" i="7" s="1"/>
  <c r="M92" i="6"/>
  <c r="J90" i="6"/>
  <c r="C216" i="4"/>
  <c r="J93" i="5"/>
  <c r="J200" i="4"/>
  <c r="J87" i="6"/>
  <c r="I115" i="6"/>
  <c r="I61" i="6"/>
  <c r="I203" i="7" s="1"/>
  <c r="I88" i="6"/>
  <c r="L116" i="5"/>
  <c r="L62" i="5"/>
  <c r="L117" i="7" s="1"/>
  <c r="L36" i="3"/>
  <c r="L89" i="5"/>
  <c r="M126" i="6"/>
  <c r="M72" i="6"/>
  <c r="M214" i="7" s="1"/>
  <c r="M99" i="6"/>
  <c r="D11" i="4"/>
  <c r="D175" i="4"/>
  <c r="D62" i="6"/>
  <c r="D256" i="4"/>
  <c r="H200" i="4"/>
  <c r="E128" i="6"/>
  <c r="E74" i="6"/>
  <c r="E216" i="7" s="1"/>
  <c r="E101" i="6"/>
  <c r="D80" i="5"/>
  <c r="D135" i="7" s="1"/>
  <c r="D134" i="5"/>
  <c r="S122" i="6"/>
  <c r="S68" i="6"/>
  <c r="S210" i="7" s="1"/>
  <c r="S95" i="6"/>
  <c r="D173" i="4"/>
  <c r="C214" i="4"/>
  <c r="L125" i="5"/>
  <c r="L71" i="5"/>
  <c r="L126" i="7" s="1"/>
  <c r="L98" i="5"/>
  <c r="T125" i="5"/>
  <c r="T71" i="5"/>
  <c r="T126" i="7" s="1"/>
  <c r="T98" i="5"/>
  <c r="E81" i="5"/>
  <c r="E136" i="7" s="1"/>
  <c r="E135" i="5"/>
  <c r="E108" i="5"/>
  <c r="R122" i="6"/>
  <c r="R68" i="6"/>
  <c r="R210" i="7" s="1"/>
  <c r="R95" i="6"/>
  <c r="F129" i="6"/>
  <c r="F75" i="6"/>
  <c r="F217" i="7" s="1"/>
  <c r="F102" i="6"/>
  <c r="D174" i="4"/>
  <c r="N126" i="6"/>
  <c r="N72" i="6"/>
  <c r="N214" i="7" s="1"/>
  <c r="N99" i="6"/>
  <c r="F201" i="4"/>
  <c r="I114" i="6"/>
  <c r="I60" i="6"/>
  <c r="I202" i="7" s="1"/>
  <c r="T116" i="5"/>
  <c r="T62" i="5"/>
  <c r="T117" i="7" s="1"/>
  <c r="T36" i="3"/>
  <c r="T89" i="5"/>
  <c r="H67" i="5"/>
  <c r="H122" i="7" s="1"/>
  <c r="H121" i="5"/>
  <c r="H94" i="5"/>
  <c r="M4" i="3"/>
  <c r="M97" i="3" s="1"/>
  <c r="U176" i="4"/>
  <c r="B215" i="4"/>
  <c r="B214" i="4"/>
  <c r="F82" i="5"/>
  <c r="F137" i="7" s="1"/>
  <c r="F136" i="5"/>
  <c r="F109" i="5"/>
  <c r="J122" i="6"/>
  <c r="J68" i="6"/>
  <c r="J210" i="7" s="1"/>
  <c r="J95" i="6"/>
  <c r="C20" i="4"/>
  <c r="T129" i="6"/>
  <c r="T75" i="6"/>
  <c r="T217" i="7" s="1"/>
  <c r="T102" i="6"/>
  <c r="F172" i="4"/>
  <c r="F253" i="4"/>
  <c r="B181" i="4"/>
  <c r="L143" i="4"/>
  <c r="L197" i="4"/>
  <c r="L7" i="3"/>
  <c r="L4" i="4"/>
  <c r="S129" i="6"/>
  <c r="S75" i="6"/>
  <c r="S217" i="7" s="1"/>
  <c r="S102" i="6"/>
  <c r="M218" i="3"/>
  <c r="D107" i="5"/>
  <c r="E95" i="5"/>
  <c r="E229" i="4"/>
  <c r="E89" i="6"/>
  <c r="E202" i="4"/>
  <c r="E171" i="4"/>
  <c r="N119" i="6"/>
  <c r="N65" i="6"/>
  <c r="N207" i="7" s="1"/>
  <c r="N92" i="6"/>
  <c r="J96" i="5"/>
  <c r="J203" i="4"/>
  <c r="T81" i="5"/>
  <c r="T136" i="7" s="1"/>
  <c r="T135" i="5"/>
  <c r="T108" i="5"/>
  <c r="T78" i="5"/>
  <c r="T133" i="7" s="1"/>
  <c r="T132" i="5"/>
  <c r="T105" i="5"/>
  <c r="J69" i="5"/>
  <c r="J124" i="7" s="1"/>
  <c r="J123" i="5"/>
  <c r="I128" i="5"/>
  <c r="I74" i="5"/>
  <c r="I129" i="7" s="1"/>
  <c r="I101" i="5"/>
  <c r="G170" i="4"/>
  <c r="G31" i="4"/>
  <c r="S122" i="5"/>
  <c r="S68" i="5"/>
  <c r="S123" i="7" s="1"/>
  <c r="S95" i="5"/>
  <c r="T114" i="6"/>
  <c r="T60" i="6"/>
  <c r="T202" i="7" s="1"/>
  <c r="T87" i="6"/>
  <c r="D135" i="5"/>
  <c r="D81" i="5"/>
  <c r="D136" i="7" s="1"/>
  <c r="D108" i="5"/>
  <c r="D211" i="4"/>
  <c r="D157" i="4"/>
  <c r="D19" i="3"/>
  <c r="N218" i="3"/>
  <c r="E10" i="4"/>
  <c r="G9" i="4"/>
  <c r="E33" i="4"/>
  <c r="J7" i="4"/>
  <c r="G4" i="5"/>
  <c r="G47" i="6" s="1"/>
  <c r="H7" i="4"/>
  <c r="I7" i="4"/>
  <c r="E31" i="4" l="1"/>
  <c r="E251" i="4" s="1"/>
  <c r="E170" i="4"/>
  <c r="G200" i="4"/>
  <c r="R118" i="5"/>
  <c r="R64" i="5"/>
  <c r="R119" i="7" s="1"/>
  <c r="R91" i="5"/>
  <c r="T188" i="3"/>
  <c r="D128" i="6"/>
  <c r="D74" i="6"/>
  <c r="D216" i="7" s="1"/>
  <c r="D101" i="6"/>
  <c r="B179" i="4"/>
  <c r="B40" i="4"/>
  <c r="K78" i="5"/>
  <c r="K133" i="7" s="1"/>
  <c r="K132" i="5"/>
  <c r="K105" i="5"/>
  <c r="M105" i="3"/>
  <c r="M102" i="3"/>
  <c r="M107" i="3"/>
  <c r="M104" i="3"/>
  <c r="M108" i="3"/>
  <c r="M101" i="3"/>
  <c r="M96" i="3"/>
  <c r="M103" i="3"/>
  <c r="M106" i="3"/>
  <c r="M98" i="3"/>
  <c r="M100" i="3"/>
  <c r="M99" i="3"/>
  <c r="L188" i="3"/>
  <c r="H74" i="5"/>
  <c r="H129" i="7" s="1"/>
  <c r="H128" i="5"/>
  <c r="H101" i="5"/>
  <c r="E129" i="6"/>
  <c r="E75" i="6"/>
  <c r="E217" i="7" s="1"/>
  <c r="E102" i="6"/>
  <c r="H122" i="5"/>
  <c r="H68" i="5"/>
  <c r="H149" i="5"/>
  <c r="T224" i="4"/>
  <c r="T141" i="4"/>
  <c r="T195" i="4"/>
  <c r="T222" i="4"/>
  <c r="T232" i="4"/>
  <c r="T234" i="4"/>
  <c r="T236" i="4"/>
  <c r="T223" i="4"/>
  <c r="T235" i="4"/>
  <c r="T233" i="4"/>
  <c r="T229" i="4"/>
  <c r="T230" i="4"/>
  <c r="T228" i="4"/>
  <c r="T227" i="4"/>
  <c r="T231" i="4"/>
  <c r="T225" i="4"/>
  <c r="T226" i="4"/>
  <c r="U172" i="4"/>
  <c r="J198" i="4"/>
  <c r="C211" i="4"/>
  <c r="C157" i="4"/>
  <c r="C19" i="3"/>
  <c r="T5" i="3"/>
  <c r="L218" i="3"/>
  <c r="F249" i="4"/>
  <c r="F168" i="4"/>
  <c r="F250" i="4"/>
  <c r="F259" i="4"/>
  <c r="F257" i="4"/>
  <c r="F261" i="4"/>
  <c r="F262" i="4"/>
  <c r="F263" i="4"/>
  <c r="F260" i="4"/>
  <c r="F258" i="4"/>
  <c r="F254" i="4"/>
  <c r="F255" i="4"/>
  <c r="F252" i="4"/>
  <c r="H198" i="4"/>
  <c r="R112" i="6"/>
  <c r="R58" i="6"/>
  <c r="R200" i="7" s="1"/>
  <c r="R85" i="6"/>
  <c r="E201" i="4"/>
  <c r="C80" i="5"/>
  <c r="C135" i="7" s="1"/>
  <c r="C134" i="5"/>
  <c r="C107" i="5"/>
  <c r="H115" i="6"/>
  <c r="H61" i="6"/>
  <c r="H203" i="7" s="1"/>
  <c r="H88" i="6"/>
  <c r="C173" i="4"/>
  <c r="I198" i="4"/>
  <c r="C174" i="4"/>
  <c r="D171" i="4"/>
  <c r="T110" i="6"/>
  <c r="T66" i="3"/>
  <c r="T56" i="6"/>
  <c r="T198" i="7" s="1"/>
  <c r="T83" i="6"/>
  <c r="L195" i="4"/>
  <c r="L141" i="4"/>
  <c r="L222" i="4"/>
  <c r="L223" i="4"/>
  <c r="L235" i="4"/>
  <c r="L232" i="4"/>
  <c r="L234" i="4"/>
  <c r="L231" i="4"/>
  <c r="L233" i="4"/>
  <c r="L236" i="4"/>
  <c r="L229" i="4"/>
  <c r="L230" i="4"/>
  <c r="L227" i="4"/>
  <c r="L228" i="4"/>
  <c r="L225" i="4"/>
  <c r="L226" i="4"/>
  <c r="K125" i="5"/>
  <c r="K71" i="5"/>
  <c r="K126" i="7" s="1"/>
  <c r="K98" i="5"/>
  <c r="C81" i="5"/>
  <c r="C136" i="7" s="1"/>
  <c r="C135" i="5"/>
  <c r="C108" i="5"/>
  <c r="K116" i="5"/>
  <c r="K62" i="5"/>
  <c r="K117" i="7" s="1"/>
  <c r="K36" i="3"/>
  <c r="K89" i="5"/>
  <c r="D202" i="4"/>
  <c r="D89" i="6"/>
  <c r="D95" i="5"/>
  <c r="D229" i="4"/>
  <c r="I122" i="6"/>
  <c r="I68" i="6"/>
  <c r="I210" i="7" s="1"/>
  <c r="I95" i="6"/>
  <c r="G67" i="5"/>
  <c r="G122" i="7" s="1"/>
  <c r="G121" i="5"/>
  <c r="G94" i="5"/>
  <c r="C62" i="6"/>
  <c r="C11" i="4"/>
  <c r="C175" i="4"/>
  <c r="C256" i="4"/>
  <c r="G251" i="4"/>
  <c r="G30" i="4"/>
  <c r="G249" i="4"/>
  <c r="G168" i="4"/>
  <c r="G250" i="4"/>
  <c r="G259" i="4"/>
  <c r="G257" i="4"/>
  <c r="G261" i="4"/>
  <c r="G262" i="4"/>
  <c r="G263" i="4"/>
  <c r="G260" i="4"/>
  <c r="G258" i="4"/>
  <c r="G255" i="4"/>
  <c r="G254" i="4"/>
  <c r="G252" i="4"/>
  <c r="G253" i="4"/>
  <c r="L5" i="3"/>
  <c r="F130" i="6"/>
  <c r="F157" i="6"/>
  <c r="F76" i="6"/>
  <c r="F103" i="6"/>
  <c r="I122" i="5"/>
  <c r="I149" i="5"/>
  <c r="I68" i="5"/>
  <c r="J144" i="6"/>
  <c r="J117" i="6"/>
  <c r="J63" i="6"/>
  <c r="K197" i="4"/>
  <c r="K143" i="4"/>
  <c r="K7" i="3"/>
  <c r="K4" i="4"/>
  <c r="K224" i="4" s="1"/>
  <c r="F251" i="4"/>
  <c r="E172" i="4"/>
  <c r="E253" i="4"/>
  <c r="L224" i="4"/>
  <c r="D129" i="6"/>
  <c r="D75" i="6"/>
  <c r="D217" i="7" s="1"/>
  <c r="D102" i="6"/>
  <c r="E136" i="5"/>
  <c r="E82" i="5"/>
  <c r="E137" i="7" s="1"/>
  <c r="E109" i="5"/>
  <c r="U33" i="4"/>
  <c r="S116" i="6"/>
  <c r="S62" i="6"/>
  <c r="S204" i="7" s="1"/>
  <c r="S89" i="6"/>
  <c r="H258" i="4"/>
  <c r="H168" i="4"/>
  <c r="H249" i="4"/>
  <c r="H30" i="4"/>
  <c r="H250" i="4"/>
  <c r="H259" i="4"/>
  <c r="H257" i="4"/>
  <c r="H262" i="4"/>
  <c r="H261" i="4"/>
  <c r="H263" i="4"/>
  <c r="H260" i="4"/>
  <c r="H255" i="4"/>
  <c r="H254" i="4"/>
  <c r="H252" i="4"/>
  <c r="H253" i="4"/>
  <c r="H8" i="4"/>
  <c r="H6" i="4" s="1"/>
  <c r="J8" i="4"/>
  <c r="J6" i="4" s="1"/>
  <c r="B17" i="4"/>
  <c r="G7" i="4"/>
  <c r="F9" i="4"/>
  <c r="I8" i="4"/>
  <c r="D10" i="4"/>
  <c r="F4" i="5"/>
  <c r="F47" i="6" s="1"/>
  <c r="H143" i="4" l="1"/>
  <c r="H197" i="4"/>
  <c r="H7" i="3"/>
  <c r="H4" i="4"/>
  <c r="J197" i="4"/>
  <c r="J143" i="4"/>
  <c r="J7" i="3"/>
  <c r="J4" i="4"/>
  <c r="J226" i="4" s="1"/>
  <c r="C171" i="4"/>
  <c r="I199" i="4"/>
  <c r="U170" i="4"/>
  <c r="K5" i="3"/>
  <c r="L4" i="3"/>
  <c r="G115" i="6"/>
  <c r="G61" i="6"/>
  <c r="G203" i="7" s="1"/>
  <c r="G88" i="6"/>
  <c r="T67" i="5"/>
  <c r="T122" i="7" s="1"/>
  <c r="T121" i="5"/>
  <c r="T94" i="5"/>
  <c r="O118" i="5"/>
  <c r="O64" i="5"/>
  <c r="O119" i="7" s="1"/>
  <c r="O91" i="5"/>
  <c r="O112" i="6"/>
  <c r="O58" i="6"/>
  <c r="O200" i="7" s="1"/>
  <c r="O85" i="6"/>
  <c r="V178" i="4"/>
  <c r="I6" i="4"/>
  <c r="B135" i="5"/>
  <c r="B81" i="5"/>
  <c r="B136" i="7" s="1"/>
  <c r="B108" i="5"/>
  <c r="H122" i="6"/>
  <c r="H68" i="6"/>
  <c r="H210" i="7" s="1"/>
  <c r="H95" i="6"/>
  <c r="T126" i="6"/>
  <c r="T72" i="6"/>
  <c r="T214" i="7" s="1"/>
  <c r="T99" i="6"/>
  <c r="L126" i="6"/>
  <c r="L72" i="6"/>
  <c r="L214" i="7" s="1"/>
  <c r="L99" i="6"/>
  <c r="D172" i="4"/>
  <c r="F200" i="4"/>
  <c r="H199" i="4"/>
  <c r="H226" i="4"/>
  <c r="V185" i="4"/>
  <c r="C128" i="6"/>
  <c r="C74" i="6"/>
  <c r="C216" i="7" s="1"/>
  <c r="C101" i="6"/>
  <c r="S112" i="6"/>
  <c r="S58" i="6"/>
  <c r="S200" i="7" s="1"/>
  <c r="S85" i="6"/>
  <c r="B11" i="4"/>
  <c r="B175" i="4"/>
  <c r="B62" i="6"/>
  <c r="B256" i="4"/>
  <c r="J125" i="5"/>
  <c r="J71" i="5"/>
  <c r="J126" i="7" s="1"/>
  <c r="J98" i="5"/>
  <c r="J62" i="5"/>
  <c r="J117" i="7" s="1"/>
  <c r="J116" i="5"/>
  <c r="J36" i="3"/>
  <c r="J89" i="5"/>
  <c r="T218" i="3"/>
  <c r="D33" i="4"/>
  <c r="I116" i="6"/>
  <c r="I143" i="6"/>
  <c r="D136" i="5"/>
  <c r="D82" i="5"/>
  <c r="D137" i="7" s="1"/>
  <c r="D109" i="5"/>
  <c r="B173" i="4"/>
  <c r="G198" i="4"/>
  <c r="B208" i="4"/>
  <c r="V189" i="4"/>
  <c r="C229" i="4"/>
  <c r="C202" i="4"/>
  <c r="C89" i="6"/>
  <c r="C95" i="5"/>
  <c r="G122" i="5"/>
  <c r="G68" i="5"/>
  <c r="G149" i="5"/>
  <c r="E130" i="6"/>
  <c r="E157" i="6"/>
  <c r="E76" i="6"/>
  <c r="E103" i="6"/>
  <c r="B177" i="4"/>
  <c r="V187" i="4"/>
  <c r="H127" i="5"/>
  <c r="H73" i="5"/>
  <c r="H128" i="7" s="1"/>
  <c r="H100" i="5"/>
  <c r="K188" i="3"/>
  <c r="S118" i="5"/>
  <c r="S64" i="5"/>
  <c r="S119" i="7" s="1"/>
  <c r="S91" i="5"/>
  <c r="S121" i="5"/>
  <c r="S67" i="5"/>
  <c r="S122" i="7" s="1"/>
  <c r="S94" i="5"/>
  <c r="K110" i="6"/>
  <c r="K66" i="3"/>
  <c r="K56" i="6"/>
  <c r="K198" i="7" s="1"/>
  <c r="K83" i="6"/>
  <c r="H143" i="6"/>
  <c r="H116" i="6"/>
  <c r="C129" i="6"/>
  <c r="C75" i="6"/>
  <c r="C217" i="7" s="1"/>
  <c r="C102" i="6"/>
  <c r="B80" i="5"/>
  <c r="B135" i="7" s="1"/>
  <c r="B134" i="5"/>
  <c r="B107" i="5"/>
  <c r="B129" i="6"/>
  <c r="B75" i="6"/>
  <c r="B217" i="7" s="1"/>
  <c r="B102" i="6"/>
  <c r="B174" i="4"/>
  <c r="D201" i="4"/>
  <c r="J199" i="4"/>
  <c r="K223" i="4"/>
  <c r="K141" i="4"/>
  <c r="K195" i="4"/>
  <c r="K222" i="4"/>
  <c r="K234" i="4"/>
  <c r="K235" i="4"/>
  <c r="K232" i="4"/>
  <c r="K233" i="4"/>
  <c r="K236" i="4"/>
  <c r="K231" i="4"/>
  <c r="K229" i="4"/>
  <c r="K228" i="4"/>
  <c r="K227" i="4"/>
  <c r="K230" i="4"/>
  <c r="K225" i="4"/>
  <c r="K226" i="4"/>
  <c r="T74" i="5"/>
  <c r="T129" i="7" s="1"/>
  <c r="T128" i="5"/>
  <c r="T101" i="5"/>
  <c r="J78" i="5"/>
  <c r="J133" i="7" s="1"/>
  <c r="J132" i="5"/>
  <c r="J105" i="5"/>
  <c r="T4" i="3"/>
  <c r="T97" i="3" s="1"/>
  <c r="G128" i="5"/>
  <c r="G74" i="5"/>
  <c r="G129" i="7" s="1"/>
  <c r="G101" i="5"/>
  <c r="E254" i="4"/>
  <c r="E249" i="4"/>
  <c r="E168" i="4"/>
  <c r="E250" i="4"/>
  <c r="E259" i="4"/>
  <c r="E257" i="4"/>
  <c r="E261" i="4"/>
  <c r="E262" i="4"/>
  <c r="E263" i="4"/>
  <c r="E260" i="4"/>
  <c r="E258" i="4"/>
  <c r="E255" i="4"/>
  <c r="E252" i="4"/>
  <c r="C10" i="4"/>
  <c r="G8" i="4"/>
  <c r="B15" i="4"/>
  <c r="E4" i="5"/>
  <c r="E47" i="6" s="1"/>
  <c r="F7" i="4"/>
  <c r="K119" i="6" l="1"/>
  <c r="K65" i="6"/>
  <c r="K207" i="7" s="1"/>
  <c r="K92" i="6"/>
  <c r="N112" i="6"/>
  <c r="N58" i="6"/>
  <c r="N200" i="7" s="1"/>
  <c r="N85" i="6"/>
  <c r="E121" i="5"/>
  <c r="E67" i="5"/>
  <c r="E122" i="7" s="1"/>
  <c r="E94" i="5"/>
  <c r="H120" i="5"/>
  <c r="H66" i="5"/>
  <c r="H121" i="7" s="1"/>
  <c r="H93" i="5"/>
  <c r="L101" i="3"/>
  <c r="L107" i="3"/>
  <c r="L105" i="3"/>
  <c r="L106" i="3"/>
  <c r="L102" i="3"/>
  <c r="L108" i="3"/>
  <c r="L104" i="3"/>
  <c r="L96" i="3"/>
  <c r="L103" i="3"/>
  <c r="L98" i="3"/>
  <c r="L100" i="3"/>
  <c r="L99" i="3"/>
  <c r="I116" i="5"/>
  <c r="I62" i="5"/>
  <c r="I117" i="7" s="1"/>
  <c r="I36" i="3"/>
  <c r="I89" i="5"/>
  <c r="M112" i="6"/>
  <c r="M58" i="6"/>
  <c r="M200" i="7" s="1"/>
  <c r="M85" i="6"/>
  <c r="I119" i="6"/>
  <c r="I65" i="6"/>
  <c r="I207" i="7" s="1"/>
  <c r="I92" i="6"/>
  <c r="B128" i="6"/>
  <c r="B74" i="6"/>
  <c r="B216" i="7" s="1"/>
  <c r="B101" i="6"/>
  <c r="I143" i="4"/>
  <c r="I197" i="4"/>
  <c r="I7" i="3"/>
  <c r="I4" i="4"/>
  <c r="J231" i="4"/>
  <c r="J141" i="4"/>
  <c r="J195" i="4"/>
  <c r="J222" i="4"/>
  <c r="J223" i="4"/>
  <c r="J232" i="4"/>
  <c r="J234" i="4"/>
  <c r="J235" i="4"/>
  <c r="J236" i="4"/>
  <c r="J233" i="4"/>
  <c r="J229" i="4"/>
  <c r="J228" i="4"/>
  <c r="J227" i="4"/>
  <c r="J230" i="4"/>
  <c r="J225" i="4"/>
  <c r="J110" i="6"/>
  <c r="J66" i="3"/>
  <c r="J56" i="6"/>
  <c r="J198" i="7" s="1"/>
  <c r="J83" i="6"/>
  <c r="L119" i="6"/>
  <c r="L65" i="6"/>
  <c r="L207" i="7" s="1"/>
  <c r="L92" i="6"/>
  <c r="C201" i="4"/>
  <c r="K218" i="3"/>
  <c r="D170" i="4"/>
  <c r="D31" i="4"/>
  <c r="B229" i="4"/>
  <c r="B202" i="4"/>
  <c r="B89" i="6"/>
  <c r="B95" i="5"/>
  <c r="K4" i="3"/>
  <c r="K97" i="3" s="1"/>
  <c r="N64" i="5"/>
  <c r="N119" i="7" s="1"/>
  <c r="N118" i="5"/>
  <c r="N91" i="5"/>
  <c r="J5" i="3"/>
  <c r="H224" i="4"/>
  <c r="H141" i="4"/>
  <c r="H195" i="4"/>
  <c r="H222" i="4"/>
  <c r="H230" i="4"/>
  <c r="H223" i="4"/>
  <c r="H232" i="4"/>
  <c r="H234" i="4"/>
  <c r="H235" i="4"/>
  <c r="H236" i="4"/>
  <c r="H233" i="4"/>
  <c r="H231" i="4"/>
  <c r="H228" i="4"/>
  <c r="H227" i="4"/>
  <c r="H225" i="4"/>
  <c r="B171" i="4"/>
  <c r="I126" i="6"/>
  <c r="I72" i="6"/>
  <c r="I214" i="7" s="1"/>
  <c r="I99" i="6"/>
  <c r="I71" i="5"/>
  <c r="I126" i="7" s="1"/>
  <c r="I125" i="5"/>
  <c r="I98" i="5"/>
  <c r="G127" i="5"/>
  <c r="G73" i="5"/>
  <c r="G128" i="7" s="1"/>
  <c r="G100" i="5"/>
  <c r="F121" i="5"/>
  <c r="F67" i="5"/>
  <c r="F122" i="7" s="1"/>
  <c r="F94" i="5"/>
  <c r="J224" i="4"/>
  <c r="H5" i="3"/>
  <c r="U181" i="4"/>
  <c r="T122" i="6"/>
  <c r="T68" i="6"/>
  <c r="T210" i="7" s="1"/>
  <c r="T95" i="6"/>
  <c r="C136" i="5"/>
  <c r="C82" i="5"/>
  <c r="C137" i="7" s="1"/>
  <c r="C109" i="5"/>
  <c r="F149" i="5"/>
  <c r="F68" i="5"/>
  <c r="F122" i="5"/>
  <c r="K126" i="6"/>
  <c r="K72" i="6"/>
  <c r="K214" i="7" s="1"/>
  <c r="K99" i="6"/>
  <c r="B82" i="5"/>
  <c r="B137" i="7" s="1"/>
  <c r="B136" i="5"/>
  <c r="B109" i="5"/>
  <c r="T115" i="6"/>
  <c r="T61" i="6"/>
  <c r="T203" i="7" s="1"/>
  <c r="T88" i="6"/>
  <c r="G116" i="6"/>
  <c r="G143" i="6"/>
  <c r="M64" i="5"/>
  <c r="M119" i="7" s="1"/>
  <c r="M118" i="5"/>
  <c r="M91" i="5"/>
  <c r="B206" i="4"/>
  <c r="B13" i="4"/>
  <c r="G199" i="4"/>
  <c r="T119" i="6"/>
  <c r="T65" i="6"/>
  <c r="T207" i="7" s="1"/>
  <c r="T92" i="6"/>
  <c r="S115" i="6"/>
  <c r="S61" i="6"/>
  <c r="S203" i="7" s="1"/>
  <c r="S88" i="6"/>
  <c r="D130" i="6"/>
  <c r="D157" i="6"/>
  <c r="D76" i="6"/>
  <c r="D103" i="6"/>
  <c r="H121" i="6"/>
  <c r="H67" i="6"/>
  <c r="H209" i="7" s="1"/>
  <c r="H94" i="6"/>
  <c r="F198" i="4"/>
  <c r="V186" i="4"/>
  <c r="T105" i="3"/>
  <c r="T102" i="3"/>
  <c r="T107" i="3"/>
  <c r="T103" i="3"/>
  <c r="T101" i="3"/>
  <c r="T96" i="3"/>
  <c r="T104" i="3"/>
  <c r="T106" i="3"/>
  <c r="T108" i="3"/>
  <c r="T98" i="3"/>
  <c r="T100" i="3"/>
  <c r="T99" i="3"/>
  <c r="I132" i="5"/>
  <c r="I78" i="5"/>
  <c r="I133" i="7" s="1"/>
  <c r="I105" i="5"/>
  <c r="G6" i="4"/>
  <c r="J188" i="3"/>
  <c r="L97" i="3"/>
  <c r="G122" i="6"/>
  <c r="G68" i="6"/>
  <c r="G210" i="7" s="1"/>
  <c r="G95" i="6"/>
  <c r="V14" i="4"/>
  <c r="V23" i="4"/>
  <c r="V25" i="4"/>
  <c r="V21" i="4"/>
  <c r="E9" i="4"/>
  <c r="B10" i="4"/>
  <c r="F8" i="4"/>
  <c r="F6" i="4" s="1"/>
  <c r="D4" i="5"/>
  <c r="D47" i="6" s="1"/>
  <c r="B33" i="4"/>
  <c r="B170" i="4" l="1"/>
  <c r="B31" i="4"/>
  <c r="B253" i="4" s="1"/>
  <c r="F4" i="4"/>
  <c r="F143" i="4"/>
  <c r="F197" i="4"/>
  <c r="F7" i="3"/>
  <c r="V173" i="4"/>
  <c r="I231" i="4"/>
  <c r="I141" i="4"/>
  <c r="I195" i="4"/>
  <c r="I222" i="4"/>
  <c r="I230" i="4"/>
  <c r="I223" i="4"/>
  <c r="I232" i="4"/>
  <c r="I235" i="4"/>
  <c r="I234" i="4"/>
  <c r="I233" i="4"/>
  <c r="I236" i="4"/>
  <c r="I228" i="4"/>
  <c r="I227" i="4"/>
  <c r="I225" i="4"/>
  <c r="I226" i="4"/>
  <c r="F199" i="4"/>
  <c r="F226" i="4"/>
  <c r="E149" i="5"/>
  <c r="E68" i="5"/>
  <c r="E122" i="5"/>
  <c r="J218" i="3"/>
  <c r="I5" i="3"/>
  <c r="U179" i="4"/>
  <c r="U40" i="4"/>
  <c r="C172" i="4"/>
  <c r="C33" i="4"/>
  <c r="B130" i="6"/>
  <c r="B157" i="6"/>
  <c r="B76" i="6"/>
  <c r="B103" i="6"/>
  <c r="G120" i="5"/>
  <c r="G66" i="5"/>
  <c r="G121" i="7" s="1"/>
  <c r="G93" i="5"/>
  <c r="V212" i="4"/>
  <c r="E115" i="6"/>
  <c r="E61" i="6"/>
  <c r="E203" i="7" s="1"/>
  <c r="E88" i="6"/>
  <c r="I224" i="4"/>
  <c r="B201" i="4"/>
  <c r="V216" i="4"/>
  <c r="V214" i="4"/>
  <c r="H114" i="6"/>
  <c r="H60" i="6"/>
  <c r="H202" i="7" s="1"/>
  <c r="H87" i="6"/>
  <c r="T68" i="5"/>
  <c r="T123" i="7" s="1"/>
  <c r="T122" i="5"/>
  <c r="T95" i="5"/>
  <c r="K105" i="3"/>
  <c r="K101" i="3"/>
  <c r="K107" i="3"/>
  <c r="K108" i="3"/>
  <c r="K103" i="3"/>
  <c r="K102" i="3"/>
  <c r="K96" i="3"/>
  <c r="K106" i="3"/>
  <c r="K104" i="3"/>
  <c r="K98" i="3"/>
  <c r="K100" i="3"/>
  <c r="K99" i="3"/>
  <c r="F127" i="5"/>
  <c r="F73" i="5"/>
  <c r="F128" i="7" s="1"/>
  <c r="F100" i="5"/>
  <c r="I188" i="3"/>
  <c r="B172" i="4"/>
  <c r="J119" i="6"/>
  <c r="J65" i="6"/>
  <c r="J207" i="7" s="1"/>
  <c r="J92" i="6"/>
  <c r="V205" i="4"/>
  <c r="H4" i="3"/>
  <c r="D258" i="4"/>
  <c r="D249" i="4"/>
  <c r="D168" i="4"/>
  <c r="D250" i="4"/>
  <c r="D259" i="4"/>
  <c r="D261" i="4"/>
  <c r="D262" i="4"/>
  <c r="D260" i="4"/>
  <c r="D263" i="4"/>
  <c r="D254" i="4"/>
  <c r="D255" i="4"/>
  <c r="D252" i="4"/>
  <c r="D253" i="4"/>
  <c r="C130" i="6"/>
  <c r="C157" i="6"/>
  <c r="C76" i="6"/>
  <c r="C103" i="6"/>
  <c r="I110" i="6"/>
  <c r="I66" i="3"/>
  <c r="I56" i="6"/>
  <c r="I198" i="7" s="1"/>
  <c r="I83" i="6"/>
  <c r="G143" i="4"/>
  <c r="G197" i="4"/>
  <c r="G7" i="3"/>
  <c r="G4" i="4"/>
  <c r="G224" i="4" s="1"/>
  <c r="F128" i="5"/>
  <c r="F74" i="5"/>
  <c r="F129" i="7" s="1"/>
  <c r="F101" i="5"/>
  <c r="J4" i="3"/>
  <c r="J97" i="3" s="1"/>
  <c r="D251" i="4"/>
  <c r="F116" i="6"/>
  <c r="F143" i="6"/>
  <c r="J126" i="6"/>
  <c r="J72" i="6"/>
  <c r="J214" i="7" s="1"/>
  <c r="J99" i="6"/>
  <c r="E200" i="4"/>
  <c r="G121" i="6"/>
  <c r="G67" i="6"/>
  <c r="G209" i="7" s="1"/>
  <c r="G94" i="6"/>
  <c r="F115" i="6"/>
  <c r="F61" i="6"/>
  <c r="F203" i="7" s="1"/>
  <c r="F88" i="6"/>
  <c r="B204" i="4"/>
  <c r="B150" i="4"/>
  <c r="B8" i="3"/>
  <c r="E74" i="5"/>
  <c r="E129" i="7" s="1"/>
  <c r="E128" i="5"/>
  <c r="E101" i="5"/>
  <c r="E27" i="4"/>
  <c r="B27" i="4"/>
  <c r="V18" i="4"/>
  <c r="C27" i="4"/>
  <c r="V16" i="4"/>
  <c r="D27" i="4"/>
  <c r="V22" i="4"/>
  <c r="F27" i="4"/>
  <c r="U10" i="4"/>
  <c r="U17" i="4"/>
  <c r="D9" i="4"/>
  <c r="U11" i="4"/>
  <c r="U9" i="4"/>
  <c r="U12" i="4"/>
  <c r="C9" i="4"/>
  <c r="C4" i="5"/>
  <c r="C47" i="6" s="1"/>
  <c r="E7" i="4"/>
  <c r="U4" i="5"/>
  <c r="U47" i="6" s="1"/>
  <c r="E198" i="4" l="1"/>
  <c r="G110" i="6"/>
  <c r="G66" i="3"/>
  <c r="G56" i="6"/>
  <c r="G198" i="7" s="1"/>
  <c r="G83" i="6"/>
  <c r="G78" i="5"/>
  <c r="G133" i="7" s="1"/>
  <c r="G132" i="5"/>
  <c r="G105" i="5"/>
  <c r="H105" i="3"/>
  <c r="H104" i="3"/>
  <c r="H106" i="3"/>
  <c r="H103" i="3"/>
  <c r="H101" i="3"/>
  <c r="H96" i="3"/>
  <c r="H107" i="3"/>
  <c r="H108" i="3"/>
  <c r="H102" i="3"/>
  <c r="H98" i="3"/>
  <c r="H100" i="3"/>
  <c r="H99" i="3"/>
  <c r="G114" i="6"/>
  <c r="G60" i="6"/>
  <c r="G202" i="7" s="1"/>
  <c r="G87" i="6"/>
  <c r="F121" i="6"/>
  <c r="F67" i="6"/>
  <c r="F209" i="7" s="1"/>
  <c r="F94" i="6"/>
  <c r="T116" i="6"/>
  <c r="T62" i="6"/>
  <c r="T204" i="7" s="1"/>
  <c r="T89" i="6"/>
  <c r="U177" i="4"/>
  <c r="U31" i="4"/>
  <c r="G62" i="5"/>
  <c r="G117" i="7" s="1"/>
  <c r="G116" i="5"/>
  <c r="G36" i="3"/>
  <c r="G89" i="5"/>
  <c r="G126" i="6"/>
  <c r="G72" i="6"/>
  <c r="G214" i="7" s="1"/>
  <c r="G99" i="6"/>
  <c r="H126" i="6"/>
  <c r="H72" i="6"/>
  <c r="H214" i="7" s="1"/>
  <c r="H99" i="6"/>
  <c r="U123" i="5"/>
  <c r="U69" i="5"/>
  <c r="U124" i="7" s="1"/>
  <c r="G5" i="3"/>
  <c r="D68" i="5"/>
  <c r="D149" i="5"/>
  <c r="D122" i="5"/>
  <c r="D121" i="5"/>
  <c r="D67" i="5"/>
  <c r="D122" i="7" s="1"/>
  <c r="D94" i="5"/>
  <c r="F122" i="6"/>
  <c r="F68" i="6"/>
  <c r="F210" i="7" s="1"/>
  <c r="F95" i="6"/>
  <c r="U202" i="4"/>
  <c r="G125" i="5"/>
  <c r="G71" i="5"/>
  <c r="G126" i="7" s="1"/>
  <c r="G98" i="5"/>
  <c r="G119" i="6"/>
  <c r="G65" i="6"/>
  <c r="G207" i="7" s="1"/>
  <c r="G92" i="6"/>
  <c r="H119" i="6"/>
  <c r="H65" i="6"/>
  <c r="H207" i="7" s="1"/>
  <c r="H92" i="6"/>
  <c r="D200" i="4"/>
  <c r="E122" i="6"/>
  <c r="E68" i="6"/>
  <c r="E210" i="7" s="1"/>
  <c r="E95" i="6"/>
  <c r="H78" i="5"/>
  <c r="H133" i="7" s="1"/>
  <c r="H132" i="5"/>
  <c r="H105" i="5"/>
  <c r="F120" i="5"/>
  <c r="F66" i="5"/>
  <c r="F121" i="7" s="1"/>
  <c r="F93" i="5"/>
  <c r="H116" i="5"/>
  <c r="H62" i="5"/>
  <c r="H117" i="7" s="1"/>
  <c r="H36" i="3"/>
  <c r="H89" i="5"/>
  <c r="F231" i="4"/>
  <c r="F141" i="4"/>
  <c r="F195" i="4"/>
  <c r="F222" i="4"/>
  <c r="F230" i="4"/>
  <c r="F223" i="4"/>
  <c r="F234" i="4"/>
  <c r="F232" i="4"/>
  <c r="F235" i="4"/>
  <c r="F236" i="4"/>
  <c r="F233" i="4"/>
  <c r="F228" i="4"/>
  <c r="F227" i="4"/>
  <c r="F225" i="4"/>
  <c r="V207" i="4"/>
  <c r="G236" i="4"/>
  <c r="G222" i="4"/>
  <c r="G195" i="4"/>
  <c r="G141" i="4"/>
  <c r="G230" i="4"/>
  <c r="G223" i="4"/>
  <c r="G234" i="4"/>
  <c r="G235" i="4"/>
  <c r="G232" i="4"/>
  <c r="G233" i="4"/>
  <c r="G231" i="4"/>
  <c r="G228" i="4"/>
  <c r="G227" i="4"/>
  <c r="G225" i="4"/>
  <c r="G226" i="4"/>
  <c r="C200" i="4"/>
  <c r="V96" i="6"/>
  <c r="V102" i="5"/>
  <c r="V209" i="4"/>
  <c r="H125" i="5"/>
  <c r="H71" i="5"/>
  <c r="H126" i="7" s="1"/>
  <c r="H98" i="5"/>
  <c r="E116" i="6"/>
  <c r="E143" i="6"/>
  <c r="B258" i="4"/>
  <c r="B168" i="4"/>
  <c r="B249" i="4"/>
  <c r="B250" i="4"/>
  <c r="B259" i="4"/>
  <c r="B263" i="4"/>
  <c r="B261" i="4"/>
  <c r="B262" i="4"/>
  <c r="B260" i="4"/>
  <c r="B254" i="4"/>
  <c r="B255" i="4"/>
  <c r="B252" i="4"/>
  <c r="I4" i="3"/>
  <c r="I97" i="3" s="1"/>
  <c r="H110" i="6"/>
  <c r="H66" i="3"/>
  <c r="H56" i="6"/>
  <c r="H198" i="7" s="1"/>
  <c r="H83" i="6"/>
  <c r="U208" i="4"/>
  <c r="B120" i="5"/>
  <c r="B66" i="5"/>
  <c r="B121" i="7" s="1"/>
  <c r="F5" i="3"/>
  <c r="B251" i="4"/>
  <c r="U201" i="4"/>
  <c r="U90" i="6"/>
  <c r="U203" i="4"/>
  <c r="U96" i="5"/>
  <c r="J105" i="3"/>
  <c r="J101" i="3"/>
  <c r="J108" i="3"/>
  <c r="J104" i="3"/>
  <c r="J107" i="3"/>
  <c r="J96" i="3"/>
  <c r="J102" i="3"/>
  <c r="J103" i="3"/>
  <c r="J106" i="3"/>
  <c r="J98" i="3"/>
  <c r="J100" i="3"/>
  <c r="J99" i="3"/>
  <c r="C170" i="4"/>
  <c r="C31" i="4"/>
  <c r="F224" i="4"/>
  <c r="U200" i="4"/>
  <c r="V213" i="4"/>
  <c r="I218" i="3"/>
  <c r="H97" i="3"/>
  <c r="E127" i="5"/>
  <c r="E73" i="5"/>
  <c r="E128" i="7" s="1"/>
  <c r="E100" i="5"/>
  <c r="E8" i="4"/>
  <c r="B9" i="4"/>
  <c r="D7" i="4"/>
  <c r="U15" i="4"/>
  <c r="B4" i="5"/>
  <c r="B47" i="6" s="1"/>
  <c r="U7" i="4"/>
  <c r="C7" i="4"/>
  <c r="E121" i="6" l="1"/>
  <c r="E67" i="6"/>
  <c r="E209" i="7" s="1"/>
  <c r="E94" i="6"/>
  <c r="C251" i="4"/>
  <c r="C168" i="4"/>
  <c r="C249" i="4"/>
  <c r="C250" i="4"/>
  <c r="C259" i="4"/>
  <c r="C261" i="4"/>
  <c r="C262" i="4"/>
  <c r="C263" i="4"/>
  <c r="C260" i="4"/>
  <c r="C258" i="4"/>
  <c r="C254" i="4"/>
  <c r="C255" i="4"/>
  <c r="C252" i="4"/>
  <c r="C253" i="4"/>
  <c r="D74" i="5"/>
  <c r="D129" i="7" s="1"/>
  <c r="D128" i="5"/>
  <c r="D101" i="5"/>
  <c r="I105" i="3"/>
  <c r="I103" i="3"/>
  <c r="I106" i="3"/>
  <c r="I101" i="3"/>
  <c r="I108" i="3"/>
  <c r="I96" i="3"/>
  <c r="I102" i="3"/>
  <c r="I104" i="3"/>
  <c r="I107" i="3"/>
  <c r="I98" i="3"/>
  <c r="I100" i="3"/>
  <c r="I99" i="3"/>
  <c r="D116" i="6"/>
  <c r="D143" i="6"/>
  <c r="G4" i="3"/>
  <c r="G97" i="3" s="1"/>
  <c r="F119" i="6"/>
  <c r="F65" i="6"/>
  <c r="F207" i="7" s="1"/>
  <c r="F92" i="6"/>
  <c r="D198" i="4"/>
  <c r="B121" i="5"/>
  <c r="B67" i="5"/>
  <c r="B122" i="7" s="1"/>
  <c r="B94" i="5"/>
  <c r="U261" i="4"/>
  <c r="U249" i="4"/>
  <c r="U30" i="4"/>
  <c r="U168" i="4"/>
  <c r="U250" i="4"/>
  <c r="U263" i="4"/>
  <c r="U259" i="4"/>
  <c r="U254" i="4"/>
  <c r="U255" i="4"/>
  <c r="U256" i="4"/>
  <c r="U252" i="4"/>
  <c r="U257" i="4"/>
  <c r="U253" i="4"/>
  <c r="U251" i="4"/>
  <c r="U262" i="4"/>
  <c r="U260" i="4"/>
  <c r="G218" i="3"/>
  <c r="E66" i="5"/>
  <c r="E121" i="7" s="1"/>
  <c r="E120" i="5"/>
  <c r="E93" i="5"/>
  <c r="U198" i="4"/>
  <c r="U134" i="5"/>
  <c r="U80" i="5"/>
  <c r="U135" i="7" s="1"/>
  <c r="U107" i="5"/>
  <c r="C198" i="4"/>
  <c r="K112" i="6"/>
  <c r="K58" i="6"/>
  <c r="K200" i="7" s="1"/>
  <c r="K85" i="6"/>
  <c r="E199" i="4"/>
  <c r="T118" i="5"/>
  <c r="T64" i="5"/>
  <c r="T119" i="7" s="1"/>
  <c r="T91" i="5"/>
  <c r="F132" i="5"/>
  <c r="F78" i="5"/>
  <c r="F133" i="7" s="1"/>
  <c r="F105" i="5"/>
  <c r="U258" i="4"/>
  <c r="K118" i="5"/>
  <c r="K64" i="5"/>
  <c r="K119" i="7" s="1"/>
  <c r="K91" i="5"/>
  <c r="T112" i="6"/>
  <c r="T58" i="6"/>
  <c r="T200" i="7" s="1"/>
  <c r="T85" i="6"/>
  <c r="D115" i="6"/>
  <c r="D61" i="6"/>
  <c r="D203" i="7" s="1"/>
  <c r="D88" i="6"/>
  <c r="B200" i="4"/>
  <c r="B87" i="6"/>
  <c r="B93" i="5"/>
  <c r="F114" i="6"/>
  <c r="F60" i="6"/>
  <c r="F202" i="7" s="1"/>
  <c r="F87" i="6"/>
  <c r="F125" i="5"/>
  <c r="F71" i="5"/>
  <c r="F126" i="7" s="1"/>
  <c r="F98" i="5"/>
  <c r="F4" i="3"/>
  <c r="F97" i="3" s="1"/>
  <c r="G188" i="3"/>
  <c r="F126" i="6"/>
  <c r="F72" i="6"/>
  <c r="F214" i="7" s="1"/>
  <c r="F99" i="6"/>
  <c r="J112" i="6"/>
  <c r="J58" i="6"/>
  <c r="J200" i="7" s="1"/>
  <c r="J85" i="6"/>
  <c r="U206" i="4"/>
  <c r="U13" i="4"/>
  <c r="L112" i="6"/>
  <c r="L58" i="6"/>
  <c r="L200" i="7" s="1"/>
  <c r="L85" i="6"/>
  <c r="U117" i="6"/>
  <c r="U144" i="6"/>
  <c r="U63" i="6"/>
  <c r="D73" i="5"/>
  <c r="D128" i="7" s="1"/>
  <c r="D127" i="5"/>
  <c r="D100" i="5"/>
  <c r="F62" i="5"/>
  <c r="F117" i="7" s="1"/>
  <c r="F116" i="5"/>
  <c r="F36" i="3"/>
  <c r="F89" i="5"/>
  <c r="C122" i="5"/>
  <c r="C149" i="5"/>
  <c r="C68" i="5"/>
  <c r="B114" i="6"/>
  <c r="B60" i="6"/>
  <c r="B202" i="7" s="1"/>
  <c r="C121" i="5"/>
  <c r="C67" i="5"/>
  <c r="C122" i="7" s="1"/>
  <c r="C94" i="5"/>
  <c r="H218" i="3"/>
  <c r="L118" i="5"/>
  <c r="L64" i="5"/>
  <c r="L119" i="7" s="1"/>
  <c r="L91" i="5"/>
  <c r="J64" i="5"/>
  <c r="J119" i="7" s="1"/>
  <c r="J118" i="5"/>
  <c r="J91" i="5"/>
  <c r="H188" i="3"/>
  <c r="E6" i="4"/>
  <c r="U73" i="5"/>
  <c r="U128" i="7" s="1"/>
  <c r="U127" i="5"/>
  <c r="U100" i="5"/>
  <c r="D8" i="4"/>
  <c r="U8" i="4"/>
  <c r="U6" i="4" s="1"/>
  <c r="C8" i="4"/>
  <c r="C6" i="4" s="1"/>
  <c r="B7" i="4"/>
  <c r="C143" i="4" l="1"/>
  <c r="C197" i="4"/>
  <c r="C7" i="3"/>
  <c r="C4" i="4"/>
  <c r="C224" i="4" s="1"/>
  <c r="U197" i="4"/>
  <c r="U143" i="4"/>
  <c r="U7" i="3"/>
  <c r="U4" i="4"/>
  <c r="U224" i="4" s="1"/>
  <c r="D199" i="4"/>
  <c r="B115" i="6"/>
  <c r="B61" i="6"/>
  <c r="B203" i="7" s="1"/>
  <c r="B88" i="6"/>
  <c r="E78" i="5"/>
  <c r="E133" i="7" s="1"/>
  <c r="E132" i="5"/>
  <c r="E105" i="5"/>
  <c r="B122" i="5"/>
  <c r="B149" i="5"/>
  <c r="B68" i="5"/>
  <c r="D6" i="4"/>
  <c r="D122" i="6"/>
  <c r="D68" i="6"/>
  <c r="D210" i="7" s="1"/>
  <c r="D95" i="6"/>
  <c r="E62" i="5"/>
  <c r="E117" i="7" s="1"/>
  <c r="E116" i="5"/>
  <c r="E36" i="3"/>
  <c r="E89" i="5"/>
  <c r="B198" i="4"/>
  <c r="C115" i="6"/>
  <c r="C61" i="6"/>
  <c r="C203" i="7" s="1"/>
  <c r="C88" i="6"/>
  <c r="C53" i="4"/>
  <c r="B53" i="4"/>
  <c r="E53" i="4"/>
  <c r="B74" i="5"/>
  <c r="B129" i="7" s="1"/>
  <c r="B128" i="5"/>
  <c r="B101" i="5"/>
  <c r="E71" i="5"/>
  <c r="E126" i="7" s="1"/>
  <c r="E125" i="5"/>
  <c r="E98" i="5"/>
  <c r="E114" i="6"/>
  <c r="E60" i="6"/>
  <c r="E202" i="7" s="1"/>
  <c r="E87" i="6"/>
  <c r="U150" i="4"/>
  <c r="U204" i="4"/>
  <c r="U8" i="3"/>
  <c r="U66" i="5"/>
  <c r="U121" i="7" s="1"/>
  <c r="U120" i="5"/>
  <c r="U93" i="5"/>
  <c r="V136" i="5"/>
  <c r="V82" i="5"/>
  <c r="V137" i="7" s="1"/>
  <c r="V109" i="5"/>
  <c r="F188" i="3"/>
  <c r="C116" i="6"/>
  <c r="C143" i="6"/>
  <c r="F104" i="3"/>
  <c r="F103" i="3"/>
  <c r="F105" i="3"/>
  <c r="F102" i="3"/>
  <c r="F106" i="3"/>
  <c r="F96" i="3"/>
  <c r="F107" i="3"/>
  <c r="F108" i="3"/>
  <c r="F101" i="3"/>
  <c r="F98" i="3"/>
  <c r="F100" i="3"/>
  <c r="F99" i="3"/>
  <c r="I118" i="5"/>
  <c r="I64" i="5"/>
  <c r="I119" i="7" s="1"/>
  <c r="I91" i="5"/>
  <c r="G105" i="3"/>
  <c r="G103" i="3"/>
  <c r="G106" i="3"/>
  <c r="G102" i="3"/>
  <c r="G108" i="3"/>
  <c r="G104" i="3"/>
  <c r="G96" i="3"/>
  <c r="G101" i="3"/>
  <c r="G107" i="3"/>
  <c r="G98" i="3"/>
  <c r="G100" i="3"/>
  <c r="G99" i="3"/>
  <c r="F53" i="4"/>
  <c r="D53" i="4"/>
  <c r="E126" i="6"/>
  <c r="E72" i="6"/>
  <c r="E214" i="7" s="1"/>
  <c r="E99" i="6"/>
  <c r="F110" i="6"/>
  <c r="F66" i="3"/>
  <c r="F56" i="6"/>
  <c r="F198" i="7" s="1"/>
  <c r="F83" i="6"/>
  <c r="V181" i="4"/>
  <c r="D66" i="5"/>
  <c r="D121" i="7" s="1"/>
  <c r="D120" i="5"/>
  <c r="D93" i="5"/>
  <c r="C74" i="5"/>
  <c r="C129" i="7" s="1"/>
  <c r="C128" i="5"/>
  <c r="C101" i="5"/>
  <c r="D121" i="6"/>
  <c r="D67" i="6"/>
  <c r="D209" i="7" s="1"/>
  <c r="D94" i="6"/>
  <c r="E143" i="4"/>
  <c r="E197" i="4"/>
  <c r="E7" i="3"/>
  <c r="E4" i="4"/>
  <c r="E119" i="6"/>
  <c r="E65" i="6"/>
  <c r="E207" i="7" s="1"/>
  <c r="E92" i="6"/>
  <c r="I112" i="6"/>
  <c r="I58" i="6"/>
  <c r="I200" i="7" s="1"/>
  <c r="I85" i="6"/>
  <c r="C199" i="4"/>
  <c r="U199" i="4"/>
  <c r="C127" i="5"/>
  <c r="C73" i="5"/>
  <c r="C128" i="7" s="1"/>
  <c r="C100" i="5"/>
  <c r="U128" i="6"/>
  <c r="U74" i="6"/>
  <c r="U216" i="7" s="1"/>
  <c r="U101" i="6"/>
  <c r="U121" i="6"/>
  <c r="U67" i="6"/>
  <c r="U209" i="7" s="1"/>
  <c r="U94" i="6"/>
  <c r="B8" i="4"/>
  <c r="B6" i="4" s="1"/>
  <c r="B28" i="4"/>
  <c r="E28" i="4"/>
  <c r="F28" i="4"/>
  <c r="D28" i="4"/>
  <c r="C28" i="4"/>
  <c r="U231" i="4" l="1"/>
  <c r="U226" i="4"/>
  <c r="C226" i="4"/>
  <c r="C26" i="4"/>
  <c r="B197" i="4"/>
  <c r="B143" i="4"/>
  <c r="B7" i="3"/>
  <c r="B4" i="4"/>
  <c r="B226" i="4" s="1"/>
  <c r="F26" i="4"/>
  <c r="E26" i="4"/>
  <c r="B26" i="4"/>
  <c r="E141" i="4"/>
  <c r="E195" i="4"/>
  <c r="E222" i="4"/>
  <c r="E230" i="4"/>
  <c r="E223" i="4"/>
  <c r="E234" i="4"/>
  <c r="E232" i="4"/>
  <c r="E235" i="4"/>
  <c r="E236" i="4"/>
  <c r="E233" i="4"/>
  <c r="E231" i="4"/>
  <c r="E228" i="4"/>
  <c r="E227" i="4"/>
  <c r="E225" i="4"/>
  <c r="E226" i="4"/>
  <c r="C122" i="6"/>
  <c r="C68" i="6"/>
  <c r="C210" i="7" s="1"/>
  <c r="C95" i="6"/>
  <c r="D114" i="6"/>
  <c r="D60" i="6"/>
  <c r="D202" i="7" s="1"/>
  <c r="D87" i="6"/>
  <c r="D125" i="5"/>
  <c r="D71" i="5"/>
  <c r="D126" i="7" s="1"/>
  <c r="D98" i="5"/>
  <c r="U195" i="4"/>
  <c r="U222" i="4"/>
  <c r="U141" i="4"/>
  <c r="U223" i="4"/>
  <c r="U236" i="4"/>
  <c r="U232" i="4"/>
  <c r="U234" i="4"/>
  <c r="U228" i="4"/>
  <c r="U230" i="4"/>
  <c r="U227" i="4"/>
  <c r="U229" i="4"/>
  <c r="U235" i="4"/>
  <c r="U233" i="4"/>
  <c r="U225" i="4"/>
  <c r="C5" i="3"/>
  <c r="B46" i="4"/>
  <c r="E110" i="6"/>
  <c r="E66" i="3"/>
  <c r="E56" i="6"/>
  <c r="E198" i="7" s="1"/>
  <c r="E83" i="6"/>
  <c r="F46" i="4"/>
  <c r="C121" i="6"/>
  <c r="C67" i="6"/>
  <c r="C209" i="7" s="1"/>
  <c r="C94" i="6"/>
  <c r="V130" i="6"/>
  <c r="V157" i="6"/>
  <c r="V76" i="6"/>
  <c r="V103" i="6"/>
  <c r="E188" i="3"/>
  <c r="G118" i="5"/>
  <c r="G64" i="5"/>
  <c r="G119" i="7" s="1"/>
  <c r="G91" i="5"/>
  <c r="U5" i="3"/>
  <c r="U116" i="5"/>
  <c r="U62" i="5"/>
  <c r="U117" i="7" s="1"/>
  <c r="U36" i="3"/>
  <c r="U89" i="5"/>
  <c r="D126" i="6"/>
  <c r="D72" i="6"/>
  <c r="D214" i="7" s="1"/>
  <c r="D99" i="6"/>
  <c r="D119" i="6"/>
  <c r="D65" i="6"/>
  <c r="D207" i="7" s="1"/>
  <c r="D92" i="6"/>
  <c r="G112" i="6"/>
  <c r="G58" i="6"/>
  <c r="G200" i="7" s="1"/>
  <c r="G85" i="6"/>
  <c r="U114" i="6"/>
  <c r="U60" i="6"/>
  <c r="U202" i="7" s="1"/>
  <c r="U87" i="6"/>
  <c r="E224" i="4"/>
  <c r="F218" i="3"/>
  <c r="B116" i="6"/>
  <c r="B143" i="6"/>
  <c r="E46" i="4"/>
  <c r="E271" i="4" s="1"/>
  <c r="D110" i="6"/>
  <c r="D66" i="3"/>
  <c r="D56" i="6"/>
  <c r="D198" i="7" s="1"/>
  <c r="D83" i="6"/>
  <c r="V179" i="4"/>
  <c r="V40" i="4"/>
  <c r="D46" i="4"/>
  <c r="D26" i="4"/>
  <c r="B122" i="6"/>
  <c r="B68" i="6"/>
  <c r="B210" i="7" s="1"/>
  <c r="B95" i="6"/>
  <c r="D78" i="5"/>
  <c r="D133" i="7" s="1"/>
  <c r="D132" i="5"/>
  <c r="D105" i="5"/>
  <c r="C46" i="4"/>
  <c r="D143" i="4"/>
  <c r="D197" i="4"/>
  <c r="D7" i="3"/>
  <c r="D4" i="4"/>
  <c r="D224" i="4" s="1"/>
  <c r="E5" i="3"/>
  <c r="B199" i="4"/>
  <c r="C120" i="5"/>
  <c r="C66" i="5"/>
  <c r="C121" i="7" s="1"/>
  <c r="C93" i="5"/>
  <c r="U78" i="5"/>
  <c r="U133" i="7" s="1"/>
  <c r="U132" i="5"/>
  <c r="U105" i="5"/>
  <c r="U125" i="5"/>
  <c r="U71" i="5"/>
  <c r="U126" i="7" s="1"/>
  <c r="U98" i="5"/>
  <c r="D62" i="5"/>
  <c r="D117" i="7" s="1"/>
  <c r="D116" i="5"/>
  <c r="D36" i="3"/>
  <c r="D89" i="5"/>
  <c r="C231" i="4"/>
  <c r="C195" i="4"/>
  <c r="C222" i="4"/>
  <c r="C141" i="4"/>
  <c r="C223" i="4"/>
  <c r="C235" i="4"/>
  <c r="C232" i="4"/>
  <c r="C234" i="4"/>
  <c r="C233" i="4"/>
  <c r="C236" i="4"/>
  <c r="C228" i="4"/>
  <c r="C227" i="4"/>
  <c r="C225" i="4"/>
  <c r="V17" i="4"/>
  <c r="B264" i="4" l="1"/>
  <c r="B266" i="4"/>
  <c r="B267" i="4"/>
  <c r="B270" i="4"/>
  <c r="B268" i="4"/>
  <c r="B269" i="4"/>
  <c r="B265" i="4"/>
  <c r="B272" i="4"/>
  <c r="B30" i="4"/>
  <c r="B273" i="4"/>
  <c r="E4" i="3"/>
  <c r="E97" i="3"/>
  <c r="D264" i="4"/>
  <c r="D266" i="4"/>
  <c r="D267" i="4"/>
  <c r="D268" i="4"/>
  <c r="D269" i="4"/>
  <c r="D270" i="4"/>
  <c r="D265" i="4"/>
  <c r="D272" i="4"/>
  <c r="D30" i="4"/>
  <c r="D273" i="4"/>
  <c r="B271" i="4"/>
  <c r="D271" i="4"/>
  <c r="C114" i="6"/>
  <c r="C60" i="6"/>
  <c r="C202" i="7" s="1"/>
  <c r="C87" i="6"/>
  <c r="E265" i="4"/>
  <c r="E264" i="4"/>
  <c r="E266" i="4"/>
  <c r="E267" i="4"/>
  <c r="E269" i="4"/>
  <c r="E268" i="4"/>
  <c r="E270" i="4"/>
  <c r="E272" i="4"/>
  <c r="E30" i="4"/>
  <c r="E273" i="4"/>
  <c r="H64" i="5"/>
  <c r="H119" i="7" s="1"/>
  <c r="H118" i="5"/>
  <c r="H91" i="5"/>
  <c r="B231" i="4"/>
  <c r="B222" i="4"/>
  <c r="B141" i="4"/>
  <c r="B195" i="4"/>
  <c r="B223" i="4"/>
  <c r="B234" i="4"/>
  <c r="B236" i="4"/>
  <c r="B232" i="4"/>
  <c r="B235" i="4"/>
  <c r="B233" i="4"/>
  <c r="B228" i="4"/>
  <c r="B227" i="4"/>
  <c r="B225" i="4"/>
  <c r="C163" i="4"/>
  <c r="C20" i="3"/>
  <c r="C19" i="4"/>
  <c r="U110" i="6"/>
  <c r="U66" i="3"/>
  <c r="U56" i="6"/>
  <c r="U198" i="7" s="1"/>
  <c r="U83" i="6"/>
  <c r="D188" i="3"/>
  <c r="U4" i="3"/>
  <c r="B163" i="4"/>
  <c r="B20" i="3"/>
  <c r="B19" i="4"/>
  <c r="B244" i="4" s="1"/>
  <c r="B5" i="3"/>
  <c r="E218" i="3"/>
  <c r="B224" i="4"/>
  <c r="C271" i="4"/>
  <c r="C264" i="4"/>
  <c r="C266" i="4"/>
  <c r="C269" i="4"/>
  <c r="C268" i="4"/>
  <c r="C267" i="4"/>
  <c r="C270" i="4"/>
  <c r="C265" i="4"/>
  <c r="C272" i="4"/>
  <c r="C30" i="4"/>
  <c r="C273" i="4"/>
  <c r="E163" i="4"/>
  <c r="E20" i="3"/>
  <c r="E19" i="4"/>
  <c r="E244" i="4" s="1"/>
  <c r="C4" i="3"/>
  <c r="C97" i="3" s="1"/>
  <c r="F163" i="4"/>
  <c r="F20" i="3"/>
  <c r="F19" i="4"/>
  <c r="F244" i="4" s="1"/>
  <c r="U188" i="3"/>
  <c r="H112" i="6"/>
  <c r="H58" i="6"/>
  <c r="H200" i="7" s="1"/>
  <c r="H85" i="6"/>
  <c r="V208" i="4"/>
  <c r="D225" i="4"/>
  <c r="D222" i="4"/>
  <c r="D141" i="4"/>
  <c r="D195" i="4"/>
  <c r="D223" i="4"/>
  <c r="D235" i="4"/>
  <c r="D234" i="4"/>
  <c r="D232" i="4"/>
  <c r="D233" i="4"/>
  <c r="D236" i="4"/>
  <c r="D231" i="4"/>
  <c r="D228" i="4"/>
  <c r="D227" i="4"/>
  <c r="D226" i="4"/>
  <c r="D163" i="4"/>
  <c r="D20" i="3"/>
  <c r="D19" i="4"/>
  <c r="D218" i="3"/>
  <c r="F264" i="4"/>
  <c r="F266" i="4"/>
  <c r="F268" i="4"/>
  <c r="F269" i="4"/>
  <c r="F267" i="4"/>
  <c r="F270" i="4"/>
  <c r="F265" i="4"/>
  <c r="F30" i="4"/>
  <c r="F272" i="4"/>
  <c r="F273" i="4"/>
  <c r="D5" i="3"/>
  <c r="V177" i="4"/>
  <c r="F271" i="4"/>
  <c r="V15" i="4"/>
  <c r="B55" i="7"/>
  <c r="E118" i="5" l="1"/>
  <c r="E64" i="5"/>
  <c r="E119" i="7" s="1"/>
  <c r="E91" i="5"/>
  <c r="C132" i="5"/>
  <c r="C78" i="5"/>
  <c r="C133" i="7" s="1"/>
  <c r="C105" i="5"/>
  <c r="C241" i="4"/>
  <c r="C156" i="4"/>
  <c r="C237" i="4"/>
  <c r="C239" i="4"/>
  <c r="C242" i="4"/>
  <c r="C240" i="4"/>
  <c r="C243" i="4"/>
  <c r="C238" i="4"/>
  <c r="C245" i="4"/>
  <c r="C246" i="4"/>
  <c r="D243" i="4"/>
  <c r="D237" i="4"/>
  <c r="D156" i="4"/>
  <c r="D239" i="4"/>
  <c r="D242" i="4"/>
  <c r="D240" i="4"/>
  <c r="D241" i="4"/>
  <c r="D238" i="4"/>
  <c r="D245" i="4"/>
  <c r="D246" i="4"/>
  <c r="F64" i="5"/>
  <c r="F119" i="7" s="1"/>
  <c r="F118" i="5"/>
  <c r="F91" i="5"/>
  <c r="B4" i="3"/>
  <c r="B97" i="3" s="1"/>
  <c r="C18" i="3"/>
  <c r="E112" i="6"/>
  <c r="E58" i="6"/>
  <c r="E200" i="7" s="1"/>
  <c r="E85" i="6"/>
  <c r="F112" i="6"/>
  <c r="F58" i="6"/>
  <c r="F200" i="7" s="1"/>
  <c r="F85" i="6"/>
  <c r="V206" i="4"/>
  <c r="V13" i="4"/>
  <c r="C126" i="6"/>
  <c r="C72" i="6"/>
  <c r="C214" i="7" s="1"/>
  <c r="C99" i="6"/>
  <c r="U126" i="6"/>
  <c r="U72" i="6"/>
  <c r="U214" i="7" s="1"/>
  <c r="U99" i="6"/>
  <c r="D18" i="3"/>
  <c r="C244" i="4"/>
  <c r="E105" i="3"/>
  <c r="E101" i="3"/>
  <c r="E102" i="3"/>
  <c r="E96" i="3"/>
  <c r="E108" i="3"/>
  <c r="E104" i="3"/>
  <c r="E106" i="3"/>
  <c r="E107" i="3"/>
  <c r="E103" i="3"/>
  <c r="E98" i="3"/>
  <c r="E100" i="3"/>
  <c r="E99" i="3"/>
  <c r="V172" i="4"/>
  <c r="D4" i="3"/>
  <c r="D244" i="4"/>
  <c r="C116" i="5"/>
  <c r="C62" i="5"/>
  <c r="C117" i="7" s="1"/>
  <c r="C36" i="3"/>
  <c r="C89" i="5"/>
  <c r="C71" i="5"/>
  <c r="C126" i="7" s="1"/>
  <c r="C125" i="5"/>
  <c r="C98" i="5"/>
  <c r="U108" i="3"/>
  <c r="U107" i="3"/>
  <c r="U103" i="3"/>
  <c r="U106" i="3"/>
  <c r="U105" i="3"/>
  <c r="U104" i="3"/>
  <c r="U102" i="3"/>
  <c r="U101" i="3"/>
  <c r="U96" i="3"/>
  <c r="U98" i="3"/>
  <c r="U99" i="3"/>
  <c r="U100" i="3"/>
  <c r="C119" i="6"/>
  <c r="C65" i="6"/>
  <c r="C207" i="7" s="1"/>
  <c r="C92" i="6"/>
  <c r="F238" i="4"/>
  <c r="F237" i="4"/>
  <c r="F156" i="4"/>
  <c r="F239" i="4"/>
  <c r="F242" i="4"/>
  <c r="F240" i="4"/>
  <c r="F243" i="4"/>
  <c r="F241" i="4"/>
  <c r="F245" i="4"/>
  <c r="F246" i="4"/>
  <c r="C105" i="3"/>
  <c r="C96" i="3"/>
  <c r="C106" i="3"/>
  <c r="C107" i="3"/>
  <c r="C108" i="3"/>
  <c r="C102" i="3"/>
  <c r="C103" i="3"/>
  <c r="C104" i="3"/>
  <c r="C101" i="3"/>
  <c r="C98" i="3"/>
  <c r="C100" i="3"/>
  <c r="C99" i="3"/>
  <c r="E238" i="4"/>
  <c r="E156" i="4"/>
  <c r="E237" i="4"/>
  <c r="E239" i="4"/>
  <c r="E242" i="4"/>
  <c r="E240" i="4"/>
  <c r="E243" i="4"/>
  <c r="E241" i="4"/>
  <c r="E245" i="4"/>
  <c r="E246" i="4"/>
  <c r="B156" i="4"/>
  <c r="B237" i="4"/>
  <c r="B239" i="4"/>
  <c r="B240" i="4"/>
  <c r="B241" i="4"/>
  <c r="B238" i="4"/>
  <c r="B242" i="4"/>
  <c r="B243" i="4"/>
  <c r="B245" i="4"/>
  <c r="B246" i="4"/>
  <c r="U218" i="3"/>
  <c r="F18" i="3"/>
  <c r="E18" i="3"/>
  <c r="B18" i="3"/>
  <c r="U97" i="3"/>
  <c r="D105" i="3" l="1"/>
  <c r="D102" i="3"/>
  <c r="D106" i="3"/>
  <c r="D104" i="3"/>
  <c r="D107" i="3"/>
  <c r="D96" i="3"/>
  <c r="D108" i="3"/>
  <c r="D103" i="3"/>
  <c r="D101" i="3"/>
  <c r="D98" i="3"/>
  <c r="D100" i="3"/>
  <c r="D99" i="3"/>
  <c r="V80" i="5"/>
  <c r="V135" i="7" s="1"/>
  <c r="V134" i="5"/>
  <c r="V107" i="5"/>
  <c r="C17" i="3"/>
  <c r="C110" i="3" s="1"/>
  <c r="D112" i="6"/>
  <c r="D58" i="6"/>
  <c r="D200" i="7" s="1"/>
  <c r="D85" i="6"/>
  <c r="D64" i="5"/>
  <c r="D119" i="7" s="1"/>
  <c r="D118" i="5"/>
  <c r="D91" i="5"/>
  <c r="B28" i="7"/>
  <c r="B192" i="4"/>
  <c r="B219" i="4"/>
  <c r="C28" i="7"/>
  <c r="C192" i="4"/>
  <c r="C219" i="4"/>
  <c r="F28" i="7"/>
  <c r="F192" i="4"/>
  <c r="F219" i="4"/>
  <c r="B62" i="5"/>
  <c r="B117" i="7" s="1"/>
  <c r="B116" i="5"/>
  <c r="B36" i="3"/>
  <c r="B89" i="5"/>
  <c r="V127" i="5"/>
  <c r="V73" i="5"/>
  <c r="V128" i="7" s="1"/>
  <c r="V100" i="5"/>
  <c r="B126" i="6"/>
  <c r="B72" i="6"/>
  <c r="B214" i="7" s="1"/>
  <c r="B99" i="6"/>
  <c r="B132" i="5"/>
  <c r="B78" i="5"/>
  <c r="B133" i="7" s="1"/>
  <c r="B105" i="5"/>
  <c r="E17" i="3"/>
  <c r="B17" i="3"/>
  <c r="B110" i="3" s="1"/>
  <c r="F17" i="3"/>
  <c r="F110" i="3" s="1"/>
  <c r="C188" i="3"/>
  <c r="C110" i="6"/>
  <c r="C66" i="3"/>
  <c r="C56" i="6"/>
  <c r="C198" i="7" s="1"/>
  <c r="C83" i="6"/>
  <c r="D28" i="7"/>
  <c r="D192" i="4"/>
  <c r="D219" i="4"/>
  <c r="E28" i="7"/>
  <c r="E192" i="4"/>
  <c r="E219" i="4"/>
  <c r="V150" i="4"/>
  <c r="V204" i="4"/>
  <c r="V8" i="3"/>
  <c r="B105" i="3"/>
  <c r="B107" i="3"/>
  <c r="B108" i="3"/>
  <c r="B103" i="3"/>
  <c r="B102" i="3"/>
  <c r="B106" i="3"/>
  <c r="B104" i="3"/>
  <c r="B96" i="3"/>
  <c r="B101" i="3"/>
  <c r="B98" i="3"/>
  <c r="B100" i="3"/>
  <c r="B99" i="3"/>
  <c r="U135" i="5"/>
  <c r="U81" i="5"/>
  <c r="U136" i="7" s="1"/>
  <c r="U108" i="5"/>
  <c r="B125" i="5"/>
  <c r="B71" i="5"/>
  <c r="B126" i="7" s="1"/>
  <c r="B98" i="5"/>
  <c r="U119" i="6"/>
  <c r="U65" i="6"/>
  <c r="U207" i="7" s="1"/>
  <c r="U92" i="6"/>
  <c r="D97" i="3"/>
  <c r="D17" i="3"/>
  <c r="D110" i="3" s="1"/>
  <c r="E118" i="3" l="1"/>
  <c r="E117" i="3"/>
  <c r="E109" i="3"/>
  <c r="E114" i="3"/>
  <c r="E113" i="3"/>
  <c r="E120" i="3"/>
  <c r="E115" i="3"/>
  <c r="E116" i="3"/>
  <c r="E119" i="3"/>
  <c r="E111" i="3"/>
  <c r="E112" i="3"/>
  <c r="V121" i="6"/>
  <c r="V67" i="6"/>
  <c r="V209" i="7" s="1"/>
  <c r="V94" i="6"/>
  <c r="C218" i="3"/>
  <c r="B117" i="3"/>
  <c r="B119" i="3"/>
  <c r="B109" i="3"/>
  <c r="B114" i="3"/>
  <c r="B118" i="3"/>
  <c r="B115" i="3"/>
  <c r="B113" i="3"/>
  <c r="B120" i="3"/>
  <c r="B116" i="3"/>
  <c r="B111" i="3"/>
  <c r="B112" i="3"/>
  <c r="B188" i="3"/>
  <c r="D114" i="3"/>
  <c r="D115" i="3"/>
  <c r="D119" i="3"/>
  <c r="D118" i="3"/>
  <c r="D120" i="3"/>
  <c r="D116" i="3"/>
  <c r="D117" i="3"/>
  <c r="D109" i="3"/>
  <c r="D113" i="3"/>
  <c r="D111" i="3"/>
  <c r="D112" i="3"/>
  <c r="V128" i="6"/>
  <c r="V74" i="6"/>
  <c r="V216" i="7" s="1"/>
  <c r="V101" i="6"/>
  <c r="B110" i="6"/>
  <c r="B66" i="3"/>
  <c r="B56" i="6"/>
  <c r="B198" i="7" s="1"/>
  <c r="B83" i="6"/>
  <c r="B119" i="6"/>
  <c r="B65" i="6"/>
  <c r="B207" i="7" s="1"/>
  <c r="B92" i="6"/>
  <c r="C113" i="3"/>
  <c r="C117" i="3"/>
  <c r="C114" i="3"/>
  <c r="C109" i="3"/>
  <c r="C119" i="3"/>
  <c r="C115" i="3"/>
  <c r="C120" i="3"/>
  <c r="C118" i="3"/>
  <c r="C116" i="3"/>
  <c r="C111" i="3"/>
  <c r="C112" i="3"/>
  <c r="V120" i="5"/>
  <c r="V66" i="5"/>
  <c r="V121" i="7" s="1"/>
  <c r="F117" i="3"/>
  <c r="F116" i="3"/>
  <c r="F109" i="3"/>
  <c r="F113" i="3"/>
  <c r="F115" i="3"/>
  <c r="F119" i="3"/>
  <c r="F114" i="3"/>
  <c r="F120" i="3"/>
  <c r="F118" i="3"/>
  <c r="F111" i="3"/>
  <c r="F112" i="3"/>
  <c r="E110" i="3"/>
  <c r="U122" i="5"/>
  <c r="U68" i="5"/>
  <c r="U123" i="7" s="1"/>
  <c r="U95" i="5"/>
  <c r="U116" i="6" l="1"/>
  <c r="U62" i="6"/>
  <c r="U204" i="7" s="1"/>
  <c r="U89" i="6"/>
  <c r="U64" i="5"/>
  <c r="U119" i="7" s="1"/>
  <c r="U118" i="5"/>
  <c r="U91" i="5"/>
  <c r="C112" i="6"/>
  <c r="C58" i="6"/>
  <c r="C200" i="7" s="1"/>
  <c r="C85" i="6"/>
  <c r="V114" i="6"/>
  <c r="V60" i="6"/>
  <c r="V202" i="7" s="1"/>
  <c r="U129" i="6"/>
  <c r="U75" i="6"/>
  <c r="U217" i="7" s="1"/>
  <c r="U102" i="6"/>
  <c r="U112" i="6"/>
  <c r="U58" i="6"/>
  <c r="U200" i="7" s="1"/>
  <c r="U85" i="6"/>
  <c r="B218" i="3"/>
  <c r="C118" i="5"/>
  <c r="C64" i="5"/>
  <c r="C119" i="7" s="1"/>
  <c r="C91" i="5"/>
  <c r="C55" i="7" l="1"/>
  <c r="B79" i="5" l="1"/>
  <c r="B134" i="7" s="1"/>
  <c r="B133" i="5"/>
  <c r="B106" i="5"/>
  <c r="B43" i="5"/>
  <c r="B127" i="6"/>
  <c r="B73" i="6"/>
  <c r="B215" i="7" s="1"/>
  <c r="B100" i="6"/>
  <c r="B34" i="6"/>
  <c r="U67" i="5"/>
  <c r="U122" i="7" s="1"/>
  <c r="U121" i="5"/>
  <c r="U94" i="5"/>
  <c r="B112" i="6"/>
  <c r="B58" i="6"/>
  <c r="B200" i="7" s="1"/>
  <c r="B85" i="6"/>
  <c r="B118" i="5"/>
  <c r="B64" i="5"/>
  <c r="B119" i="7" s="1"/>
  <c r="B91" i="5"/>
  <c r="B72" i="5"/>
  <c r="B127" i="7" s="1"/>
  <c r="B126" i="5"/>
  <c r="B99" i="5"/>
  <c r="B33" i="5"/>
  <c r="B71" i="6" l="1"/>
  <c r="B213" i="7" s="1"/>
  <c r="B125" i="6"/>
  <c r="B79" i="3"/>
  <c r="B98" i="6"/>
  <c r="B77" i="5"/>
  <c r="B132" i="7" s="1"/>
  <c r="B131" i="5"/>
  <c r="B49" i="3"/>
  <c r="B104" i="5"/>
  <c r="U128" i="5"/>
  <c r="U74" i="5"/>
  <c r="U129" i="7" s="1"/>
  <c r="U101" i="5"/>
  <c r="B124" i="5"/>
  <c r="B70" i="5"/>
  <c r="B125" i="7" s="1"/>
  <c r="B38" i="3"/>
  <c r="B97" i="5"/>
  <c r="U115" i="6"/>
  <c r="U61" i="6"/>
  <c r="U203" i="7" s="1"/>
  <c r="U88" i="6"/>
  <c r="B201" i="3" l="1"/>
  <c r="B65" i="5"/>
  <c r="B120" i="7" s="1"/>
  <c r="B119" i="5"/>
  <c r="B92" i="5"/>
  <c r="B21" i="5"/>
  <c r="B113" i="6"/>
  <c r="B59" i="6"/>
  <c r="B201" i="7" s="1"/>
  <c r="B86" i="6"/>
  <c r="B20" i="6"/>
  <c r="B190" i="3"/>
  <c r="U122" i="6"/>
  <c r="U68" i="6"/>
  <c r="U210" i="7" s="1"/>
  <c r="U95" i="6"/>
  <c r="V188" i="4"/>
  <c r="V47" i="4"/>
  <c r="B139" i="5"/>
  <c r="B85" i="5"/>
  <c r="B140" i="7" s="1"/>
  <c r="B112" i="5"/>
  <c r="B120" i="6"/>
  <c r="B66" i="6"/>
  <c r="B208" i="7" s="1"/>
  <c r="B93" i="6"/>
  <c r="B27" i="6"/>
  <c r="B231" i="3"/>
  <c r="V10" i="4"/>
  <c r="V184" i="4" l="1"/>
  <c r="V46" i="4"/>
  <c r="V265" i="4"/>
  <c r="B63" i="5"/>
  <c r="B118" i="7" s="1"/>
  <c r="B117" i="5"/>
  <c r="B37" i="3"/>
  <c r="B90" i="5"/>
  <c r="B18" i="5"/>
  <c r="V201" i="4"/>
  <c r="B18" i="6"/>
  <c r="B111" i="6"/>
  <c r="B67" i="3"/>
  <c r="B57" i="6"/>
  <c r="B199" i="7" s="1"/>
  <c r="B84" i="6"/>
  <c r="B118" i="6"/>
  <c r="B68" i="3"/>
  <c r="B64" i="6"/>
  <c r="B206" i="7" s="1"/>
  <c r="B91" i="6"/>
  <c r="W75" i="5"/>
  <c r="W130" i="7" s="1"/>
  <c r="W129" i="5"/>
  <c r="V24" i="4"/>
  <c r="V176" i="4" l="1"/>
  <c r="V215" i="4"/>
  <c r="V20" i="4"/>
  <c r="B61" i="5"/>
  <c r="B88" i="5"/>
  <c r="V264" i="4"/>
  <c r="V272" i="4"/>
  <c r="V273" i="4"/>
  <c r="V271" i="4"/>
  <c r="V266" i="4"/>
  <c r="V270" i="4"/>
  <c r="V268" i="4"/>
  <c r="V267" i="4"/>
  <c r="V269" i="4"/>
  <c r="B220" i="3"/>
  <c r="B55" i="6"/>
  <c r="B82" i="6"/>
  <c r="B219" i="3"/>
  <c r="B65" i="3"/>
  <c r="B189" i="3"/>
  <c r="B35" i="3"/>
  <c r="W123" i="6"/>
  <c r="W150" i="6"/>
  <c r="W69" i="6"/>
  <c r="V175" i="4" l="1"/>
  <c r="B187" i="3"/>
  <c r="B34" i="3"/>
  <c r="B127" i="3" s="1"/>
  <c r="B64" i="3"/>
  <c r="B217" i="3"/>
  <c r="B133" i="6"/>
  <c r="B79" i="6"/>
  <c r="B221" i="7" s="1"/>
  <c r="B106" i="6"/>
  <c r="V211" i="4"/>
  <c r="V157" i="4"/>
  <c r="V19" i="4"/>
  <c r="V238" i="4" s="1"/>
  <c r="V19" i="3"/>
  <c r="D55" i="7"/>
  <c r="B157" i="3" l="1"/>
  <c r="V33" i="4"/>
  <c r="V171" i="4"/>
  <c r="B168" i="3"/>
  <c r="B163" i="3"/>
  <c r="B161" i="3"/>
  <c r="B166" i="3"/>
  <c r="B165" i="3"/>
  <c r="B156" i="3"/>
  <c r="B167" i="3"/>
  <c r="B216" i="3"/>
  <c r="B158" i="3"/>
  <c r="B160" i="3"/>
  <c r="B159" i="3"/>
  <c r="V18" i="3"/>
  <c r="B137" i="3"/>
  <c r="B138" i="3"/>
  <c r="B135" i="3"/>
  <c r="B126" i="3"/>
  <c r="B132" i="3"/>
  <c r="B133" i="3"/>
  <c r="B131" i="3"/>
  <c r="B134" i="3"/>
  <c r="B136" i="3"/>
  <c r="B186" i="3"/>
  <c r="B128" i="3"/>
  <c r="B130" i="3"/>
  <c r="B129" i="3"/>
  <c r="V237" i="4"/>
  <c r="V156" i="4"/>
  <c r="V245" i="4"/>
  <c r="V246" i="4"/>
  <c r="V244" i="4"/>
  <c r="V243" i="4"/>
  <c r="V239" i="4"/>
  <c r="V241" i="4"/>
  <c r="V240" i="4"/>
  <c r="V242" i="4"/>
  <c r="V135" i="5"/>
  <c r="V81" i="5"/>
  <c r="V136" i="7" s="1"/>
  <c r="V108" i="5"/>
  <c r="W185" i="4" l="1"/>
  <c r="W189" i="4"/>
  <c r="W187" i="4"/>
  <c r="V17" i="3"/>
  <c r="V110" i="3"/>
  <c r="V121" i="5"/>
  <c r="V67" i="5"/>
  <c r="V122" i="7" s="1"/>
  <c r="V94" i="5"/>
  <c r="B52" i="5"/>
  <c r="B84" i="5"/>
  <c r="B111" i="5"/>
  <c r="B40" i="6"/>
  <c r="B78" i="6"/>
  <c r="B105" i="6"/>
  <c r="V129" i="6"/>
  <c r="V75" i="6"/>
  <c r="V217" i="7" s="1"/>
  <c r="V102" i="6"/>
  <c r="W178" i="4"/>
  <c r="W180" i="4"/>
  <c r="V170" i="4"/>
  <c r="V31" i="4"/>
  <c r="B83" i="5" l="1"/>
  <c r="B50" i="3"/>
  <c r="B110" i="5"/>
  <c r="B42" i="5"/>
  <c r="V260" i="4"/>
  <c r="V30" i="4"/>
  <c r="V249" i="4"/>
  <c r="V168" i="4"/>
  <c r="V250" i="4"/>
  <c r="V263" i="4"/>
  <c r="V261" i="4"/>
  <c r="V255" i="4"/>
  <c r="V259" i="4"/>
  <c r="V254" i="4"/>
  <c r="V262" i="4"/>
  <c r="V258" i="4"/>
  <c r="V253" i="4"/>
  <c r="V257" i="4"/>
  <c r="V256" i="4"/>
  <c r="V252" i="4"/>
  <c r="V74" i="5"/>
  <c r="V129" i="7" s="1"/>
  <c r="V128" i="5"/>
  <c r="V101" i="5"/>
  <c r="V117" i="3"/>
  <c r="V119" i="3"/>
  <c r="V115" i="3"/>
  <c r="V120" i="3"/>
  <c r="V118" i="3"/>
  <c r="V109" i="3"/>
  <c r="V114" i="3"/>
  <c r="V116" i="3"/>
  <c r="V113" i="3"/>
  <c r="V112" i="3"/>
  <c r="V111" i="3"/>
  <c r="V115" i="6"/>
  <c r="V61" i="6"/>
  <c r="V203" i="7" s="1"/>
  <c r="V88" i="6"/>
  <c r="V251" i="4"/>
  <c r="B80" i="3"/>
  <c r="B77" i="6"/>
  <c r="B104" i="6"/>
  <c r="B33" i="6"/>
  <c r="W186" i="4"/>
  <c r="W25" i="4"/>
  <c r="W14" i="4"/>
  <c r="W23" i="4"/>
  <c r="W21" i="4"/>
  <c r="W214" i="4" l="1"/>
  <c r="W205" i="4"/>
  <c r="W216" i="4"/>
  <c r="B76" i="5"/>
  <c r="B103" i="5"/>
  <c r="B17" i="5"/>
  <c r="B232" i="3"/>
  <c r="B78" i="3"/>
  <c r="W212" i="4"/>
  <c r="B17" i="6"/>
  <c r="B151" i="6" s="1"/>
  <c r="B70" i="6"/>
  <c r="B97" i="6"/>
  <c r="V122" i="6"/>
  <c r="V68" i="6"/>
  <c r="V210" i="7" s="1"/>
  <c r="V95" i="6"/>
  <c r="B202" i="3"/>
  <c r="B48" i="3"/>
  <c r="W22" i="4"/>
  <c r="W18" i="4"/>
  <c r="V11" i="4"/>
  <c r="V12" i="4"/>
  <c r="V9" i="4"/>
  <c r="V96" i="5" l="1"/>
  <c r="V203" i="4"/>
  <c r="B144" i="5"/>
  <c r="B141" i="5"/>
  <c r="B60" i="5"/>
  <c r="B154" i="5"/>
  <c r="B156" i="5"/>
  <c r="B161" i="5"/>
  <c r="B162" i="5"/>
  <c r="B163" i="5"/>
  <c r="B147" i="5"/>
  <c r="B148" i="5"/>
  <c r="B155" i="5"/>
  <c r="B152" i="5"/>
  <c r="B159" i="5"/>
  <c r="B143" i="5"/>
  <c r="B153" i="5"/>
  <c r="B160" i="5"/>
  <c r="B145" i="5"/>
  <c r="B151" i="5"/>
  <c r="B158" i="5"/>
  <c r="B146" i="5"/>
  <c r="B166" i="5"/>
  <c r="B142" i="5"/>
  <c r="B165" i="5"/>
  <c r="B164" i="5"/>
  <c r="V202" i="4"/>
  <c r="W213" i="4"/>
  <c r="V87" i="6"/>
  <c r="V200" i="4"/>
  <c r="V93" i="5"/>
  <c r="W96" i="6"/>
  <c r="W209" i="4"/>
  <c r="W102" i="5"/>
  <c r="B157" i="5"/>
  <c r="B200" i="3"/>
  <c r="B47" i="3"/>
  <c r="B140" i="3" s="1"/>
  <c r="B135" i="6"/>
  <c r="B148" i="6"/>
  <c r="B156" i="6"/>
  <c r="B155" i="6"/>
  <c r="B141" i="6"/>
  <c r="B142" i="6"/>
  <c r="B149" i="6"/>
  <c r="B54" i="6"/>
  <c r="B153" i="6"/>
  <c r="B137" i="6"/>
  <c r="B146" i="6"/>
  <c r="B154" i="6"/>
  <c r="B139" i="6"/>
  <c r="B152" i="6"/>
  <c r="B140" i="6"/>
  <c r="B147" i="6"/>
  <c r="B145" i="6"/>
  <c r="B138" i="6"/>
  <c r="B136" i="6"/>
  <c r="B160" i="6"/>
  <c r="B159" i="6"/>
  <c r="B158" i="6"/>
  <c r="B77" i="3"/>
  <c r="B230" i="3"/>
  <c r="W16" i="4"/>
  <c r="V4" i="5"/>
  <c r="V47" i="6" s="1"/>
  <c r="V7" i="4"/>
  <c r="B169" i="3" l="1"/>
  <c r="B175" i="3"/>
  <c r="B173" i="3"/>
  <c r="B176" i="3"/>
  <c r="B177" i="3"/>
  <c r="B174" i="3"/>
  <c r="B180" i="3"/>
  <c r="B179" i="3"/>
  <c r="B178" i="3"/>
  <c r="B229" i="3"/>
  <c r="B171" i="3"/>
  <c r="B172" i="3"/>
  <c r="B144" i="3"/>
  <c r="B149" i="3"/>
  <c r="B143" i="3"/>
  <c r="B199" i="3"/>
  <c r="B150" i="3"/>
  <c r="B148" i="3"/>
  <c r="B139" i="3"/>
  <c r="B145" i="3"/>
  <c r="B147" i="3"/>
  <c r="B146" i="3"/>
  <c r="B141" i="3"/>
  <c r="B142" i="3"/>
  <c r="V198" i="4"/>
  <c r="W207" i="4"/>
  <c r="V123" i="5"/>
  <c r="V69" i="5"/>
  <c r="V124" i="7" s="1"/>
  <c r="B170" i="3"/>
  <c r="V8" i="4"/>
  <c r="V6" i="4" s="1"/>
  <c r="V143" i="4" l="1"/>
  <c r="V197" i="4"/>
  <c r="V7" i="3"/>
  <c r="V4" i="4"/>
  <c r="V199" i="4"/>
  <c r="V117" i="6"/>
  <c r="V144" i="6"/>
  <c r="V63" i="6"/>
  <c r="V90" i="6"/>
  <c r="W136" i="5"/>
  <c r="W82" i="5"/>
  <c r="W137" i="7" s="1"/>
  <c r="W109" i="5"/>
  <c r="V231" i="4" l="1"/>
  <c r="V141" i="4"/>
  <c r="V195" i="4"/>
  <c r="V222" i="4"/>
  <c r="V223" i="4"/>
  <c r="V232" i="4"/>
  <c r="V236" i="4"/>
  <c r="V234" i="4"/>
  <c r="V235" i="4"/>
  <c r="V233" i="4"/>
  <c r="V228" i="4"/>
  <c r="V229" i="4"/>
  <c r="V227" i="4"/>
  <c r="V230" i="4"/>
  <c r="V225" i="4"/>
  <c r="V5" i="3"/>
  <c r="V226" i="4"/>
  <c r="V224" i="4"/>
  <c r="W157" i="6"/>
  <c r="W130" i="6"/>
  <c r="W76" i="6"/>
  <c r="W103" i="6"/>
  <c r="E55" i="7"/>
  <c r="V119" i="6" l="1"/>
  <c r="V65" i="6"/>
  <c r="V207" i="7" s="1"/>
  <c r="V92" i="6"/>
  <c r="V110" i="6"/>
  <c r="V66" i="3"/>
  <c r="V56" i="6"/>
  <c r="V198" i="7" s="1"/>
  <c r="V83" i="6"/>
  <c r="V125" i="5"/>
  <c r="V71" i="5"/>
  <c r="V126" i="7" s="1"/>
  <c r="V98" i="5"/>
  <c r="V4" i="3"/>
  <c r="V97" i="3" s="1"/>
  <c r="V78" i="5"/>
  <c r="V133" i="7" s="1"/>
  <c r="V132" i="5"/>
  <c r="V105" i="5"/>
  <c r="V126" i="6"/>
  <c r="V72" i="6"/>
  <c r="V214" i="7" s="1"/>
  <c r="V99" i="6"/>
  <c r="V62" i="5"/>
  <c r="V117" i="7" s="1"/>
  <c r="V116" i="5"/>
  <c r="V36" i="3"/>
  <c r="V89" i="5"/>
  <c r="V102" i="3" l="1"/>
  <c r="V105" i="3"/>
  <c r="V106" i="3"/>
  <c r="V108" i="3"/>
  <c r="V104" i="3"/>
  <c r="V107" i="3"/>
  <c r="V96" i="3"/>
  <c r="V103" i="3"/>
  <c r="V101" i="3"/>
  <c r="V98" i="3"/>
  <c r="V100" i="3"/>
  <c r="V99" i="3"/>
  <c r="V188" i="3"/>
  <c r="V218" i="3"/>
  <c r="V122" i="5" l="1"/>
  <c r="V68" i="5"/>
  <c r="V123" i="7" s="1"/>
  <c r="V95" i="5"/>
  <c r="V116" i="6" l="1"/>
  <c r="V62" i="6"/>
  <c r="V204" i="7" s="1"/>
  <c r="V89" i="6"/>
  <c r="V112" i="6" l="1"/>
  <c r="V58" i="6"/>
  <c r="V200" i="7" s="1"/>
  <c r="V85" i="6"/>
  <c r="W173" i="4"/>
  <c r="V118" i="5"/>
  <c r="V64" i="5"/>
  <c r="V119" i="7" s="1"/>
  <c r="V91" i="5"/>
  <c r="W172" i="4"/>
  <c r="W174" i="4"/>
  <c r="F55" i="7" l="1"/>
  <c r="W181" i="4" l="1"/>
  <c r="W179" i="4" l="1"/>
  <c r="W40" i="4"/>
  <c r="W17" i="4"/>
  <c r="W208" i="4" l="1"/>
  <c r="W177" i="4"/>
  <c r="W10" i="4"/>
  <c r="W15" i="4"/>
  <c r="W206" i="4" l="1"/>
  <c r="W13" i="4"/>
  <c r="W201" i="4"/>
  <c r="W73" i="5"/>
  <c r="W128" i="7" s="1"/>
  <c r="W127" i="5"/>
  <c r="W100" i="5"/>
  <c r="W80" i="5"/>
  <c r="W135" i="7" s="1"/>
  <c r="W134" i="5"/>
  <c r="W107" i="5"/>
  <c r="W120" i="5" l="1"/>
  <c r="W66" i="5"/>
  <c r="W121" i="7" s="1"/>
  <c r="W204" i="4"/>
  <c r="W150" i="4"/>
  <c r="W8" i="3"/>
  <c r="W121" i="6"/>
  <c r="W67" i="6"/>
  <c r="W209" i="7" s="1"/>
  <c r="W94" i="6"/>
  <c r="W128" i="6"/>
  <c r="W74" i="6"/>
  <c r="W216" i="7" s="1"/>
  <c r="W101" i="6"/>
  <c r="W114" i="6" l="1"/>
  <c r="W60" i="6"/>
  <c r="W202" i="7" s="1"/>
  <c r="W188" i="4"/>
  <c r="W47" i="4"/>
  <c r="W184" i="4" l="1"/>
  <c r="W46" i="4"/>
  <c r="W265" i="4" s="1"/>
  <c r="W24" i="4"/>
  <c r="W215" i="4" l="1"/>
  <c r="W20" i="4"/>
  <c r="W264" i="4"/>
  <c r="W272" i="4"/>
  <c r="W273" i="4"/>
  <c r="W271" i="4"/>
  <c r="W266" i="4"/>
  <c r="W268" i="4"/>
  <c r="W270" i="4"/>
  <c r="W267" i="4"/>
  <c r="W269" i="4"/>
  <c r="W176" i="4"/>
  <c r="W19" i="4" l="1"/>
  <c r="W211" i="4"/>
  <c r="W157" i="4"/>
  <c r="W19" i="3"/>
  <c r="C107" i="4"/>
  <c r="C100" i="4" s="1"/>
  <c r="C84" i="4" s="1"/>
  <c r="D54" i="7"/>
  <c r="D134" i="4"/>
  <c r="W175" i="4"/>
  <c r="D107" i="4"/>
  <c r="D100" i="4" s="1"/>
  <c r="D84" i="4" s="1"/>
  <c r="X129" i="5"/>
  <c r="X75" i="5"/>
  <c r="X130" i="7" s="1"/>
  <c r="G55" i="7"/>
  <c r="W33" i="4" l="1"/>
  <c r="W171" i="4"/>
  <c r="C80" i="4"/>
  <c r="C27" i="7"/>
  <c r="C191" i="4"/>
  <c r="C218" i="4"/>
  <c r="W18" i="3"/>
  <c r="C54" i="7"/>
  <c r="C134" i="4"/>
  <c r="B134" i="4"/>
  <c r="B54" i="7"/>
  <c r="B107" i="4"/>
  <c r="B100" i="4" s="1"/>
  <c r="B84" i="4" s="1"/>
  <c r="X69" i="6"/>
  <c r="X123" i="6"/>
  <c r="X150" i="6"/>
  <c r="D53" i="7"/>
  <c r="D127" i="4"/>
  <c r="D80" i="4"/>
  <c r="D27" i="7"/>
  <c r="D191" i="4"/>
  <c r="D218" i="4"/>
  <c r="W238" i="4"/>
  <c r="W237" i="4"/>
  <c r="W156" i="4"/>
  <c r="W245" i="4"/>
  <c r="W246" i="4"/>
  <c r="W244" i="4"/>
  <c r="W239" i="4"/>
  <c r="W241" i="4"/>
  <c r="W243" i="4"/>
  <c r="W240" i="4"/>
  <c r="W242" i="4"/>
  <c r="C26" i="7" l="1"/>
  <c r="C73" i="4"/>
  <c r="C190" i="4"/>
  <c r="C217" i="4"/>
  <c r="B27" i="7"/>
  <c r="B80" i="4"/>
  <c r="B191" i="4"/>
  <c r="B218" i="4"/>
  <c r="B132" i="6"/>
  <c r="B138" i="5"/>
  <c r="D26" i="7"/>
  <c r="D73" i="4"/>
  <c r="D190" i="4"/>
  <c r="D217" i="4"/>
  <c r="D46" i="7"/>
  <c r="D111" i="4"/>
  <c r="D30" i="7" s="1"/>
  <c r="B53" i="7"/>
  <c r="B127" i="4"/>
  <c r="C53" i="7"/>
  <c r="C127" i="4"/>
  <c r="W170" i="4"/>
  <c r="W31" i="4"/>
  <c r="W251" i="4" s="1"/>
  <c r="W17" i="3"/>
  <c r="W110" i="3" s="1"/>
  <c r="W81" i="5"/>
  <c r="W136" i="7" s="1"/>
  <c r="W135" i="5"/>
  <c r="W108" i="5"/>
  <c r="W30" i="4" l="1"/>
  <c r="W249" i="4"/>
  <c r="W168" i="4"/>
  <c r="W250" i="4"/>
  <c r="W263" i="4"/>
  <c r="W259" i="4"/>
  <c r="W261" i="4"/>
  <c r="W254" i="4"/>
  <c r="W255" i="4"/>
  <c r="W253" i="4"/>
  <c r="W262" i="4"/>
  <c r="W260" i="4"/>
  <c r="W258" i="4"/>
  <c r="W257" i="4"/>
  <c r="W256" i="4"/>
  <c r="W252" i="4"/>
  <c r="C46" i="7"/>
  <c r="C111" i="4"/>
  <c r="C30" i="7" s="1"/>
  <c r="W109" i="3"/>
  <c r="W113" i="3"/>
  <c r="W118" i="3"/>
  <c r="W116" i="3"/>
  <c r="W114" i="3"/>
  <c r="W119" i="3"/>
  <c r="W117" i="3"/>
  <c r="W115" i="3"/>
  <c r="W120" i="3"/>
  <c r="W112" i="3"/>
  <c r="W111" i="3"/>
  <c r="W129" i="6"/>
  <c r="W75" i="6"/>
  <c r="W217" i="7" s="1"/>
  <c r="W102" i="6"/>
  <c r="D19" i="7"/>
  <c r="D57" i="4"/>
  <c r="D183" i="4"/>
  <c r="D210" i="4"/>
  <c r="C19" i="7"/>
  <c r="C57" i="4"/>
  <c r="C183" i="4"/>
  <c r="C210" i="4"/>
  <c r="B46" i="7"/>
  <c r="B111" i="4"/>
  <c r="B30" i="7" s="1"/>
  <c r="B26" i="7"/>
  <c r="B73" i="4"/>
  <c r="B190" i="4"/>
  <c r="B217" i="4"/>
  <c r="B137" i="5"/>
  <c r="B131" i="6"/>
  <c r="X180" i="4" l="1"/>
  <c r="B19" i="7"/>
  <c r="B57" i="4"/>
  <c r="B183" i="4"/>
  <c r="B210" i="4"/>
  <c r="D3" i="7"/>
  <c r="D167" i="4"/>
  <c r="W67" i="5"/>
  <c r="W122" i="7" s="1"/>
  <c r="W121" i="5"/>
  <c r="W94" i="5"/>
  <c r="E107" i="4"/>
  <c r="E100" i="4" s="1"/>
  <c r="E84" i="4" s="1"/>
  <c r="E54" i="7"/>
  <c r="E134" i="4"/>
  <c r="C3" i="7"/>
  <c r="C167" i="4"/>
  <c r="W9" i="4"/>
  <c r="W11" i="4"/>
  <c r="W12" i="4"/>
  <c r="B3" i="7" l="1"/>
  <c r="B167" i="4"/>
  <c r="W96" i="5"/>
  <c r="W203" i="4"/>
  <c r="W128" i="5"/>
  <c r="W74" i="5"/>
  <c r="W129" i="7" s="1"/>
  <c r="W101" i="5"/>
  <c r="W202" i="4"/>
  <c r="W87" i="6"/>
  <c r="W200" i="4"/>
  <c r="W93" i="5"/>
  <c r="E53" i="7"/>
  <c r="E127" i="4"/>
  <c r="W115" i="6"/>
  <c r="W61" i="6"/>
  <c r="W203" i="7" s="1"/>
  <c r="W88" i="6"/>
  <c r="E27" i="7"/>
  <c r="E80" i="4"/>
  <c r="E191" i="4"/>
  <c r="E218" i="4"/>
  <c r="W7" i="4"/>
  <c r="W4" i="5" l="1"/>
  <c r="W47" i="6" s="1"/>
  <c r="W123" i="5"/>
  <c r="W69" i="5"/>
  <c r="W124" i="7" s="1"/>
  <c r="W198" i="4"/>
  <c r="W122" i="6"/>
  <c r="W68" i="6"/>
  <c r="W210" i="7" s="1"/>
  <c r="W95" i="6"/>
  <c r="E26" i="7"/>
  <c r="E73" i="4"/>
  <c r="E190" i="4"/>
  <c r="E217" i="4"/>
  <c r="E46" i="7"/>
  <c r="E111" i="4"/>
  <c r="E30" i="7" s="1"/>
  <c r="F54" i="7"/>
  <c r="F134" i="4"/>
  <c r="F107" i="4"/>
  <c r="F100" i="4" s="1"/>
  <c r="F84" i="4" s="1"/>
  <c r="B139" i="7"/>
  <c r="B220" i="7"/>
  <c r="W8" i="4"/>
  <c r="W117" i="6" l="1"/>
  <c r="W144" i="6"/>
  <c r="W63" i="6"/>
  <c r="W90" i="6"/>
  <c r="W199" i="4"/>
  <c r="F80" i="4"/>
  <c r="F27" i="7"/>
  <c r="F191" i="4"/>
  <c r="F218" i="4"/>
  <c r="E19" i="7"/>
  <c r="E57" i="4"/>
  <c r="E183" i="4"/>
  <c r="E210" i="4"/>
  <c r="W6" i="4"/>
  <c r="F53" i="7"/>
  <c r="F127" i="4"/>
  <c r="B138" i="7"/>
  <c r="B219" i="7"/>
  <c r="E3" i="7" l="1"/>
  <c r="E167" i="4"/>
  <c r="F46" i="7"/>
  <c r="F111" i="4"/>
  <c r="F30" i="7" s="1"/>
  <c r="W197" i="4"/>
  <c r="W7" i="3"/>
  <c r="W143" i="4"/>
  <c r="W4" i="4"/>
  <c r="F26" i="7"/>
  <c r="F73" i="4"/>
  <c r="F190" i="4"/>
  <c r="F217" i="4"/>
  <c r="W119" i="6" l="1"/>
  <c r="W65" i="6"/>
  <c r="W207" i="7" s="1"/>
  <c r="W92" i="6"/>
  <c r="G107" i="4"/>
  <c r="G100" i="4" s="1"/>
  <c r="G84" i="4" s="1"/>
  <c r="W5" i="3"/>
  <c r="W126" i="6"/>
  <c r="W72" i="6"/>
  <c r="W214" i="7" s="1"/>
  <c r="W99" i="6"/>
  <c r="F19" i="7"/>
  <c r="F57" i="4"/>
  <c r="F183" i="4"/>
  <c r="F210" i="4"/>
  <c r="G54" i="7"/>
  <c r="G134" i="4"/>
  <c r="W125" i="5"/>
  <c r="W71" i="5"/>
  <c r="W126" i="7" s="1"/>
  <c r="W98" i="5"/>
  <c r="W224" i="4"/>
  <c r="W222" i="4"/>
  <c r="W195" i="4"/>
  <c r="W141" i="4"/>
  <c r="W223" i="4"/>
  <c r="W232" i="4"/>
  <c r="W236" i="4"/>
  <c r="W234" i="4"/>
  <c r="W235" i="4"/>
  <c r="W228" i="4"/>
  <c r="W233" i="4"/>
  <c r="W231" i="4"/>
  <c r="W230" i="4"/>
  <c r="W229" i="4"/>
  <c r="W227" i="4"/>
  <c r="W225" i="4"/>
  <c r="W226" i="4"/>
  <c r="W36" i="3"/>
  <c r="W116" i="5"/>
  <c r="W62" i="5"/>
  <c r="W117" i="7" s="1"/>
  <c r="W89" i="5"/>
  <c r="W132" i="5"/>
  <c r="W78" i="5"/>
  <c r="W133" i="7" s="1"/>
  <c r="W105" i="5"/>
  <c r="G53" i="7" l="1"/>
  <c r="G127" i="4"/>
  <c r="W188" i="3"/>
  <c r="W4" i="3"/>
  <c r="W97" i="3" s="1"/>
  <c r="W110" i="6"/>
  <c r="W66" i="3"/>
  <c r="W56" i="6"/>
  <c r="W198" i="7" s="1"/>
  <c r="W83" i="6"/>
  <c r="G27" i="7"/>
  <c r="G80" i="4"/>
  <c r="G191" i="4"/>
  <c r="G218" i="4"/>
  <c r="F3" i="7"/>
  <c r="F167" i="4"/>
  <c r="H55" i="7"/>
  <c r="W218" i="3" l="1"/>
  <c r="W122" i="5"/>
  <c r="W68" i="5"/>
  <c r="W123" i="7" s="1"/>
  <c r="W95" i="5"/>
  <c r="G46" i="7"/>
  <c r="G111" i="4"/>
  <c r="G30" i="7" s="1"/>
  <c r="G26" i="7"/>
  <c r="G73" i="4"/>
  <c r="G190" i="4"/>
  <c r="G217" i="4"/>
  <c r="W107" i="3"/>
  <c r="W102" i="3"/>
  <c r="W103" i="3"/>
  <c r="W105" i="3"/>
  <c r="W104" i="3"/>
  <c r="W108" i="3"/>
  <c r="W101" i="3"/>
  <c r="W106" i="3"/>
  <c r="W96" i="3"/>
  <c r="W98" i="3"/>
  <c r="W100" i="3"/>
  <c r="W99" i="3"/>
  <c r="H107" i="4" l="1"/>
  <c r="H100" i="4" s="1"/>
  <c r="H84" i="4" s="1"/>
  <c r="H134" i="4"/>
  <c r="H54" i="7"/>
  <c r="W112" i="6"/>
  <c r="W58" i="6"/>
  <c r="W200" i="7" s="1"/>
  <c r="W85" i="6"/>
  <c r="G19" i="7"/>
  <c r="G57" i="4"/>
  <c r="G183" i="4"/>
  <c r="G210" i="4"/>
  <c r="W116" i="6"/>
  <c r="W62" i="6"/>
  <c r="W204" i="7" s="1"/>
  <c r="W89" i="6"/>
  <c r="W64" i="5"/>
  <c r="W119" i="7" s="1"/>
  <c r="W118" i="5"/>
  <c r="W91" i="5"/>
  <c r="G3" i="7" l="1"/>
  <c r="G167" i="4"/>
  <c r="H27" i="7"/>
  <c r="H80" i="4"/>
  <c r="H191" i="4"/>
  <c r="H218" i="4"/>
  <c r="H53" i="7"/>
  <c r="H127" i="4"/>
  <c r="H26" i="7" l="1"/>
  <c r="H73" i="4"/>
  <c r="H190" i="4"/>
  <c r="H217" i="4"/>
  <c r="H46" i="7"/>
  <c r="H111" i="4"/>
  <c r="H30" i="7" s="1"/>
  <c r="H19" i="7" l="1"/>
  <c r="H57" i="4"/>
  <c r="H183" i="4"/>
  <c r="H210" i="4"/>
  <c r="I54" i="7"/>
  <c r="I107" i="4"/>
  <c r="I100" i="4" s="1"/>
  <c r="I84" i="4" s="1"/>
  <c r="C62" i="7"/>
  <c r="B62" i="7"/>
  <c r="X178" i="4"/>
  <c r="I27" i="7" l="1"/>
  <c r="I80" i="4"/>
  <c r="I191" i="4"/>
  <c r="I218" i="4"/>
  <c r="H3" i="7"/>
  <c r="H167" i="4"/>
  <c r="X14" i="4"/>
  <c r="C127" i="6" l="1"/>
  <c r="C73" i="6"/>
  <c r="C215" i="7" s="1"/>
  <c r="C100" i="6"/>
  <c r="C34" i="6"/>
  <c r="D62" i="7"/>
  <c r="I26" i="7"/>
  <c r="I73" i="4"/>
  <c r="I190" i="4"/>
  <c r="I217" i="4"/>
  <c r="X205" i="4"/>
  <c r="C126" i="5"/>
  <c r="C72" i="5"/>
  <c r="C127" i="7" s="1"/>
  <c r="C99" i="5"/>
  <c r="C33" i="5"/>
  <c r="C79" i="5"/>
  <c r="C134" i="7" s="1"/>
  <c r="C133" i="5"/>
  <c r="C106" i="5"/>
  <c r="C43" i="5"/>
  <c r="C120" i="6"/>
  <c r="C66" i="6"/>
  <c r="C208" i="7" s="1"/>
  <c r="C93" i="6"/>
  <c r="C27" i="6"/>
  <c r="B69" i="7"/>
  <c r="B60" i="7" s="1"/>
  <c r="X16" i="4"/>
  <c r="X18" i="4"/>
  <c r="C131" i="5" l="1"/>
  <c r="C77" i="5"/>
  <c r="C132" i="7" s="1"/>
  <c r="C49" i="3"/>
  <c r="C104" i="5"/>
  <c r="X207" i="4"/>
  <c r="C118" i="6"/>
  <c r="C68" i="3"/>
  <c r="C64" i="6"/>
  <c r="C206" i="7" s="1"/>
  <c r="C91" i="6"/>
  <c r="C125" i="6"/>
  <c r="C79" i="3"/>
  <c r="C71" i="6"/>
  <c r="C213" i="7" s="1"/>
  <c r="C98" i="6"/>
  <c r="X209" i="4"/>
  <c r="X102" i="5"/>
  <c r="X96" i="6"/>
  <c r="C124" i="5"/>
  <c r="C70" i="5"/>
  <c r="C125" i="7" s="1"/>
  <c r="C38" i="3"/>
  <c r="C97" i="5"/>
  <c r="I183" i="4"/>
  <c r="I19" i="7"/>
  <c r="I57" i="4"/>
  <c r="I210" i="4"/>
  <c r="E62" i="7"/>
  <c r="C69" i="7" l="1"/>
  <c r="C60" i="7" s="1"/>
  <c r="I3" i="7"/>
  <c r="I167" i="4"/>
  <c r="C85" i="5"/>
  <c r="C140" i="7" s="1"/>
  <c r="C139" i="5"/>
  <c r="C112" i="5"/>
  <c r="C119" i="5"/>
  <c r="C65" i="5"/>
  <c r="C120" i="7" s="1"/>
  <c r="C92" i="5"/>
  <c r="C21" i="5"/>
  <c r="C231" i="3"/>
  <c r="J107" i="4"/>
  <c r="J100" i="4" s="1"/>
  <c r="J84" i="4" s="1"/>
  <c r="J54" i="7"/>
  <c r="C113" i="6"/>
  <c r="C59" i="6"/>
  <c r="C201" i="7" s="1"/>
  <c r="C86" i="6"/>
  <c r="C20" i="6"/>
  <c r="C190" i="3"/>
  <c r="F62" i="7"/>
  <c r="C201" i="3"/>
  <c r="C220" i="3"/>
  <c r="C76" i="7"/>
  <c r="G62" i="7"/>
  <c r="B76" i="7"/>
  <c r="I62" i="7" l="1"/>
  <c r="E69" i="7"/>
  <c r="E60" i="7" s="1"/>
  <c r="X189" i="4"/>
  <c r="E76" i="7"/>
  <c r="C117" i="5"/>
  <c r="C63" i="5"/>
  <c r="C118" i="7" s="1"/>
  <c r="C37" i="3"/>
  <c r="C90" i="5"/>
  <c r="C18" i="5"/>
  <c r="X188" i="4"/>
  <c r="D69" i="7"/>
  <c r="D60" i="7" s="1"/>
  <c r="D76" i="7"/>
  <c r="C111" i="6"/>
  <c r="C67" i="3"/>
  <c r="C57" i="6"/>
  <c r="C199" i="7" s="1"/>
  <c r="C84" i="6"/>
  <c r="C18" i="6"/>
  <c r="J80" i="4"/>
  <c r="J27" i="7"/>
  <c r="J191" i="4"/>
  <c r="J218" i="4"/>
  <c r="X185" i="4"/>
  <c r="H62" i="7"/>
  <c r="X47" i="4" l="1"/>
  <c r="X46" i="4"/>
  <c r="X184" i="4"/>
  <c r="X265" i="4"/>
  <c r="X187" i="4"/>
  <c r="X268" i="4"/>
  <c r="F76" i="7"/>
  <c r="C55" i="6"/>
  <c r="C82" i="6"/>
  <c r="C61" i="5"/>
  <c r="C88" i="5"/>
  <c r="D120" i="6"/>
  <c r="D66" i="6"/>
  <c r="D208" i="7" s="1"/>
  <c r="D93" i="6"/>
  <c r="D27" i="6"/>
  <c r="D126" i="5"/>
  <c r="D72" i="5"/>
  <c r="D127" i="7" s="1"/>
  <c r="D99" i="5"/>
  <c r="D33" i="5"/>
  <c r="J62" i="7"/>
  <c r="X186" i="4"/>
  <c r="D127" i="6"/>
  <c r="D73" i="6"/>
  <c r="D215" i="7" s="1"/>
  <c r="D100" i="6"/>
  <c r="D34" i="6"/>
  <c r="C189" i="3"/>
  <c r="C35" i="3"/>
  <c r="F69" i="7"/>
  <c r="F60" i="7" s="1"/>
  <c r="J26" i="7"/>
  <c r="J73" i="4"/>
  <c r="J190" i="4"/>
  <c r="J217" i="4"/>
  <c r="C219" i="3"/>
  <c r="C65" i="3"/>
  <c r="G69" i="7"/>
  <c r="G60" i="7" s="1"/>
  <c r="D79" i="5"/>
  <c r="D134" i="7" s="1"/>
  <c r="D133" i="5"/>
  <c r="D106" i="5"/>
  <c r="D43" i="5"/>
  <c r="C133" i="6"/>
  <c r="C79" i="6"/>
  <c r="C221" i="7" s="1"/>
  <c r="C106" i="6"/>
  <c r="X25" i="4"/>
  <c r="X24" i="4"/>
  <c r="X21" i="4"/>
  <c r="D131" i="5" l="1"/>
  <c r="D77" i="5"/>
  <c r="D132" i="7" s="1"/>
  <c r="D49" i="3"/>
  <c r="D104" i="5"/>
  <c r="C187" i="3"/>
  <c r="C34" i="3"/>
  <c r="C127" i="3" s="1"/>
  <c r="D124" i="5"/>
  <c r="D70" i="5"/>
  <c r="D125" i="7" s="1"/>
  <c r="D38" i="3"/>
  <c r="D97" i="5"/>
  <c r="K54" i="7"/>
  <c r="X215" i="4"/>
  <c r="C64" i="3"/>
  <c r="C157" i="3" s="1"/>
  <c r="C217" i="3"/>
  <c r="X216" i="4"/>
  <c r="K62" i="7"/>
  <c r="K107" i="4"/>
  <c r="K100" i="4" s="1"/>
  <c r="K84" i="4" s="1"/>
  <c r="H69" i="7"/>
  <c r="H60" i="7" s="1"/>
  <c r="J19" i="7"/>
  <c r="J57" i="4"/>
  <c r="J183" i="4"/>
  <c r="J210" i="4"/>
  <c r="D125" i="6"/>
  <c r="D79" i="3"/>
  <c r="D71" i="6"/>
  <c r="D213" i="7" s="1"/>
  <c r="D98" i="6"/>
  <c r="D118" i="6"/>
  <c r="D68" i="3"/>
  <c r="D64" i="6"/>
  <c r="D206" i="7" s="1"/>
  <c r="D91" i="6"/>
  <c r="X212" i="4"/>
  <c r="X267" i="4"/>
  <c r="X264" i="4"/>
  <c r="X272" i="4"/>
  <c r="X273" i="4"/>
  <c r="X271" i="4"/>
  <c r="X266" i="4"/>
  <c r="X269" i="4"/>
  <c r="X270" i="4"/>
  <c r="X22" i="4"/>
  <c r="X23" i="4"/>
  <c r="G76" i="7"/>
  <c r="X20" i="4" l="1"/>
  <c r="X157" i="4"/>
  <c r="X19" i="3"/>
  <c r="X211" i="4"/>
  <c r="X19" i="4"/>
  <c r="X240" i="4" s="1"/>
  <c r="C84" i="5"/>
  <c r="C139" i="7" s="1"/>
  <c r="C52" i="5"/>
  <c r="C138" i="5"/>
  <c r="C111" i="5"/>
  <c r="C132" i="6"/>
  <c r="C40" i="6"/>
  <c r="C78" i="6"/>
  <c r="C220" i="7" s="1"/>
  <c r="C105" i="6"/>
  <c r="D220" i="3"/>
  <c r="C165" i="3"/>
  <c r="C163" i="3"/>
  <c r="C167" i="3"/>
  <c r="C161" i="3"/>
  <c r="C166" i="3"/>
  <c r="C156" i="3"/>
  <c r="C168" i="3"/>
  <c r="C216" i="3"/>
  <c r="C158" i="3"/>
  <c r="C160" i="3"/>
  <c r="C159" i="3"/>
  <c r="D190" i="3"/>
  <c r="D201" i="3"/>
  <c r="D113" i="6"/>
  <c r="D59" i="6"/>
  <c r="D201" i="7" s="1"/>
  <c r="D86" i="6"/>
  <c r="D20" i="6"/>
  <c r="X213" i="4"/>
  <c r="K80" i="4"/>
  <c r="K27" i="7"/>
  <c r="K191" i="4"/>
  <c r="K218" i="4"/>
  <c r="L62" i="7"/>
  <c r="D119" i="5"/>
  <c r="D65" i="5"/>
  <c r="D120" i="7" s="1"/>
  <c r="D92" i="5"/>
  <c r="D21" i="5"/>
  <c r="X174" i="4"/>
  <c r="J3" i="7"/>
  <c r="J167" i="4"/>
  <c r="H76" i="7"/>
  <c r="X172" i="4"/>
  <c r="D139" i="5"/>
  <c r="D85" i="5"/>
  <c r="D140" i="7" s="1"/>
  <c r="D112" i="5"/>
  <c r="D231" i="3"/>
  <c r="C133" i="3"/>
  <c r="C137" i="3"/>
  <c r="C134" i="3"/>
  <c r="C135" i="3"/>
  <c r="C186" i="3"/>
  <c r="C126" i="3"/>
  <c r="C131" i="3"/>
  <c r="C136" i="3"/>
  <c r="C132" i="3"/>
  <c r="C138" i="3"/>
  <c r="C128" i="3"/>
  <c r="C130" i="3"/>
  <c r="C129" i="3"/>
  <c r="I76" i="7"/>
  <c r="X214" i="4"/>
  <c r="I69" i="7"/>
  <c r="I60" i="7" s="1"/>
  <c r="X241" i="4" l="1"/>
  <c r="X238" i="4"/>
  <c r="J69" i="7"/>
  <c r="J60" i="7" s="1"/>
  <c r="C131" i="6"/>
  <c r="C80" i="3"/>
  <c r="C77" i="6"/>
  <c r="C219" i="7" s="1"/>
  <c r="C104" i="6"/>
  <c r="C33" i="6"/>
  <c r="X173" i="4"/>
  <c r="J76" i="7"/>
  <c r="D63" i="5"/>
  <c r="D118" i="7" s="1"/>
  <c r="D117" i="5"/>
  <c r="D37" i="3"/>
  <c r="D18" i="5"/>
  <c r="D90" i="5"/>
  <c r="I55" i="7"/>
  <c r="I134" i="4"/>
  <c r="X244" i="4"/>
  <c r="X237" i="4"/>
  <c r="X156" i="4"/>
  <c r="X245" i="4"/>
  <c r="X246" i="4"/>
  <c r="X243" i="4"/>
  <c r="X242" i="4"/>
  <c r="X239" i="4"/>
  <c r="M62" i="7"/>
  <c r="L107" i="4"/>
  <c r="L100" i="4" s="1"/>
  <c r="L84" i="4" s="1"/>
  <c r="L54" i="7"/>
  <c r="D111" i="6"/>
  <c r="D67" i="3"/>
  <c r="D57" i="6"/>
  <c r="D199" i="7" s="1"/>
  <c r="D84" i="6"/>
  <c r="D18" i="6"/>
  <c r="X18" i="3"/>
  <c r="X136" i="5"/>
  <c r="X82" i="5"/>
  <c r="X137" i="7" s="1"/>
  <c r="X109" i="5"/>
  <c r="K26" i="7"/>
  <c r="K73" i="4"/>
  <c r="K190" i="4"/>
  <c r="K217" i="4"/>
  <c r="C137" i="5"/>
  <c r="C83" i="5"/>
  <c r="C138" i="7" s="1"/>
  <c r="C50" i="3"/>
  <c r="C110" i="5"/>
  <c r="C42" i="5"/>
  <c r="N62" i="7" l="1"/>
  <c r="D219" i="3"/>
  <c r="D65" i="3"/>
  <c r="C232" i="3"/>
  <c r="C78" i="3"/>
  <c r="D61" i="5"/>
  <c r="D88" i="5"/>
  <c r="X17" i="3"/>
  <c r="X110" i="3" s="1"/>
  <c r="D189" i="3"/>
  <c r="D35" i="3"/>
  <c r="X157" i="6"/>
  <c r="X130" i="6"/>
  <c r="X76" i="6"/>
  <c r="X103" i="6"/>
  <c r="C76" i="5"/>
  <c r="C103" i="5"/>
  <c r="C17" i="5"/>
  <c r="K57" i="4"/>
  <c r="K19" i="7"/>
  <c r="K183" i="4"/>
  <c r="K210" i="4"/>
  <c r="D133" i="6"/>
  <c r="D79" i="6"/>
  <c r="D221" i="7" s="1"/>
  <c r="D106" i="6"/>
  <c r="D55" i="6"/>
  <c r="D82" i="6"/>
  <c r="L80" i="4"/>
  <c r="L27" i="7"/>
  <c r="L191" i="4"/>
  <c r="L218" i="4"/>
  <c r="C70" i="6"/>
  <c r="C97" i="6"/>
  <c r="C17" i="6"/>
  <c r="I53" i="7"/>
  <c r="I127" i="4"/>
  <c r="K76" i="7"/>
  <c r="K69" i="7"/>
  <c r="K60" i="7" s="1"/>
  <c r="C202" i="3"/>
  <c r="C48" i="3"/>
  <c r="C151" i="6" l="1"/>
  <c r="C135" i="6"/>
  <c r="C156" i="6"/>
  <c r="C155" i="6"/>
  <c r="C142" i="6"/>
  <c r="C149" i="6"/>
  <c r="C148" i="6"/>
  <c r="C141" i="6"/>
  <c r="C146" i="6"/>
  <c r="C54" i="6"/>
  <c r="C153" i="6"/>
  <c r="C137" i="6"/>
  <c r="C139" i="6"/>
  <c r="C154" i="6"/>
  <c r="C147" i="6"/>
  <c r="C152" i="6"/>
  <c r="C145" i="6"/>
  <c r="C140" i="6"/>
  <c r="C138" i="6"/>
  <c r="C160" i="6"/>
  <c r="C136" i="6"/>
  <c r="C159" i="6"/>
  <c r="C158" i="6"/>
  <c r="X120" i="3"/>
  <c r="X115" i="3"/>
  <c r="X118" i="3"/>
  <c r="X116" i="3"/>
  <c r="X114" i="3"/>
  <c r="X109" i="3"/>
  <c r="X119" i="3"/>
  <c r="X113" i="3"/>
  <c r="X117" i="3"/>
  <c r="X112" i="3"/>
  <c r="X111" i="3"/>
  <c r="D64" i="3"/>
  <c r="D217" i="3"/>
  <c r="O62" i="7"/>
  <c r="L76" i="7"/>
  <c r="L69" i="7"/>
  <c r="L60" i="7" s="1"/>
  <c r="C200" i="3"/>
  <c r="C47" i="3"/>
  <c r="C140" i="3" s="1"/>
  <c r="K3" i="7"/>
  <c r="K167" i="4"/>
  <c r="D187" i="3"/>
  <c r="D34" i="3"/>
  <c r="C77" i="3"/>
  <c r="C230" i="3"/>
  <c r="I46" i="7"/>
  <c r="I111" i="4"/>
  <c r="I30" i="7" s="1"/>
  <c r="C157" i="5"/>
  <c r="C141" i="5"/>
  <c r="C60" i="5"/>
  <c r="C156" i="5"/>
  <c r="C161" i="5"/>
  <c r="C162" i="5"/>
  <c r="C163" i="5"/>
  <c r="C148" i="5"/>
  <c r="C154" i="5"/>
  <c r="C155" i="5"/>
  <c r="C147" i="5"/>
  <c r="C143" i="5"/>
  <c r="C159" i="5"/>
  <c r="C152" i="5"/>
  <c r="C145" i="5"/>
  <c r="C160" i="5"/>
  <c r="C153" i="5"/>
  <c r="C158" i="5"/>
  <c r="C151" i="5"/>
  <c r="C146" i="5"/>
  <c r="C166" i="5"/>
  <c r="C144" i="5"/>
  <c r="C142" i="5"/>
  <c r="C165" i="5"/>
  <c r="C164" i="5"/>
  <c r="L190" i="4"/>
  <c r="L26" i="7"/>
  <c r="L73" i="4"/>
  <c r="L217" i="4"/>
  <c r="C170" i="3" l="1"/>
  <c r="D157" i="3"/>
  <c r="D132" i="3"/>
  <c r="D186" i="3"/>
  <c r="D134" i="3"/>
  <c r="D136" i="3"/>
  <c r="D135" i="3"/>
  <c r="D131" i="3"/>
  <c r="D137" i="3"/>
  <c r="D126" i="3"/>
  <c r="D138" i="3"/>
  <c r="D133" i="3"/>
  <c r="D128" i="3"/>
  <c r="D130" i="3"/>
  <c r="D129" i="3"/>
  <c r="L183" i="4"/>
  <c r="L19" i="7"/>
  <c r="L57" i="4"/>
  <c r="L210" i="4"/>
  <c r="M76" i="7"/>
  <c r="M69" i="7"/>
  <c r="M60" i="7" s="1"/>
  <c r="P62" i="7"/>
  <c r="D52" i="5"/>
  <c r="D138" i="5"/>
  <c r="D84" i="5"/>
  <c r="D139" i="7" s="1"/>
  <c r="D111" i="5"/>
  <c r="C146" i="3"/>
  <c r="C147" i="3"/>
  <c r="C199" i="3"/>
  <c r="C143" i="3"/>
  <c r="C144" i="3"/>
  <c r="C150" i="3"/>
  <c r="C149" i="3"/>
  <c r="C148" i="3"/>
  <c r="C139" i="3"/>
  <c r="C145" i="3"/>
  <c r="C141" i="3"/>
  <c r="C142" i="3"/>
  <c r="D165" i="3"/>
  <c r="D156" i="3"/>
  <c r="D167" i="3"/>
  <c r="D168" i="3"/>
  <c r="D163" i="3"/>
  <c r="D161" i="3"/>
  <c r="D166" i="3"/>
  <c r="D158" i="3"/>
  <c r="D216" i="3"/>
  <c r="D160" i="3"/>
  <c r="D159" i="3"/>
  <c r="D40" i="6"/>
  <c r="D132" i="6"/>
  <c r="D78" i="6"/>
  <c r="D220" i="7" s="1"/>
  <c r="D105" i="6"/>
  <c r="C169" i="3"/>
  <c r="C175" i="3"/>
  <c r="C176" i="3"/>
  <c r="C174" i="3"/>
  <c r="C173" i="3"/>
  <c r="C180" i="3"/>
  <c r="C179" i="3"/>
  <c r="C178" i="3"/>
  <c r="C177" i="3"/>
  <c r="C229" i="3"/>
  <c r="C171" i="3"/>
  <c r="C172" i="3"/>
  <c r="Y129" i="5"/>
  <c r="Y75" i="5"/>
  <c r="Y130" i="7" s="1"/>
  <c r="X176" i="4"/>
  <c r="D127" i="3"/>
  <c r="X10" i="4"/>
  <c r="X175" i="4" l="1"/>
  <c r="D80" i="3"/>
  <c r="D77" i="6"/>
  <c r="D219" i="7" s="1"/>
  <c r="D104" i="6"/>
  <c r="D131" i="6"/>
  <c r="D33" i="6"/>
  <c r="L167" i="4"/>
  <c r="L3" i="7"/>
  <c r="Q62" i="7"/>
  <c r="X201" i="4"/>
  <c r="M54" i="7"/>
  <c r="N69" i="7"/>
  <c r="N60" i="7" s="1"/>
  <c r="Y150" i="6"/>
  <c r="Y123" i="6"/>
  <c r="Y69" i="6"/>
  <c r="N76" i="7"/>
  <c r="X181" i="4"/>
  <c r="D137" i="5"/>
  <c r="D83" i="5"/>
  <c r="D138" i="7" s="1"/>
  <c r="D50" i="3"/>
  <c r="D110" i="5"/>
  <c r="D42" i="5"/>
  <c r="M107" i="4"/>
  <c r="M100" i="4" s="1"/>
  <c r="M84" i="4" s="1"/>
  <c r="E72" i="5" l="1"/>
  <c r="E127" i="7" s="1"/>
  <c r="E126" i="5"/>
  <c r="E99" i="5"/>
  <c r="E33" i="5"/>
  <c r="D76" i="5"/>
  <c r="D103" i="5"/>
  <c r="D17" i="5"/>
  <c r="D157" i="5" s="1"/>
  <c r="R62" i="7"/>
  <c r="M27" i="7"/>
  <c r="M80" i="4"/>
  <c r="M191" i="4"/>
  <c r="M218" i="4"/>
  <c r="D232" i="3"/>
  <c r="D78" i="3"/>
  <c r="E120" i="6"/>
  <c r="E66" i="6"/>
  <c r="E208" i="7" s="1"/>
  <c r="E93" i="6"/>
  <c r="E27" i="6"/>
  <c r="D202" i="3"/>
  <c r="D48" i="3"/>
  <c r="X171" i="4"/>
  <c r="X33" i="4"/>
  <c r="O69" i="7"/>
  <c r="O60" i="7" s="1"/>
  <c r="X179" i="4"/>
  <c r="X40" i="4"/>
  <c r="O76" i="7"/>
  <c r="E79" i="5"/>
  <c r="E134" i="7" s="1"/>
  <c r="E133" i="5"/>
  <c r="E106" i="5"/>
  <c r="E43" i="5"/>
  <c r="D70" i="6"/>
  <c r="D97" i="6"/>
  <c r="D17" i="6"/>
  <c r="E127" i="6"/>
  <c r="E73" i="6"/>
  <c r="E215" i="7" s="1"/>
  <c r="E100" i="6"/>
  <c r="E34" i="6"/>
  <c r="X17" i="4"/>
  <c r="E131" i="5" l="1"/>
  <c r="E77" i="5"/>
  <c r="E132" i="7" s="1"/>
  <c r="E49" i="3"/>
  <c r="E104" i="5"/>
  <c r="D200" i="3"/>
  <c r="D47" i="3"/>
  <c r="D140" i="3" s="1"/>
  <c r="X177" i="4"/>
  <c r="M26" i="7"/>
  <c r="M73" i="4"/>
  <c r="M190" i="4"/>
  <c r="M217" i="4"/>
  <c r="X127" i="5"/>
  <c r="X73" i="5"/>
  <c r="X128" i="7" s="1"/>
  <c r="X100" i="5"/>
  <c r="E70" i="5"/>
  <c r="E125" i="7" s="1"/>
  <c r="E124" i="5"/>
  <c r="E38" i="3"/>
  <c r="E97" i="5"/>
  <c r="P69" i="7"/>
  <c r="P60" i="7" s="1"/>
  <c r="X170" i="4"/>
  <c r="X31" i="4"/>
  <c r="X251" i="4" s="1"/>
  <c r="X208" i="4"/>
  <c r="E79" i="3"/>
  <c r="E125" i="6"/>
  <c r="E71" i="6"/>
  <c r="E213" i="7" s="1"/>
  <c r="E98" i="6"/>
  <c r="X134" i="5"/>
  <c r="X80" i="5"/>
  <c r="X135" i="7" s="1"/>
  <c r="X107" i="5"/>
  <c r="D77" i="3"/>
  <c r="D230" i="3"/>
  <c r="P76" i="7"/>
  <c r="S62" i="7"/>
  <c r="D151" i="6"/>
  <c r="D135" i="6"/>
  <c r="D155" i="6"/>
  <c r="D156" i="6"/>
  <c r="D142" i="6"/>
  <c r="D149" i="6"/>
  <c r="D148" i="6"/>
  <c r="D137" i="6"/>
  <c r="D141" i="6"/>
  <c r="D146" i="6"/>
  <c r="D153" i="6"/>
  <c r="D54" i="6"/>
  <c r="D139" i="6"/>
  <c r="D147" i="6"/>
  <c r="D154" i="6"/>
  <c r="D152" i="6"/>
  <c r="D145" i="6"/>
  <c r="D140" i="6"/>
  <c r="D138" i="6"/>
  <c r="D136" i="6"/>
  <c r="D160" i="6"/>
  <c r="D159" i="6"/>
  <c r="D158" i="6"/>
  <c r="E118" i="6"/>
  <c r="E68" i="3"/>
  <c r="E64" i="6"/>
  <c r="E206" i="7" s="1"/>
  <c r="E91" i="6"/>
  <c r="D142" i="5"/>
  <c r="D141" i="5"/>
  <c r="D60" i="5"/>
  <c r="D156" i="5"/>
  <c r="D161" i="5"/>
  <c r="D162" i="5"/>
  <c r="D163" i="5"/>
  <c r="D148" i="5"/>
  <c r="D155" i="5"/>
  <c r="D154" i="5"/>
  <c r="D147" i="5"/>
  <c r="D143" i="5"/>
  <c r="D159" i="5"/>
  <c r="D152" i="5"/>
  <c r="D145" i="5"/>
  <c r="D153" i="5"/>
  <c r="D160" i="5"/>
  <c r="D158" i="5"/>
  <c r="D151" i="5"/>
  <c r="D146" i="5"/>
  <c r="D166" i="5"/>
  <c r="D144" i="5"/>
  <c r="D165" i="5"/>
  <c r="D164" i="5"/>
  <c r="X15" i="4"/>
  <c r="D170" i="3" l="1"/>
  <c r="X258" i="4"/>
  <c r="X168" i="4"/>
  <c r="X30" i="4"/>
  <c r="X249" i="4"/>
  <c r="X250" i="4"/>
  <c r="X263" i="4"/>
  <c r="X261" i="4"/>
  <c r="X259" i="4"/>
  <c r="X253" i="4"/>
  <c r="X255" i="4"/>
  <c r="X254" i="4"/>
  <c r="X257" i="4"/>
  <c r="X262" i="4"/>
  <c r="X256" i="4"/>
  <c r="X252" i="4"/>
  <c r="X260" i="4"/>
  <c r="X128" i="6"/>
  <c r="X74" i="6"/>
  <c r="X216" i="7" s="1"/>
  <c r="X101" i="6"/>
  <c r="T62" i="7"/>
  <c r="X13" i="4"/>
  <c r="X206" i="4"/>
  <c r="E113" i="6"/>
  <c r="E59" i="6"/>
  <c r="E201" i="7" s="1"/>
  <c r="E86" i="6"/>
  <c r="E20" i="6"/>
  <c r="X120" i="5"/>
  <c r="X66" i="5"/>
  <c r="X121" i="7" s="1"/>
  <c r="N107" i="4"/>
  <c r="N100" i="4" s="1"/>
  <c r="N84" i="4" s="1"/>
  <c r="N54" i="7"/>
  <c r="E201" i="3"/>
  <c r="E119" i="5"/>
  <c r="E65" i="5"/>
  <c r="E120" i="7" s="1"/>
  <c r="E92" i="5"/>
  <c r="E21" i="5"/>
  <c r="D173" i="3"/>
  <c r="D179" i="3"/>
  <c r="D180" i="3"/>
  <c r="D178" i="3"/>
  <c r="D169" i="3"/>
  <c r="D175" i="3"/>
  <c r="D177" i="3"/>
  <c r="D174" i="3"/>
  <c r="D176" i="3"/>
  <c r="D229" i="3"/>
  <c r="D171" i="3"/>
  <c r="D172" i="3"/>
  <c r="E231" i="3"/>
  <c r="E190" i="3"/>
  <c r="Q76" i="7"/>
  <c r="E139" i="5"/>
  <c r="E85" i="5"/>
  <c r="E140" i="7" s="1"/>
  <c r="E112" i="5"/>
  <c r="X121" i="6"/>
  <c r="X67" i="6"/>
  <c r="X209" i="7" s="1"/>
  <c r="X94" i="6"/>
  <c r="M19" i="7"/>
  <c r="M57" i="4"/>
  <c r="M183" i="4"/>
  <c r="M210" i="4"/>
  <c r="D144" i="3"/>
  <c r="D150" i="3"/>
  <c r="D149" i="3"/>
  <c r="D146" i="3"/>
  <c r="D148" i="3"/>
  <c r="D139" i="3"/>
  <c r="D143" i="3"/>
  <c r="D145" i="3"/>
  <c r="D147" i="3"/>
  <c r="D199" i="3"/>
  <c r="D141" i="3"/>
  <c r="D142" i="3"/>
  <c r="Q69" i="7"/>
  <c r="Q60" i="7" s="1"/>
  <c r="E220" i="3"/>
  <c r="E63" i="5" l="1"/>
  <c r="E118" i="7" s="1"/>
  <c r="E117" i="5"/>
  <c r="E37" i="3"/>
  <c r="E18" i="5"/>
  <c r="E90" i="5"/>
  <c r="E111" i="6"/>
  <c r="E67" i="3"/>
  <c r="E57" i="6"/>
  <c r="E199" i="7" s="1"/>
  <c r="E84" i="6"/>
  <c r="E18" i="6"/>
  <c r="U62" i="7"/>
  <c r="X150" i="4"/>
  <c r="X204" i="4"/>
  <c r="X8" i="3"/>
  <c r="R69" i="7"/>
  <c r="R60" i="7" s="1"/>
  <c r="X114" i="6"/>
  <c r="X60" i="6"/>
  <c r="X202" i="7" s="1"/>
  <c r="M3" i="7"/>
  <c r="M167" i="4"/>
  <c r="N80" i="4"/>
  <c r="N27" i="7"/>
  <c r="N191" i="4"/>
  <c r="N218" i="4"/>
  <c r="Y180" i="4"/>
  <c r="R76" i="7"/>
  <c r="X11" i="4"/>
  <c r="X12" i="4"/>
  <c r="X9" i="4"/>
  <c r="X202" i="4" l="1"/>
  <c r="E133" i="6"/>
  <c r="E79" i="6"/>
  <c r="E221" i="7" s="1"/>
  <c r="E106" i="6"/>
  <c r="V62" i="7"/>
  <c r="X96" i="5"/>
  <c r="E61" i="5"/>
  <c r="E88" i="5"/>
  <c r="J55" i="7"/>
  <c r="J134" i="4"/>
  <c r="E55" i="6"/>
  <c r="E82" i="6"/>
  <c r="E189" i="3"/>
  <c r="E35" i="3"/>
  <c r="O107" i="4"/>
  <c r="O100" i="4" s="1"/>
  <c r="O84" i="4" s="1"/>
  <c r="S69" i="7"/>
  <c r="S60" i="7" s="1"/>
  <c r="X87" i="6"/>
  <c r="X200" i="4"/>
  <c r="X93" i="5"/>
  <c r="N26" i="7"/>
  <c r="N73" i="4"/>
  <c r="N190" i="4"/>
  <c r="N217" i="4"/>
  <c r="S76" i="7"/>
  <c r="O54" i="7"/>
  <c r="X203" i="4"/>
  <c r="E219" i="3"/>
  <c r="E65" i="3"/>
  <c r="X7" i="4"/>
  <c r="X4" i="5"/>
  <c r="X47" i="6" s="1"/>
  <c r="E64" i="3" l="1"/>
  <c r="E157" i="3"/>
  <c r="E217" i="3"/>
  <c r="N19" i="7"/>
  <c r="N57" i="4"/>
  <c r="N183" i="4"/>
  <c r="N210" i="4"/>
  <c r="X198" i="4"/>
  <c r="O27" i="7"/>
  <c r="O80" i="4"/>
  <c r="O191" i="4"/>
  <c r="O218" i="4"/>
  <c r="X123" i="5"/>
  <c r="X69" i="5"/>
  <c r="X124" i="7" s="1"/>
  <c r="W62" i="7"/>
  <c r="T69" i="7"/>
  <c r="T60" i="7" s="1"/>
  <c r="T76" i="7"/>
  <c r="E187" i="3"/>
  <c r="E34" i="3"/>
  <c r="E127" i="3" s="1"/>
  <c r="J53" i="7"/>
  <c r="J127" i="4"/>
  <c r="X8" i="4"/>
  <c r="X62" i="7"/>
  <c r="U69" i="7" l="1"/>
  <c r="U60" i="7" s="1"/>
  <c r="O26" i="7"/>
  <c r="O73" i="4"/>
  <c r="O190" i="4"/>
  <c r="O217" i="4"/>
  <c r="E40" i="6"/>
  <c r="E132" i="6"/>
  <c r="E78" i="6"/>
  <c r="E220" i="7" s="1"/>
  <c r="E105" i="6"/>
  <c r="N3" i="7"/>
  <c r="N167" i="4"/>
  <c r="X135" i="5"/>
  <c r="X81" i="5"/>
  <c r="X136" i="7" s="1"/>
  <c r="X108" i="5"/>
  <c r="U76" i="7"/>
  <c r="X199" i="4"/>
  <c r="J46" i="7"/>
  <c r="J111" i="4"/>
  <c r="J30" i="7" s="1"/>
  <c r="X6" i="4"/>
  <c r="X144" i="6"/>
  <c r="X117" i="6"/>
  <c r="X63" i="6"/>
  <c r="X90" i="6"/>
  <c r="E165" i="3"/>
  <c r="E156" i="3"/>
  <c r="E167" i="3"/>
  <c r="E168" i="3"/>
  <c r="E163" i="3"/>
  <c r="E161" i="3"/>
  <c r="E166" i="3"/>
  <c r="E158" i="3"/>
  <c r="E216" i="3"/>
  <c r="E160" i="3"/>
  <c r="E159" i="3"/>
  <c r="E135" i="3"/>
  <c r="E134" i="3"/>
  <c r="E133" i="3"/>
  <c r="E126" i="3"/>
  <c r="E131" i="3"/>
  <c r="E136" i="3"/>
  <c r="E137" i="3"/>
  <c r="E132" i="3"/>
  <c r="E138" i="3"/>
  <c r="E186" i="3"/>
  <c r="E128" i="3"/>
  <c r="E130" i="3"/>
  <c r="E129" i="3"/>
  <c r="E138" i="5"/>
  <c r="E84" i="5"/>
  <c r="E139" i="7" s="1"/>
  <c r="E52" i="5"/>
  <c r="E111" i="5"/>
  <c r="P107" i="4" l="1"/>
  <c r="P100" i="4" s="1"/>
  <c r="P84" i="4" s="1"/>
  <c r="V76" i="7"/>
  <c r="X143" i="4"/>
  <c r="X7" i="3"/>
  <c r="X197" i="4"/>
  <c r="X4" i="4"/>
  <c r="X126" i="6"/>
  <c r="X72" i="6"/>
  <c r="X214" i="7" s="1"/>
  <c r="X99" i="6"/>
  <c r="E137" i="5"/>
  <c r="E83" i="5"/>
  <c r="E138" i="7" s="1"/>
  <c r="E50" i="3"/>
  <c r="E110" i="5"/>
  <c r="E42" i="5"/>
  <c r="X119" i="6"/>
  <c r="X65" i="6"/>
  <c r="X207" i="7" s="1"/>
  <c r="X92" i="6"/>
  <c r="E33" i="6"/>
  <c r="E131" i="6"/>
  <c r="E80" i="3"/>
  <c r="E77" i="6"/>
  <c r="E219" i="7" s="1"/>
  <c r="E104" i="6"/>
  <c r="P54" i="7"/>
  <c r="V69" i="7"/>
  <c r="V60" i="7" s="1"/>
  <c r="X36" i="3"/>
  <c r="X116" i="5"/>
  <c r="X62" i="5"/>
  <c r="X117" i="7" s="1"/>
  <c r="X89" i="5"/>
  <c r="X71" i="5"/>
  <c r="X126" i="7" s="1"/>
  <c r="X125" i="5"/>
  <c r="X98" i="5"/>
  <c r="X78" i="5"/>
  <c r="X133" i="7" s="1"/>
  <c r="X132" i="5"/>
  <c r="X105" i="5"/>
  <c r="O19" i="7"/>
  <c r="O57" i="4"/>
  <c r="O183" i="4"/>
  <c r="O210" i="4"/>
  <c r="W76" i="7" l="1"/>
  <c r="E202" i="3"/>
  <c r="E48" i="3"/>
  <c r="X129" i="6"/>
  <c r="X75" i="6"/>
  <c r="X217" i="7" s="1"/>
  <c r="X102" i="6"/>
  <c r="W69" i="7"/>
  <c r="W60" i="7" s="1"/>
  <c r="X188" i="3"/>
  <c r="E232" i="3"/>
  <c r="E78" i="3"/>
  <c r="X224" i="4"/>
  <c r="X195" i="4"/>
  <c r="X222" i="4"/>
  <c r="X141" i="4"/>
  <c r="X223" i="4"/>
  <c r="X232" i="4"/>
  <c r="X234" i="4"/>
  <c r="X236" i="4"/>
  <c r="X228" i="4"/>
  <c r="X235" i="4"/>
  <c r="X233" i="4"/>
  <c r="X231" i="4"/>
  <c r="X227" i="4"/>
  <c r="X229" i="4"/>
  <c r="X230" i="4"/>
  <c r="X225" i="4"/>
  <c r="X226" i="4"/>
  <c r="O3" i="7"/>
  <c r="O167" i="4"/>
  <c r="X110" i="6"/>
  <c r="X66" i="3"/>
  <c r="X56" i="6"/>
  <c r="X198" i="7" s="1"/>
  <c r="X83" i="6"/>
  <c r="X5" i="3"/>
  <c r="E70" i="6"/>
  <c r="E97" i="6"/>
  <c r="E17" i="6"/>
  <c r="E151" i="6" s="1"/>
  <c r="E76" i="5"/>
  <c r="E103" i="5"/>
  <c r="E17" i="5"/>
  <c r="P27" i="7"/>
  <c r="P80" i="4"/>
  <c r="P191" i="4"/>
  <c r="P218" i="4"/>
  <c r="X69" i="7"/>
  <c r="X60" i="7" s="1"/>
  <c r="X76" i="7"/>
  <c r="Q107" i="4" l="1"/>
  <c r="Q100" i="4" s="1"/>
  <c r="Q84" i="4" s="1"/>
  <c r="P26" i="7"/>
  <c r="P73" i="4"/>
  <c r="P190" i="4"/>
  <c r="P217" i="4"/>
  <c r="E77" i="3"/>
  <c r="E230" i="3"/>
  <c r="E200" i="3"/>
  <c r="E47" i="3"/>
  <c r="E140" i="3" s="1"/>
  <c r="X4" i="3"/>
  <c r="E157" i="5"/>
  <c r="E141" i="5"/>
  <c r="E60" i="5"/>
  <c r="E150" i="5"/>
  <c r="E156" i="5"/>
  <c r="E161" i="5"/>
  <c r="E162" i="5"/>
  <c r="E163" i="5"/>
  <c r="E148" i="5"/>
  <c r="E155" i="5"/>
  <c r="E154" i="5"/>
  <c r="E147" i="5"/>
  <c r="E159" i="5"/>
  <c r="E143" i="5"/>
  <c r="E152" i="5"/>
  <c r="E145" i="5"/>
  <c r="E153" i="5"/>
  <c r="E160" i="5"/>
  <c r="E151" i="5"/>
  <c r="E158" i="5"/>
  <c r="E146" i="5"/>
  <c r="E166" i="5"/>
  <c r="E144" i="5"/>
  <c r="E142" i="5"/>
  <c r="E165" i="5"/>
  <c r="E164" i="5"/>
  <c r="F127" i="6"/>
  <c r="F73" i="6"/>
  <c r="F215" i="7" s="1"/>
  <c r="F100" i="6"/>
  <c r="F34" i="6"/>
  <c r="Q54" i="7"/>
  <c r="X218" i="3"/>
  <c r="F79" i="5"/>
  <c r="F134" i="7" s="1"/>
  <c r="F133" i="5"/>
  <c r="F106" i="5"/>
  <c r="F43" i="5"/>
  <c r="F120" i="6"/>
  <c r="F66" i="6"/>
  <c r="F208" i="7" s="1"/>
  <c r="F93" i="6"/>
  <c r="F27" i="6"/>
  <c r="E136" i="6"/>
  <c r="E135" i="6"/>
  <c r="E155" i="6"/>
  <c r="E156" i="6"/>
  <c r="E142" i="6"/>
  <c r="E149" i="6"/>
  <c r="E148" i="6"/>
  <c r="E141" i="6"/>
  <c r="E153" i="6"/>
  <c r="E146" i="6"/>
  <c r="E137" i="6"/>
  <c r="E54" i="6"/>
  <c r="E139" i="6"/>
  <c r="E147" i="6"/>
  <c r="E154" i="6"/>
  <c r="E152" i="6"/>
  <c r="E145" i="6"/>
  <c r="E140" i="6"/>
  <c r="E138" i="6"/>
  <c r="E160" i="6"/>
  <c r="E159" i="6"/>
  <c r="E158" i="6"/>
  <c r="F72" i="5"/>
  <c r="F127" i="7" s="1"/>
  <c r="F126" i="5"/>
  <c r="F99" i="5"/>
  <c r="F33" i="5"/>
  <c r="X68" i="5"/>
  <c r="X123" i="7" s="1"/>
  <c r="X122" i="5"/>
  <c r="X95" i="5"/>
  <c r="E170" i="3" l="1"/>
  <c r="X67" i="5"/>
  <c r="X122" i="7" s="1"/>
  <c r="X121" i="5"/>
  <c r="X94" i="5"/>
  <c r="X64" i="5"/>
  <c r="X119" i="7" s="1"/>
  <c r="X118" i="5"/>
  <c r="X91" i="5"/>
  <c r="P19" i="7"/>
  <c r="P57" i="4"/>
  <c r="P183" i="4"/>
  <c r="P210" i="4"/>
  <c r="E144" i="3"/>
  <c r="E150" i="3"/>
  <c r="E145" i="3"/>
  <c r="E149" i="3"/>
  <c r="E139" i="3"/>
  <c r="E146" i="3"/>
  <c r="E147" i="3"/>
  <c r="E199" i="3"/>
  <c r="E148" i="3"/>
  <c r="E143" i="3"/>
  <c r="E141" i="3"/>
  <c r="E142" i="3"/>
  <c r="F77" i="5"/>
  <c r="F132" i="7" s="1"/>
  <c r="F131" i="5"/>
  <c r="F49" i="3"/>
  <c r="F104" i="5"/>
  <c r="F125" i="6"/>
  <c r="F79" i="3"/>
  <c r="F71" i="6"/>
  <c r="F213" i="7" s="1"/>
  <c r="F98" i="6"/>
  <c r="Q27" i="7"/>
  <c r="Q80" i="4"/>
  <c r="Q191" i="4"/>
  <c r="Q218" i="4"/>
  <c r="X116" i="6"/>
  <c r="X62" i="6"/>
  <c r="X204" i="7" s="1"/>
  <c r="X89" i="6"/>
  <c r="F64" i="6"/>
  <c r="F206" i="7" s="1"/>
  <c r="F118" i="6"/>
  <c r="F68" i="3"/>
  <c r="F91" i="6"/>
  <c r="E169" i="3"/>
  <c r="E175" i="3"/>
  <c r="E173" i="3"/>
  <c r="E177" i="3"/>
  <c r="E176" i="3"/>
  <c r="E174" i="3"/>
  <c r="E180" i="3"/>
  <c r="E179" i="3"/>
  <c r="E178" i="3"/>
  <c r="E229" i="3"/>
  <c r="E171" i="3"/>
  <c r="E172" i="3"/>
  <c r="X112" i="6"/>
  <c r="X58" i="6"/>
  <c r="X200" i="7" s="1"/>
  <c r="X85" i="6"/>
  <c r="F70" i="5"/>
  <c r="F125" i="7" s="1"/>
  <c r="F124" i="5"/>
  <c r="F38" i="3"/>
  <c r="F97" i="5"/>
  <c r="X97" i="3"/>
  <c r="X102" i="3"/>
  <c r="X103" i="3"/>
  <c r="X108" i="3"/>
  <c r="X101" i="3"/>
  <c r="X106" i="3"/>
  <c r="X105" i="3"/>
  <c r="X107" i="3"/>
  <c r="X104" i="3"/>
  <c r="X96" i="3"/>
  <c r="X98" i="3"/>
  <c r="X100" i="3"/>
  <c r="X99" i="3"/>
  <c r="F85" i="5" l="1"/>
  <c r="F140" i="7" s="1"/>
  <c r="F139" i="5"/>
  <c r="F112" i="5"/>
  <c r="F220" i="3"/>
  <c r="F201" i="3"/>
  <c r="F113" i="6"/>
  <c r="F59" i="6"/>
  <c r="F201" i="7" s="1"/>
  <c r="F86" i="6"/>
  <c r="F20" i="6"/>
  <c r="F231" i="3"/>
  <c r="P3" i="7"/>
  <c r="P167" i="4"/>
  <c r="Q26" i="7"/>
  <c r="Q73" i="4"/>
  <c r="Q190" i="4"/>
  <c r="Q217" i="4"/>
  <c r="F65" i="5"/>
  <c r="F120" i="7" s="1"/>
  <c r="F119" i="5"/>
  <c r="F92" i="5"/>
  <c r="F21" i="5"/>
  <c r="X128" i="5"/>
  <c r="X74" i="5"/>
  <c r="X129" i="7" s="1"/>
  <c r="X101" i="5"/>
  <c r="X61" i="6"/>
  <c r="X203" i="7" s="1"/>
  <c r="X115" i="6"/>
  <c r="X88" i="6"/>
  <c r="F190" i="3"/>
  <c r="R107" i="4" l="1"/>
  <c r="R100" i="4" s="1"/>
  <c r="R84" i="4" s="1"/>
  <c r="X122" i="6"/>
  <c r="X68" i="6"/>
  <c r="X210" i="7" s="1"/>
  <c r="X95" i="6"/>
  <c r="Y178" i="4"/>
  <c r="F111" i="6"/>
  <c r="F67" i="3"/>
  <c r="F57" i="6"/>
  <c r="F199" i="7" s="1"/>
  <c r="F84" i="6"/>
  <c r="F18" i="6"/>
  <c r="Q19" i="7"/>
  <c r="Q57" i="4"/>
  <c r="Q183" i="4"/>
  <c r="Q210" i="4"/>
  <c r="F63" i="5"/>
  <c r="F118" i="7" s="1"/>
  <c r="F117" i="5"/>
  <c r="F37" i="3"/>
  <c r="F90" i="5"/>
  <c r="F18" i="5"/>
  <c r="R54" i="7"/>
  <c r="F219" i="3" l="1"/>
  <c r="F65" i="3"/>
  <c r="F61" i="5"/>
  <c r="F88" i="5"/>
  <c r="Q3" i="7"/>
  <c r="Q167" i="4"/>
  <c r="F189" i="3"/>
  <c r="F35" i="3"/>
  <c r="F133" i="6"/>
  <c r="F79" i="6"/>
  <c r="F221" i="7" s="1"/>
  <c r="F106" i="6"/>
  <c r="F55" i="6"/>
  <c r="F82" i="6"/>
  <c r="R27" i="7"/>
  <c r="R80" i="4"/>
  <c r="R191" i="4"/>
  <c r="R218" i="4"/>
  <c r="Y14" i="4"/>
  <c r="R26" i="7" l="1"/>
  <c r="R73" i="4"/>
  <c r="R190" i="4"/>
  <c r="R217" i="4"/>
  <c r="Y205" i="4"/>
  <c r="F34" i="3"/>
  <c r="F127" i="3" s="1"/>
  <c r="F187" i="3"/>
  <c r="F64" i="3"/>
  <c r="F157" i="3" s="1"/>
  <c r="F217" i="3"/>
  <c r="Y16" i="4"/>
  <c r="Y18" i="4"/>
  <c r="F52" i="5" l="1"/>
  <c r="F84" i="5"/>
  <c r="F139" i="7" s="1"/>
  <c r="F138" i="5"/>
  <c r="F111" i="5"/>
  <c r="G126" i="5"/>
  <c r="G72" i="5"/>
  <c r="G127" i="7" s="1"/>
  <c r="G99" i="5"/>
  <c r="G33" i="5"/>
  <c r="Y188" i="4"/>
  <c r="Y96" i="6"/>
  <c r="Y209" i="4"/>
  <c r="Y102" i="5"/>
  <c r="S54" i="7"/>
  <c r="Y207" i="4"/>
  <c r="F161" i="3"/>
  <c r="F166" i="3"/>
  <c r="F156" i="3"/>
  <c r="F168" i="3"/>
  <c r="F165" i="3"/>
  <c r="F167" i="3"/>
  <c r="F163" i="3"/>
  <c r="F216" i="3"/>
  <c r="F158" i="3"/>
  <c r="F160" i="3"/>
  <c r="F159" i="3"/>
  <c r="Y185" i="4"/>
  <c r="S107" i="4"/>
  <c r="S100" i="4" s="1"/>
  <c r="S84" i="4" s="1"/>
  <c r="F40" i="6"/>
  <c r="F132" i="6"/>
  <c r="F78" i="6"/>
  <c r="F220" i="7" s="1"/>
  <c r="F105" i="6"/>
  <c r="Y189" i="4"/>
  <c r="F135" i="3"/>
  <c r="F126" i="3"/>
  <c r="F131" i="3"/>
  <c r="F136" i="3"/>
  <c r="F132" i="3"/>
  <c r="F138" i="3"/>
  <c r="F186" i="3"/>
  <c r="F137" i="3"/>
  <c r="F134" i="3"/>
  <c r="F133" i="3"/>
  <c r="F128" i="3"/>
  <c r="F130" i="3"/>
  <c r="F129" i="3"/>
  <c r="G79" i="5"/>
  <c r="G134" i="7" s="1"/>
  <c r="G133" i="5"/>
  <c r="G106" i="5"/>
  <c r="G43" i="5"/>
  <c r="R19" i="7"/>
  <c r="R57" i="4"/>
  <c r="R183" i="4"/>
  <c r="R210" i="4"/>
  <c r="Y47" i="4" l="1"/>
  <c r="Y46" i="4" s="1"/>
  <c r="Y184" i="4"/>
  <c r="G127" i="6"/>
  <c r="G73" i="6"/>
  <c r="G215" i="7" s="1"/>
  <c r="G100" i="6"/>
  <c r="G34" i="6"/>
  <c r="Y186" i="4"/>
  <c r="R3" i="7"/>
  <c r="R167" i="4"/>
  <c r="F131" i="6"/>
  <c r="F80" i="3"/>
  <c r="F77" i="6"/>
  <c r="F219" i="7" s="1"/>
  <c r="F104" i="6"/>
  <c r="F33" i="6"/>
  <c r="G124" i="5"/>
  <c r="G70" i="5"/>
  <c r="G125" i="7" s="1"/>
  <c r="G38" i="3"/>
  <c r="G97" i="5"/>
  <c r="Y187" i="4"/>
  <c r="S80" i="4"/>
  <c r="S27" i="7"/>
  <c r="S191" i="4"/>
  <c r="S218" i="4"/>
  <c r="F137" i="5"/>
  <c r="F83" i="5"/>
  <c r="F138" i="7" s="1"/>
  <c r="F50" i="3"/>
  <c r="F110" i="5"/>
  <c r="F42" i="5"/>
  <c r="G131" i="5"/>
  <c r="G77" i="5"/>
  <c r="G132" i="7" s="1"/>
  <c r="G49" i="3"/>
  <c r="G104" i="5"/>
  <c r="Y25" i="4"/>
  <c r="Y24" i="4"/>
  <c r="Y21" i="4"/>
  <c r="Y267" i="4" l="1"/>
  <c r="Y265" i="4"/>
  <c r="Y268" i="4"/>
  <c r="F70" i="6"/>
  <c r="F97" i="6"/>
  <c r="F17" i="6"/>
  <c r="G201" i="3"/>
  <c r="F202" i="3"/>
  <c r="F48" i="3"/>
  <c r="G139" i="5"/>
  <c r="G85" i="5"/>
  <c r="G140" i="7" s="1"/>
  <c r="G112" i="5"/>
  <c r="S26" i="7"/>
  <c r="S73" i="4"/>
  <c r="S190" i="4"/>
  <c r="S217" i="4"/>
  <c r="G190" i="3"/>
  <c r="G119" i="5"/>
  <c r="G65" i="5"/>
  <c r="G120" i="7" s="1"/>
  <c r="G92" i="5"/>
  <c r="G21" i="5"/>
  <c r="Y215" i="4"/>
  <c r="F232" i="3"/>
  <c r="F78" i="3"/>
  <c r="Y216" i="4"/>
  <c r="G120" i="6"/>
  <c r="G66" i="6"/>
  <c r="G208" i="7" s="1"/>
  <c r="G93" i="6"/>
  <c r="G27" i="6"/>
  <c r="K55" i="7"/>
  <c r="K134" i="4"/>
  <c r="G79" i="3"/>
  <c r="G125" i="6"/>
  <c r="G71" i="6"/>
  <c r="G213" i="7" s="1"/>
  <c r="G98" i="6"/>
  <c r="Y264" i="4"/>
  <c r="Y272" i="4"/>
  <c r="Y273" i="4"/>
  <c r="Y271" i="4"/>
  <c r="Y269" i="4"/>
  <c r="Y270" i="4"/>
  <c r="Y266" i="4"/>
  <c r="Y212" i="4"/>
  <c r="G113" i="6"/>
  <c r="G59" i="6"/>
  <c r="G201" i="7" s="1"/>
  <c r="G86" i="6"/>
  <c r="G20" i="6"/>
  <c r="F76" i="5"/>
  <c r="F103" i="5"/>
  <c r="F17" i="5"/>
  <c r="Y22" i="4"/>
  <c r="Y23" i="4"/>
  <c r="Y20" i="4" l="1"/>
  <c r="Y211" i="4"/>
  <c r="Y19" i="3"/>
  <c r="Y157" i="4"/>
  <c r="Y19" i="4"/>
  <c r="G111" i="6"/>
  <c r="G67" i="3"/>
  <c r="G57" i="6"/>
  <c r="G199" i="7" s="1"/>
  <c r="G84" i="6"/>
  <c r="G18" i="6"/>
  <c r="G231" i="3"/>
  <c r="F200" i="3"/>
  <c r="F47" i="3"/>
  <c r="F140" i="3" s="1"/>
  <c r="T107" i="4"/>
  <c r="T100" i="4" s="1"/>
  <c r="T84" i="4" s="1"/>
  <c r="F77" i="3"/>
  <c r="F230" i="3"/>
  <c r="G63" i="5"/>
  <c r="G118" i="7" s="1"/>
  <c r="G117" i="5"/>
  <c r="G37" i="3"/>
  <c r="G90" i="5"/>
  <c r="G18" i="5"/>
  <c r="F136" i="6"/>
  <c r="F135" i="6"/>
  <c r="F155" i="6"/>
  <c r="F156" i="6"/>
  <c r="F142" i="6"/>
  <c r="F148" i="6"/>
  <c r="F149" i="6"/>
  <c r="F146" i="6"/>
  <c r="F141" i="6"/>
  <c r="F153" i="6"/>
  <c r="F137" i="6"/>
  <c r="F54" i="6"/>
  <c r="F139" i="6"/>
  <c r="F154" i="6"/>
  <c r="F147" i="6"/>
  <c r="F152" i="6"/>
  <c r="F145" i="6"/>
  <c r="F140" i="6"/>
  <c r="F138" i="6"/>
  <c r="F160" i="6"/>
  <c r="F159" i="6"/>
  <c r="F158" i="6"/>
  <c r="F142" i="5"/>
  <c r="F60" i="5"/>
  <c r="F141" i="5"/>
  <c r="F150" i="5"/>
  <c r="F156" i="5"/>
  <c r="F161" i="5"/>
  <c r="F162" i="5"/>
  <c r="F163" i="5"/>
  <c r="F148" i="5"/>
  <c r="F155" i="5"/>
  <c r="F154" i="5"/>
  <c r="F147" i="5"/>
  <c r="F159" i="5"/>
  <c r="F152" i="5"/>
  <c r="F143" i="5"/>
  <c r="F145" i="5"/>
  <c r="F160" i="5"/>
  <c r="F153" i="5"/>
  <c r="F158" i="5"/>
  <c r="F151" i="5"/>
  <c r="F146" i="5"/>
  <c r="F166" i="5"/>
  <c r="F144" i="5"/>
  <c r="F165" i="5"/>
  <c r="F164" i="5"/>
  <c r="G68" i="3"/>
  <c r="G118" i="6"/>
  <c r="G64" i="6"/>
  <c r="G206" i="7" s="1"/>
  <c r="G91" i="6"/>
  <c r="S19" i="7"/>
  <c r="S57" i="4"/>
  <c r="S183" i="4"/>
  <c r="S210" i="4"/>
  <c r="T54" i="7"/>
  <c r="Y214" i="4"/>
  <c r="F157" i="5"/>
  <c r="F151" i="6"/>
  <c r="Y213" i="4"/>
  <c r="K53" i="7"/>
  <c r="K127" i="4"/>
  <c r="F170" i="3" l="1"/>
  <c r="S3" i="7"/>
  <c r="S167" i="4"/>
  <c r="G189" i="3"/>
  <c r="G35" i="3"/>
  <c r="Y156" i="4"/>
  <c r="Y237" i="4"/>
  <c r="Y245" i="4"/>
  <c r="Y246" i="4"/>
  <c r="Y244" i="4"/>
  <c r="Y242" i="4"/>
  <c r="Y239" i="4"/>
  <c r="Y243" i="4"/>
  <c r="F147" i="3"/>
  <c r="F144" i="3"/>
  <c r="F143" i="3"/>
  <c r="F150" i="3"/>
  <c r="F149" i="3"/>
  <c r="F199" i="3"/>
  <c r="F148" i="3"/>
  <c r="F139" i="3"/>
  <c r="F145" i="3"/>
  <c r="F146" i="3"/>
  <c r="F141" i="3"/>
  <c r="F142" i="3"/>
  <c r="G219" i="3"/>
  <c r="G65" i="3"/>
  <c r="Y238" i="4"/>
  <c r="Y136" i="5"/>
  <c r="Y82" i="5"/>
  <c r="Y137" i="7" s="1"/>
  <c r="Y109" i="5"/>
  <c r="Y18" i="3"/>
  <c r="K46" i="7"/>
  <c r="K111" i="4"/>
  <c r="K30" i="7" s="1"/>
  <c r="Y241" i="4"/>
  <c r="G220" i="3"/>
  <c r="G61" i="5"/>
  <c r="G88" i="5"/>
  <c r="F177" i="3"/>
  <c r="F169" i="3"/>
  <c r="F175" i="3"/>
  <c r="F176" i="3"/>
  <c r="F173" i="3"/>
  <c r="F174" i="3"/>
  <c r="F180" i="3"/>
  <c r="F179" i="3"/>
  <c r="F178" i="3"/>
  <c r="F229" i="3"/>
  <c r="F171" i="3"/>
  <c r="F172" i="3"/>
  <c r="Y240" i="4"/>
  <c r="T80" i="4"/>
  <c r="T27" i="7"/>
  <c r="T191" i="4"/>
  <c r="T218" i="4"/>
  <c r="G55" i="6"/>
  <c r="G82" i="6"/>
  <c r="Y17" i="3" l="1"/>
  <c r="G64" i="3"/>
  <c r="G217" i="3"/>
  <c r="T26" i="7"/>
  <c r="T73" i="4"/>
  <c r="T190" i="4"/>
  <c r="T217" i="4"/>
  <c r="G187" i="3"/>
  <c r="G34" i="3"/>
  <c r="G127" i="3" s="1"/>
  <c r="Y157" i="6"/>
  <c r="Y130" i="6"/>
  <c r="Y76" i="6"/>
  <c r="Y103" i="6"/>
  <c r="G133" i="6"/>
  <c r="G79" i="6"/>
  <c r="G221" i="7" s="1"/>
  <c r="G106" i="6"/>
  <c r="G157" i="3" l="1"/>
  <c r="T19" i="7"/>
  <c r="T57" i="4"/>
  <c r="T183" i="4"/>
  <c r="T210" i="4"/>
  <c r="Y120" i="3"/>
  <c r="Y114" i="3"/>
  <c r="Y117" i="3"/>
  <c r="Y115" i="3"/>
  <c r="Y109" i="3"/>
  <c r="Y113" i="3"/>
  <c r="Y116" i="3"/>
  <c r="Y118" i="3"/>
  <c r="Y119" i="3"/>
  <c r="Y112" i="3"/>
  <c r="Y111" i="3"/>
  <c r="U54" i="7"/>
  <c r="G135" i="3"/>
  <c r="G133" i="3"/>
  <c r="G126" i="3"/>
  <c r="G131" i="3"/>
  <c r="G136" i="3"/>
  <c r="G138" i="3"/>
  <c r="G186" i="3"/>
  <c r="G134" i="3"/>
  <c r="G137" i="3"/>
  <c r="G132" i="3"/>
  <c r="G128" i="3"/>
  <c r="G130" i="3"/>
  <c r="G129" i="3"/>
  <c r="G161" i="3"/>
  <c r="G165" i="3"/>
  <c r="G166" i="3"/>
  <c r="G156" i="3"/>
  <c r="G167" i="3"/>
  <c r="G163" i="3"/>
  <c r="G168" i="3"/>
  <c r="G158" i="3"/>
  <c r="G216" i="3"/>
  <c r="G159" i="3"/>
  <c r="G160" i="3"/>
  <c r="G132" i="6"/>
  <c r="G40" i="6"/>
  <c r="G78" i="6"/>
  <c r="G220" i="7" s="1"/>
  <c r="G105" i="6"/>
  <c r="Y110" i="3"/>
  <c r="U107" i="4"/>
  <c r="U100" i="4" s="1"/>
  <c r="U84" i="4" s="1"/>
  <c r="G52" i="5"/>
  <c r="G138" i="5"/>
  <c r="G84" i="5"/>
  <c r="G139" i="7" s="1"/>
  <c r="G111" i="5"/>
  <c r="G83" i="5" l="1"/>
  <c r="G138" i="7" s="1"/>
  <c r="G137" i="5"/>
  <c r="G50" i="3"/>
  <c r="G110" i="5"/>
  <c r="G42" i="5"/>
  <c r="U27" i="7"/>
  <c r="U80" i="4"/>
  <c r="U191" i="4"/>
  <c r="U218" i="4"/>
  <c r="G77" i="6"/>
  <c r="G219" i="7" s="1"/>
  <c r="G131" i="6"/>
  <c r="G80" i="3"/>
  <c r="G104" i="6"/>
  <c r="G33" i="6"/>
  <c r="T3" i="7"/>
  <c r="T167" i="4"/>
  <c r="G76" i="5" l="1"/>
  <c r="G103" i="5"/>
  <c r="G17" i="5"/>
  <c r="G232" i="3"/>
  <c r="G78" i="3"/>
  <c r="G202" i="3"/>
  <c r="G48" i="3"/>
  <c r="G70" i="6"/>
  <c r="G97" i="6"/>
  <c r="G17" i="6"/>
  <c r="G151" i="6" s="1"/>
  <c r="U26" i="7"/>
  <c r="U73" i="4"/>
  <c r="U190" i="4"/>
  <c r="U217" i="4"/>
  <c r="G77" i="3" l="1"/>
  <c r="G170" i="3"/>
  <c r="G230" i="3"/>
  <c r="U19" i="7"/>
  <c r="U57" i="4"/>
  <c r="U183" i="4"/>
  <c r="U210" i="4"/>
  <c r="V54" i="7"/>
  <c r="G200" i="3"/>
  <c r="G47" i="3"/>
  <c r="G140" i="3" s="1"/>
  <c r="G60" i="5"/>
  <c r="G141" i="5"/>
  <c r="G150" i="5"/>
  <c r="G156" i="5"/>
  <c r="G161" i="5"/>
  <c r="G162" i="5"/>
  <c r="G163" i="5"/>
  <c r="G148" i="5"/>
  <c r="G155" i="5"/>
  <c r="G154" i="5"/>
  <c r="G147" i="5"/>
  <c r="G159" i="5"/>
  <c r="G143" i="5"/>
  <c r="G152" i="5"/>
  <c r="G145" i="5"/>
  <c r="G153" i="5"/>
  <c r="G160" i="5"/>
  <c r="G151" i="5"/>
  <c r="G158" i="5"/>
  <c r="G166" i="5"/>
  <c r="G146" i="5"/>
  <c r="G144" i="5"/>
  <c r="G142" i="5"/>
  <c r="G165" i="5"/>
  <c r="G164" i="5"/>
  <c r="V107" i="4"/>
  <c r="V100" i="4" s="1"/>
  <c r="V84" i="4" s="1"/>
  <c r="G54" i="6"/>
  <c r="G135" i="6"/>
  <c r="G155" i="6"/>
  <c r="G156" i="6"/>
  <c r="G142" i="6"/>
  <c r="G149" i="6"/>
  <c r="G148" i="6"/>
  <c r="G153" i="6"/>
  <c r="G141" i="6"/>
  <c r="G137" i="6"/>
  <c r="G146" i="6"/>
  <c r="G139" i="6"/>
  <c r="G154" i="6"/>
  <c r="G147" i="6"/>
  <c r="G140" i="6"/>
  <c r="G152" i="6"/>
  <c r="G145" i="6"/>
  <c r="G138" i="6"/>
  <c r="G136" i="6"/>
  <c r="G160" i="6"/>
  <c r="G159" i="6"/>
  <c r="G158" i="6"/>
  <c r="G157" i="5"/>
  <c r="H72" i="5" l="1"/>
  <c r="H127" i="7" s="1"/>
  <c r="H126" i="5"/>
  <c r="H99" i="5"/>
  <c r="H33" i="5"/>
  <c r="V80" i="4"/>
  <c r="V27" i="7"/>
  <c r="V191" i="4"/>
  <c r="V218" i="4"/>
  <c r="U3" i="7"/>
  <c r="U167" i="4"/>
  <c r="H133" i="5"/>
  <c r="H79" i="5"/>
  <c r="H134" i="7" s="1"/>
  <c r="H106" i="5"/>
  <c r="H43" i="5"/>
  <c r="H127" i="6"/>
  <c r="H73" i="6"/>
  <c r="H215" i="7" s="1"/>
  <c r="H100" i="6"/>
  <c r="H34" i="6"/>
  <c r="G139" i="3"/>
  <c r="G145" i="3"/>
  <c r="G147" i="3"/>
  <c r="G143" i="3"/>
  <c r="G146" i="3"/>
  <c r="G150" i="3"/>
  <c r="G144" i="3"/>
  <c r="G149" i="3"/>
  <c r="G199" i="3"/>
  <c r="G148" i="3"/>
  <c r="G141" i="3"/>
  <c r="G142" i="3"/>
  <c r="G169" i="3"/>
  <c r="G175" i="3"/>
  <c r="G176" i="3"/>
  <c r="G173" i="3"/>
  <c r="G177" i="3"/>
  <c r="G174" i="3"/>
  <c r="G180" i="3"/>
  <c r="G179" i="3"/>
  <c r="G178" i="3"/>
  <c r="G229" i="3"/>
  <c r="G171" i="3"/>
  <c r="G172" i="3"/>
  <c r="W54" i="7" l="1"/>
  <c r="H113" i="6"/>
  <c r="H59" i="6"/>
  <c r="H201" i="7" s="1"/>
  <c r="H86" i="6"/>
  <c r="H20" i="6"/>
  <c r="H131" i="5"/>
  <c r="H77" i="5"/>
  <c r="H132" i="7" s="1"/>
  <c r="H49" i="3"/>
  <c r="H104" i="5"/>
  <c r="V73" i="4"/>
  <c r="V26" i="7"/>
  <c r="V190" i="4"/>
  <c r="V217" i="4"/>
  <c r="H70" i="5"/>
  <c r="H125" i="7" s="1"/>
  <c r="H124" i="5"/>
  <c r="H38" i="3"/>
  <c r="H97" i="5"/>
  <c r="W107" i="4"/>
  <c r="W100" i="4" s="1"/>
  <c r="W84" i="4" s="1"/>
  <c r="H71" i="6"/>
  <c r="H213" i="7" s="1"/>
  <c r="H125" i="6"/>
  <c r="H79" i="3"/>
  <c r="H98" i="6"/>
  <c r="H65" i="5"/>
  <c r="H120" i="7" s="1"/>
  <c r="H119" i="5"/>
  <c r="H92" i="5"/>
  <c r="H21" i="5"/>
  <c r="H85" i="5"/>
  <c r="H140" i="7" s="1"/>
  <c r="H139" i="5"/>
  <c r="H112" i="5"/>
  <c r="H57" i="6" l="1"/>
  <c r="H199" i="7" s="1"/>
  <c r="H111" i="6"/>
  <c r="H67" i="3"/>
  <c r="H84" i="6"/>
  <c r="H120" i="6"/>
  <c r="H66" i="6"/>
  <c r="H208" i="7" s="1"/>
  <c r="H93" i="6"/>
  <c r="H27" i="6"/>
  <c r="H201" i="3"/>
  <c r="H63" i="5"/>
  <c r="H118" i="7" s="1"/>
  <c r="H117" i="5"/>
  <c r="H37" i="3"/>
  <c r="H90" i="5"/>
  <c r="H18" i="5"/>
  <c r="W27" i="7"/>
  <c r="W80" i="4"/>
  <c r="W191" i="4"/>
  <c r="W218" i="4"/>
  <c r="H190" i="3"/>
  <c r="H231" i="3"/>
  <c r="V19" i="7"/>
  <c r="V57" i="4"/>
  <c r="V183" i="4"/>
  <c r="V210" i="4"/>
  <c r="H189" i="3" l="1"/>
  <c r="H35" i="3"/>
  <c r="H219" i="3"/>
  <c r="H118" i="6"/>
  <c r="H68" i="3"/>
  <c r="H65" i="3" s="1"/>
  <c r="H64" i="6"/>
  <c r="H206" i="7" s="1"/>
  <c r="H91" i="6"/>
  <c r="V3" i="7"/>
  <c r="V167" i="4"/>
  <c r="W26" i="7"/>
  <c r="W73" i="4"/>
  <c r="W190" i="4"/>
  <c r="W217" i="4"/>
  <c r="H133" i="6"/>
  <c r="H79" i="6"/>
  <c r="H221" i="7" s="1"/>
  <c r="H106" i="6"/>
  <c r="H61" i="5"/>
  <c r="H88" i="5"/>
  <c r="H18" i="6"/>
  <c r="H55" i="6" l="1"/>
  <c r="H82" i="6"/>
  <c r="H64" i="3"/>
  <c r="H160" i="3" s="1"/>
  <c r="H157" i="3"/>
  <c r="H217" i="3"/>
  <c r="X107" i="4"/>
  <c r="X100" i="4" s="1"/>
  <c r="X84" i="4" s="1"/>
  <c r="H187" i="3"/>
  <c r="H34" i="3"/>
  <c r="H127" i="3" s="1"/>
  <c r="X54" i="7"/>
  <c r="H220" i="3"/>
  <c r="W19" i="7"/>
  <c r="W57" i="4"/>
  <c r="W183" i="4"/>
  <c r="W210" i="4"/>
  <c r="H40" i="6" l="1"/>
  <c r="H132" i="6"/>
  <c r="H78" i="6"/>
  <c r="H220" i="7" s="1"/>
  <c r="H105" i="6"/>
  <c r="H52" i="5"/>
  <c r="H138" i="5"/>
  <c r="H84" i="5"/>
  <c r="H139" i="7" s="1"/>
  <c r="H111" i="5"/>
  <c r="H163" i="3"/>
  <c r="H161" i="3"/>
  <c r="H166" i="3"/>
  <c r="H156" i="3"/>
  <c r="H167" i="3"/>
  <c r="H168" i="3"/>
  <c r="H165" i="3"/>
  <c r="H216" i="3"/>
  <c r="H158" i="3"/>
  <c r="H159" i="3"/>
  <c r="L55" i="7"/>
  <c r="L134" i="4"/>
  <c r="H132" i="3"/>
  <c r="H136" i="3"/>
  <c r="H137" i="3"/>
  <c r="H134" i="3"/>
  <c r="H138" i="3"/>
  <c r="H131" i="3"/>
  <c r="H186" i="3"/>
  <c r="H133" i="3"/>
  <c r="H126" i="3"/>
  <c r="H135" i="3"/>
  <c r="H128" i="3"/>
  <c r="H130" i="3"/>
  <c r="H129" i="3"/>
  <c r="W3" i="7"/>
  <c r="W167" i="4"/>
  <c r="X80" i="4"/>
  <c r="X27" i="7"/>
  <c r="X191" i="4"/>
  <c r="X218" i="4"/>
  <c r="L53" i="7" l="1"/>
  <c r="L127" i="4"/>
  <c r="H42" i="5"/>
  <c r="H137" i="5"/>
  <c r="H83" i="5"/>
  <c r="H138" i="7" s="1"/>
  <c r="H50" i="3"/>
  <c r="H110" i="5"/>
  <c r="X26" i="7"/>
  <c r="X73" i="4"/>
  <c r="X190" i="4"/>
  <c r="X217" i="4"/>
  <c r="H131" i="6"/>
  <c r="H80" i="3"/>
  <c r="H77" i="6"/>
  <c r="H219" i="7" s="1"/>
  <c r="H104" i="6"/>
  <c r="H33" i="6"/>
  <c r="Y54" i="7" l="1"/>
  <c r="H76" i="5"/>
  <c r="H103" i="5"/>
  <c r="H17" i="5"/>
  <c r="X19" i="7"/>
  <c r="X57" i="4"/>
  <c r="X183" i="4"/>
  <c r="X210" i="4"/>
  <c r="L46" i="7"/>
  <c r="L111" i="4"/>
  <c r="L30" i="7" s="1"/>
  <c r="Y107" i="4"/>
  <c r="Y100" i="4" s="1"/>
  <c r="Y84" i="4" s="1"/>
  <c r="H70" i="6"/>
  <c r="H97" i="6"/>
  <c r="H17" i="6"/>
  <c r="H151" i="6" s="1"/>
  <c r="H202" i="3"/>
  <c r="H48" i="3"/>
  <c r="H232" i="3"/>
  <c r="H78" i="3"/>
  <c r="X3" i="7" l="1"/>
  <c r="X167" i="4"/>
  <c r="H77" i="3"/>
  <c r="H170" i="3"/>
  <c r="H230" i="3"/>
  <c r="H141" i="5"/>
  <c r="H60" i="5"/>
  <c r="H150" i="5"/>
  <c r="H156" i="5"/>
  <c r="H161" i="5"/>
  <c r="H162" i="5"/>
  <c r="H163" i="5"/>
  <c r="H148" i="5"/>
  <c r="H155" i="5"/>
  <c r="H154" i="5"/>
  <c r="H147" i="5"/>
  <c r="H143" i="5"/>
  <c r="H152" i="5"/>
  <c r="H159" i="5"/>
  <c r="H145" i="5"/>
  <c r="H153" i="5"/>
  <c r="H160" i="5"/>
  <c r="H151" i="5"/>
  <c r="H146" i="5"/>
  <c r="H158" i="5"/>
  <c r="H166" i="5"/>
  <c r="H144" i="5"/>
  <c r="H142" i="5"/>
  <c r="H165" i="5"/>
  <c r="H164" i="5"/>
  <c r="H157" i="5"/>
  <c r="H200" i="3"/>
  <c r="H47" i="3"/>
  <c r="H140" i="3"/>
  <c r="H135" i="6"/>
  <c r="H156" i="6"/>
  <c r="H155" i="6"/>
  <c r="H142" i="6"/>
  <c r="H149" i="6"/>
  <c r="H54" i="6"/>
  <c r="H148" i="6"/>
  <c r="H141" i="6"/>
  <c r="H146" i="6"/>
  <c r="H153" i="6"/>
  <c r="H137" i="6"/>
  <c r="H139" i="6"/>
  <c r="H154" i="6"/>
  <c r="H140" i="6"/>
  <c r="H152" i="6"/>
  <c r="H147" i="6"/>
  <c r="H138" i="6"/>
  <c r="H145" i="6"/>
  <c r="H160" i="6"/>
  <c r="H136" i="6"/>
  <c r="H159" i="6"/>
  <c r="H158" i="6"/>
  <c r="Y80" i="4"/>
  <c r="Y27" i="7"/>
  <c r="Y191" i="4"/>
  <c r="Y218" i="4"/>
  <c r="H174" i="3" l="1"/>
  <c r="H180" i="3"/>
  <c r="H179" i="3"/>
  <c r="H178" i="3"/>
  <c r="H169" i="3"/>
  <c r="H175" i="3"/>
  <c r="H177" i="3"/>
  <c r="H176" i="3"/>
  <c r="H173" i="3"/>
  <c r="H229" i="3"/>
  <c r="H171" i="3"/>
  <c r="H172" i="3"/>
  <c r="Y26" i="7"/>
  <c r="Y73" i="4"/>
  <c r="Y190" i="4"/>
  <c r="Y217" i="4"/>
  <c r="H144" i="3"/>
  <c r="H139" i="3"/>
  <c r="H145" i="3"/>
  <c r="H150" i="3"/>
  <c r="H199" i="3"/>
  <c r="H146" i="3"/>
  <c r="H147" i="3"/>
  <c r="H143" i="3"/>
  <c r="H149" i="3"/>
  <c r="H148" i="3"/>
  <c r="H141" i="3"/>
  <c r="H142" i="3"/>
  <c r="I133" i="5" l="1"/>
  <c r="I79" i="5"/>
  <c r="I134" i="7" s="1"/>
  <c r="I106" i="5"/>
  <c r="I43" i="5"/>
  <c r="I72" i="5"/>
  <c r="I127" i="7" s="1"/>
  <c r="I126" i="5"/>
  <c r="I99" i="5"/>
  <c r="I33" i="5"/>
  <c r="I127" i="6"/>
  <c r="I73" i="6"/>
  <c r="I215" i="7" s="1"/>
  <c r="I100" i="6"/>
  <c r="I34" i="6"/>
  <c r="Y19" i="7"/>
  <c r="Y57" i="4"/>
  <c r="Y3" i="7" s="1"/>
  <c r="Y183" i="4"/>
  <c r="Y210" i="4"/>
  <c r="I139" i="5" l="1"/>
  <c r="I85" i="5"/>
  <c r="I140" i="7" s="1"/>
  <c r="I112" i="5"/>
  <c r="I71" i="6"/>
  <c r="I213" i="7" s="1"/>
  <c r="I125" i="6"/>
  <c r="I79" i="3"/>
  <c r="I98" i="6"/>
  <c r="I77" i="5"/>
  <c r="I132" i="7" s="1"/>
  <c r="I131" i="5"/>
  <c r="I49" i="3"/>
  <c r="I104" i="5"/>
  <c r="I119" i="5"/>
  <c r="I65" i="5"/>
  <c r="I120" i="7" s="1"/>
  <c r="I92" i="5"/>
  <c r="I21" i="5"/>
  <c r="I124" i="5"/>
  <c r="I70" i="5"/>
  <c r="I125" i="7" s="1"/>
  <c r="I38" i="3"/>
  <c r="I97" i="5"/>
  <c r="I18" i="5" l="1"/>
  <c r="I117" i="5"/>
  <c r="I63" i="5"/>
  <c r="I118" i="7" s="1"/>
  <c r="I37" i="3"/>
  <c r="I90" i="5"/>
  <c r="I201" i="3"/>
  <c r="I190" i="3"/>
  <c r="I120" i="6"/>
  <c r="I66" i="6"/>
  <c r="I208" i="7" s="1"/>
  <c r="I93" i="6"/>
  <c r="I27" i="6"/>
  <c r="I231" i="3"/>
  <c r="I113" i="6" l="1"/>
  <c r="I59" i="6"/>
  <c r="I201" i="7" s="1"/>
  <c r="I86" i="6"/>
  <c r="I20" i="6"/>
  <c r="I64" i="6"/>
  <c r="I206" i="7" s="1"/>
  <c r="I118" i="6"/>
  <c r="I68" i="3"/>
  <c r="I91" i="6"/>
  <c r="I189" i="3"/>
  <c r="I35" i="3"/>
  <c r="I61" i="5"/>
  <c r="I88" i="5"/>
  <c r="I187" i="3" l="1"/>
  <c r="I34" i="3"/>
  <c r="I127" i="3"/>
  <c r="I111" i="6"/>
  <c r="I67" i="3"/>
  <c r="I57" i="6"/>
  <c r="I199" i="7" s="1"/>
  <c r="I84" i="6"/>
  <c r="I18" i="6"/>
  <c r="I220" i="3"/>
  <c r="I219" i="3" l="1"/>
  <c r="I65" i="3"/>
  <c r="I133" i="6"/>
  <c r="I79" i="6"/>
  <c r="I221" i="7" s="1"/>
  <c r="I106" i="6"/>
  <c r="I55" i="6"/>
  <c r="I82" i="6"/>
  <c r="I134" i="3"/>
  <c r="I131" i="3"/>
  <c r="I135" i="3"/>
  <c r="I186" i="3"/>
  <c r="I126" i="3"/>
  <c r="I133" i="3"/>
  <c r="I136" i="3"/>
  <c r="I137" i="3"/>
  <c r="I132" i="3"/>
  <c r="I138" i="3"/>
  <c r="I128" i="3"/>
  <c r="I130" i="3"/>
  <c r="I129" i="3"/>
  <c r="I52" i="5" l="1"/>
  <c r="I84" i="5"/>
  <c r="I139" i="7" s="1"/>
  <c r="I138" i="5"/>
  <c r="I111" i="5"/>
  <c r="I64" i="3"/>
  <c r="I217" i="3"/>
  <c r="I40" i="6"/>
  <c r="I132" i="6"/>
  <c r="I78" i="6"/>
  <c r="I220" i="7" s="1"/>
  <c r="I105" i="6"/>
  <c r="I157" i="3" l="1"/>
  <c r="I83" i="5"/>
  <c r="I138" i="7" s="1"/>
  <c r="I137" i="5"/>
  <c r="I50" i="3"/>
  <c r="I110" i="5"/>
  <c r="I42" i="5"/>
  <c r="I166" i="3"/>
  <c r="I156" i="3"/>
  <c r="I167" i="3"/>
  <c r="I168" i="3"/>
  <c r="I163" i="3"/>
  <c r="I161" i="3"/>
  <c r="I165" i="3"/>
  <c r="I158" i="3"/>
  <c r="I216" i="3"/>
  <c r="I160" i="3"/>
  <c r="I159" i="3"/>
  <c r="I77" i="6"/>
  <c r="I219" i="7" s="1"/>
  <c r="I131" i="6"/>
  <c r="I80" i="3"/>
  <c r="I104" i="6"/>
  <c r="I33" i="6"/>
  <c r="I232" i="3" l="1"/>
  <c r="I78" i="3"/>
  <c r="I17" i="5"/>
  <c r="I157" i="5"/>
  <c r="I76" i="5"/>
  <c r="I103" i="5"/>
  <c r="I202" i="3"/>
  <c r="I48" i="3"/>
  <c r="I70" i="6"/>
  <c r="I97" i="6"/>
  <c r="I17" i="6"/>
  <c r="I136" i="6" l="1"/>
  <c r="I135" i="6"/>
  <c r="I156" i="6"/>
  <c r="I155" i="6"/>
  <c r="I148" i="6"/>
  <c r="I141" i="6"/>
  <c r="I54" i="6"/>
  <c r="I142" i="6"/>
  <c r="I149" i="6"/>
  <c r="I146" i="6"/>
  <c r="I153" i="6"/>
  <c r="I137" i="6"/>
  <c r="I139" i="6"/>
  <c r="I154" i="6"/>
  <c r="I152" i="6"/>
  <c r="I147" i="6"/>
  <c r="I145" i="6"/>
  <c r="I140" i="6"/>
  <c r="I138" i="6"/>
  <c r="I160" i="6"/>
  <c r="I159" i="6"/>
  <c r="I158" i="6"/>
  <c r="I141" i="5"/>
  <c r="I60" i="5"/>
  <c r="I150" i="5"/>
  <c r="I156" i="5"/>
  <c r="I162" i="5"/>
  <c r="I161" i="5"/>
  <c r="I163" i="5"/>
  <c r="I154" i="5"/>
  <c r="I147" i="5"/>
  <c r="I148" i="5"/>
  <c r="I155" i="5"/>
  <c r="I143" i="5"/>
  <c r="I152" i="5"/>
  <c r="I159" i="5"/>
  <c r="I145" i="5"/>
  <c r="I160" i="5"/>
  <c r="I153" i="5"/>
  <c r="I166" i="5"/>
  <c r="I151" i="5"/>
  <c r="I158" i="5"/>
  <c r="I146" i="5"/>
  <c r="I144" i="5"/>
  <c r="I142" i="5"/>
  <c r="I165" i="5"/>
  <c r="I164" i="5"/>
  <c r="M55" i="7"/>
  <c r="M134" i="4"/>
  <c r="I151" i="6"/>
  <c r="J133" i="5"/>
  <c r="J79" i="5"/>
  <c r="J134" i="7" s="1"/>
  <c r="J106" i="5"/>
  <c r="J43" i="5"/>
  <c r="I77" i="3"/>
  <c r="I230" i="3"/>
  <c r="I200" i="3"/>
  <c r="I47" i="3"/>
  <c r="I140" i="3" s="1"/>
  <c r="J126" i="5"/>
  <c r="J72" i="5"/>
  <c r="J127" i="7" s="1"/>
  <c r="J99" i="5"/>
  <c r="J33" i="5"/>
  <c r="I170" i="3" l="1"/>
  <c r="J70" i="5"/>
  <c r="J125" i="7" s="1"/>
  <c r="J124" i="5"/>
  <c r="J38" i="3"/>
  <c r="J97" i="5"/>
  <c r="J113" i="6"/>
  <c r="J59" i="6"/>
  <c r="J201" i="7" s="1"/>
  <c r="J86" i="6"/>
  <c r="J20" i="6"/>
  <c r="M53" i="7"/>
  <c r="M127" i="4"/>
  <c r="J127" i="6"/>
  <c r="J73" i="6"/>
  <c r="J215" i="7" s="1"/>
  <c r="J100" i="6"/>
  <c r="J34" i="6"/>
  <c r="I174" i="3"/>
  <c r="I176" i="3"/>
  <c r="I177" i="3"/>
  <c r="I173" i="3"/>
  <c r="I179" i="3"/>
  <c r="I180" i="3"/>
  <c r="I178" i="3"/>
  <c r="I169" i="3"/>
  <c r="I175" i="3"/>
  <c r="I229" i="3"/>
  <c r="I171" i="3"/>
  <c r="I172" i="3"/>
  <c r="J77" i="5"/>
  <c r="J132" i="7" s="1"/>
  <c r="J131" i="5"/>
  <c r="J49" i="3"/>
  <c r="J104" i="5"/>
  <c r="I147" i="3"/>
  <c r="I199" i="3"/>
  <c r="I143" i="3"/>
  <c r="I145" i="3"/>
  <c r="I144" i="3"/>
  <c r="I139" i="3"/>
  <c r="I146" i="3"/>
  <c r="I148" i="3"/>
  <c r="I149" i="3"/>
  <c r="I150" i="3"/>
  <c r="I141" i="3"/>
  <c r="I142" i="3"/>
  <c r="J65" i="5"/>
  <c r="J120" i="7" s="1"/>
  <c r="J119" i="5"/>
  <c r="J92" i="5"/>
  <c r="J21" i="5"/>
  <c r="J85" i="5"/>
  <c r="J140" i="7" s="1"/>
  <c r="J139" i="5"/>
  <c r="J112" i="5"/>
  <c r="J63" i="5" l="1"/>
  <c r="J118" i="7" s="1"/>
  <c r="J117" i="5"/>
  <c r="J37" i="3"/>
  <c r="J90" i="5"/>
  <c r="J18" i="5"/>
  <c r="J111" i="6"/>
  <c r="J67" i="3"/>
  <c r="J57" i="6"/>
  <c r="J199" i="7" s="1"/>
  <c r="J84" i="6"/>
  <c r="J190" i="3"/>
  <c r="J201" i="3"/>
  <c r="M46" i="7"/>
  <c r="M111" i="4"/>
  <c r="M30" i="7" s="1"/>
  <c r="J71" i="6"/>
  <c r="J213" i="7" s="1"/>
  <c r="J125" i="6"/>
  <c r="J79" i="3"/>
  <c r="J98" i="6"/>
  <c r="J120" i="6"/>
  <c r="J66" i="6"/>
  <c r="J208" i="7" s="1"/>
  <c r="J93" i="6"/>
  <c r="J27" i="6"/>
  <c r="J231" i="3" l="1"/>
  <c r="J18" i="6"/>
  <c r="J118" i="6"/>
  <c r="J68" i="3"/>
  <c r="J65" i="3" s="1"/>
  <c r="J64" i="6"/>
  <c r="J206" i="7" s="1"/>
  <c r="J91" i="6"/>
  <c r="J189" i="3"/>
  <c r="J35" i="3"/>
  <c r="J61" i="5"/>
  <c r="J88" i="5"/>
  <c r="J219" i="3"/>
  <c r="J133" i="6"/>
  <c r="J79" i="6"/>
  <c r="J221" i="7" s="1"/>
  <c r="J106" i="6"/>
  <c r="J187" i="3" l="1"/>
  <c r="J34" i="3"/>
  <c r="J127" i="3" s="1"/>
  <c r="J55" i="6"/>
  <c r="J82" i="6"/>
  <c r="J64" i="3"/>
  <c r="J217" i="3"/>
  <c r="J220" i="3"/>
  <c r="J157" i="3" l="1"/>
  <c r="J135" i="3"/>
  <c r="J136" i="3"/>
  <c r="J138" i="3"/>
  <c r="J126" i="3"/>
  <c r="J131" i="3"/>
  <c r="J186" i="3"/>
  <c r="J133" i="3"/>
  <c r="J132" i="3"/>
  <c r="J134" i="3"/>
  <c r="J137" i="3"/>
  <c r="J128" i="3"/>
  <c r="J130" i="3"/>
  <c r="J129" i="3"/>
  <c r="J40" i="6"/>
  <c r="J132" i="6"/>
  <c r="J78" i="6"/>
  <c r="J220" i="7" s="1"/>
  <c r="J105" i="6"/>
  <c r="J166" i="3"/>
  <c r="J156" i="3"/>
  <c r="J167" i="3"/>
  <c r="J168" i="3"/>
  <c r="J163" i="3"/>
  <c r="J161" i="3"/>
  <c r="J165" i="3"/>
  <c r="J158" i="3"/>
  <c r="J216" i="3"/>
  <c r="J159" i="3"/>
  <c r="J160" i="3"/>
  <c r="J84" i="5"/>
  <c r="J139" i="7" s="1"/>
  <c r="J52" i="5"/>
  <c r="J138" i="5"/>
  <c r="J111" i="5"/>
  <c r="J131" i="6" l="1"/>
  <c r="J80" i="3"/>
  <c r="J77" i="6"/>
  <c r="J219" i="7" s="1"/>
  <c r="J104" i="6"/>
  <c r="J33" i="6"/>
  <c r="J137" i="5"/>
  <c r="J83" i="5"/>
  <c r="J138" i="7" s="1"/>
  <c r="J50" i="3"/>
  <c r="J110" i="5"/>
  <c r="J42" i="5"/>
  <c r="J202" i="3" l="1"/>
  <c r="J48" i="3"/>
  <c r="J232" i="3"/>
  <c r="J78" i="3"/>
  <c r="J70" i="6"/>
  <c r="J97" i="6"/>
  <c r="J17" i="6"/>
  <c r="J76" i="5"/>
  <c r="J103" i="5"/>
  <c r="J17" i="5"/>
  <c r="J157" i="5" s="1"/>
  <c r="J77" i="3" l="1"/>
  <c r="J230" i="3"/>
  <c r="J135" i="6"/>
  <c r="J156" i="6"/>
  <c r="J155" i="6"/>
  <c r="J148" i="6"/>
  <c r="J54" i="6"/>
  <c r="J142" i="6"/>
  <c r="J141" i="6"/>
  <c r="J143" i="6"/>
  <c r="J149" i="6"/>
  <c r="J137" i="6"/>
  <c r="J146" i="6"/>
  <c r="J153" i="6"/>
  <c r="J139" i="6"/>
  <c r="J140" i="6"/>
  <c r="J154" i="6"/>
  <c r="J138" i="6"/>
  <c r="J147" i="6"/>
  <c r="J152" i="6"/>
  <c r="J145" i="6"/>
  <c r="J160" i="6"/>
  <c r="J136" i="6"/>
  <c r="J159" i="6"/>
  <c r="J158" i="6"/>
  <c r="J151" i="6"/>
  <c r="J200" i="3"/>
  <c r="J47" i="3"/>
  <c r="J140" i="3" s="1"/>
  <c r="J164" i="5"/>
  <c r="J60" i="5"/>
  <c r="J141" i="5"/>
  <c r="J156" i="5"/>
  <c r="J162" i="5"/>
  <c r="J161" i="5"/>
  <c r="J163" i="5"/>
  <c r="J154" i="5"/>
  <c r="J147" i="5"/>
  <c r="J148" i="5"/>
  <c r="J149" i="5"/>
  <c r="J155" i="5"/>
  <c r="J150" i="5"/>
  <c r="J152" i="5"/>
  <c r="J159" i="5"/>
  <c r="J143" i="5"/>
  <c r="J145" i="5"/>
  <c r="J160" i="5"/>
  <c r="J153" i="5"/>
  <c r="J166" i="5"/>
  <c r="J158" i="5"/>
  <c r="J146" i="5"/>
  <c r="J151" i="5"/>
  <c r="J144" i="5"/>
  <c r="J142" i="5"/>
  <c r="J165" i="5"/>
  <c r="J170" i="3" l="1"/>
  <c r="J148" i="3"/>
  <c r="J147" i="3"/>
  <c r="J150" i="3"/>
  <c r="J139" i="3"/>
  <c r="J145" i="3"/>
  <c r="J144" i="3"/>
  <c r="J143" i="3"/>
  <c r="J199" i="3"/>
  <c r="J146" i="3"/>
  <c r="J149" i="3"/>
  <c r="J141" i="3"/>
  <c r="J142" i="3"/>
  <c r="J174" i="3"/>
  <c r="J179" i="3"/>
  <c r="J178" i="3"/>
  <c r="J169" i="3"/>
  <c r="J175" i="3"/>
  <c r="J176" i="3"/>
  <c r="J173" i="3"/>
  <c r="J177" i="3"/>
  <c r="J180" i="3"/>
  <c r="J229" i="3"/>
  <c r="J171" i="3"/>
  <c r="J172" i="3"/>
  <c r="K126" i="5" l="1"/>
  <c r="K72" i="5"/>
  <c r="K127" i="7" s="1"/>
  <c r="K99" i="5"/>
  <c r="K33" i="5"/>
  <c r="K133" i="5"/>
  <c r="K79" i="5"/>
  <c r="K134" i="7" s="1"/>
  <c r="K106" i="5"/>
  <c r="K43" i="5"/>
  <c r="K131" i="5" l="1"/>
  <c r="K77" i="5"/>
  <c r="K132" i="7" s="1"/>
  <c r="K49" i="3"/>
  <c r="K104" i="5"/>
  <c r="K127" i="6"/>
  <c r="K73" i="6"/>
  <c r="K215" i="7" s="1"/>
  <c r="K100" i="6"/>
  <c r="K34" i="6"/>
  <c r="K139" i="5"/>
  <c r="K85" i="5"/>
  <c r="K140" i="7" s="1"/>
  <c r="K112" i="5"/>
  <c r="K119" i="5"/>
  <c r="K65" i="5"/>
  <c r="K120" i="7" s="1"/>
  <c r="K92" i="5"/>
  <c r="K21" i="5"/>
  <c r="K70" i="5"/>
  <c r="K125" i="7" s="1"/>
  <c r="K124" i="5"/>
  <c r="K38" i="3"/>
  <c r="K97" i="5"/>
  <c r="K120" i="6" l="1"/>
  <c r="K66" i="6"/>
  <c r="K208" i="7" s="1"/>
  <c r="K93" i="6"/>
  <c r="K27" i="6"/>
  <c r="K18" i="5"/>
  <c r="K117" i="5"/>
  <c r="K63" i="5"/>
  <c r="K118" i="7" s="1"/>
  <c r="K37" i="3"/>
  <c r="K90" i="5"/>
  <c r="K125" i="6"/>
  <c r="K79" i="3"/>
  <c r="K71" i="6"/>
  <c r="K213" i="7" s="1"/>
  <c r="K98" i="6"/>
  <c r="K201" i="3"/>
  <c r="K190" i="3"/>
  <c r="K61" i="5" l="1"/>
  <c r="K88" i="5"/>
  <c r="K113" i="6"/>
  <c r="K59" i="6"/>
  <c r="K201" i="7" s="1"/>
  <c r="K86" i="6"/>
  <c r="K20" i="6"/>
  <c r="K118" i="6"/>
  <c r="K68" i="3"/>
  <c r="K64" i="6"/>
  <c r="K206" i="7" s="1"/>
  <c r="K91" i="6"/>
  <c r="N55" i="7"/>
  <c r="N134" i="4"/>
  <c r="K189" i="3"/>
  <c r="K35" i="3"/>
  <c r="K231" i="3"/>
  <c r="K220" i="3" l="1"/>
  <c r="K187" i="3"/>
  <c r="K34" i="3"/>
  <c r="K127" i="3" s="1"/>
  <c r="K111" i="6"/>
  <c r="K67" i="3"/>
  <c r="K57" i="6"/>
  <c r="K199" i="7" s="1"/>
  <c r="K84" i="6"/>
  <c r="K18" i="6"/>
  <c r="Y169" i="4"/>
  <c r="N53" i="7"/>
  <c r="N127" i="4"/>
  <c r="K219" i="3" l="1"/>
  <c r="K65" i="3"/>
  <c r="K133" i="6"/>
  <c r="K79" i="6"/>
  <c r="K221" i="7" s="1"/>
  <c r="K106" i="6"/>
  <c r="K186" i="3"/>
  <c r="K133" i="3"/>
  <c r="K135" i="3"/>
  <c r="K137" i="3"/>
  <c r="K126" i="3"/>
  <c r="K134" i="3"/>
  <c r="K131" i="3"/>
  <c r="K136" i="3"/>
  <c r="K138" i="3"/>
  <c r="K132" i="3"/>
  <c r="K128" i="3"/>
  <c r="K130" i="3"/>
  <c r="K129" i="3"/>
  <c r="K55" i="6"/>
  <c r="K82" i="6"/>
  <c r="N46" i="7"/>
  <c r="N111" i="4"/>
  <c r="N30" i="7" s="1"/>
  <c r="K64" i="3" l="1"/>
  <c r="K157" i="3" s="1"/>
  <c r="K217" i="3"/>
  <c r="K138" i="5" l="1"/>
  <c r="K52" i="5"/>
  <c r="K84" i="5"/>
  <c r="K139" i="7" s="1"/>
  <c r="K111" i="5"/>
  <c r="K132" i="6"/>
  <c r="K40" i="6"/>
  <c r="K78" i="6"/>
  <c r="K220" i="7" s="1"/>
  <c r="K105" i="6"/>
  <c r="K165" i="3"/>
  <c r="K163" i="3"/>
  <c r="K161" i="3"/>
  <c r="K166" i="3"/>
  <c r="K156" i="3"/>
  <c r="K167" i="3"/>
  <c r="K168" i="3"/>
  <c r="K158" i="3"/>
  <c r="K216" i="3"/>
  <c r="K160" i="3"/>
  <c r="K159" i="3"/>
  <c r="K42" i="5" l="1"/>
  <c r="K137" i="5"/>
  <c r="K83" i="5"/>
  <c r="K138" i="7" s="1"/>
  <c r="K50" i="3"/>
  <c r="K110" i="5"/>
  <c r="K131" i="6"/>
  <c r="K80" i="3"/>
  <c r="K77" i="6"/>
  <c r="K219" i="7" s="1"/>
  <c r="K104" i="6"/>
  <c r="K33" i="6"/>
  <c r="Y5" i="4"/>
  <c r="K70" i="6" l="1"/>
  <c r="K97" i="6"/>
  <c r="K17" i="6"/>
  <c r="K202" i="3"/>
  <c r="K48" i="3"/>
  <c r="L126" i="5"/>
  <c r="L72" i="5"/>
  <c r="L127" i="7" s="1"/>
  <c r="L99" i="5"/>
  <c r="L33" i="5"/>
  <c r="K232" i="3"/>
  <c r="K78" i="3"/>
  <c r="L127" i="6"/>
  <c r="L73" i="6"/>
  <c r="L215" i="7" s="1"/>
  <c r="L100" i="6"/>
  <c r="L34" i="6"/>
  <c r="Y6" i="3"/>
  <c r="Y196" i="4"/>
  <c r="L133" i="5"/>
  <c r="L79" i="5"/>
  <c r="L134" i="7" s="1"/>
  <c r="L106" i="5"/>
  <c r="L43" i="5"/>
  <c r="K76" i="5"/>
  <c r="K103" i="5"/>
  <c r="K17" i="5"/>
  <c r="Y174" i="4" l="1"/>
  <c r="L77" i="5"/>
  <c r="L132" i="7" s="1"/>
  <c r="L131" i="5"/>
  <c r="L49" i="3"/>
  <c r="L104" i="5"/>
  <c r="L124" i="5"/>
  <c r="L70" i="5"/>
  <c r="L125" i="7" s="1"/>
  <c r="L38" i="3"/>
  <c r="L97" i="5"/>
  <c r="Y175" i="4"/>
  <c r="K151" i="6"/>
  <c r="K135" i="6"/>
  <c r="K155" i="6"/>
  <c r="K156" i="6"/>
  <c r="K142" i="6"/>
  <c r="K148" i="6"/>
  <c r="K149" i="6"/>
  <c r="K143" i="6"/>
  <c r="K141" i="6"/>
  <c r="K54" i="6"/>
  <c r="K137" i="6"/>
  <c r="K153" i="6"/>
  <c r="K146" i="6"/>
  <c r="K139" i="6"/>
  <c r="K154" i="6"/>
  <c r="K147" i="6"/>
  <c r="K152" i="6"/>
  <c r="K145" i="6"/>
  <c r="K140" i="6"/>
  <c r="K138" i="6"/>
  <c r="K160" i="6"/>
  <c r="K136" i="6"/>
  <c r="K159" i="6"/>
  <c r="K158" i="6"/>
  <c r="K142" i="5"/>
  <c r="K141" i="5"/>
  <c r="K60" i="5"/>
  <c r="K156" i="5"/>
  <c r="K161" i="5"/>
  <c r="K162" i="5"/>
  <c r="K163" i="5"/>
  <c r="K148" i="5"/>
  <c r="K154" i="5"/>
  <c r="K155" i="5"/>
  <c r="K149" i="5"/>
  <c r="K147" i="5"/>
  <c r="K150" i="5"/>
  <c r="K143" i="5"/>
  <c r="K152" i="5"/>
  <c r="K159" i="5"/>
  <c r="K145" i="5"/>
  <c r="K153" i="5"/>
  <c r="K160" i="5"/>
  <c r="K151" i="5"/>
  <c r="K158" i="5"/>
  <c r="K146" i="5"/>
  <c r="K166" i="5"/>
  <c r="K144" i="5"/>
  <c r="K165" i="5"/>
  <c r="K164" i="5"/>
  <c r="K77" i="3"/>
  <c r="K230" i="3"/>
  <c r="K200" i="3"/>
  <c r="K47" i="3"/>
  <c r="K140" i="3" s="1"/>
  <c r="K157" i="5"/>
  <c r="L125" i="6"/>
  <c r="L79" i="3"/>
  <c r="L71" i="6"/>
  <c r="L213" i="7" s="1"/>
  <c r="L98" i="6"/>
  <c r="K170" i="3" l="1"/>
  <c r="L120" i="6"/>
  <c r="L66" i="6"/>
  <c r="L208" i="7" s="1"/>
  <c r="L93" i="6"/>
  <c r="L27" i="6"/>
  <c r="L65" i="5"/>
  <c r="L120" i="7" s="1"/>
  <c r="L119" i="5"/>
  <c r="L92" i="5"/>
  <c r="L21" i="5"/>
  <c r="L190" i="3"/>
  <c r="L231" i="3"/>
  <c r="Y172" i="4"/>
  <c r="L85" i="5"/>
  <c r="L140" i="7" s="1"/>
  <c r="L139" i="5"/>
  <c r="L112" i="5"/>
  <c r="Y173" i="4"/>
  <c r="L201" i="3"/>
  <c r="L113" i="6"/>
  <c r="L59" i="6"/>
  <c r="L201" i="7" s="1"/>
  <c r="L86" i="6"/>
  <c r="L20" i="6"/>
  <c r="K144" i="3"/>
  <c r="K199" i="3"/>
  <c r="K146" i="3"/>
  <c r="K150" i="3"/>
  <c r="K149" i="3"/>
  <c r="K145" i="3"/>
  <c r="K148" i="3"/>
  <c r="K147" i="3"/>
  <c r="K139" i="3"/>
  <c r="K143" i="3"/>
  <c r="K141" i="3"/>
  <c r="K142" i="3"/>
  <c r="K173" i="3"/>
  <c r="K174" i="3"/>
  <c r="K176" i="3"/>
  <c r="K180" i="3"/>
  <c r="K179" i="3"/>
  <c r="K178" i="3"/>
  <c r="K169" i="3"/>
  <c r="K175" i="3"/>
  <c r="K177" i="3"/>
  <c r="K229" i="3"/>
  <c r="K171" i="3"/>
  <c r="K172" i="3"/>
  <c r="L117" i="5" l="1"/>
  <c r="L63" i="5"/>
  <c r="L118" i="7" s="1"/>
  <c r="L37" i="3"/>
  <c r="L18" i="5"/>
  <c r="L90" i="5"/>
  <c r="L118" i="6"/>
  <c r="L68" i="3"/>
  <c r="L64" i="6"/>
  <c r="L206" i="7" s="1"/>
  <c r="L91" i="6"/>
  <c r="Y176" i="4"/>
  <c r="Y171" i="4"/>
  <c r="Y33" i="4"/>
  <c r="L111" i="6"/>
  <c r="L67" i="3"/>
  <c r="L57" i="6"/>
  <c r="L199" i="7" s="1"/>
  <c r="L18" i="6"/>
  <c r="L84" i="6"/>
  <c r="L220" i="3" l="1"/>
  <c r="L55" i="6"/>
  <c r="L82" i="6"/>
  <c r="L65" i="3"/>
  <c r="L219" i="3"/>
  <c r="L133" i="6"/>
  <c r="L79" i="6"/>
  <c r="L221" i="7" s="1"/>
  <c r="L106" i="6"/>
  <c r="L61" i="5"/>
  <c r="L88" i="5"/>
  <c r="Y170" i="4"/>
  <c r="L189" i="3"/>
  <c r="L35" i="3"/>
  <c r="L138" i="5" l="1"/>
  <c r="L84" i="5"/>
  <c r="L139" i="7" s="1"/>
  <c r="L52" i="5"/>
  <c r="L111" i="5"/>
  <c r="L40" i="6"/>
  <c r="L132" i="6"/>
  <c r="L78" i="6"/>
  <c r="L220" i="7" s="1"/>
  <c r="L105" i="6"/>
  <c r="L187" i="3"/>
  <c r="L34" i="3"/>
  <c r="L127" i="3" s="1"/>
  <c r="L64" i="3"/>
  <c r="L217" i="3"/>
  <c r="L157" i="3" l="1"/>
  <c r="L137" i="5"/>
  <c r="L83" i="5"/>
  <c r="L138" i="7" s="1"/>
  <c r="L50" i="3"/>
  <c r="L110" i="5"/>
  <c r="L42" i="5"/>
  <c r="L161" i="3"/>
  <c r="L166" i="3"/>
  <c r="L156" i="3"/>
  <c r="L167" i="3"/>
  <c r="L168" i="3"/>
  <c r="L163" i="3"/>
  <c r="L165" i="3"/>
  <c r="L158" i="3"/>
  <c r="L216" i="3"/>
  <c r="L159" i="3"/>
  <c r="L160" i="3"/>
  <c r="L131" i="6"/>
  <c r="L80" i="3"/>
  <c r="L77" i="6"/>
  <c r="L219" i="7" s="1"/>
  <c r="L104" i="6"/>
  <c r="L33" i="6"/>
  <c r="Y181" i="4"/>
  <c r="L133" i="3"/>
  <c r="L186" i="3"/>
  <c r="L131" i="3"/>
  <c r="L126" i="3"/>
  <c r="L134" i="3"/>
  <c r="L136" i="3"/>
  <c r="L132" i="3"/>
  <c r="L138" i="3"/>
  <c r="L135" i="3"/>
  <c r="L137" i="3"/>
  <c r="L128" i="3"/>
  <c r="L130" i="3"/>
  <c r="L129" i="3"/>
  <c r="Y9" i="4"/>
  <c r="Y12" i="4"/>
  <c r="Y4" i="5"/>
  <c r="Y47" i="6" s="1"/>
  <c r="Y10" i="4"/>
  <c r="Y11" i="4"/>
  <c r="Y202" i="4" l="1"/>
  <c r="L76" i="5"/>
  <c r="L103" i="5"/>
  <c r="L17" i="5"/>
  <c r="Y201" i="4"/>
  <c r="Y96" i="5"/>
  <c r="Y203" i="4"/>
  <c r="L202" i="3"/>
  <c r="L48" i="3"/>
  <c r="Y179" i="4"/>
  <c r="Y40" i="4"/>
  <c r="Y200" i="4"/>
  <c r="L70" i="6"/>
  <c r="L97" i="6"/>
  <c r="L17" i="6"/>
  <c r="L232" i="3"/>
  <c r="L78" i="3"/>
  <c r="Y123" i="5"/>
  <c r="Y69" i="5"/>
  <c r="Y124" i="7" s="1"/>
  <c r="Y7" i="4"/>
  <c r="Y17" i="4"/>
  <c r="Y208" i="4" l="1"/>
  <c r="Y177" i="4"/>
  <c r="Y31" i="4"/>
  <c r="Y258" i="4" s="1"/>
  <c r="L151" i="6"/>
  <c r="L135" i="6"/>
  <c r="L155" i="6"/>
  <c r="L156" i="6"/>
  <c r="L142" i="6"/>
  <c r="L149" i="6"/>
  <c r="L54" i="6"/>
  <c r="L148" i="6"/>
  <c r="L143" i="6"/>
  <c r="L141" i="6"/>
  <c r="L137" i="6"/>
  <c r="L153" i="6"/>
  <c r="L146" i="6"/>
  <c r="L139" i="6"/>
  <c r="L154" i="6"/>
  <c r="L152" i="6"/>
  <c r="L147" i="6"/>
  <c r="L140" i="6"/>
  <c r="L138" i="6"/>
  <c r="L145" i="6"/>
  <c r="L160" i="6"/>
  <c r="L136" i="6"/>
  <c r="L159" i="6"/>
  <c r="L158" i="6"/>
  <c r="L144" i="5"/>
  <c r="L141" i="5"/>
  <c r="L60" i="5"/>
  <c r="L156" i="5"/>
  <c r="L162" i="5"/>
  <c r="L161" i="5"/>
  <c r="L148" i="5"/>
  <c r="L155" i="5"/>
  <c r="L163" i="5"/>
  <c r="L154" i="5"/>
  <c r="L149" i="5"/>
  <c r="L147" i="5"/>
  <c r="L150" i="5"/>
  <c r="L152" i="5"/>
  <c r="L159" i="5"/>
  <c r="L143" i="5"/>
  <c r="L145" i="5"/>
  <c r="L153" i="5"/>
  <c r="L160" i="5"/>
  <c r="L158" i="5"/>
  <c r="L151" i="5"/>
  <c r="L166" i="5"/>
  <c r="L146" i="5"/>
  <c r="L142" i="5"/>
  <c r="L165" i="5"/>
  <c r="L164" i="5"/>
  <c r="Y198" i="4"/>
  <c r="L77" i="3"/>
  <c r="L230" i="3"/>
  <c r="L157" i="5"/>
  <c r="L200" i="3"/>
  <c r="L47" i="3"/>
  <c r="L140" i="3" s="1"/>
  <c r="Y15" i="4"/>
  <c r="Y8" i="4"/>
  <c r="L170" i="3" l="1"/>
  <c r="Y249" i="4"/>
  <c r="Y30" i="4"/>
  <c r="Y168" i="4"/>
  <c r="Y263" i="4"/>
  <c r="Y261" i="4"/>
  <c r="Y259" i="4"/>
  <c r="Y250" i="4"/>
  <c r="Y256" i="4"/>
  <c r="Y255" i="4"/>
  <c r="Y254" i="4"/>
  <c r="Y253" i="4"/>
  <c r="Y252" i="4"/>
  <c r="Y257" i="4"/>
  <c r="Y251" i="4"/>
  <c r="Y262" i="4"/>
  <c r="Y260" i="4"/>
  <c r="Y6" i="4"/>
  <c r="Y199" i="4"/>
  <c r="L144" i="3"/>
  <c r="L149" i="3"/>
  <c r="L150" i="3"/>
  <c r="L148" i="3"/>
  <c r="L139" i="3"/>
  <c r="L145" i="3"/>
  <c r="L146" i="3"/>
  <c r="L143" i="3"/>
  <c r="L147" i="3"/>
  <c r="L199" i="3"/>
  <c r="L141" i="3"/>
  <c r="L142" i="3"/>
  <c r="Y134" i="5"/>
  <c r="Y80" i="5"/>
  <c r="Y135" i="7" s="1"/>
  <c r="Y107" i="5"/>
  <c r="Y206" i="4"/>
  <c r="Y13" i="4"/>
  <c r="Y144" i="6"/>
  <c r="Y117" i="6"/>
  <c r="Y63" i="6"/>
  <c r="Y90" i="6"/>
  <c r="L177" i="3"/>
  <c r="L169" i="3"/>
  <c r="L175" i="3"/>
  <c r="L173" i="3"/>
  <c r="L176" i="3"/>
  <c r="L180" i="3"/>
  <c r="L179" i="3"/>
  <c r="L174" i="3"/>
  <c r="L178" i="3"/>
  <c r="L229" i="3"/>
  <c r="L171" i="3"/>
  <c r="L172" i="3"/>
  <c r="Y127" i="5"/>
  <c r="Y73" i="5"/>
  <c r="Y128" i="7" s="1"/>
  <c r="Y100" i="5"/>
  <c r="Y101" i="6" l="1"/>
  <c r="Y128" i="6"/>
  <c r="Y74" i="6"/>
  <c r="Y216" i="7" s="1"/>
  <c r="Y7" i="3"/>
  <c r="Y197" i="4"/>
  <c r="Y143" i="4"/>
  <c r="Y4" i="4"/>
  <c r="Y231" i="4" s="1"/>
  <c r="Y167" i="4"/>
  <c r="Y132" i="5"/>
  <c r="Y78" i="5"/>
  <c r="Y133" i="7" s="1"/>
  <c r="Y105" i="5"/>
  <c r="Y121" i="6"/>
  <c r="Y67" i="6"/>
  <c r="Y209" i="7" s="1"/>
  <c r="Y94" i="6"/>
  <c r="Y150" i="4"/>
  <c r="Y204" i="4"/>
  <c r="Y8" i="3"/>
  <c r="Y71" i="5"/>
  <c r="Y126" i="7" s="1"/>
  <c r="Y125" i="5"/>
  <c r="Y98" i="5"/>
  <c r="Y116" i="5"/>
  <c r="Y36" i="3"/>
  <c r="Y62" i="5"/>
  <c r="Y117" i="7" s="1"/>
  <c r="Y89" i="5"/>
  <c r="O55" i="7"/>
  <c r="O134" i="4"/>
  <c r="Y120" i="5"/>
  <c r="Y66" i="5"/>
  <c r="Y121" i="7" s="1"/>
  <c r="Y93" i="5"/>
  <c r="Y224" i="4" l="1"/>
  <c r="O53" i="7"/>
  <c r="O127" i="4"/>
  <c r="Y188" i="3"/>
  <c r="Y60" i="6"/>
  <c r="Y202" i="7" s="1"/>
  <c r="Y114" i="6"/>
  <c r="Y87" i="6"/>
  <c r="Y234" i="4"/>
  <c r="Y141" i="4"/>
  <c r="Y222" i="4"/>
  <c r="Y195" i="4"/>
  <c r="Y232" i="4"/>
  <c r="Y236" i="4"/>
  <c r="Y223" i="4"/>
  <c r="Y227" i="4"/>
  <c r="Y229" i="4"/>
  <c r="Y230" i="4"/>
  <c r="Y228" i="4"/>
  <c r="Y225" i="4"/>
  <c r="Y235" i="4"/>
  <c r="Y226" i="4"/>
  <c r="Y233" i="4"/>
  <c r="Y5" i="3"/>
  <c r="Y66" i="3" l="1"/>
  <c r="Y110" i="6"/>
  <c r="Y56" i="6"/>
  <c r="Y198" i="7" s="1"/>
  <c r="Y83" i="6"/>
  <c r="Y4" i="3"/>
  <c r="O46" i="7"/>
  <c r="O111" i="4"/>
  <c r="O30" i="7" s="1"/>
  <c r="Y218" i="3" l="1"/>
  <c r="Y126" i="6"/>
  <c r="Y72" i="6"/>
  <c r="Y214" i="7" s="1"/>
  <c r="Y99" i="6"/>
  <c r="Y97" i="3"/>
  <c r="Y96" i="3"/>
  <c r="Y105" i="3"/>
  <c r="Y104" i="3"/>
  <c r="Y103" i="3"/>
  <c r="Y108" i="3"/>
  <c r="Y106" i="3"/>
  <c r="Y101" i="3"/>
  <c r="Y102" i="3"/>
  <c r="Y107" i="3"/>
  <c r="Y98" i="3"/>
  <c r="Y99" i="3"/>
  <c r="Y100" i="3"/>
  <c r="M113" i="6" l="1"/>
  <c r="M59" i="6"/>
  <c r="M201" i="7" s="1"/>
  <c r="M86" i="6"/>
  <c r="M20" i="6"/>
  <c r="Y135" i="5"/>
  <c r="Y81" i="5"/>
  <c r="Y136" i="7" s="1"/>
  <c r="Y108" i="5"/>
  <c r="Y119" i="6"/>
  <c r="Y65" i="6"/>
  <c r="Y207" i="7" s="1"/>
  <c r="Y92" i="6"/>
  <c r="Y68" i="5"/>
  <c r="Y123" i="7" s="1"/>
  <c r="Y122" i="5"/>
  <c r="Y95" i="5"/>
  <c r="M72" i="5"/>
  <c r="M127" i="7" s="1"/>
  <c r="M126" i="5"/>
  <c r="M99" i="5"/>
  <c r="M33" i="5"/>
  <c r="M79" i="5"/>
  <c r="M134" i="7" s="1"/>
  <c r="M133" i="5"/>
  <c r="M106" i="5"/>
  <c r="M43" i="5"/>
  <c r="M124" i="5" l="1"/>
  <c r="M70" i="5"/>
  <c r="M125" i="7" s="1"/>
  <c r="M38" i="3"/>
  <c r="M97" i="5"/>
  <c r="M119" i="5"/>
  <c r="M65" i="5"/>
  <c r="M120" i="7" s="1"/>
  <c r="M92" i="5"/>
  <c r="M21" i="5"/>
  <c r="Y116" i="6"/>
  <c r="Y62" i="6"/>
  <c r="Y204" i="7" s="1"/>
  <c r="Y89" i="6"/>
  <c r="Y129" i="6"/>
  <c r="Y75" i="6"/>
  <c r="Y217" i="7" s="1"/>
  <c r="Y102" i="6"/>
  <c r="M139" i="5"/>
  <c r="M85" i="5"/>
  <c r="M140" i="7" s="1"/>
  <c r="M112" i="5"/>
  <c r="M77" i="5"/>
  <c r="M132" i="7" s="1"/>
  <c r="M131" i="5"/>
  <c r="M49" i="3"/>
  <c r="M104" i="5"/>
  <c r="Y121" i="5"/>
  <c r="Y67" i="5"/>
  <c r="Y122" i="7" s="1"/>
  <c r="Y94" i="5"/>
  <c r="M127" i="6"/>
  <c r="M73" i="6"/>
  <c r="M215" i="7" s="1"/>
  <c r="M100" i="6"/>
  <c r="M34" i="6"/>
  <c r="M57" i="6"/>
  <c r="M199" i="7" s="1"/>
  <c r="M111" i="6"/>
  <c r="M67" i="3"/>
  <c r="M84" i="6"/>
  <c r="M63" i="5" l="1"/>
  <c r="M118" i="7" s="1"/>
  <c r="M117" i="5"/>
  <c r="M37" i="3"/>
  <c r="M90" i="5"/>
  <c r="M18" i="5"/>
  <c r="M71" i="6"/>
  <c r="M213" i="7" s="1"/>
  <c r="M125" i="6"/>
  <c r="M79" i="3"/>
  <c r="M98" i="6"/>
  <c r="Y118" i="5"/>
  <c r="Y64" i="5"/>
  <c r="Y119" i="7" s="1"/>
  <c r="Y91" i="5"/>
  <c r="M201" i="3"/>
  <c r="M219" i="3"/>
  <c r="M120" i="6"/>
  <c r="M66" i="6"/>
  <c r="M208" i="7" s="1"/>
  <c r="M93" i="6"/>
  <c r="M27" i="6"/>
  <c r="Y115" i="6"/>
  <c r="Y61" i="6"/>
  <c r="Y203" i="7" s="1"/>
  <c r="Y88" i="6"/>
  <c r="M190" i="3"/>
  <c r="M231" i="3" l="1"/>
  <c r="M61" i="5"/>
  <c r="M88" i="5"/>
  <c r="Y58" i="6"/>
  <c r="Y200" i="7" s="1"/>
  <c r="Y112" i="6"/>
  <c r="Y85" i="6"/>
  <c r="M189" i="3"/>
  <c r="M35" i="3"/>
  <c r="M64" i="6"/>
  <c r="M206" i="7" s="1"/>
  <c r="M118" i="6"/>
  <c r="M68" i="3"/>
  <c r="M91" i="6"/>
  <c r="M18" i="6"/>
  <c r="Y128" i="5"/>
  <c r="Y74" i="5"/>
  <c r="Y129" i="7" s="1"/>
  <c r="Y101" i="5"/>
  <c r="M133" i="6" l="1"/>
  <c r="M79" i="6"/>
  <c r="M221" i="7" s="1"/>
  <c r="M106" i="6"/>
  <c r="M55" i="6"/>
  <c r="M82" i="6"/>
  <c r="M187" i="3"/>
  <c r="M34" i="3"/>
  <c r="M127" i="3" s="1"/>
  <c r="M220" i="3"/>
  <c r="M65" i="3"/>
  <c r="Y68" i="6"/>
  <c r="Y210" i="7" s="1"/>
  <c r="Y122" i="6"/>
  <c r="Y95" i="6"/>
  <c r="M64" i="3" l="1"/>
  <c r="M217" i="3"/>
  <c r="M132" i="6"/>
  <c r="M40" i="6"/>
  <c r="M78" i="6"/>
  <c r="M220" i="7" s="1"/>
  <c r="M105" i="6"/>
  <c r="M138" i="5"/>
  <c r="M52" i="5"/>
  <c r="M84" i="5"/>
  <c r="M139" i="7" s="1"/>
  <c r="M111" i="5"/>
  <c r="M133" i="3"/>
  <c r="M135" i="3"/>
  <c r="M186" i="3"/>
  <c r="M126" i="3"/>
  <c r="M131" i="3"/>
  <c r="M134" i="3"/>
  <c r="M136" i="3"/>
  <c r="M138" i="3"/>
  <c r="M137" i="3"/>
  <c r="M132" i="3"/>
  <c r="M128" i="3"/>
  <c r="M130" i="3"/>
  <c r="M129" i="3"/>
  <c r="M157" i="3" l="1"/>
  <c r="M137" i="5"/>
  <c r="M83" i="5"/>
  <c r="M138" i="7" s="1"/>
  <c r="M50" i="3"/>
  <c r="M110" i="5"/>
  <c r="M42" i="5"/>
  <c r="M131" i="6"/>
  <c r="M80" i="3"/>
  <c r="M77" i="6"/>
  <c r="M219" i="7" s="1"/>
  <c r="M104" i="6"/>
  <c r="M33" i="6"/>
  <c r="M163" i="3"/>
  <c r="M161" i="3"/>
  <c r="M166" i="3"/>
  <c r="M156" i="3"/>
  <c r="M168" i="3"/>
  <c r="M167" i="3"/>
  <c r="M165" i="3"/>
  <c r="M158" i="3"/>
  <c r="M216" i="3"/>
  <c r="M159" i="3"/>
  <c r="M160" i="3"/>
  <c r="M76" i="5" l="1"/>
  <c r="M103" i="5"/>
  <c r="M17" i="5"/>
  <c r="M70" i="6"/>
  <c r="M97" i="6"/>
  <c r="M17" i="6"/>
  <c r="M202" i="3"/>
  <c r="M48" i="3"/>
  <c r="M232" i="3"/>
  <c r="M78" i="3"/>
  <c r="M200" i="3" l="1"/>
  <c r="M47" i="3"/>
  <c r="M140" i="3" s="1"/>
  <c r="M142" i="5"/>
  <c r="M60" i="5"/>
  <c r="M141" i="5"/>
  <c r="M156" i="5"/>
  <c r="M163" i="5"/>
  <c r="M161" i="5"/>
  <c r="M162" i="5"/>
  <c r="M148" i="5"/>
  <c r="M154" i="5"/>
  <c r="M155" i="5"/>
  <c r="M149" i="5"/>
  <c r="M147" i="5"/>
  <c r="M150" i="5"/>
  <c r="M143" i="5"/>
  <c r="M152" i="5"/>
  <c r="M159" i="5"/>
  <c r="M145" i="5"/>
  <c r="M160" i="5"/>
  <c r="M153" i="5"/>
  <c r="M158" i="5"/>
  <c r="M146" i="5"/>
  <c r="M166" i="5"/>
  <c r="M151" i="5"/>
  <c r="M144" i="5"/>
  <c r="M165" i="5"/>
  <c r="M164" i="5"/>
  <c r="M157" i="5"/>
  <c r="M151" i="6"/>
  <c r="M135" i="6"/>
  <c r="M155" i="6"/>
  <c r="M156" i="6"/>
  <c r="M142" i="6"/>
  <c r="M148" i="6"/>
  <c r="M54" i="6"/>
  <c r="M149" i="6"/>
  <c r="M143" i="6"/>
  <c r="M141" i="6"/>
  <c r="M137" i="6"/>
  <c r="M146" i="6"/>
  <c r="M153" i="6"/>
  <c r="M139" i="6"/>
  <c r="M140" i="6"/>
  <c r="M154" i="6"/>
  <c r="M138" i="6"/>
  <c r="M147" i="6"/>
  <c r="M152" i="6"/>
  <c r="M145" i="6"/>
  <c r="M160" i="6"/>
  <c r="M136" i="6"/>
  <c r="M159" i="6"/>
  <c r="M158" i="6"/>
  <c r="M77" i="3"/>
  <c r="M230" i="3"/>
  <c r="M170" i="3" l="1"/>
  <c r="M147" i="3"/>
  <c r="M148" i="3"/>
  <c r="M139" i="3"/>
  <c r="M145" i="3"/>
  <c r="M146" i="3"/>
  <c r="M199" i="3"/>
  <c r="M144" i="3"/>
  <c r="M143" i="3"/>
  <c r="M150" i="3"/>
  <c r="M149" i="3"/>
  <c r="M141" i="3"/>
  <c r="M142" i="3"/>
  <c r="M174" i="3"/>
  <c r="M169" i="3"/>
  <c r="M175" i="3"/>
  <c r="M173" i="3"/>
  <c r="M176" i="3"/>
  <c r="M177" i="3"/>
  <c r="M179" i="3"/>
  <c r="M180" i="3"/>
  <c r="M178" i="3"/>
  <c r="M229" i="3"/>
  <c r="M171" i="3"/>
  <c r="M172" i="3"/>
  <c r="N72" i="5" l="1"/>
  <c r="N127" i="7" s="1"/>
  <c r="N126" i="5"/>
  <c r="N99" i="5"/>
  <c r="N33" i="5"/>
  <c r="N133" i="5"/>
  <c r="N79" i="5"/>
  <c r="N134" i="7" s="1"/>
  <c r="N106" i="5"/>
  <c r="N43" i="5"/>
  <c r="N77" i="5" l="1"/>
  <c r="N132" i="7" s="1"/>
  <c r="N131" i="5"/>
  <c r="N49" i="3"/>
  <c r="N104" i="5"/>
  <c r="N127" i="6"/>
  <c r="N73" i="6"/>
  <c r="N215" i="7" s="1"/>
  <c r="N100" i="6"/>
  <c r="N34" i="6"/>
  <c r="N70" i="5"/>
  <c r="N125" i="7" s="1"/>
  <c r="N124" i="5"/>
  <c r="N38" i="3"/>
  <c r="N97" i="5"/>
  <c r="N190" i="3" l="1"/>
  <c r="N201" i="3"/>
  <c r="N120" i="6"/>
  <c r="N66" i="6"/>
  <c r="N208" i="7" s="1"/>
  <c r="N93" i="6"/>
  <c r="N27" i="6"/>
  <c r="N125" i="6"/>
  <c r="N79" i="3"/>
  <c r="N71" i="6"/>
  <c r="N213" i="7" s="1"/>
  <c r="N98" i="6"/>
  <c r="N65" i="5"/>
  <c r="N120" i="7" s="1"/>
  <c r="N119" i="5"/>
  <c r="N92" i="5"/>
  <c r="N21" i="5"/>
  <c r="N85" i="5"/>
  <c r="N140" i="7" s="1"/>
  <c r="N139" i="5"/>
  <c r="N112" i="5"/>
  <c r="N63" i="5" l="1"/>
  <c r="N118" i="7" s="1"/>
  <c r="N117" i="5"/>
  <c r="N37" i="3"/>
  <c r="N90" i="5"/>
  <c r="N18" i="5"/>
  <c r="N64" i="6"/>
  <c r="N206" i="7" s="1"/>
  <c r="N118" i="6"/>
  <c r="N68" i="3"/>
  <c r="N91" i="6"/>
  <c r="N231" i="3"/>
  <c r="N113" i="6"/>
  <c r="N59" i="6"/>
  <c r="N201" i="7" s="1"/>
  <c r="N86" i="6"/>
  <c r="N20" i="6"/>
  <c r="P55" i="7"/>
  <c r="P134" i="4"/>
  <c r="N133" i="6" l="1"/>
  <c r="N79" i="6"/>
  <c r="N221" i="7" s="1"/>
  <c r="N106" i="6"/>
  <c r="N61" i="5"/>
  <c r="N88" i="5"/>
  <c r="N220" i="3"/>
  <c r="N111" i="6"/>
  <c r="N67" i="3"/>
  <c r="N57" i="6"/>
  <c r="N199" i="7" s="1"/>
  <c r="N84" i="6"/>
  <c r="N18" i="6"/>
  <c r="N189" i="3"/>
  <c r="N35" i="3"/>
  <c r="P53" i="7"/>
  <c r="P127" i="4"/>
  <c r="N55" i="6" l="1"/>
  <c r="N82" i="6"/>
  <c r="N40" i="6"/>
  <c r="N132" i="6"/>
  <c r="N78" i="6"/>
  <c r="N220" i="7" s="1"/>
  <c r="N105" i="6"/>
  <c r="P46" i="7"/>
  <c r="P111" i="4"/>
  <c r="P30" i="7" s="1"/>
  <c r="N219" i="3"/>
  <c r="N65" i="3"/>
  <c r="N187" i="3"/>
  <c r="N34" i="3"/>
  <c r="N127" i="3" s="1"/>
  <c r="N52" i="5"/>
  <c r="N138" i="5"/>
  <c r="N84" i="5"/>
  <c r="N139" i="7" s="1"/>
  <c r="N111" i="5"/>
  <c r="N135" i="3" l="1"/>
  <c r="N136" i="3"/>
  <c r="N132" i="3"/>
  <c r="N137" i="3"/>
  <c r="N138" i="3"/>
  <c r="N186" i="3"/>
  <c r="N134" i="3"/>
  <c r="N133" i="3"/>
  <c r="N126" i="3"/>
  <c r="N131" i="3"/>
  <c r="N128" i="3"/>
  <c r="N130" i="3"/>
  <c r="N129" i="3"/>
  <c r="N77" i="6"/>
  <c r="N219" i="7" s="1"/>
  <c r="N131" i="6"/>
  <c r="N80" i="3"/>
  <c r="N104" i="6"/>
  <c r="N33" i="6"/>
  <c r="N83" i="5"/>
  <c r="N138" i="7" s="1"/>
  <c r="N137" i="5"/>
  <c r="N50" i="3"/>
  <c r="N110" i="5"/>
  <c r="N42" i="5"/>
  <c r="N64" i="3"/>
  <c r="N217" i="3"/>
  <c r="N157" i="3" l="1"/>
  <c r="N202" i="3"/>
  <c r="N48" i="3"/>
  <c r="N70" i="6"/>
  <c r="N97" i="6"/>
  <c r="N17" i="6"/>
  <c r="N161" i="3"/>
  <c r="N166" i="3"/>
  <c r="N156" i="3"/>
  <c r="N167" i="3"/>
  <c r="N168" i="3"/>
  <c r="N163" i="3"/>
  <c r="N165" i="3"/>
  <c r="N216" i="3"/>
  <c r="N158" i="3"/>
  <c r="N160" i="3"/>
  <c r="N159" i="3"/>
  <c r="N17" i="5"/>
  <c r="N157" i="5" s="1"/>
  <c r="N76" i="5"/>
  <c r="N103" i="5"/>
  <c r="N232" i="3"/>
  <c r="N78" i="3"/>
  <c r="N77" i="3" l="1"/>
  <c r="N230" i="3"/>
  <c r="N136" i="6"/>
  <c r="N135" i="6"/>
  <c r="N155" i="6"/>
  <c r="N156" i="6"/>
  <c r="N142" i="6"/>
  <c r="N54" i="6"/>
  <c r="N149" i="6"/>
  <c r="N148" i="6"/>
  <c r="N143" i="6"/>
  <c r="N141" i="6"/>
  <c r="N137" i="6"/>
  <c r="N153" i="6"/>
  <c r="N146" i="6"/>
  <c r="N139" i="6"/>
  <c r="N154" i="6"/>
  <c r="N152" i="6"/>
  <c r="N147" i="6"/>
  <c r="N145" i="6"/>
  <c r="N140" i="6"/>
  <c r="N160" i="6"/>
  <c r="N138" i="6"/>
  <c r="N159" i="6"/>
  <c r="N158" i="6"/>
  <c r="N200" i="3"/>
  <c r="N47" i="3"/>
  <c r="N140" i="3" s="1"/>
  <c r="N151" i="6"/>
  <c r="N141" i="5"/>
  <c r="N60" i="5"/>
  <c r="N163" i="5"/>
  <c r="N156" i="5"/>
  <c r="N161" i="5"/>
  <c r="N162" i="5"/>
  <c r="N148" i="5"/>
  <c r="N154" i="5"/>
  <c r="N155" i="5"/>
  <c r="N147" i="5"/>
  <c r="N149" i="5"/>
  <c r="N150" i="5"/>
  <c r="N152" i="5"/>
  <c r="N159" i="5"/>
  <c r="N143" i="5"/>
  <c r="N145" i="5"/>
  <c r="N160" i="5"/>
  <c r="N153" i="5"/>
  <c r="N158" i="5"/>
  <c r="N151" i="5"/>
  <c r="N166" i="5"/>
  <c r="N146" i="5"/>
  <c r="N144" i="5"/>
  <c r="N142" i="5"/>
  <c r="N165" i="5"/>
  <c r="N164" i="5"/>
  <c r="N170" i="3" l="1"/>
  <c r="N147" i="3"/>
  <c r="N144" i="3"/>
  <c r="N143" i="3"/>
  <c r="N150" i="3"/>
  <c r="N149" i="3"/>
  <c r="N199" i="3"/>
  <c r="N148" i="3"/>
  <c r="N139" i="3"/>
  <c r="N145" i="3"/>
  <c r="N146" i="3"/>
  <c r="N141" i="3"/>
  <c r="N142" i="3"/>
  <c r="N180" i="3"/>
  <c r="N179" i="3"/>
  <c r="N178" i="3"/>
  <c r="N169" i="3"/>
  <c r="N175" i="3"/>
  <c r="N177" i="3"/>
  <c r="N176" i="3"/>
  <c r="N174" i="3"/>
  <c r="N173" i="3"/>
  <c r="N229" i="3"/>
  <c r="N171" i="3"/>
  <c r="N172" i="3"/>
  <c r="O127" i="6" l="1"/>
  <c r="O73" i="6"/>
  <c r="O215" i="7" s="1"/>
  <c r="O100" i="6"/>
  <c r="O34" i="6"/>
  <c r="O79" i="5"/>
  <c r="O134" i="7" s="1"/>
  <c r="O133" i="5"/>
  <c r="O106" i="5"/>
  <c r="O43" i="5"/>
  <c r="O126" i="5"/>
  <c r="O72" i="5"/>
  <c r="O127" i="7" s="1"/>
  <c r="O99" i="5"/>
  <c r="O33" i="5"/>
  <c r="O77" i="5" l="1"/>
  <c r="O132" i="7" s="1"/>
  <c r="O131" i="5"/>
  <c r="O49" i="3"/>
  <c r="O104" i="5"/>
  <c r="O125" i="6"/>
  <c r="O79" i="3"/>
  <c r="O71" i="6"/>
  <c r="O213" i="7" s="1"/>
  <c r="O98" i="6"/>
  <c r="O70" i="5"/>
  <c r="O125" i="7" s="1"/>
  <c r="O124" i="5"/>
  <c r="O38" i="3"/>
  <c r="O97" i="5"/>
  <c r="O201" i="3" l="1"/>
  <c r="O231" i="3"/>
  <c r="O119" i="5"/>
  <c r="O65" i="5"/>
  <c r="O120" i="7" s="1"/>
  <c r="O92" i="5"/>
  <c r="O21" i="5"/>
  <c r="O190" i="3"/>
  <c r="O85" i="5"/>
  <c r="O140" i="7" s="1"/>
  <c r="O139" i="5"/>
  <c r="O112" i="5"/>
  <c r="O120" i="6"/>
  <c r="O66" i="6"/>
  <c r="O208" i="7" s="1"/>
  <c r="O93" i="6"/>
  <c r="O27" i="6"/>
  <c r="O64" i="6" l="1"/>
  <c r="O206" i="7" s="1"/>
  <c r="O118" i="6"/>
  <c r="O68" i="3"/>
  <c r="O91" i="6"/>
  <c r="O63" i="5"/>
  <c r="O118" i="7" s="1"/>
  <c r="O117" i="5"/>
  <c r="O37" i="3"/>
  <c r="O90" i="5"/>
  <c r="O18" i="5"/>
  <c r="O113" i="6"/>
  <c r="O59" i="6"/>
  <c r="O201" i="7" s="1"/>
  <c r="O86" i="6"/>
  <c r="O20" i="6"/>
  <c r="O61" i="5" l="1"/>
  <c r="O88" i="5"/>
  <c r="O57" i="6"/>
  <c r="O199" i="7" s="1"/>
  <c r="O111" i="6"/>
  <c r="O67" i="3"/>
  <c r="O84" i="6"/>
  <c r="O18" i="6"/>
  <c r="O220" i="3"/>
  <c r="O189" i="3"/>
  <c r="O35" i="3"/>
  <c r="O133" i="6"/>
  <c r="O79" i="6"/>
  <c r="O221" i="7" s="1"/>
  <c r="O106" i="6"/>
  <c r="Q55" i="7" l="1"/>
  <c r="Q134" i="4"/>
  <c r="O219" i="3"/>
  <c r="O65" i="3"/>
  <c r="O187" i="3"/>
  <c r="O34" i="3"/>
  <c r="O127" i="3" s="1"/>
  <c r="O55" i="6"/>
  <c r="O82" i="6"/>
  <c r="O64" i="3" l="1"/>
  <c r="O157" i="3"/>
  <c r="O217" i="3"/>
  <c r="O52" i="5"/>
  <c r="O84" i="5"/>
  <c r="O139" i="7" s="1"/>
  <c r="O138" i="5"/>
  <c r="O111" i="5"/>
  <c r="Q53" i="7"/>
  <c r="Q127" i="4"/>
  <c r="O40" i="6"/>
  <c r="O132" i="6"/>
  <c r="O78" i="6"/>
  <c r="O220" i="7" s="1"/>
  <c r="O105" i="6"/>
  <c r="O126" i="3"/>
  <c r="O131" i="3"/>
  <c r="O186" i="3"/>
  <c r="O132" i="3"/>
  <c r="O136" i="3"/>
  <c r="O135" i="3"/>
  <c r="O138" i="3"/>
  <c r="O134" i="3"/>
  <c r="O137" i="3"/>
  <c r="O133" i="3"/>
  <c r="O128" i="3"/>
  <c r="O130" i="3"/>
  <c r="O129" i="3"/>
  <c r="O131" i="6" l="1"/>
  <c r="O80" i="3"/>
  <c r="O77" i="6"/>
  <c r="O219" i="7" s="1"/>
  <c r="O104" i="6"/>
  <c r="O33" i="6"/>
  <c r="O83" i="5"/>
  <c r="O138" i="7" s="1"/>
  <c r="O137" i="5"/>
  <c r="O50" i="3"/>
  <c r="O110" i="5"/>
  <c r="O42" i="5"/>
  <c r="Q46" i="7"/>
  <c r="Q111" i="4"/>
  <c r="Q30" i="7" s="1"/>
  <c r="O165" i="3"/>
  <c r="O156" i="3"/>
  <c r="O168" i="3"/>
  <c r="O167" i="3"/>
  <c r="O163" i="3"/>
  <c r="O161" i="3"/>
  <c r="O166" i="3"/>
  <c r="O158" i="3"/>
  <c r="O216" i="3"/>
  <c r="O160" i="3"/>
  <c r="O159" i="3"/>
  <c r="O70" i="6" l="1"/>
  <c r="O97" i="6"/>
  <c r="O17" i="6"/>
  <c r="O232" i="3"/>
  <c r="O78" i="3"/>
  <c r="O202" i="3"/>
  <c r="O48" i="3"/>
  <c r="O76" i="5"/>
  <c r="O103" i="5"/>
  <c r="O17" i="5"/>
  <c r="O77" i="3" l="1"/>
  <c r="O170" i="3" s="1"/>
  <c r="O230" i="3"/>
  <c r="O142" i="5"/>
  <c r="O141" i="5"/>
  <c r="O60" i="5"/>
  <c r="O163" i="5"/>
  <c r="O154" i="5"/>
  <c r="O156" i="5"/>
  <c r="O161" i="5"/>
  <c r="O162" i="5"/>
  <c r="O148" i="5"/>
  <c r="O155" i="5"/>
  <c r="O147" i="5"/>
  <c r="O149" i="5"/>
  <c r="O150" i="5"/>
  <c r="O159" i="5"/>
  <c r="O143" i="5"/>
  <c r="O152" i="5"/>
  <c r="O145" i="5"/>
  <c r="O153" i="5"/>
  <c r="O160" i="5"/>
  <c r="O151" i="5"/>
  <c r="O158" i="5"/>
  <c r="O146" i="5"/>
  <c r="O166" i="5"/>
  <c r="O144" i="5"/>
  <c r="O165" i="5"/>
  <c r="O164" i="5"/>
  <c r="O157" i="5"/>
  <c r="O136" i="6"/>
  <c r="O135" i="6"/>
  <c r="O148" i="6"/>
  <c r="O155" i="6"/>
  <c r="O156" i="6"/>
  <c r="O142" i="6"/>
  <c r="O149" i="6"/>
  <c r="O141" i="6"/>
  <c r="O54" i="6"/>
  <c r="O143" i="6"/>
  <c r="O137" i="6"/>
  <c r="O146" i="6"/>
  <c r="O153" i="6"/>
  <c r="O139" i="6"/>
  <c r="O154" i="6"/>
  <c r="O152" i="6"/>
  <c r="O147" i="6"/>
  <c r="O140" i="6"/>
  <c r="O145" i="6"/>
  <c r="O160" i="6"/>
  <c r="O138" i="6"/>
  <c r="O159" i="6"/>
  <c r="O158" i="6"/>
  <c r="O200" i="3"/>
  <c r="O47" i="3"/>
  <c r="O140" i="3" s="1"/>
  <c r="O151" i="6"/>
  <c r="O139" i="3" l="1"/>
  <c r="O145" i="3"/>
  <c r="O199" i="3"/>
  <c r="O146" i="3"/>
  <c r="O143" i="3"/>
  <c r="O147" i="3"/>
  <c r="O150" i="3"/>
  <c r="O149" i="3"/>
  <c r="O144" i="3"/>
  <c r="O148" i="3"/>
  <c r="O141" i="3"/>
  <c r="O142" i="3"/>
  <c r="O179" i="3"/>
  <c r="O178" i="3"/>
  <c r="O169" i="3"/>
  <c r="O175" i="3"/>
  <c r="O173" i="3"/>
  <c r="O176" i="3"/>
  <c r="O174" i="3"/>
  <c r="O177" i="3"/>
  <c r="O180" i="3"/>
  <c r="O229" i="3"/>
  <c r="O171" i="3"/>
  <c r="O172" i="3"/>
  <c r="P127" i="6" l="1"/>
  <c r="P73" i="6"/>
  <c r="P215" i="7" s="1"/>
  <c r="P100" i="6"/>
  <c r="P34" i="6"/>
  <c r="P133" i="5"/>
  <c r="P79" i="5"/>
  <c r="P134" i="7" s="1"/>
  <c r="P106" i="5"/>
  <c r="P43" i="5"/>
  <c r="P126" i="5"/>
  <c r="P72" i="5"/>
  <c r="P127" i="7" s="1"/>
  <c r="P99" i="5"/>
  <c r="P33" i="5"/>
  <c r="P125" i="6" l="1"/>
  <c r="P79" i="3"/>
  <c r="P71" i="6"/>
  <c r="P213" i="7" s="1"/>
  <c r="P98" i="6"/>
  <c r="P131" i="5"/>
  <c r="P77" i="5"/>
  <c r="P132" i="7" s="1"/>
  <c r="P49" i="3"/>
  <c r="P104" i="5"/>
  <c r="P70" i="5"/>
  <c r="P125" i="7" s="1"/>
  <c r="P124" i="5"/>
  <c r="P38" i="3"/>
  <c r="P97" i="5"/>
  <c r="P231" i="3" l="1"/>
  <c r="P190" i="3"/>
  <c r="P201" i="3"/>
  <c r="P139" i="5"/>
  <c r="P85" i="5"/>
  <c r="P140" i="7" s="1"/>
  <c r="P112" i="5"/>
  <c r="P113" i="6"/>
  <c r="P59" i="6"/>
  <c r="P201" i="7" s="1"/>
  <c r="P86" i="6"/>
  <c r="P20" i="6"/>
  <c r="P120" i="6"/>
  <c r="P66" i="6"/>
  <c r="P208" i="7" s="1"/>
  <c r="P93" i="6"/>
  <c r="P27" i="6"/>
  <c r="P119" i="5"/>
  <c r="P65" i="5"/>
  <c r="P120" i="7" s="1"/>
  <c r="P92" i="5"/>
  <c r="P21" i="5"/>
  <c r="P63" i="5" l="1"/>
  <c r="P118" i="7" s="1"/>
  <c r="P117" i="5"/>
  <c r="P37" i="3"/>
  <c r="P18" i="5"/>
  <c r="P90" i="5"/>
  <c r="P111" i="6"/>
  <c r="P67" i="3"/>
  <c r="P57" i="6"/>
  <c r="P199" i="7" s="1"/>
  <c r="P84" i="6"/>
  <c r="P18" i="6"/>
  <c r="P68" i="3"/>
  <c r="P118" i="6"/>
  <c r="P64" i="6"/>
  <c r="P206" i="7" s="1"/>
  <c r="P91" i="6"/>
  <c r="P133" i="6" l="1"/>
  <c r="P79" i="6"/>
  <c r="P221" i="7" s="1"/>
  <c r="P106" i="6"/>
  <c r="P55" i="6"/>
  <c r="P82" i="6"/>
  <c r="P61" i="5"/>
  <c r="P88" i="5"/>
  <c r="P189" i="3"/>
  <c r="P35" i="3"/>
  <c r="P220" i="3"/>
  <c r="P219" i="3"/>
  <c r="P65" i="3"/>
  <c r="P64" i="3" l="1"/>
  <c r="P157" i="3"/>
  <c r="P217" i="3"/>
  <c r="R55" i="7"/>
  <c r="R134" i="4"/>
  <c r="P187" i="3"/>
  <c r="P34" i="3"/>
  <c r="P127" i="3" s="1"/>
  <c r="P135" i="3" l="1"/>
  <c r="P134" i="3"/>
  <c r="P137" i="3"/>
  <c r="P138" i="3"/>
  <c r="P133" i="3"/>
  <c r="P186" i="3"/>
  <c r="P126" i="3"/>
  <c r="P131" i="3"/>
  <c r="P132" i="3"/>
  <c r="P136" i="3"/>
  <c r="P128" i="3"/>
  <c r="P130" i="3"/>
  <c r="P129" i="3"/>
  <c r="P52" i="5"/>
  <c r="P138" i="5"/>
  <c r="P84" i="5"/>
  <c r="P139" i="7" s="1"/>
  <c r="P111" i="5"/>
  <c r="R53" i="7"/>
  <c r="R127" i="4"/>
  <c r="P40" i="6"/>
  <c r="P132" i="6"/>
  <c r="P78" i="6"/>
  <c r="P220" i="7" s="1"/>
  <c r="P105" i="6"/>
  <c r="P163" i="3"/>
  <c r="P165" i="3"/>
  <c r="P161" i="3"/>
  <c r="P166" i="3"/>
  <c r="P156" i="3"/>
  <c r="P167" i="3"/>
  <c r="P168" i="3"/>
  <c r="P158" i="3"/>
  <c r="P216" i="3"/>
  <c r="P160" i="3"/>
  <c r="P159" i="3"/>
  <c r="R46" i="7" l="1"/>
  <c r="R111" i="4"/>
  <c r="R30" i="7" s="1"/>
  <c r="P137" i="5"/>
  <c r="P83" i="5"/>
  <c r="P138" i="7" s="1"/>
  <c r="P50" i="3"/>
  <c r="P110" i="5"/>
  <c r="P42" i="5"/>
  <c r="P77" i="6"/>
  <c r="P219" i="7" s="1"/>
  <c r="P131" i="6"/>
  <c r="P80" i="3"/>
  <c r="P104" i="6"/>
  <c r="P33" i="6"/>
  <c r="P232" i="3" l="1"/>
  <c r="P78" i="3"/>
  <c r="P70" i="6"/>
  <c r="P97" i="6"/>
  <c r="P17" i="6"/>
  <c r="P76" i="5"/>
  <c r="P103" i="5"/>
  <c r="P17" i="5"/>
  <c r="P202" i="3"/>
  <c r="P48" i="3"/>
  <c r="P200" i="3" l="1"/>
  <c r="P47" i="3"/>
  <c r="P140" i="3"/>
  <c r="P142" i="5"/>
  <c r="P60" i="5"/>
  <c r="P141" i="5"/>
  <c r="P156" i="5"/>
  <c r="P150" i="5"/>
  <c r="P163" i="5"/>
  <c r="P154" i="5"/>
  <c r="P161" i="5"/>
  <c r="P162" i="5"/>
  <c r="P147" i="5"/>
  <c r="P148" i="5"/>
  <c r="P155" i="5"/>
  <c r="P152" i="5"/>
  <c r="P143" i="5"/>
  <c r="P159" i="5"/>
  <c r="P149" i="5"/>
  <c r="P145" i="5"/>
  <c r="P153" i="5"/>
  <c r="P160" i="5"/>
  <c r="P158" i="5"/>
  <c r="P151" i="5"/>
  <c r="P146" i="5"/>
  <c r="P166" i="5"/>
  <c r="P144" i="5"/>
  <c r="P165" i="5"/>
  <c r="P164" i="5"/>
  <c r="P230" i="3"/>
  <c r="P77" i="3"/>
  <c r="P151" i="6"/>
  <c r="P135" i="6"/>
  <c r="P148" i="6"/>
  <c r="P155" i="6"/>
  <c r="P156" i="6"/>
  <c r="P141" i="6"/>
  <c r="P54" i="6"/>
  <c r="P149" i="6"/>
  <c r="P142" i="6"/>
  <c r="P137" i="6"/>
  <c r="P153" i="6"/>
  <c r="P146" i="6"/>
  <c r="P143" i="6"/>
  <c r="P139" i="6"/>
  <c r="P154" i="6"/>
  <c r="P152" i="6"/>
  <c r="P140" i="6"/>
  <c r="P147" i="6"/>
  <c r="P138" i="6"/>
  <c r="P145" i="6"/>
  <c r="P160" i="6"/>
  <c r="P136" i="6"/>
  <c r="P159" i="6"/>
  <c r="P158" i="6"/>
  <c r="P157" i="5"/>
  <c r="P170" i="3" l="1"/>
  <c r="P144" i="3"/>
  <c r="P139" i="3"/>
  <c r="P145" i="3"/>
  <c r="P147" i="3"/>
  <c r="P146" i="3"/>
  <c r="P149" i="3"/>
  <c r="P143" i="3"/>
  <c r="P150" i="3"/>
  <c r="P199" i="3"/>
  <c r="P148" i="3"/>
  <c r="P141" i="3"/>
  <c r="P142" i="3"/>
  <c r="P178" i="3"/>
  <c r="P169" i="3"/>
  <c r="P175" i="3"/>
  <c r="P176" i="3"/>
  <c r="P173" i="3"/>
  <c r="P177" i="3"/>
  <c r="P174" i="3"/>
  <c r="P180" i="3"/>
  <c r="P179" i="3"/>
  <c r="P229" i="3"/>
  <c r="P171" i="3"/>
  <c r="P172" i="3"/>
  <c r="Q126" i="5" l="1"/>
  <c r="Q72" i="5"/>
  <c r="Q127" i="7" s="1"/>
  <c r="Q99" i="5"/>
  <c r="Q33" i="5"/>
  <c r="Q133" i="5"/>
  <c r="Q79" i="5"/>
  <c r="Q134" i="7" s="1"/>
  <c r="Q106" i="5"/>
  <c r="Q43" i="5"/>
  <c r="Q77" i="5" l="1"/>
  <c r="Q132" i="7" s="1"/>
  <c r="Q131" i="5"/>
  <c r="Q49" i="3"/>
  <c r="Q104" i="5"/>
  <c r="Q70" i="5"/>
  <c r="Q125" i="7" s="1"/>
  <c r="Q124" i="5"/>
  <c r="Q38" i="3"/>
  <c r="Q97" i="5"/>
  <c r="Q127" i="6"/>
  <c r="Q73" i="6"/>
  <c r="Q215" i="7" s="1"/>
  <c r="Q100" i="6"/>
  <c r="Q34" i="6"/>
  <c r="Q139" i="5" l="1"/>
  <c r="Q85" i="5"/>
  <c r="Q140" i="7" s="1"/>
  <c r="Q112" i="5"/>
  <c r="Q201" i="3"/>
  <c r="Q190" i="3"/>
  <c r="Q71" i="6"/>
  <c r="Q213" i="7" s="1"/>
  <c r="Q125" i="6"/>
  <c r="Q79" i="3"/>
  <c r="Q98" i="6"/>
  <c r="Q120" i="6"/>
  <c r="Q66" i="6"/>
  <c r="Q208" i="7" s="1"/>
  <c r="Q93" i="6"/>
  <c r="Q27" i="6"/>
  <c r="Q113" i="6"/>
  <c r="Q59" i="6"/>
  <c r="Q201" i="7" s="1"/>
  <c r="Q86" i="6"/>
  <c r="Q20" i="6"/>
  <c r="Q119" i="5"/>
  <c r="Q65" i="5"/>
  <c r="Q120" i="7" s="1"/>
  <c r="Q92" i="5"/>
  <c r="Q21" i="5"/>
  <c r="Q63" i="5" l="1"/>
  <c r="Q118" i="7" s="1"/>
  <c r="Q117" i="5"/>
  <c r="Q37" i="3"/>
  <c r="Q90" i="5"/>
  <c r="Q18" i="5"/>
  <c r="Q231" i="3"/>
  <c r="Q118" i="6"/>
  <c r="Q68" i="3"/>
  <c r="Q64" i="6"/>
  <c r="Q206" i="7" s="1"/>
  <c r="Q91" i="6"/>
  <c r="Q18" i="6"/>
  <c r="Q111" i="6"/>
  <c r="Q67" i="3"/>
  <c r="Q57" i="6"/>
  <c r="Q199" i="7" s="1"/>
  <c r="Q84" i="6"/>
  <c r="Q219" i="3" l="1"/>
  <c r="Q65" i="3"/>
  <c r="Q220" i="3"/>
  <c r="Q189" i="3"/>
  <c r="Q35" i="3"/>
  <c r="Q61" i="5"/>
  <c r="Q88" i="5"/>
  <c r="Q55" i="6"/>
  <c r="Q82" i="6"/>
  <c r="Q64" i="3" l="1"/>
  <c r="Q217" i="3"/>
  <c r="Q187" i="3"/>
  <c r="Q34" i="3"/>
  <c r="Q133" i="6"/>
  <c r="Q79" i="6"/>
  <c r="Q221" i="7" s="1"/>
  <c r="Q106" i="6"/>
  <c r="Q157" i="3" l="1"/>
  <c r="Q40" i="6"/>
  <c r="Q132" i="6"/>
  <c r="Q78" i="6"/>
  <c r="Q220" i="7" s="1"/>
  <c r="Q105" i="6"/>
  <c r="Q165" i="3"/>
  <c r="Q168" i="3"/>
  <c r="Q163" i="3"/>
  <c r="Q161" i="3"/>
  <c r="Q166" i="3"/>
  <c r="Q156" i="3"/>
  <c r="Q167" i="3"/>
  <c r="Q158" i="3"/>
  <c r="Q216" i="3"/>
  <c r="Q159" i="3"/>
  <c r="Q160" i="3"/>
  <c r="Q134" i="3"/>
  <c r="Q133" i="3"/>
  <c r="Q137" i="3"/>
  <c r="Q138" i="3"/>
  <c r="Q186" i="3"/>
  <c r="Q135" i="3"/>
  <c r="Q126" i="3"/>
  <c r="Q131" i="3"/>
  <c r="Q132" i="3"/>
  <c r="Q136" i="3"/>
  <c r="Q128" i="3"/>
  <c r="Q130" i="3"/>
  <c r="Q129" i="3"/>
  <c r="Q52" i="5"/>
  <c r="Q84" i="5"/>
  <c r="Q139" i="7" s="1"/>
  <c r="Q138" i="5"/>
  <c r="Q111" i="5"/>
  <c r="Q127" i="3"/>
  <c r="Q83" i="5" l="1"/>
  <c r="Q138" i="7" s="1"/>
  <c r="Q137" i="5"/>
  <c r="Q50" i="3"/>
  <c r="Q110" i="5"/>
  <c r="Q42" i="5"/>
  <c r="Q77" i="6"/>
  <c r="Q219" i="7" s="1"/>
  <c r="Q131" i="6"/>
  <c r="Q80" i="3"/>
  <c r="Q104" i="6"/>
  <c r="Q33" i="6"/>
  <c r="Q232" i="3" l="1"/>
  <c r="Q78" i="3"/>
  <c r="Q202" i="3"/>
  <c r="Q48" i="3"/>
  <c r="S55" i="7"/>
  <c r="S134" i="4"/>
  <c r="Q17" i="5"/>
  <c r="Q76" i="5"/>
  <c r="Q103" i="5"/>
  <c r="Q70" i="6"/>
  <c r="Q97" i="6"/>
  <c r="Q17" i="6"/>
  <c r="Q157" i="5" l="1"/>
  <c r="Q141" i="5"/>
  <c r="Q60" i="5"/>
  <c r="Q150" i="5"/>
  <c r="Q156" i="5"/>
  <c r="Q154" i="5"/>
  <c r="Q163" i="5"/>
  <c r="Q161" i="5"/>
  <c r="Q147" i="5"/>
  <c r="Q162" i="5"/>
  <c r="Q155" i="5"/>
  <c r="Q148" i="5"/>
  <c r="Q143" i="5"/>
  <c r="Q152" i="5"/>
  <c r="Q159" i="5"/>
  <c r="Q149" i="5"/>
  <c r="Q145" i="5"/>
  <c r="Q160" i="5"/>
  <c r="Q153" i="5"/>
  <c r="Q151" i="5"/>
  <c r="Q158" i="5"/>
  <c r="Q166" i="5"/>
  <c r="Q146" i="5"/>
  <c r="Q144" i="5"/>
  <c r="Q142" i="5"/>
  <c r="Q165" i="5"/>
  <c r="Q164" i="5"/>
  <c r="Q200" i="3"/>
  <c r="Q47" i="3"/>
  <c r="Q140" i="3" s="1"/>
  <c r="Q54" i="6"/>
  <c r="Q135" i="6"/>
  <c r="Q148" i="6"/>
  <c r="Q155" i="6"/>
  <c r="Q141" i="6"/>
  <c r="Q156" i="6"/>
  <c r="Q149" i="6"/>
  <c r="Q142" i="6"/>
  <c r="Q137" i="6"/>
  <c r="Q153" i="6"/>
  <c r="Q146" i="6"/>
  <c r="Q143" i="6"/>
  <c r="Q139" i="6"/>
  <c r="Q154" i="6"/>
  <c r="Q147" i="6"/>
  <c r="Q152" i="6"/>
  <c r="Q140" i="6"/>
  <c r="Q145" i="6"/>
  <c r="Q138" i="6"/>
  <c r="Q136" i="6"/>
  <c r="Q160" i="6"/>
  <c r="Q159" i="6"/>
  <c r="Q158" i="6"/>
  <c r="Q77" i="3"/>
  <c r="Q230" i="3"/>
  <c r="S53" i="7"/>
  <c r="S127" i="4"/>
  <c r="Q151" i="6"/>
  <c r="Q170" i="3" l="1"/>
  <c r="S46" i="7"/>
  <c r="S111" i="4"/>
  <c r="S30" i="7" s="1"/>
  <c r="Q144" i="3"/>
  <c r="Q147" i="3"/>
  <c r="Q150" i="3"/>
  <c r="Q199" i="3"/>
  <c r="Q146" i="3"/>
  <c r="Q143" i="3"/>
  <c r="Q149" i="3"/>
  <c r="Q148" i="3"/>
  <c r="Q139" i="3"/>
  <c r="Q145" i="3"/>
  <c r="Q141" i="3"/>
  <c r="Q142" i="3"/>
  <c r="Q174" i="3"/>
  <c r="Q180" i="3"/>
  <c r="Q179" i="3"/>
  <c r="Q178" i="3"/>
  <c r="Q169" i="3"/>
  <c r="Q175" i="3"/>
  <c r="Q176" i="3"/>
  <c r="Q177" i="3"/>
  <c r="Q173" i="3"/>
  <c r="Q229" i="3"/>
  <c r="Q171" i="3"/>
  <c r="Q172" i="3"/>
  <c r="R133" i="5" l="1"/>
  <c r="R79" i="5"/>
  <c r="R134" i="7" s="1"/>
  <c r="R106" i="5"/>
  <c r="R43" i="5"/>
  <c r="R127" i="6" l="1"/>
  <c r="R73" i="6"/>
  <c r="R215" i="7" s="1"/>
  <c r="R100" i="6"/>
  <c r="R34" i="6"/>
  <c r="R131" i="5"/>
  <c r="R77" i="5"/>
  <c r="R132" i="7" s="1"/>
  <c r="R49" i="3"/>
  <c r="R104" i="5"/>
  <c r="R85" i="5"/>
  <c r="R140" i="7" s="1"/>
  <c r="R139" i="5"/>
  <c r="R112" i="5"/>
  <c r="R72" i="5"/>
  <c r="R127" i="7" s="1"/>
  <c r="R126" i="5"/>
  <c r="R99" i="5"/>
  <c r="R33" i="5"/>
  <c r="R70" i="5" l="1"/>
  <c r="R125" i="7" s="1"/>
  <c r="R38" i="3"/>
  <c r="R124" i="5"/>
  <c r="R97" i="5"/>
  <c r="R119" i="5"/>
  <c r="R65" i="5"/>
  <c r="R120" i="7" s="1"/>
  <c r="R92" i="5"/>
  <c r="R21" i="5"/>
  <c r="R120" i="6"/>
  <c r="R66" i="6"/>
  <c r="R208" i="7" s="1"/>
  <c r="R93" i="6"/>
  <c r="R27" i="6"/>
  <c r="R113" i="6"/>
  <c r="R59" i="6"/>
  <c r="R201" i="7" s="1"/>
  <c r="R86" i="6"/>
  <c r="R20" i="6"/>
  <c r="R71" i="6"/>
  <c r="R213" i="7" s="1"/>
  <c r="R125" i="6"/>
  <c r="R79" i="3"/>
  <c r="R98" i="6"/>
  <c r="R201" i="3"/>
  <c r="R64" i="6" l="1"/>
  <c r="R206" i="7" s="1"/>
  <c r="R118" i="6"/>
  <c r="R68" i="3"/>
  <c r="R91" i="6"/>
  <c r="R57" i="6"/>
  <c r="R199" i="7" s="1"/>
  <c r="R111" i="6"/>
  <c r="R67" i="3"/>
  <c r="R84" i="6"/>
  <c r="R18" i="6"/>
  <c r="R117" i="5"/>
  <c r="R63" i="5"/>
  <c r="R118" i="7" s="1"/>
  <c r="R37" i="3"/>
  <c r="R90" i="5"/>
  <c r="R18" i="5"/>
  <c r="R190" i="3"/>
  <c r="R231" i="3"/>
  <c r="R220" i="3" l="1"/>
  <c r="R55" i="6"/>
  <c r="R82" i="6"/>
  <c r="R61" i="5"/>
  <c r="R88" i="5"/>
  <c r="R219" i="3"/>
  <c r="R65" i="3"/>
  <c r="R189" i="3"/>
  <c r="R35" i="3"/>
  <c r="R52" i="5" l="1"/>
  <c r="R84" i="5"/>
  <c r="R139" i="7" s="1"/>
  <c r="R138" i="5"/>
  <c r="R111" i="5"/>
  <c r="R64" i="3"/>
  <c r="R217" i="3"/>
  <c r="R133" i="6"/>
  <c r="R79" i="6"/>
  <c r="R221" i="7" s="1"/>
  <c r="R106" i="6"/>
  <c r="R187" i="3"/>
  <c r="R34" i="3"/>
  <c r="R127" i="3" s="1"/>
  <c r="R157" i="3" l="1"/>
  <c r="R40" i="6"/>
  <c r="R132" i="6"/>
  <c r="R78" i="6"/>
  <c r="R220" i="7" s="1"/>
  <c r="R105" i="6"/>
  <c r="R126" i="3"/>
  <c r="R131" i="3"/>
  <c r="R135" i="3"/>
  <c r="R186" i="3"/>
  <c r="R136" i="3"/>
  <c r="R137" i="3"/>
  <c r="R132" i="3"/>
  <c r="R138" i="3"/>
  <c r="R133" i="3"/>
  <c r="R134" i="3"/>
  <c r="R128" i="3"/>
  <c r="R130" i="3"/>
  <c r="R129" i="3"/>
  <c r="R216" i="3"/>
  <c r="R163" i="3"/>
  <c r="R161" i="3"/>
  <c r="R166" i="3"/>
  <c r="R156" i="3"/>
  <c r="R167" i="3"/>
  <c r="R168" i="3"/>
  <c r="R165" i="3"/>
  <c r="R158" i="3"/>
  <c r="R160" i="3"/>
  <c r="R159" i="3"/>
  <c r="R137" i="5"/>
  <c r="R83" i="5"/>
  <c r="R138" i="7" s="1"/>
  <c r="R50" i="3"/>
  <c r="R110" i="5"/>
  <c r="R42" i="5"/>
  <c r="R76" i="5" l="1"/>
  <c r="R103" i="5"/>
  <c r="R17" i="5"/>
  <c r="R202" i="3"/>
  <c r="R48" i="3"/>
  <c r="R77" i="6"/>
  <c r="R219" i="7" s="1"/>
  <c r="R131" i="6"/>
  <c r="R80" i="3"/>
  <c r="R104" i="6"/>
  <c r="R33" i="6"/>
  <c r="R142" i="5" l="1"/>
  <c r="R141" i="5"/>
  <c r="R60" i="5"/>
  <c r="R156" i="5"/>
  <c r="R150" i="5"/>
  <c r="R163" i="5"/>
  <c r="R154" i="5"/>
  <c r="R161" i="5"/>
  <c r="R147" i="5"/>
  <c r="R152" i="5"/>
  <c r="R143" i="5"/>
  <c r="R159" i="5"/>
  <c r="R162" i="5"/>
  <c r="R148" i="5"/>
  <c r="R149" i="5"/>
  <c r="R155" i="5"/>
  <c r="R145" i="5"/>
  <c r="R160" i="5"/>
  <c r="R166" i="5"/>
  <c r="R158" i="5"/>
  <c r="R153" i="5"/>
  <c r="R146" i="5"/>
  <c r="R151" i="5"/>
  <c r="R144" i="5"/>
  <c r="R165" i="5"/>
  <c r="R164" i="5"/>
  <c r="R17" i="6"/>
  <c r="R151" i="6" s="1"/>
  <c r="R70" i="6"/>
  <c r="R97" i="6"/>
  <c r="R157" i="5"/>
  <c r="R232" i="3"/>
  <c r="R78" i="3"/>
  <c r="R200" i="3"/>
  <c r="R47" i="3"/>
  <c r="R136" i="6" l="1"/>
  <c r="R135" i="6"/>
  <c r="R54" i="6"/>
  <c r="R148" i="6"/>
  <c r="R155" i="6"/>
  <c r="R141" i="6"/>
  <c r="R156" i="6"/>
  <c r="R137" i="6"/>
  <c r="R146" i="6"/>
  <c r="R153" i="6"/>
  <c r="R142" i="6"/>
  <c r="R149" i="6"/>
  <c r="R143" i="6"/>
  <c r="R139" i="6"/>
  <c r="R154" i="6"/>
  <c r="R140" i="6"/>
  <c r="R147" i="6"/>
  <c r="R152" i="6"/>
  <c r="R138" i="6"/>
  <c r="R145" i="6"/>
  <c r="R160" i="6"/>
  <c r="R159" i="6"/>
  <c r="R158" i="6"/>
  <c r="R77" i="3"/>
  <c r="R230" i="3"/>
  <c r="R143" i="3"/>
  <c r="R145" i="3"/>
  <c r="R148" i="3"/>
  <c r="R144" i="3"/>
  <c r="R149" i="3"/>
  <c r="R139" i="3"/>
  <c r="R150" i="3"/>
  <c r="R199" i="3"/>
  <c r="R147" i="3"/>
  <c r="R146" i="3"/>
  <c r="R141" i="3"/>
  <c r="R142" i="3"/>
  <c r="R140" i="3"/>
  <c r="R174" i="3" l="1"/>
  <c r="R178" i="3"/>
  <c r="R169" i="3"/>
  <c r="R175" i="3"/>
  <c r="R176" i="3"/>
  <c r="R177" i="3"/>
  <c r="R173" i="3"/>
  <c r="R180" i="3"/>
  <c r="R179" i="3"/>
  <c r="R229" i="3"/>
  <c r="R171" i="3"/>
  <c r="R172" i="3"/>
  <c r="R170" i="3"/>
  <c r="T55" i="7" l="1"/>
  <c r="T134" i="4"/>
  <c r="T53" i="7" l="1"/>
  <c r="T127" i="4"/>
  <c r="T46" i="7" l="1"/>
  <c r="T111" i="4"/>
  <c r="T30" i="7" s="1"/>
  <c r="S126" i="5" l="1"/>
  <c r="S72" i="5"/>
  <c r="S127" i="7" s="1"/>
  <c r="S99" i="5"/>
  <c r="S33" i="5"/>
  <c r="S70" i="5" l="1"/>
  <c r="S125" i="7" s="1"/>
  <c r="S124" i="5"/>
  <c r="S38" i="3"/>
  <c r="S97" i="5"/>
  <c r="S127" i="6"/>
  <c r="S73" i="6"/>
  <c r="S215" i="7" s="1"/>
  <c r="S100" i="6"/>
  <c r="S34" i="6"/>
  <c r="S133" i="5"/>
  <c r="S79" i="5"/>
  <c r="S134" i="7" s="1"/>
  <c r="S106" i="5"/>
  <c r="S43" i="5"/>
  <c r="S190" i="3" l="1"/>
  <c r="S125" i="6"/>
  <c r="S79" i="3"/>
  <c r="S71" i="6"/>
  <c r="S213" i="7" s="1"/>
  <c r="S98" i="6"/>
  <c r="S131" i="5"/>
  <c r="S77" i="5"/>
  <c r="S132" i="7" s="1"/>
  <c r="S49" i="3"/>
  <c r="S104" i="5"/>
  <c r="S120" i="6"/>
  <c r="S66" i="6"/>
  <c r="S208" i="7" s="1"/>
  <c r="S93" i="6"/>
  <c r="S27" i="6"/>
  <c r="S201" i="3" l="1"/>
  <c r="S231" i="3"/>
  <c r="S85" i="5"/>
  <c r="S140" i="7" s="1"/>
  <c r="S139" i="5"/>
  <c r="S112" i="5"/>
  <c r="S118" i="6"/>
  <c r="S68" i="3"/>
  <c r="S64" i="6"/>
  <c r="S206" i="7" s="1"/>
  <c r="S91" i="6"/>
  <c r="S113" i="6"/>
  <c r="S59" i="6"/>
  <c r="S201" i="7" s="1"/>
  <c r="S86" i="6"/>
  <c r="S20" i="6"/>
  <c r="S65" i="5"/>
  <c r="S120" i="7" s="1"/>
  <c r="S119" i="5"/>
  <c r="S92" i="5"/>
  <c r="S21" i="5"/>
  <c r="S220" i="3" l="1"/>
  <c r="S18" i="6"/>
  <c r="S111" i="6"/>
  <c r="S67" i="3"/>
  <c r="S57" i="6"/>
  <c r="S199" i="7" s="1"/>
  <c r="S84" i="6"/>
  <c r="S63" i="5"/>
  <c r="S118" i="7" s="1"/>
  <c r="S117" i="5"/>
  <c r="S37" i="3"/>
  <c r="S90" i="5"/>
  <c r="S18" i="5"/>
  <c r="S61" i="5" l="1"/>
  <c r="S88" i="5"/>
  <c r="S189" i="3"/>
  <c r="S35" i="3"/>
  <c r="S65" i="3"/>
  <c r="S219" i="3"/>
  <c r="S55" i="6"/>
  <c r="S82" i="6"/>
  <c r="S133" i="6" l="1"/>
  <c r="S79" i="6"/>
  <c r="S221" i="7" s="1"/>
  <c r="S106" i="6"/>
  <c r="S64" i="3"/>
  <c r="S217" i="3"/>
  <c r="S187" i="3"/>
  <c r="S34" i="3"/>
  <c r="S127" i="3" s="1"/>
  <c r="S157" i="3" l="1"/>
  <c r="S138" i="3"/>
  <c r="S186" i="3"/>
  <c r="S135" i="3"/>
  <c r="S132" i="3"/>
  <c r="S137" i="3"/>
  <c r="S133" i="3"/>
  <c r="S136" i="3"/>
  <c r="S134" i="3"/>
  <c r="S131" i="3"/>
  <c r="S126" i="3"/>
  <c r="S128" i="3"/>
  <c r="S130" i="3"/>
  <c r="S129" i="3"/>
  <c r="S168" i="3"/>
  <c r="S163" i="3"/>
  <c r="S156" i="3"/>
  <c r="S161" i="3"/>
  <c r="S166" i="3"/>
  <c r="S165" i="3"/>
  <c r="S167" i="3"/>
  <c r="S158" i="3"/>
  <c r="S216" i="3"/>
  <c r="S160" i="3"/>
  <c r="S159" i="3"/>
  <c r="S52" i="5" l="1"/>
  <c r="S138" i="5"/>
  <c r="S84" i="5"/>
  <c r="S139" i="7" s="1"/>
  <c r="S111" i="5"/>
  <c r="S40" i="6"/>
  <c r="S132" i="6"/>
  <c r="S78" i="6"/>
  <c r="S220" i="7" s="1"/>
  <c r="S105" i="6"/>
  <c r="S131" i="6" l="1"/>
  <c r="S80" i="3"/>
  <c r="S77" i="6"/>
  <c r="S219" i="7" s="1"/>
  <c r="S104" i="6"/>
  <c r="S33" i="6"/>
  <c r="S137" i="5"/>
  <c r="S83" i="5"/>
  <c r="S138" i="7" s="1"/>
  <c r="S50" i="3"/>
  <c r="S110" i="5"/>
  <c r="S42" i="5"/>
  <c r="S17" i="6" l="1"/>
  <c r="S151" i="6"/>
  <c r="S70" i="6"/>
  <c r="S97" i="6"/>
  <c r="S76" i="5"/>
  <c r="S103" i="5"/>
  <c r="S17" i="5"/>
  <c r="S232" i="3"/>
  <c r="S78" i="3"/>
  <c r="S202" i="3"/>
  <c r="S48" i="3"/>
  <c r="S162" i="5" l="1"/>
  <c r="S141" i="5"/>
  <c r="S60" i="5"/>
  <c r="S156" i="5"/>
  <c r="S150" i="5"/>
  <c r="S163" i="5"/>
  <c r="S154" i="5"/>
  <c r="S161" i="5"/>
  <c r="S147" i="5"/>
  <c r="S152" i="5"/>
  <c r="S159" i="5"/>
  <c r="S143" i="5"/>
  <c r="S155" i="5"/>
  <c r="S149" i="5"/>
  <c r="S148" i="5"/>
  <c r="S145" i="5"/>
  <c r="S153" i="5"/>
  <c r="S151" i="5"/>
  <c r="S160" i="5"/>
  <c r="S158" i="5"/>
  <c r="S166" i="5"/>
  <c r="S146" i="5"/>
  <c r="S144" i="5"/>
  <c r="S142" i="5"/>
  <c r="S165" i="5"/>
  <c r="S164" i="5"/>
  <c r="S77" i="3"/>
  <c r="S230" i="3"/>
  <c r="S157" i="5"/>
  <c r="S200" i="3"/>
  <c r="S47" i="3"/>
  <c r="S140" i="3" s="1"/>
  <c r="S135" i="6"/>
  <c r="S148" i="6"/>
  <c r="S155" i="6"/>
  <c r="S54" i="6"/>
  <c r="S137" i="6"/>
  <c r="S141" i="6"/>
  <c r="S153" i="6"/>
  <c r="S146" i="6"/>
  <c r="S156" i="6"/>
  <c r="S149" i="6"/>
  <c r="S143" i="6"/>
  <c r="S139" i="6"/>
  <c r="S142" i="6"/>
  <c r="S154" i="6"/>
  <c r="S147" i="6"/>
  <c r="S152" i="6"/>
  <c r="S140" i="6"/>
  <c r="S145" i="6"/>
  <c r="S138" i="6"/>
  <c r="S136" i="6"/>
  <c r="S160" i="6"/>
  <c r="S159" i="6"/>
  <c r="S158" i="6"/>
  <c r="S170" i="3" l="1"/>
  <c r="S147" i="3"/>
  <c r="S144" i="3"/>
  <c r="S150" i="3"/>
  <c r="S199" i="3"/>
  <c r="S139" i="3"/>
  <c r="S148" i="3"/>
  <c r="S149" i="3"/>
  <c r="S146" i="3"/>
  <c r="S145" i="3"/>
  <c r="S143" i="3"/>
  <c r="S141" i="3"/>
  <c r="S142" i="3"/>
  <c r="S177" i="3"/>
  <c r="S176" i="3"/>
  <c r="S174" i="3"/>
  <c r="S173" i="3"/>
  <c r="S180" i="3"/>
  <c r="S179" i="3"/>
  <c r="S178" i="3"/>
  <c r="S169" i="3"/>
  <c r="S175" i="3"/>
  <c r="S229" i="3"/>
  <c r="S171" i="3"/>
  <c r="S172" i="3"/>
  <c r="U55" i="7" l="1"/>
  <c r="U134" i="4"/>
  <c r="U53" i="7" l="1"/>
  <c r="U127" i="4"/>
  <c r="U46" i="7" l="1"/>
  <c r="U111" i="4"/>
  <c r="U30" i="7" s="1"/>
  <c r="T133" i="5" l="1"/>
  <c r="T79" i="5"/>
  <c r="T134" i="7" s="1"/>
  <c r="T106" i="5"/>
  <c r="T43" i="5"/>
  <c r="T126" i="5"/>
  <c r="T72" i="5"/>
  <c r="T127" i="7" s="1"/>
  <c r="T99" i="5"/>
  <c r="T33" i="5"/>
  <c r="T70" i="5" l="1"/>
  <c r="T125" i="7" s="1"/>
  <c r="T124" i="5"/>
  <c r="T38" i="3"/>
  <c r="T97" i="5"/>
  <c r="T131" i="5"/>
  <c r="T77" i="5"/>
  <c r="T132" i="7" s="1"/>
  <c r="T49" i="3"/>
  <c r="T104" i="5"/>
  <c r="T120" i="6" l="1"/>
  <c r="T66" i="6"/>
  <c r="T208" i="7" s="1"/>
  <c r="T93" i="6"/>
  <c r="T27" i="6"/>
  <c r="T127" i="6"/>
  <c r="T73" i="6"/>
  <c r="T215" i="7" s="1"/>
  <c r="T100" i="6"/>
  <c r="T34" i="6"/>
  <c r="T201" i="3"/>
  <c r="T190" i="3"/>
  <c r="T119" i="5"/>
  <c r="T65" i="5"/>
  <c r="T120" i="7" s="1"/>
  <c r="T92" i="5"/>
  <c r="T21" i="5"/>
  <c r="T139" i="5"/>
  <c r="T85" i="5"/>
  <c r="T140" i="7" s="1"/>
  <c r="T112" i="5"/>
  <c r="T118" i="6" l="1"/>
  <c r="T68" i="3"/>
  <c r="T64" i="6"/>
  <c r="T206" i="7" s="1"/>
  <c r="T91" i="6"/>
  <c r="T125" i="6"/>
  <c r="T79" i="3"/>
  <c r="T71" i="6"/>
  <c r="T213" i="7" s="1"/>
  <c r="T98" i="6"/>
  <c r="T113" i="6"/>
  <c r="T59" i="6"/>
  <c r="T201" i="7" s="1"/>
  <c r="T86" i="6"/>
  <c r="T20" i="6"/>
  <c r="T63" i="5"/>
  <c r="T118" i="7" s="1"/>
  <c r="T117" i="5"/>
  <c r="T37" i="3"/>
  <c r="T90" i="5"/>
  <c r="T18" i="5"/>
  <c r="T61" i="5" l="1"/>
  <c r="T88" i="5"/>
  <c r="T189" i="3"/>
  <c r="T35" i="3"/>
  <c r="T220" i="3"/>
  <c r="T231" i="3"/>
  <c r="T111" i="6"/>
  <c r="T67" i="3"/>
  <c r="T57" i="6"/>
  <c r="T199" i="7" s="1"/>
  <c r="T84" i="6"/>
  <c r="T18" i="6"/>
  <c r="T133" i="6"/>
  <c r="T79" i="6"/>
  <c r="T221" i="7" s="1"/>
  <c r="T106" i="6"/>
  <c r="T55" i="6" l="1"/>
  <c r="T82" i="6"/>
  <c r="T187" i="3"/>
  <c r="T34" i="3"/>
  <c r="T127" i="3" s="1"/>
  <c r="T219" i="3"/>
  <c r="T65" i="3"/>
  <c r="T40" i="6" l="1"/>
  <c r="T132" i="6"/>
  <c r="T78" i="6"/>
  <c r="T220" i="7" s="1"/>
  <c r="T105" i="6"/>
  <c r="T84" i="5"/>
  <c r="T139" i="7" s="1"/>
  <c r="T52" i="5"/>
  <c r="T138" i="5"/>
  <c r="T111" i="5"/>
  <c r="T135" i="3"/>
  <c r="T133" i="3"/>
  <c r="T138" i="3"/>
  <c r="T186" i="3"/>
  <c r="T131" i="3"/>
  <c r="T126" i="3"/>
  <c r="T132" i="3"/>
  <c r="T136" i="3"/>
  <c r="T134" i="3"/>
  <c r="T137" i="3"/>
  <c r="T128" i="3"/>
  <c r="T130" i="3"/>
  <c r="T129" i="3"/>
  <c r="T64" i="3"/>
  <c r="T217" i="3"/>
  <c r="T165" i="3" l="1"/>
  <c r="T166" i="3"/>
  <c r="T156" i="3"/>
  <c r="T167" i="3"/>
  <c r="T168" i="3"/>
  <c r="T163" i="3"/>
  <c r="T161" i="3"/>
  <c r="T158" i="3"/>
  <c r="T216" i="3"/>
  <c r="T160" i="3"/>
  <c r="T159" i="3"/>
  <c r="T42" i="5"/>
  <c r="T137" i="5"/>
  <c r="T83" i="5"/>
  <c r="T138" i="7" s="1"/>
  <c r="T50" i="3"/>
  <c r="T110" i="5"/>
  <c r="T157" i="3"/>
  <c r="T131" i="6"/>
  <c r="T80" i="3"/>
  <c r="T77" i="6"/>
  <c r="T219" i="7" s="1"/>
  <c r="T104" i="6"/>
  <c r="T33" i="6"/>
  <c r="T76" i="5" l="1"/>
  <c r="T103" i="5"/>
  <c r="T17" i="5"/>
  <c r="T232" i="3"/>
  <c r="T78" i="3"/>
  <c r="T202" i="3"/>
  <c r="T48" i="3"/>
  <c r="T70" i="6"/>
  <c r="T97" i="6"/>
  <c r="T17" i="6"/>
  <c r="T200" i="3" l="1"/>
  <c r="T47" i="3"/>
  <c r="T140" i="3" s="1"/>
  <c r="T151" i="5"/>
  <c r="T141" i="5"/>
  <c r="T60" i="5"/>
  <c r="T156" i="5"/>
  <c r="T150" i="5"/>
  <c r="T163" i="5"/>
  <c r="T161" i="5"/>
  <c r="T154" i="5"/>
  <c r="T147" i="5"/>
  <c r="T159" i="5"/>
  <c r="T143" i="5"/>
  <c r="T162" i="5"/>
  <c r="T152" i="5"/>
  <c r="T155" i="5"/>
  <c r="T148" i="5"/>
  <c r="T149" i="5"/>
  <c r="T145" i="5"/>
  <c r="T153" i="5"/>
  <c r="T160" i="5"/>
  <c r="T158" i="5"/>
  <c r="T166" i="5"/>
  <c r="T146" i="5"/>
  <c r="T144" i="5"/>
  <c r="T142" i="5"/>
  <c r="T165" i="5"/>
  <c r="T164" i="5"/>
  <c r="T157" i="5"/>
  <c r="T77" i="3"/>
  <c r="T230" i="3"/>
  <c r="T151" i="6"/>
  <c r="T135" i="6"/>
  <c r="T54" i="6"/>
  <c r="T148" i="6"/>
  <c r="T155" i="6"/>
  <c r="T156" i="6"/>
  <c r="T141" i="6"/>
  <c r="T137" i="6"/>
  <c r="T153" i="6"/>
  <c r="T149" i="6"/>
  <c r="T146" i="6"/>
  <c r="T142" i="6"/>
  <c r="T143" i="6"/>
  <c r="T139" i="6"/>
  <c r="T147" i="6"/>
  <c r="T154" i="6"/>
  <c r="T152" i="6"/>
  <c r="T145" i="6"/>
  <c r="T140" i="6"/>
  <c r="T160" i="6"/>
  <c r="T138" i="6"/>
  <c r="T136" i="6"/>
  <c r="T159" i="6"/>
  <c r="T158" i="6"/>
  <c r="T170" i="3" l="1"/>
  <c r="T177" i="3"/>
  <c r="T173" i="3"/>
  <c r="T176" i="3"/>
  <c r="T179" i="3"/>
  <c r="T180" i="3"/>
  <c r="T178" i="3"/>
  <c r="T174" i="3"/>
  <c r="T169" i="3"/>
  <c r="T175" i="3"/>
  <c r="T229" i="3"/>
  <c r="T171" i="3"/>
  <c r="T172" i="3"/>
  <c r="T144" i="3"/>
  <c r="T150" i="3"/>
  <c r="T199" i="3"/>
  <c r="T149" i="3"/>
  <c r="T148" i="3"/>
  <c r="T139" i="3"/>
  <c r="T145" i="3"/>
  <c r="T146" i="3"/>
  <c r="T143" i="3"/>
  <c r="T147" i="3"/>
  <c r="T141" i="3"/>
  <c r="T142" i="3"/>
  <c r="V55" i="7" l="1"/>
  <c r="V134" i="4"/>
  <c r="V53" i="7" l="1"/>
  <c r="V127" i="4"/>
  <c r="V46" i="7" l="1"/>
  <c r="V111" i="4"/>
  <c r="V30" i="7" s="1"/>
  <c r="U127" i="6" l="1"/>
  <c r="U73" i="6"/>
  <c r="U215" i="7" s="1"/>
  <c r="U100" i="6"/>
  <c r="U34" i="6"/>
  <c r="U79" i="5"/>
  <c r="U134" i="7" s="1"/>
  <c r="U133" i="5"/>
  <c r="U106" i="5"/>
  <c r="U43" i="5"/>
  <c r="U72" i="5"/>
  <c r="U127" i="7" s="1"/>
  <c r="U126" i="5"/>
  <c r="U99" i="5"/>
  <c r="U33" i="5"/>
  <c r="U77" i="5" l="1"/>
  <c r="U132" i="7" s="1"/>
  <c r="U131" i="5"/>
  <c r="U49" i="3"/>
  <c r="U104" i="5"/>
  <c r="U139" i="5"/>
  <c r="U85" i="5"/>
  <c r="U140" i="7" s="1"/>
  <c r="U112" i="5"/>
  <c r="U70" i="5"/>
  <c r="U125" i="7" s="1"/>
  <c r="U124" i="5"/>
  <c r="U38" i="3"/>
  <c r="U97" i="5"/>
  <c r="U71" i="6"/>
  <c r="U213" i="7" s="1"/>
  <c r="U125" i="6"/>
  <c r="U79" i="3"/>
  <c r="U98" i="6"/>
  <c r="U201" i="3" l="1"/>
  <c r="U231" i="3"/>
  <c r="U65" i="5"/>
  <c r="U120" i="7" s="1"/>
  <c r="U119" i="5"/>
  <c r="U92" i="5"/>
  <c r="U21" i="5"/>
  <c r="U190" i="3"/>
  <c r="U120" i="6"/>
  <c r="U66" i="6"/>
  <c r="U208" i="7" s="1"/>
  <c r="U93" i="6"/>
  <c r="U27" i="6"/>
  <c r="U113" i="6"/>
  <c r="U59" i="6"/>
  <c r="U201" i="7" s="1"/>
  <c r="U86" i="6"/>
  <c r="U20" i="6"/>
  <c r="U111" i="6" l="1"/>
  <c r="U67" i="3"/>
  <c r="U57" i="6"/>
  <c r="U199" i="7" s="1"/>
  <c r="U84" i="6"/>
  <c r="U18" i="6"/>
  <c r="U63" i="5"/>
  <c r="U118" i="7" s="1"/>
  <c r="U117" i="5"/>
  <c r="U37" i="3"/>
  <c r="U90" i="5"/>
  <c r="U18" i="5"/>
  <c r="U64" i="6"/>
  <c r="U206" i="7" s="1"/>
  <c r="U118" i="6"/>
  <c r="U68" i="3"/>
  <c r="U91" i="6"/>
  <c r="U133" i="6" l="1"/>
  <c r="U79" i="6"/>
  <c r="U221" i="7" s="1"/>
  <c r="U106" i="6"/>
  <c r="U55" i="6"/>
  <c r="U82" i="6"/>
  <c r="U189" i="3"/>
  <c r="U35" i="3"/>
  <c r="U61" i="5"/>
  <c r="U88" i="5"/>
  <c r="U219" i="3"/>
  <c r="U65" i="3"/>
  <c r="U220" i="3"/>
  <c r="U64" i="3" l="1"/>
  <c r="U217" i="3"/>
  <c r="U187" i="3"/>
  <c r="U34" i="3"/>
  <c r="U127" i="3" s="1"/>
  <c r="U157" i="3" l="1"/>
  <c r="U138" i="3"/>
  <c r="U132" i="3"/>
  <c r="U134" i="3"/>
  <c r="U133" i="3"/>
  <c r="U135" i="3"/>
  <c r="U126" i="3"/>
  <c r="U131" i="3"/>
  <c r="U136" i="3"/>
  <c r="U186" i="3"/>
  <c r="U137" i="3"/>
  <c r="U128" i="3"/>
  <c r="U130" i="3"/>
  <c r="U129" i="3"/>
  <c r="U163" i="3"/>
  <c r="U168" i="3"/>
  <c r="U161" i="3"/>
  <c r="U165" i="3"/>
  <c r="U166" i="3"/>
  <c r="U156" i="3"/>
  <c r="U167" i="3"/>
  <c r="U216" i="3"/>
  <c r="U158" i="3"/>
  <c r="U160" i="3"/>
  <c r="U159" i="3"/>
  <c r="U52" i="5" l="1"/>
  <c r="U138" i="5"/>
  <c r="U84" i="5"/>
  <c r="U139" i="7" s="1"/>
  <c r="U111" i="5"/>
  <c r="U132" i="6"/>
  <c r="U40" i="6"/>
  <c r="U78" i="6"/>
  <c r="U220" i="7" s="1"/>
  <c r="U105" i="6"/>
  <c r="U83" i="5" l="1"/>
  <c r="U138" i="7" s="1"/>
  <c r="U50" i="3"/>
  <c r="U110" i="5"/>
  <c r="U137" i="5"/>
  <c r="U42" i="5"/>
  <c r="U131" i="6"/>
  <c r="U80" i="3"/>
  <c r="U77" i="6"/>
  <c r="U219" i="7" s="1"/>
  <c r="U104" i="6"/>
  <c r="U33" i="6"/>
  <c r="U70" i="6" l="1"/>
  <c r="U97" i="6"/>
  <c r="U17" i="6"/>
  <c r="U76" i="5"/>
  <c r="U103" i="5"/>
  <c r="U17" i="5"/>
  <c r="U157" i="5" s="1"/>
  <c r="U232" i="3"/>
  <c r="U78" i="3"/>
  <c r="U202" i="3"/>
  <c r="U48" i="3"/>
  <c r="U200" i="3" l="1"/>
  <c r="U47" i="3"/>
  <c r="U140" i="3"/>
  <c r="U77" i="3"/>
  <c r="U170" i="3"/>
  <c r="U230" i="3"/>
  <c r="U136" i="6"/>
  <c r="U135" i="6"/>
  <c r="U54" i="6"/>
  <c r="U148" i="6"/>
  <c r="U155" i="6"/>
  <c r="U141" i="6"/>
  <c r="U137" i="6"/>
  <c r="U153" i="6"/>
  <c r="U146" i="6"/>
  <c r="U139" i="6"/>
  <c r="U143" i="6"/>
  <c r="U156" i="6"/>
  <c r="U142" i="6"/>
  <c r="U149" i="6"/>
  <c r="U154" i="6"/>
  <c r="U152" i="6"/>
  <c r="U140" i="6"/>
  <c r="U147" i="6"/>
  <c r="U145" i="6"/>
  <c r="U138" i="6"/>
  <c r="U160" i="6"/>
  <c r="U159" i="6"/>
  <c r="U158" i="6"/>
  <c r="U60" i="5"/>
  <c r="U141" i="5"/>
  <c r="U156" i="5"/>
  <c r="U163" i="5"/>
  <c r="U150" i="5"/>
  <c r="U154" i="5"/>
  <c r="U161" i="5"/>
  <c r="U147" i="5"/>
  <c r="U152" i="5"/>
  <c r="U159" i="5"/>
  <c r="U143" i="5"/>
  <c r="U162" i="5"/>
  <c r="U149" i="5"/>
  <c r="U145" i="5"/>
  <c r="U148" i="5"/>
  <c r="U155" i="5"/>
  <c r="U153" i="5"/>
  <c r="U160" i="5"/>
  <c r="U151" i="5"/>
  <c r="U166" i="5"/>
  <c r="U158" i="5"/>
  <c r="U146" i="5"/>
  <c r="U144" i="5"/>
  <c r="U142" i="5"/>
  <c r="U165" i="5"/>
  <c r="U164" i="5"/>
  <c r="U151" i="6"/>
  <c r="U178" i="3" l="1"/>
  <c r="U169" i="3"/>
  <c r="U175" i="3"/>
  <c r="U176" i="3"/>
  <c r="U173" i="3"/>
  <c r="U177" i="3"/>
  <c r="U179" i="3"/>
  <c r="U174" i="3"/>
  <c r="U180" i="3"/>
  <c r="U229" i="3"/>
  <c r="U171" i="3"/>
  <c r="U172" i="3"/>
  <c r="U144" i="3"/>
  <c r="U150" i="3"/>
  <c r="U149" i="3"/>
  <c r="U148" i="3"/>
  <c r="U199" i="3"/>
  <c r="U139" i="3"/>
  <c r="U145" i="3"/>
  <c r="U147" i="3"/>
  <c r="U143" i="3"/>
  <c r="U146" i="3"/>
  <c r="U141" i="3"/>
  <c r="U142" i="3"/>
  <c r="W55" i="7" l="1"/>
  <c r="W134" i="4"/>
  <c r="W53" i="7" l="1"/>
  <c r="W127" i="4"/>
  <c r="W46" i="7" l="1"/>
  <c r="W111" i="4"/>
  <c r="W30" i="7" s="1"/>
  <c r="V127" i="6" l="1"/>
  <c r="V73" i="6"/>
  <c r="V215" i="7" s="1"/>
  <c r="V100" i="6"/>
  <c r="V34" i="6"/>
  <c r="V72" i="5"/>
  <c r="V127" i="7" s="1"/>
  <c r="V126" i="5"/>
  <c r="V99" i="5"/>
  <c r="V33" i="5"/>
  <c r="V79" i="5"/>
  <c r="V134" i="7" s="1"/>
  <c r="V133" i="5"/>
  <c r="V106" i="5"/>
  <c r="V43" i="5"/>
  <c r="V113" i="6" l="1"/>
  <c r="V59" i="6"/>
  <c r="V201" i="7" s="1"/>
  <c r="V86" i="6"/>
  <c r="V20" i="6"/>
  <c r="V125" i="6"/>
  <c r="V79" i="3"/>
  <c r="V71" i="6"/>
  <c r="V213" i="7" s="1"/>
  <c r="V98" i="6"/>
  <c r="V70" i="5"/>
  <c r="V125" i="7" s="1"/>
  <c r="V124" i="5"/>
  <c r="V38" i="3"/>
  <c r="V190" i="3" s="1"/>
  <c r="V97" i="5"/>
  <c r="V77" i="5"/>
  <c r="V132" i="7" s="1"/>
  <c r="V49" i="3"/>
  <c r="V131" i="5"/>
  <c r="V104" i="5"/>
  <c r="V139" i="5"/>
  <c r="V85" i="5"/>
  <c r="V140" i="7" s="1"/>
  <c r="V112" i="5"/>
  <c r="V65" i="5"/>
  <c r="V120" i="7" s="1"/>
  <c r="V119" i="5"/>
  <c r="V92" i="5"/>
  <c r="V21" i="5"/>
  <c r="V201" i="3" l="1"/>
  <c r="V231" i="3"/>
  <c r="V120" i="6"/>
  <c r="V66" i="6"/>
  <c r="V208" i="7" s="1"/>
  <c r="V93" i="6"/>
  <c r="V27" i="6"/>
  <c r="V18" i="6" s="1"/>
  <c r="V63" i="5"/>
  <c r="V118" i="7" s="1"/>
  <c r="V117" i="5"/>
  <c r="V37" i="3"/>
  <c r="V90" i="5"/>
  <c r="V18" i="5"/>
  <c r="V111" i="6"/>
  <c r="V67" i="3"/>
  <c r="V57" i="6"/>
  <c r="V199" i="7" s="1"/>
  <c r="V84" i="6"/>
  <c r="V61" i="5" l="1"/>
  <c r="V88" i="5"/>
  <c r="V64" i="6"/>
  <c r="V206" i="7" s="1"/>
  <c r="V118" i="6"/>
  <c r="V68" i="3"/>
  <c r="V91" i="6"/>
  <c r="V55" i="6"/>
  <c r="V82" i="6"/>
  <c r="V189" i="3"/>
  <c r="V35" i="3"/>
  <c r="V219" i="3"/>
  <c r="V133" i="6"/>
  <c r="V79" i="6"/>
  <c r="V221" i="7" s="1"/>
  <c r="V106" i="6"/>
  <c r="V187" i="3" l="1"/>
  <c r="V34" i="3"/>
  <c r="V127" i="3"/>
  <c r="V220" i="3"/>
  <c r="V65" i="3"/>
  <c r="V130" i="3" l="1"/>
  <c r="V135" i="3"/>
  <c r="V133" i="3"/>
  <c r="V131" i="3"/>
  <c r="V136" i="3"/>
  <c r="V134" i="3"/>
  <c r="V138" i="3"/>
  <c r="V132" i="3"/>
  <c r="V186" i="3"/>
  <c r="V126" i="3"/>
  <c r="V137" i="3"/>
  <c r="V128" i="3"/>
  <c r="V129" i="3"/>
  <c r="V64" i="3"/>
  <c r="V217" i="3"/>
  <c r="V157" i="3" l="1"/>
  <c r="V138" i="5"/>
  <c r="V84" i="5"/>
  <c r="V139" i="7" s="1"/>
  <c r="V52" i="5"/>
  <c r="V111" i="5"/>
  <c r="V168" i="3"/>
  <c r="V165" i="3"/>
  <c r="V163" i="3"/>
  <c r="V161" i="3"/>
  <c r="V166" i="3"/>
  <c r="V156" i="3"/>
  <c r="V167" i="3"/>
  <c r="V158" i="3"/>
  <c r="V216" i="3"/>
  <c r="V159" i="3"/>
  <c r="V160" i="3"/>
  <c r="V40" i="6"/>
  <c r="V132" i="6"/>
  <c r="V78" i="6"/>
  <c r="V220" i="7" s="1"/>
  <c r="V105" i="6"/>
  <c r="V83" i="5" l="1"/>
  <c r="V138" i="7" s="1"/>
  <c r="V137" i="5"/>
  <c r="V50" i="3"/>
  <c r="V110" i="5"/>
  <c r="V42" i="5"/>
  <c r="V131" i="6"/>
  <c r="V80" i="3"/>
  <c r="V77" i="6"/>
  <c r="V219" i="7" s="1"/>
  <c r="V104" i="6"/>
  <c r="V33" i="6"/>
  <c r="V70" i="6" l="1"/>
  <c r="V97" i="6"/>
  <c r="V17" i="6"/>
  <c r="V76" i="5"/>
  <c r="V103" i="5"/>
  <c r="V17" i="5"/>
  <c r="V202" i="3"/>
  <c r="V48" i="3"/>
  <c r="V232" i="3"/>
  <c r="V78" i="3"/>
  <c r="V150" i="5" l="1"/>
  <c r="V141" i="5"/>
  <c r="V60" i="5"/>
  <c r="V156" i="5"/>
  <c r="V163" i="5"/>
  <c r="V154" i="5"/>
  <c r="V161" i="5"/>
  <c r="V147" i="5"/>
  <c r="V162" i="5"/>
  <c r="V148" i="5"/>
  <c r="V155" i="5"/>
  <c r="V152" i="5"/>
  <c r="V143" i="5"/>
  <c r="V159" i="5"/>
  <c r="V149" i="5"/>
  <c r="V145" i="5"/>
  <c r="V160" i="5"/>
  <c r="V153" i="5"/>
  <c r="V166" i="5"/>
  <c r="V151" i="5"/>
  <c r="V158" i="5"/>
  <c r="V146" i="5"/>
  <c r="V144" i="5"/>
  <c r="V142" i="5"/>
  <c r="V165" i="5"/>
  <c r="V164" i="5"/>
  <c r="V157" i="5"/>
  <c r="V77" i="3"/>
  <c r="V230" i="3"/>
  <c r="V136" i="6"/>
  <c r="V135" i="6"/>
  <c r="V148" i="6"/>
  <c r="V155" i="6"/>
  <c r="V141" i="6"/>
  <c r="V156" i="6"/>
  <c r="V142" i="6"/>
  <c r="V54" i="6"/>
  <c r="V149" i="6"/>
  <c r="V137" i="6"/>
  <c r="V146" i="6"/>
  <c r="V153" i="6"/>
  <c r="V143" i="6"/>
  <c r="V139" i="6"/>
  <c r="V154" i="6"/>
  <c r="V152" i="6"/>
  <c r="V140" i="6"/>
  <c r="V138" i="6"/>
  <c r="V147" i="6"/>
  <c r="V145" i="6"/>
  <c r="V160" i="6"/>
  <c r="V159" i="6"/>
  <c r="V158" i="6"/>
  <c r="V200" i="3"/>
  <c r="V47" i="3"/>
  <c r="V140" i="3" s="1"/>
  <c r="V151" i="6"/>
  <c r="V170" i="3" l="1"/>
  <c r="V174" i="3"/>
  <c r="V180" i="3"/>
  <c r="V176" i="3"/>
  <c r="V179" i="3"/>
  <c r="V177" i="3"/>
  <c r="V178" i="3"/>
  <c r="V169" i="3"/>
  <c r="V175" i="3"/>
  <c r="V173" i="3"/>
  <c r="V229" i="3"/>
  <c r="V171" i="3"/>
  <c r="V172" i="3"/>
  <c r="V142" i="3"/>
  <c r="V150" i="3"/>
  <c r="V144" i="3"/>
  <c r="V145" i="3"/>
  <c r="V143" i="3"/>
  <c r="V147" i="3"/>
  <c r="V146" i="3"/>
  <c r="V139" i="3"/>
  <c r="V149" i="3"/>
  <c r="V199" i="3"/>
  <c r="V148" i="3"/>
  <c r="V141" i="3"/>
  <c r="X55" i="7" l="1"/>
  <c r="X134" i="4"/>
  <c r="X53" i="7" l="1"/>
  <c r="X127" i="4"/>
  <c r="X46" i="7" l="1"/>
  <c r="X111" i="4"/>
  <c r="X30" i="7" s="1"/>
  <c r="W133" i="5" l="1"/>
  <c r="W79" i="5"/>
  <c r="W134" i="7" s="1"/>
  <c r="W106" i="5"/>
  <c r="W43" i="5"/>
  <c r="W72" i="5"/>
  <c r="W127" i="7" s="1"/>
  <c r="W126" i="5"/>
  <c r="W99" i="5"/>
  <c r="W33" i="5"/>
  <c r="W124" i="5" l="1"/>
  <c r="W70" i="5"/>
  <c r="W125" i="7" s="1"/>
  <c r="W38" i="3"/>
  <c r="W97" i="5"/>
  <c r="W127" i="6"/>
  <c r="W73" i="6"/>
  <c r="W215" i="7" s="1"/>
  <c r="W100" i="6"/>
  <c r="W34" i="6"/>
  <c r="W65" i="5"/>
  <c r="W120" i="7" s="1"/>
  <c r="W119" i="5"/>
  <c r="W92" i="5"/>
  <c r="W21" i="5"/>
  <c r="W85" i="5"/>
  <c r="W140" i="7" s="1"/>
  <c r="W139" i="5"/>
  <c r="W112" i="5"/>
  <c r="W131" i="5"/>
  <c r="W77" i="5"/>
  <c r="W132" i="7" s="1"/>
  <c r="W49" i="3"/>
  <c r="W104" i="5"/>
  <c r="W63" i="5" l="1"/>
  <c r="W118" i="7" s="1"/>
  <c r="W117" i="5"/>
  <c r="W37" i="3"/>
  <c r="W90" i="5"/>
  <c r="W18" i="5"/>
  <c r="W120" i="6"/>
  <c r="W66" i="6"/>
  <c r="W208" i="7" s="1"/>
  <c r="W93" i="6"/>
  <c r="W27" i="6"/>
  <c r="W190" i="3"/>
  <c r="W201" i="3"/>
  <c r="W125" i="6"/>
  <c r="W79" i="3"/>
  <c r="W71" i="6"/>
  <c r="W213" i="7" s="1"/>
  <c r="W98" i="6"/>
  <c r="W231" i="3" l="1"/>
  <c r="W118" i="6"/>
  <c r="W68" i="3"/>
  <c r="W64" i="6"/>
  <c r="W206" i="7" s="1"/>
  <c r="W91" i="6"/>
  <c r="W189" i="3"/>
  <c r="W35" i="3"/>
  <c r="W113" i="6"/>
  <c r="W59" i="6"/>
  <c r="W201" i="7" s="1"/>
  <c r="W86" i="6"/>
  <c r="W20" i="6"/>
  <c r="W61" i="5"/>
  <c r="W88" i="5"/>
  <c r="W220" i="3" l="1"/>
  <c r="W34" i="3"/>
  <c r="W127" i="3" s="1"/>
  <c r="W187" i="3"/>
  <c r="W57" i="6"/>
  <c r="W199" i="7" s="1"/>
  <c r="W111" i="6"/>
  <c r="W67" i="3"/>
  <c r="W84" i="6"/>
  <c r="W18" i="6"/>
  <c r="W219" i="3" l="1"/>
  <c r="W65" i="3"/>
  <c r="W132" i="3"/>
  <c r="W134" i="3"/>
  <c r="W136" i="3"/>
  <c r="W135" i="3"/>
  <c r="W126" i="3"/>
  <c r="W133" i="3"/>
  <c r="W138" i="3"/>
  <c r="W131" i="3"/>
  <c r="W137" i="3"/>
  <c r="W186" i="3"/>
  <c r="W128" i="3"/>
  <c r="W130" i="3"/>
  <c r="W129" i="3"/>
  <c r="W133" i="6"/>
  <c r="W79" i="6"/>
  <c r="W221" i="7" s="1"/>
  <c r="W106" i="6"/>
  <c r="W55" i="6"/>
  <c r="W82" i="6"/>
  <c r="W64" i="3" l="1"/>
  <c r="W217" i="3"/>
  <c r="W157" i="3" l="1"/>
  <c r="W40" i="6"/>
  <c r="W132" i="6"/>
  <c r="W78" i="6"/>
  <c r="W220" i="7" s="1"/>
  <c r="W105" i="6"/>
  <c r="W166" i="3"/>
  <c r="W168" i="3"/>
  <c r="W163" i="3"/>
  <c r="W165" i="3"/>
  <c r="W156" i="3"/>
  <c r="W167" i="3"/>
  <c r="W161" i="3"/>
  <c r="W158" i="3"/>
  <c r="W216" i="3"/>
  <c r="W160" i="3"/>
  <c r="W159" i="3"/>
  <c r="W52" i="5"/>
  <c r="W84" i="5"/>
  <c r="W139" i="7" s="1"/>
  <c r="W138" i="5"/>
  <c r="W111" i="5"/>
  <c r="W50" i="3" l="1"/>
  <c r="W83" i="5"/>
  <c r="W138" i="7" s="1"/>
  <c r="W137" i="5"/>
  <c r="W110" i="5"/>
  <c r="W42" i="5"/>
  <c r="W33" i="6"/>
  <c r="W80" i="3"/>
  <c r="W131" i="6"/>
  <c r="W77" i="6"/>
  <c r="W219" i="7" s="1"/>
  <c r="W104" i="6"/>
  <c r="W202" i="3" l="1"/>
  <c r="W48" i="3"/>
  <c r="W232" i="3"/>
  <c r="W78" i="3"/>
  <c r="W76" i="5"/>
  <c r="W103" i="5"/>
  <c r="W17" i="5"/>
  <c r="W70" i="6"/>
  <c r="W97" i="6"/>
  <c r="W17" i="6"/>
  <c r="W136" i="6" l="1"/>
  <c r="W135" i="6"/>
  <c r="W155" i="6"/>
  <c r="W148" i="6"/>
  <c r="W141" i="6"/>
  <c r="W156" i="6"/>
  <c r="W54" i="6"/>
  <c r="W142" i="6"/>
  <c r="W149" i="6"/>
  <c r="W153" i="6"/>
  <c r="W146" i="6"/>
  <c r="W137" i="6"/>
  <c r="W139" i="6"/>
  <c r="W143" i="6"/>
  <c r="W154" i="6"/>
  <c r="W147" i="6"/>
  <c r="W152" i="6"/>
  <c r="W145" i="6"/>
  <c r="W140" i="6"/>
  <c r="W138" i="6"/>
  <c r="W160" i="6"/>
  <c r="W159" i="6"/>
  <c r="W158" i="6"/>
  <c r="W77" i="3"/>
  <c r="W230" i="3"/>
  <c r="W151" i="6"/>
  <c r="W47" i="3"/>
  <c r="W200" i="3"/>
  <c r="W142" i="5"/>
  <c r="W141" i="5"/>
  <c r="W60" i="5"/>
  <c r="W156" i="5"/>
  <c r="W163" i="5"/>
  <c r="W154" i="5"/>
  <c r="W161" i="5"/>
  <c r="W147" i="5"/>
  <c r="W162" i="5"/>
  <c r="W148" i="5"/>
  <c r="W155" i="5"/>
  <c r="W150" i="5"/>
  <c r="W143" i="5"/>
  <c r="W152" i="5"/>
  <c r="W159" i="5"/>
  <c r="W149" i="5"/>
  <c r="W145" i="5"/>
  <c r="W153" i="5"/>
  <c r="W160" i="5"/>
  <c r="W158" i="5"/>
  <c r="W151" i="5"/>
  <c r="W146" i="5"/>
  <c r="W166" i="5"/>
  <c r="W144" i="5"/>
  <c r="W165" i="5"/>
  <c r="W164" i="5"/>
  <c r="W157" i="5"/>
  <c r="W169" i="3" l="1"/>
  <c r="W174" i="3"/>
  <c r="W180" i="3"/>
  <c r="W173" i="3"/>
  <c r="W175" i="3"/>
  <c r="W176" i="3"/>
  <c r="W177" i="3"/>
  <c r="W179" i="3"/>
  <c r="W178" i="3"/>
  <c r="W229" i="3"/>
  <c r="W171" i="3"/>
  <c r="W172" i="3"/>
  <c r="W140" i="3"/>
  <c r="W148" i="3"/>
  <c r="W139" i="3"/>
  <c r="W144" i="3"/>
  <c r="W150" i="3"/>
  <c r="W143" i="3"/>
  <c r="W146" i="3"/>
  <c r="W145" i="3"/>
  <c r="W149" i="3"/>
  <c r="W147" i="3"/>
  <c r="W199" i="3"/>
  <c r="W141" i="3"/>
  <c r="W142" i="3"/>
  <c r="W170" i="3"/>
  <c r="Y55" i="7" l="1"/>
  <c r="Y134" i="4"/>
  <c r="Y82" i="7" l="1"/>
  <c r="Y75" i="7" s="1"/>
  <c r="Y59" i="7" s="1"/>
  <c r="Y53" i="7"/>
  <c r="Y127" i="4"/>
  <c r="Y46" i="7" l="1"/>
  <c r="Y111" i="4"/>
  <c r="Y30" i="7" s="1"/>
  <c r="B82" i="7" l="1"/>
  <c r="B75" i="7" s="1"/>
  <c r="B59" i="7" s="1"/>
  <c r="C82" i="7" l="1"/>
  <c r="C75" i="7" s="1"/>
  <c r="C59" i="7" s="1"/>
  <c r="E82" i="7" l="1"/>
  <c r="E75" i="7" s="1"/>
  <c r="E59" i="7" s="1"/>
  <c r="D82" i="7"/>
  <c r="D75" i="7" s="1"/>
  <c r="D59" i="7" s="1"/>
  <c r="F82" i="7" l="1"/>
  <c r="F75" i="7" s="1"/>
  <c r="F59" i="7" s="1"/>
  <c r="G82" i="7" l="1"/>
  <c r="G75" i="7" s="1"/>
  <c r="G59" i="7" s="1"/>
  <c r="X126" i="5"/>
  <c r="X72" i="5"/>
  <c r="X127" i="7" s="1"/>
  <c r="X99" i="5"/>
  <c r="X33" i="5"/>
  <c r="X79" i="5"/>
  <c r="X134" i="7" s="1"/>
  <c r="X133" i="5"/>
  <c r="X106" i="5"/>
  <c r="X43" i="5"/>
  <c r="X127" i="6"/>
  <c r="X73" i="6"/>
  <c r="X215" i="7" s="1"/>
  <c r="X100" i="6"/>
  <c r="X34" i="6"/>
  <c r="H82" i="7"/>
  <c r="H75" i="7" s="1"/>
  <c r="H59" i="7" s="1"/>
  <c r="X49" i="3" l="1"/>
  <c r="X131" i="5"/>
  <c r="X77" i="5"/>
  <c r="X132" i="7" s="1"/>
  <c r="X104" i="5"/>
  <c r="X125" i="6"/>
  <c r="X79" i="3"/>
  <c r="X71" i="6"/>
  <c r="X213" i="7" s="1"/>
  <c r="X98" i="6"/>
  <c r="I82" i="7"/>
  <c r="I75" i="7" s="1"/>
  <c r="I59" i="7" s="1"/>
  <c r="X124" i="5"/>
  <c r="X70" i="5"/>
  <c r="X125" i="7" s="1"/>
  <c r="X38" i="3"/>
  <c r="X97" i="5"/>
  <c r="J82" i="7"/>
  <c r="J75" i="7" s="1"/>
  <c r="J59" i="7" s="1"/>
  <c r="X190" i="3" l="1"/>
  <c r="X231" i="3"/>
  <c r="X201" i="3"/>
  <c r="X113" i="6"/>
  <c r="X59" i="6"/>
  <c r="X201" i="7" s="1"/>
  <c r="X86" i="6"/>
  <c r="X20" i="6"/>
  <c r="X85" i="5"/>
  <c r="X140" i="7" s="1"/>
  <c r="X139" i="5"/>
  <c r="X112" i="5"/>
  <c r="X120" i="6"/>
  <c r="X66" i="6"/>
  <c r="X208" i="7" s="1"/>
  <c r="X93" i="6"/>
  <c r="X27" i="6"/>
  <c r="X119" i="5"/>
  <c r="X65" i="5"/>
  <c r="X120" i="7" s="1"/>
  <c r="X92" i="5"/>
  <c r="X21" i="5"/>
  <c r="K82" i="7"/>
  <c r="K75" i="7" s="1"/>
  <c r="K59" i="7" s="1"/>
  <c r="X117" i="5" l="1"/>
  <c r="X37" i="3"/>
  <c r="X63" i="5"/>
  <c r="X118" i="7" s="1"/>
  <c r="X90" i="5"/>
  <c r="X18" i="5"/>
  <c r="X111" i="6"/>
  <c r="X67" i="3"/>
  <c r="X57" i="6"/>
  <c r="X199" i="7" s="1"/>
  <c r="X84" i="6"/>
  <c r="X18" i="6"/>
  <c r="X68" i="3"/>
  <c r="X118" i="6"/>
  <c r="X64" i="6"/>
  <c r="X206" i="7" s="1"/>
  <c r="X91" i="6"/>
  <c r="L82" i="7"/>
  <c r="L75" i="7" s="1"/>
  <c r="L59" i="7" s="1"/>
  <c r="X61" i="5" l="1"/>
  <c r="X88" i="5"/>
  <c r="X220" i="3"/>
  <c r="X55" i="6"/>
  <c r="X82" i="6"/>
  <c r="X189" i="3"/>
  <c r="X35" i="3"/>
  <c r="X219" i="3"/>
  <c r="X65" i="3"/>
  <c r="X133" i="6"/>
  <c r="X79" i="6"/>
  <c r="X221" i="7" s="1"/>
  <c r="X106" i="6"/>
  <c r="X34" i="3" l="1"/>
  <c r="X187" i="3"/>
  <c r="X64" i="3"/>
  <c r="X217" i="3"/>
  <c r="M82" i="7"/>
  <c r="M75" i="7" s="1"/>
  <c r="M59" i="7" s="1"/>
  <c r="N82" i="7"/>
  <c r="N75" i="7" s="1"/>
  <c r="N59" i="7" s="1"/>
  <c r="X138" i="5" l="1"/>
  <c r="X84" i="5"/>
  <c r="X139" i="7" s="1"/>
  <c r="X52" i="5"/>
  <c r="X111" i="5"/>
  <c r="X40" i="6"/>
  <c r="X132" i="6"/>
  <c r="X78" i="6"/>
  <c r="X220" i="7" s="1"/>
  <c r="X105" i="6"/>
  <c r="X157" i="3"/>
  <c r="X161" i="3"/>
  <c r="X168" i="3"/>
  <c r="X163" i="3"/>
  <c r="X165" i="3"/>
  <c r="X156" i="3"/>
  <c r="X166" i="3"/>
  <c r="X167" i="3"/>
  <c r="X158" i="3"/>
  <c r="X216" i="3"/>
  <c r="X159" i="3"/>
  <c r="X160" i="3"/>
  <c r="X127" i="3"/>
  <c r="X138" i="3"/>
  <c r="X136" i="3"/>
  <c r="X137" i="3"/>
  <c r="X135" i="3"/>
  <c r="X134" i="3"/>
  <c r="X133" i="3"/>
  <c r="X126" i="3"/>
  <c r="X131" i="3"/>
  <c r="X132" i="3"/>
  <c r="X186" i="3"/>
  <c r="X128" i="3"/>
  <c r="X130" i="3"/>
  <c r="X129" i="3"/>
  <c r="X131" i="6" l="1"/>
  <c r="X80" i="3"/>
  <c r="X77" i="6"/>
  <c r="X219" i="7" s="1"/>
  <c r="X104" i="6"/>
  <c r="X33" i="6"/>
  <c r="X42" i="5"/>
  <c r="X137" i="5"/>
  <c r="X50" i="3"/>
  <c r="X83" i="5"/>
  <c r="X138" i="7" s="1"/>
  <c r="X110" i="5"/>
  <c r="O82" i="7"/>
  <c r="O75" i="7" s="1"/>
  <c r="O59" i="7" s="1"/>
  <c r="X202" i="3" l="1"/>
  <c r="X48" i="3"/>
  <c r="X76" i="5"/>
  <c r="X103" i="5"/>
  <c r="X17" i="5"/>
  <c r="X70" i="6"/>
  <c r="X97" i="6"/>
  <c r="X17" i="6"/>
  <c r="X232" i="3"/>
  <c r="X78" i="3"/>
  <c r="P82" i="7"/>
  <c r="P75" i="7" s="1"/>
  <c r="P59" i="7" s="1"/>
  <c r="X60" i="5" l="1"/>
  <c r="X141" i="5"/>
  <c r="X156" i="5"/>
  <c r="X163" i="5"/>
  <c r="X161" i="5"/>
  <c r="X154" i="5"/>
  <c r="X147" i="5"/>
  <c r="X150" i="5"/>
  <c r="X162" i="5"/>
  <c r="X143" i="5"/>
  <c r="X159" i="5"/>
  <c r="X152" i="5"/>
  <c r="X149" i="5"/>
  <c r="X145" i="5"/>
  <c r="X148" i="5"/>
  <c r="X155" i="5"/>
  <c r="X160" i="5"/>
  <c r="X153" i="5"/>
  <c r="X158" i="5"/>
  <c r="X151" i="5"/>
  <c r="X166" i="5"/>
  <c r="X146" i="5"/>
  <c r="X144" i="5"/>
  <c r="X142" i="5"/>
  <c r="X165" i="5"/>
  <c r="X164" i="5"/>
  <c r="X157" i="5"/>
  <c r="Q82" i="7"/>
  <c r="Q75" i="7" s="1"/>
  <c r="Q59" i="7" s="1"/>
  <c r="X135" i="6"/>
  <c r="X148" i="6"/>
  <c r="X155" i="6"/>
  <c r="X54" i="6"/>
  <c r="X141" i="6"/>
  <c r="X153" i="6"/>
  <c r="X146" i="6"/>
  <c r="X156" i="6"/>
  <c r="X137" i="6"/>
  <c r="X139" i="6"/>
  <c r="X143" i="6"/>
  <c r="X142" i="6"/>
  <c r="X149" i="6"/>
  <c r="X154" i="6"/>
  <c r="X152" i="6"/>
  <c r="X140" i="6"/>
  <c r="X147" i="6"/>
  <c r="X138" i="6"/>
  <c r="X145" i="6"/>
  <c r="X136" i="6"/>
  <c r="X160" i="6"/>
  <c r="X159" i="6"/>
  <c r="X158" i="6"/>
  <c r="X200" i="3"/>
  <c r="X47" i="3"/>
  <c r="X77" i="3"/>
  <c r="X230" i="3"/>
  <c r="X151" i="6"/>
  <c r="X147" i="3" l="1"/>
  <c r="X148" i="3"/>
  <c r="X146" i="3"/>
  <c r="X145" i="3"/>
  <c r="X144" i="3"/>
  <c r="X150" i="3"/>
  <c r="X139" i="3"/>
  <c r="X149" i="3"/>
  <c r="X143" i="3"/>
  <c r="X199" i="3"/>
  <c r="X141" i="3"/>
  <c r="X142" i="3"/>
  <c r="X170" i="3"/>
  <c r="X180" i="3"/>
  <c r="X174" i="3"/>
  <c r="X177" i="3"/>
  <c r="X169" i="3"/>
  <c r="X173" i="3"/>
  <c r="X176" i="3"/>
  <c r="X178" i="3"/>
  <c r="X175" i="3"/>
  <c r="X179" i="3"/>
  <c r="X229" i="3"/>
  <c r="X171" i="3"/>
  <c r="X172" i="3"/>
  <c r="R82" i="7"/>
  <c r="R75" i="7" s="1"/>
  <c r="R59" i="7" s="1"/>
  <c r="X140" i="3"/>
  <c r="S82" i="7" l="1"/>
  <c r="S75" i="7" s="1"/>
  <c r="S59" i="7" s="1"/>
  <c r="T82" i="7" l="1"/>
  <c r="T75" i="7" s="1"/>
  <c r="T59" i="7" s="1"/>
  <c r="U82" i="7" l="1"/>
  <c r="U75" i="7" s="1"/>
  <c r="U59" i="7" s="1"/>
  <c r="V82" i="7" l="1"/>
  <c r="V75" i="7" s="1"/>
  <c r="V59" i="7" s="1"/>
  <c r="W82" i="7"/>
  <c r="W75" i="7" s="1"/>
  <c r="W59" i="7" s="1"/>
  <c r="X82" i="7" l="1"/>
  <c r="X75" i="7" s="1"/>
  <c r="X59" i="7" s="1"/>
  <c r="Y127" i="6" l="1"/>
  <c r="Y73" i="6"/>
  <c r="Y215" i="7" s="1"/>
  <c r="Y100" i="6"/>
  <c r="Y34" i="6"/>
  <c r="Y79" i="5"/>
  <c r="Y134" i="7" s="1"/>
  <c r="Y133" i="5"/>
  <c r="Y106" i="5"/>
  <c r="Y43" i="5"/>
  <c r="Y126" i="5"/>
  <c r="Y72" i="5"/>
  <c r="Y127" i="7" s="1"/>
  <c r="Y99" i="5"/>
  <c r="Y33" i="5"/>
  <c r="Y79" i="3" l="1"/>
  <c r="Y125" i="6"/>
  <c r="Y71" i="6"/>
  <c r="Y213" i="7" s="1"/>
  <c r="Y98" i="6"/>
  <c r="Y49" i="3"/>
  <c r="Y131" i="5"/>
  <c r="Y77" i="5"/>
  <c r="Y132" i="7" s="1"/>
  <c r="Y104" i="5"/>
  <c r="Y38" i="3"/>
  <c r="Y70" i="5"/>
  <c r="Y125" i="7" s="1"/>
  <c r="Y124" i="5"/>
  <c r="Y97" i="5"/>
  <c r="Y119" i="5" l="1"/>
  <c r="Y65" i="5"/>
  <c r="Y120" i="7" s="1"/>
  <c r="Y92" i="5"/>
  <c r="Y21" i="5"/>
  <c r="Y113" i="6"/>
  <c r="Y59" i="6"/>
  <c r="Y201" i="7" s="1"/>
  <c r="Y86" i="6"/>
  <c r="Y20" i="6"/>
  <c r="Y85" i="5"/>
  <c r="Y140" i="7" s="1"/>
  <c r="Y139" i="5"/>
  <c r="Y112" i="5"/>
  <c r="Y201" i="3"/>
  <c r="Y231" i="3"/>
  <c r="Y120" i="6"/>
  <c r="Y66" i="6"/>
  <c r="Y208" i="7" s="1"/>
  <c r="Y93" i="6"/>
  <c r="Y27" i="6"/>
  <c r="Y190" i="3"/>
  <c r="Y37" i="3" l="1"/>
  <c r="Y117" i="5"/>
  <c r="Y63" i="5"/>
  <c r="Y118" i="7" s="1"/>
  <c r="Y90" i="5"/>
  <c r="Y18" i="5"/>
  <c r="Y68" i="3"/>
  <c r="Y118" i="6"/>
  <c r="Y64" i="6"/>
  <c r="Y206" i="7" s="1"/>
  <c r="Y91" i="6"/>
  <c r="Y67" i="3"/>
  <c r="Y111" i="6"/>
  <c r="Y57" i="6"/>
  <c r="Y199" i="7" s="1"/>
  <c r="Y84" i="6"/>
  <c r="Y18" i="6"/>
  <c r="Y61" i="5" l="1"/>
  <c r="Y88" i="5"/>
  <c r="Y220" i="3"/>
  <c r="Y219" i="3"/>
  <c r="Y65" i="3"/>
  <c r="Y55" i="6"/>
  <c r="Y82" i="6"/>
  <c r="Y133" i="6"/>
  <c r="Y79" i="6"/>
  <c r="Y221" i="7" s="1"/>
  <c r="Y106" i="6"/>
  <c r="Y189" i="3"/>
  <c r="Y35" i="3"/>
  <c r="Y78" i="6" l="1"/>
  <c r="Y220" i="7" s="1"/>
  <c r="Y132" i="6"/>
  <c r="Y40" i="6"/>
  <c r="Y105" i="6"/>
  <c r="Y64" i="3"/>
  <c r="Y157" i="3"/>
  <c r="Y217" i="3"/>
  <c r="Y187" i="3"/>
  <c r="Y34" i="3"/>
  <c r="Y127" i="3" s="1"/>
  <c r="Y111" i="5"/>
  <c r="Y52" i="5"/>
  <c r="Y138" i="5"/>
  <c r="Y84" i="5"/>
  <c r="Y139" i="7" s="1"/>
  <c r="Y80" i="3" l="1"/>
  <c r="Y131" i="6"/>
  <c r="Y77" i="6"/>
  <c r="Y219" i="7" s="1"/>
  <c r="Y104" i="6"/>
  <c r="Y33" i="6"/>
  <c r="Y161" i="3"/>
  <c r="Y168" i="3"/>
  <c r="Y167" i="3"/>
  <c r="Y165" i="3"/>
  <c r="Y166" i="3"/>
  <c r="Y156" i="3"/>
  <c r="Y163" i="3"/>
  <c r="Y216" i="3"/>
  <c r="Y158" i="3"/>
  <c r="Y159" i="3"/>
  <c r="Y160" i="3"/>
  <c r="Y50" i="3"/>
  <c r="Y137" i="5"/>
  <c r="Y83" i="5"/>
  <c r="Y138" i="7" s="1"/>
  <c r="Y110" i="5"/>
  <c r="Y42" i="5"/>
  <c r="Y135" i="3"/>
  <c r="Y126" i="3"/>
  <c r="Y136" i="3"/>
  <c r="Y137" i="3"/>
  <c r="Y133" i="3"/>
  <c r="Y134" i="3"/>
  <c r="Y132" i="3"/>
  <c r="Y131" i="3"/>
  <c r="Y138" i="3"/>
  <c r="Y186" i="3"/>
  <c r="Y128" i="3"/>
  <c r="Y130" i="3"/>
  <c r="Y129" i="3"/>
  <c r="Y202" i="3" l="1"/>
  <c r="Y48" i="3"/>
  <c r="Y70" i="6"/>
  <c r="Y97" i="6"/>
  <c r="Y17" i="6"/>
  <c r="Y76" i="5"/>
  <c r="Y103" i="5"/>
  <c r="Y17" i="5"/>
  <c r="Y232" i="3"/>
  <c r="Y78" i="3"/>
  <c r="Y142" i="5" l="1"/>
  <c r="Y141" i="5"/>
  <c r="Y60" i="5"/>
  <c r="Y156" i="5"/>
  <c r="Y163" i="5"/>
  <c r="Y150" i="5"/>
  <c r="Y154" i="5"/>
  <c r="Y161" i="5"/>
  <c r="Y147" i="5"/>
  <c r="Y159" i="5"/>
  <c r="Y143" i="5"/>
  <c r="Y152" i="5"/>
  <c r="Y149" i="5"/>
  <c r="Y162" i="5"/>
  <c r="Y148" i="5"/>
  <c r="Y145" i="5"/>
  <c r="Y155" i="5"/>
  <c r="Y153" i="5"/>
  <c r="Y160" i="5"/>
  <c r="Y151" i="5"/>
  <c r="Y158" i="5"/>
  <c r="Y146" i="5"/>
  <c r="Y166" i="5"/>
  <c r="Y144" i="5"/>
  <c r="Y165" i="5"/>
  <c r="Y164" i="5"/>
  <c r="Y47" i="3"/>
  <c r="Y140" i="3" s="1"/>
  <c r="Y200" i="3"/>
  <c r="Y151" i="6"/>
  <c r="Y135" i="6"/>
  <c r="Y54" i="6"/>
  <c r="Y148" i="6"/>
  <c r="Y155" i="6"/>
  <c r="Y141" i="6"/>
  <c r="Y137" i="6"/>
  <c r="Y153" i="6"/>
  <c r="Y146" i="6"/>
  <c r="Y143" i="6"/>
  <c r="Y156" i="6"/>
  <c r="Y142" i="6"/>
  <c r="Y139" i="6"/>
  <c r="Y149" i="6"/>
  <c r="Y154" i="6"/>
  <c r="Y152" i="6"/>
  <c r="Y140" i="6"/>
  <c r="Y147" i="6"/>
  <c r="Y138" i="6"/>
  <c r="Y145" i="6"/>
  <c r="Y136" i="6"/>
  <c r="Y160" i="6"/>
  <c r="Y159" i="6"/>
  <c r="Y158" i="6"/>
  <c r="Y157" i="5"/>
  <c r="Y77" i="3"/>
  <c r="Y230" i="3"/>
  <c r="Y170" i="3" l="1"/>
  <c r="Y143" i="3"/>
  <c r="Y150" i="3"/>
  <c r="Y144" i="3"/>
  <c r="Y147" i="3"/>
  <c r="Y139" i="3"/>
  <c r="Y149" i="3"/>
  <c r="Y146" i="3"/>
  <c r="Y145" i="3"/>
  <c r="Y148" i="3"/>
  <c r="Y199" i="3"/>
  <c r="Y141" i="3"/>
  <c r="Y142" i="3"/>
  <c r="Y177" i="3"/>
  <c r="Y173" i="3"/>
  <c r="Y178" i="3"/>
  <c r="Y180" i="3"/>
  <c r="Y176" i="3"/>
  <c r="Y175" i="3"/>
  <c r="Y174" i="3"/>
  <c r="Y179" i="3"/>
  <c r="Y169" i="3"/>
  <c r="Y229" i="3"/>
  <c r="Y171" i="3"/>
  <c r="Y172" i="3"/>
</calcChain>
</file>

<file path=xl/sharedStrings.xml><?xml version="1.0" encoding="utf-8"?>
<sst xmlns="http://schemas.openxmlformats.org/spreadsheetml/2006/main" count="2657" uniqueCount="1169">
  <si>
    <t>Prepared by JRC C.6</t>
  </si>
  <si>
    <t>Legal Notice</t>
  </si>
  <si>
    <t>The information made available is property of the Joint Research Centre of the European Commission.</t>
  </si>
  <si>
    <t>Neither the European Commission nor any person acting on behalf of the Commission is responsible for the use which might be made of this information.</t>
  </si>
  <si>
    <t>Use conditions</t>
  </si>
  <si>
    <t>This work is licensed under</t>
  </si>
  <si>
    <t>CC BY 4.0</t>
  </si>
  <si>
    <t>Overview: Transport sectors</t>
  </si>
  <si>
    <t>Road transport - activity related data</t>
  </si>
  <si>
    <t>energy consumption</t>
  </si>
  <si>
    <t>CO2 emissions</t>
  </si>
  <si>
    <t>technology data</t>
  </si>
  <si>
    <t>Rail, metro and tram - activity related data</t>
  </si>
  <si>
    <t>Aviation - activity related data</t>
  </si>
  <si>
    <t>passenger transport specific data</t>
  </si>
  <si>
    <t>Coastal shipping and inland waterways - activity related data</t>
  </si>
  <si>
    <t>Click on the link to jump to the sheet</t>
  </si>
  <si>
    <t>Transport activity</t>
  </si>
  <si>
    <t>Passenger transport (mio pkm)</t>
  </si>
  <si>
    <t>Road transport</t>
  </si>
  <si>
    <t>Passenger cars</t>
  </si>
  <si>
    <t>Motor coaches, buses and trolley buses</t>
  </si>
  <si>
    <t>Rail, metro and tram</t>
  </si>
  <si>
    <t>Metro and tram, urban light rail</t>
  </si>
  <si>
    <t>Conventional passenger trains</t>
  </si>
  <si>
    <t>High speed passenger trains</t>
  </si>
  <si>
    <t>Aviation</t>
  </si>
  <si>
    <t>Domestic</t>
  </si>
  <si>
    <t>Freight transport (mio tkm)</t>
  </si>
  <si>
    <t>Rail transport</t>
  </si>
  <si>
    <t>Domestic coastal shipping</t>
  </si>
  <si>
    <t>Inland waterways</t>
  </si>
  <si>
    <t>Energy consumption (ktoe)</t>
  </si>
  <si>
    <t>Passenger transport</t>
  </si>
  <si>
    <t>Freight transport</t>
  </si>
  <si>
    <t>CO2 emissions (kt of CO2)</t>
  </si>
  <si>
    <t>Indicators</t>
  </si>
  <si>
    <t>Market shares of activity</t>
  </si>
  <si>
    <t>Passenger transport (% of pkm)</t>
  </si>
  <si>
    <t>Freight transport (% of tkm)</t>
  </si>
  <si>
    <t>Shares of total energy consumption (%)</t>
  </si>
  <si>
    <t>Shares of CO2 emissions (%)</t>
  </si>
  <si>
    <t>Energy consumption per activity</t>
  </si>
  <si>
    <t>Emission intensity</t>
  </si>
  <si>
    <t>CO2 emissions (kt CO2)</t>
  </si>
  <si>
    <t>by fuel</t>
  </si>
  <si>
    <t>Liquids</t>
  </si>
  <si>
    <t>Split of CO2 emissions (kt CO2)</t>
  </si>
  <si>
    <t>Emission factors (kt CO2 / ktoe)</t>
  </si>
  <si>
    <t>Emission intensity (kg of CO2 / 100 km)</t>
  </si>
  <si>
    <t>Emission intensity over activity (kg of CO2 / 000 tkm)</t>
  </si>
  <si>
    <t>by fuel (EUROSTAT DATA)</t>
  </si>
  <si>
    <t>Liquified petroleum gas (LPG)</t>
  </si>
  <si>
    <t>Gasoline (without biofuels)</t>
  </si>
  <si>
    <t>Gas/Diesel oil (without biofuels)</t>
  </si>
  <si>
    <t>Natural gas</t>
  </si>
  <si>
    <t>Renewable energies and wastes</t>
  </si>
  <si>
    <t>Biogas</t>
  </si>
  <si>
    <t>Biogasoline</t>
  </si>
  <si>
    <t>Biodiesel</t>
  </si>
  <si>
    <t>Other biofuels</t>
  </si>
  <si>
    <t>Total energy consumption (ktoe)</t>
  </si>
  <si>
    <t>Vehicle-efficiency (kgoe/100 km)</t>
  </si>
  <si>
    <t>Energy intensity over activity (kgoe / 000 tkm)</t>
  </si>
  <si>
    <t>Vehicle-km (mio km)</t>
  </si>
  <si>
    <t>Market shares of activity (% of tkm)</t>
  </si>
  <si>
    <t>Market shares of vehicle km (% of km)</t>
  </si>
  <si>
    <t>Number of seats available</t>
  </si>
  <si>
    <t>Seats available per flight</t>
  </si>
  <si>
    <t>Occupancy ratio (%)</t>
  </si>
  <si>
    <t>Energy consumption per seat-km (kgoe/seat-km)</t>
  </si>
  <si>
    <t>Emission intensity over activity</t>
  </si>
  <si>
    <t>CO2 emissions per flight (kg of CO2 / flight)</t>
  </si>
  <si>
    <t>Vehicle-efficiency - effective (kgoe/100 km)</t>
  </si>
  <si>
    <t>Energy intensity over activity</t>
  </si>
  <si>
    <t>Energy consumption per flight (kgoe/flight)</t>
  </si>
  <si>
    <t>Vehicle-efficiency - theoretical (kgoe/100 km)*</t>
  </si>
  <si>
    <t>Discrepancy between effective and theoretical efficiencies (ratio)</t>
  </si>
  <si>
    <t>* Theoretical efficiency is derived for the representative aircraft based on the distance travelled per flight</t>
  </si>
  <si>
    <t>Passenger transport (passengers)</t>
  </si>
  <si>
    <t>Freight transport (tonnes)</t>
  </si>
  <si>
    <t>Stock of aircrafts - total</t>
  </si>
  <si>
    <t>New aircrafts</t>
  </si>
  <si>
    <t>Load factor of flights</t>
  </si>
  <si>
    <t>Passenger transport (p/flight)</t>
  </si>
  <si>
    <t>Freight transport (t/flight)</t>
  </si>
  <si>
    <t>Passenger-km and tonne-km per flight</t>
  </si>
  <si>
    <t>Passenger transport (pkm/flight)</t>
  </si>
  <si>
    <t>Freight transport (tkm/flight)</t>
  </si>
  <si>
    <t>Flights per year by airplance</t>
  </si>
  <si>
    <t>Diesel</t>
  </si>
  <si>
    <t>Electricity</t>
  </si>
  <si>
    <t>Diesel oil</t>
  </si>
  <si>
    <t>Electric</t>
  </si>
  <si>
    <t>CO2 emissions per vehicle annum (t of CO2 / vehicle)</t>
  </si>
  <si>
    <t>Diesel oil (incl. biofuels)</t>
  </si>
  <si>
    <t>Energy consumption per vehicle annum (kgoe/vehicle)</t>
  </si>
  <si>
    <t>Stock of vehicles - total (representative train configuration)</t>
  </si>
  <si>
    <t>New vehicles - total (representative train configuration)</t>
  </si>
  <si>
    <t>Load factor of vehicles</t>
  </si>
  <si>
    <t>Passenger transport (p/movement)</t>
  </si>
  <si>
    <t>Freight transport (t/movement)</t>
  </si>
  <si>
    <t>Capacity of representative train configuration</t>
  </si>
  <si>
    <t>Passenger transport (passenger-seats)</t>
  </si>
  <si>
    <t>Occupancy / utilisation</t>
  </si>
  <si>
    <t>Vehicle-km per vehicle annum (km/vehicle)</t>
  </si>
  <si>
    <t>Passenger-km and tonne-km per vehicle annum</t>
  </si>
  <si>
    <t>Passenger transport (pkm/vehicle)</t>
  </si>
  <si>
    <t>Freight transport (tkm/vehicle)</t>
  </si>
  <si>
    <t>Stock of vehicles - total (vehicles)</t>
  </si>
  <si>
    <t>Gasoline engine</t>
  </si>
  <si>
    <t>Diesel oil engine</t>
  </si>
  <si>
    <t>LPG engine</t>
  </si>
  <si>
    <t>Natural gas engine</t>
  </si>
  <si>
    <t>Plug-in hybrid electric</t>
  </si>
  <si>
    <t>Battery electric vehicles</t>
  </si>
  <si>
    <t>International</t>
  </si>
  <si>
    <t>New vehicle-registrations</t>
  </si>
  <si>
    <t>Year of registration:</t>
  </si>
  <si>
    <t>&lt;=2000</t>
  </si>
  <si>
    <t>Test cycle efficiency of total stock (kgoe/100 km)</t>
  </si>
  <si>
    <t>Discrepancy between effective and test cycle efficiencies (ratio)</t>
  </si>
  <si>
    <t>Test cycle efficiency of new vehicles (kgoe/100 km)</t>
  </si>
  <si>
    <t>Test cycle emission intensity of total stock (g of CO2 / km)</t>
  </si>
  <si>
    <t>Discrepancy between effective and test cycle emission intensities (ratio)</t>
  </si>
  <si>
    <t>Test cycle emission intensity of new vehicles (g of CO2 / km)</t>
  </si>
  <si>
    <t>Gasoline (incl. biofuels)</t>
  </si>
  <si>
    <t>LPG</t>
  </si>
  <si>
    <t>Natural gas (incl. biogas)</t>
  </si>
  <si>
    <t>Emission intensity (g of CO2 / km)</t>
  </si>
  <si>
    <t>CO2 emissions per vehicle annum (kg of CO2 / vehicle)</t>
  </si>
  <si>
    <t>of which biofuels</t>
  </si>
  <si>
    <t>of which biogas</t>
  </si>
  <si>
    <t>of which electricity</t>
  </si>
  <si>
    <t>Vehicle-km driven (mio km)</t>
  </si>
  <si>
    <t>Stock of vehicles - in use (vehicles)</t>
  </si>
  <si>
    <t>Vehicle-km driven per vehicle annum (km/vehicle)</t>
  </si>
  <si>
    <t>Passenger-km and tonne-km driven per vehicle annum</t>
  </si>
  <si>
    <t>Number of departing flights</t>
  </si>
  <si>
    <t>Distance travelled per flight (km/flight)</t>
  </si>
  <si>
    <t>Volume carried in departing flights</t>
  </si>
  <si>
    <t>Domestic navigation</t>
  </si>
  <si>
    <t>Transport sector</t>
  </si>
  <si>
    <t>Load factor of vessels (t/movement)</t>
  </si>
  <si>
    <t>Gas oil and diesel oil (excluding biofuel portion)</t>
  </si>
  <si>
    <t>Fuel oil and Other oil products</t>
  </si>
  <si>
    <t>Blended biofuels</t>
  </si>
  <si>
    <t>Biogases</t>
  </si>
  <si>
    <t>Emission factor (kt CO2 / ktoe)</t>
  </si>
  <si>
    <t>Transport activity (Mtkm)</t>
  </si>
  <si>
    <t>Diesel oil (blend)</t>
  </si>
  <si>
    <t>Age structure in 2021</t>
  </si>
  <si>
    <t>Code</t>
  </si>
  <si>
    <t>Light commercial vehicles</t>
  </si>
  <si>
    <t>Heavy goods vehicles</t>
  </si>
  <si>
    <t>Passenger transport (kgoe / kpkm)</t>
  </si>
  <si>
    <t>Freight transport (kgoe / ktkm)</t>
  </si>
  <si>
    <t>Passenger transport  (g of CO2 / pkm)</t>
  </si>
  <si>
    <t>Freight transport  (g of CO2 / tkm)</t>
  </si>
  <si>
    <t>Freight transport (g of CO2 / tkm)</t>
  </si>
  <si>
    <t>Passenger transport (g of CO2 / pkm)</t>
  </si>
  <si>
    <t>Vehicle-km (Mkm)</t>
  </si>
  <si>
    <t>Energy intensity over activity (kgoe / ktkm)</t>
  </si>
  <si>
    <t>Emission intensity over activity (g of CO2 / tkm)</t>
  </si>
  <si>
    <t>Transport activity (mio tkm)</t>
  </si>
  <si>
    <t>International maritime bunkers - activity related data</t>
  </si>
  <si>
    <t>Intra-EEA</t>
  </si>
  <si>
    <t>Extra-EEA</t>
  </si>
  <si>
    <t>*EEA = European Economic Area (European Union + Iceland + Liechtenstein + Norway), United Kingdom excluded</t>
  </si>
  <si>
    <t>International maritime bunkers</t>
  </si>
  <si>
    <t>International maritime bunkers (mio tkm)</t>
  </si>
  <si>
    <t>International maritime bunkers (% of international tkm)</t>
  </si>
  <si>
    <t>International maritime bunkers (kgoe / ktkm)</t>
  </si>
  <si>
    <t>Powered two-wheelers</t>
  </si>
  <si>
    <t>Powered two-wheelers (Gasoline)</t>
  </si>
  <si>
    <t>excluding biofuels</t>
  </si>
  <si>
    <t>blended liquid biofuels</t>
  </si>
  <si>
    <t>Biodiesel and other biofuels</t>
  </si>
  <si>
    <t>Hydrogen</t>
  </si>
  <si>
    <t>JRC-IDEES-2023 - Integrated Database of the European Energy System</t>
  </si>
  <si>
    <t>v2023-1.00</t>
  </si>
  <si>
    <t>International - Intra-EEAwCHUK</t>
  </si>
  <si>
    <t>International - Extra-EEAwCHUK</t>
  </si>
  <si>
    <t>*EEAwCHUK = European Economic Area (European Union + Iceland + Liechtenstein + Norway), Switzerland and the United Kingdom</t>
  </si>
  <si>
    <t>**EEAwCHUK = European Economic Area (European Union + Iceland + Liechtenstein + Norway), Switzerland and the United Kingdom</t>
  </si>
  <si>
    <t>Plug-in hybrid electric (gasoline and electricity)</t>
  </si>
  <si>
    <t>Heavy goods vehicles (diesel oil incl. biofuels)</t>
  </si>
  <si>
    <t>PL</t>
  </si>
  <si>
    <t>Poland</t>
  </si>
  <si>
    <t>Aviation - PL - Poland</t>
  </si>
  <si>
    <t>Activity.Mpkm.PL.Tr.Avia.Passenger</t>
  </si>
  <si>
    <t>Activity.Mpkm.PL.Tr.Avia.Passenger.Domestic</t>
  </si>
  <si>
    <t>Activity.Mpkm.PL.Tr.Avia.Passenger.IntraEEAwCHUK</t>
  </si>
  <si>
    <t>Activity.Mpkm.PL.Tr.Avia.Passenger.ExtraEEAwCHUK</t>
  </si>
  <si>
    <t>Activity.Mtkm.PL.Tr.Avia.Freight</t>
  </si>
  <si>
    <t>Activity.Mtkm.PL.Tr.Avia.Freight.Domestic</t>
  </si>
  <si>
    <t>Activity.Mtkm.PL.Tr.Avia.Freight.IntraEEAwCHUK</t>
  </si>
  <si>
    <t>Activity.Mtkm.PL.Tr.Avia.Freight.ExtraEEAwCHUK</t>
  </si>
  <si>
    <t>VehicleKm.Mkm.PL.Tr.Avia</t>
  </si>
  <si>
    <t>VehicleKm.Mkm.PL.Tr.Avia.Passenger</t>
  </si>
  <si>
    <t>VehicleKm.Mkm.PL.Tr.Avia.Passenger.Domestic</t>
  </si>
  <si>
    <t>VehicleKm.Mkm.PL.Tr.Avia.Passenger.IntraEEAwCHUK</t>
  </si>
  <si>
    <t>VehicleKm.Mkm.PL.Tr.Avia.Passenger.ExtraEEAwCHUK</t>
  </si>
  <si>
    <t>VehicleKm.Mkm.PL.Tr.Avia.Freight</t>
  </si>
  <si>
    <t>VehicleKm.Mkm.PL.Tr.Avia.Freight.Domestic</t>
  </si>
  <si>
    <t>VehicleKm.Mkm.PL.Tr.Avia.Freight.IntraEEAwCHUK</t>
  </si>
  <si>
    <t>VehicleKm.Mkm.PL.Tr.Avia.Freight.ExtraEEAwCHUK</t>
  </si>
  <si>
    <t>Flights.number.PL.Tr.Avia</t>
  </si>
  <si>
    <t>Flights.number.PL.Tr.Avia.Passenger</t>
  </si>
  <si>
    <t>Flights.number.PL.Tr.Avia.Passenger.Domestic</t>
  </si>
  <si>
    <t>Flights.number.PL.Tr.Avia.Passenger.IntraEEAwCHUK</t>
  </si>
  <si>
    <t>Flights.number.PL.Tr.Avia.Passenger.ExtraEEAwCHUK</t>
  </si>
  <si>
    <t>Flights.number.PL.Tr.Avia.Freight</t>
  </si>
  <si>
    <t>Flights.number.PL.Tr.Avia.Freight.Domestic</t>
  </si>
  <si>
    <t>Flights.number.PL.Tr.Avia.Freight.IntraEEAwCHUK</t>
  </si>
  <si>
    <t>Flights.number.PL.Tr.Avia.Freight.ExtraEEAwCHUK</t>
  </si>
  <si>
    <t>VolCarried.passenger.PL.Tr.Avia.Passenger</t>
  </si>
  <si>
    <t>VolCarried.passenger.PL.Tr.Avia.Passenger.Domestic</t>
  </si>
  <si>
    <t>VolCarried.passenger.PL.Tr.Avia.Passenger.IntraEEAwCHUK</t>
  </si>
  <si>
    <t>VolCarried.passenger.PL.Tr.Avia.Passenger.ExtraEEAwCHUK</t>
  </si>
  <si>
    <t>VolCarried.t.PL.Tr.Avia.Freight</t>
  </si>
  <si>
    <t>VolCarried.t.PL.Tr.Avia.Freight.Domestic</t>
  </si>
  <si>
    <t>VolCarried.t.PL.Tr.Avia.Freight.IntraEEAwCHUK</t>
  </si>
  <si>
    <t>VolCarried.t.PL.Tr.Avia.Freight.ExtraEEAwCHUK</t>
  </si>
  <si>
    <t>Stock.number.PL.Tr.Avia</t>
  </si>
  <si>
    <t>Stock.number.PL.Tr.Avia.Passenger</t>
  </si>
  <si>
    <t>Stock.number.PL.Tr.Avia.Passenger.Domestic</t>
  </si>
  <si>
    <t>Stock.number.PL.Tr.Avia.Passenger.IntraEEAwCHUK</t>
  </si>
  <si>
    <t>Stock.number.PL.Tr.Avia.Passenger.ExtraEEAwCHUK</t>
  </si>
  <si>
    <t>Stock.number.PL.Tr.Avia.Freight</t>
  </si>
  <si>
    <t>Stock.number.PL.Tr.Avia.Freight.Domestic</t>
  </si>
  <si>
    <t>Stock.number.PL.Tr.Avia.Freight.IntraEEAwCHUK</t>
  </si>
  <si>
    <t>Stock.number.PL.Tr.Avia.Freight.ExtraEEAwCHUK</t>
  </si>
  <si>
    <t>StockNew.number.PL.Tr.Avia</t>
  </si>
  <si>
    <t>StockNew.number.PL.Tr.Avia.Passenger</t>
  </si>
  <si>
    <t>StockNew.number.PL.Tr.Avia.Passenger.Domestic</t>
  </si>
  <si>
    <t>StockNew.number.PL.Tr.Avia.Passenger.IntraEEAwCHUK</t>
  </si>
  <si>
    <t>StockNew.number.PL.Tr.Avia.Passenger.ExtraEEAwCHUK</t>
  </si>
  <si>
    <t>StockNew.number.PL.Tr.Avia.Freight</t>
  </si>
  <si>
    <t>StockNew.number.PL.Tr.Avia.Freight.Domestic</t>
  </si>
  <si>
    <t>StockNew.number.PL.Tr.Avia.Freight.IntraEEAwCHUK</t>
  </si>
  <si>
    <t>StockNew.number.PL.Tr.Avia.Freight.ExtraEEAwCHUK</t>
  </si>
  <si>
    <t>Load.passenger_per_movement.PL.Tr.Avia.Passenger</t>
  </si>
  <si>
    <t>Load.passenger_per_movement.PL.Tr.Avia.Passenger.Domestic</t>
  </si>
  <si>
    <t>Load.passenger_per_movement.PL.Tr.Avia.Passenger.IntraEEAwCHUK</t>
  </si>
  <si>
    <t>Load.passenger_per_movement.PL.Tr.Avia.Passenger.ExtraEEAwCHUK</t>
  </si>
  <si>
    <t>Load.t_per_movement.PL.Tr.Avia.Freight</t>
  </si>
  <si>
    <t>Load.t_per_movement.PL.Tr.Avia.Freight.Domestic</t>
  </si>
  <si>
    <t>Load.t_per_movement.PL.Tr.Avia.Freight.IntraEEAwCHUK</t>
  </si>
  <si>
    <t>Load.t_per_movement.PL.Tr.Avia.Freight.ExtraEEAwCHUK</t>
  </si>
  <si>
    <t>VehicleKm_per_flight.km.PL.Tr.Avia</t>
  </si>
  <si>
    <t>VehicleKm_per_flight.km.PL.Tr.Avia.Passenger</t>
  </si>
  <si>
    <t>VehicleKm_per_flight.km.PL.Tr.Avia.Passenger.Domestic</t>
  </si>
  <si>
    <t>VehicleKm_per_flight.km.PL.Tr.Avia.Passenger.IntraEEAwCHUK</t>
  </si>
  <si>
    <t>VehicleKm_per_flight.km.PL.Tr.Avia.Passenger.ExtraEEAwCHUK</t>
  </si>
  <si>
    <t>VehicleKm_per_flight.km.PL.Tr.Avia.Freight</t>
  </si>
  <si>
    <t>VehicleKm_per_flight.km.PL.Tr.Avia.Freight.Domestic</t>
  </si>
  <si>
    <t>VehicleKm_per_flight.km.PL.Tr.Avia.Freight.IntraEEAwCHUK</t>
  </si>
  <si>
    <t>VehicleKm_per_flight.km.PL.Tr.Avia.Freight.ExtraEEAwCHUK</t>
  </si>
  <si>
    <t>Activity_per_flight.pkm.PL.Tr.Avia.Passenger</t>
  </si>
  <si>
    <t>Activity_per_flight.pkm.PL.Tr.Avia.Passenger.Domestic</t>
  </si>
  <si>
    <t>Activity_per_flight.pkm.PL.Tr.Avia.Passenger.IntraEEAwCHUK</t>
  </si>
  <si>
    <t>Activity_per_flight.pkm.PL.Tr.Avia.Passenger.ExtraEEAwCHUK</t>
  </si>
  <si>
    <t>Activity_per_flight.tkm.PL.Tr.Avia.Freight</t>
  </si>
  <si>
    <t>Activity_per_flight.tkm.PL.Tr.Avia.Freight.Domestic</t>
  </si>
  <si>
    <t>Activity_per_flight.tkm.PL.Tr.Avia.Freight.IntraEEAwCHUK</t>
  </si>
  <si>
    <t>Activity_per_flight.tkm.PL.Tr.Avia.Freight.ExtraEEAwCHUK</t>
  </si>
  <si>
    <t>Flights_per_vehicle.number.PL.Tr.Avia</t>
  </si>
  <si>
    <t>Flights_per_vehicle.number.PL.Tr.Avia.Passenger</t>
  </si>
  <si>
    <t>Flights_per_vehicle.number.PL.Tr.Avia.Passenger.Domestic</t>
  </si>
  <si>
    <t>Flights_per_vehicle.number.PL.Tr.Avia.Passenger.IntraEEAwCHUK</t>
  </si>
  <si>
    <t>Flights_per_vehicle.number.PL.Tr.Avia.Passenger.ExtraEEAwCHUK</t>
  </si>
  <si>
    <t>Flights_per_vehicle.number.PL.Tr.Avia.Freight</t>
  </si>
  <si>
    <t>Flights_per_vehicle.number.PL.Tr.Avia.Freight.Domestic</t>
  </si>
  <si>
    <t>Flights_per_vehicle.number.PL.Tr.Avia.Freight.IntraEEAwCHUK</t>
  </si>
  <si>
    <t>Flights_per_vehicle.number.PL.Tr.Avia.Freight.ExtraEEAwCHUK</t>
  </si>
  <si>
    <t>Aviation / energy consumption - PL - Poland</t>
  </si>
  <si>
    <t>FEC.ktoe.PL.Tr.Avia</t>
  </si>
  <si>
    <t>FEC.ktoe.PL.Tr.Avia.Domestic</t>
  </si>
  <si>
    <t>FEC.ktoe.PL.Tr.Avia.International</t>
  </si>
  <si>
    <t>FEC.ktoe.PL.Tr.Avia.Passenger</t>
  </si>
  <si>
    <t>FEC.ktoe.PL.Tr.Avia.Passenger.Domestic</t>
  </si>
  <si>
    <t>FEC.ktoe.PL.Tr.Avia.Passenger.IntraEEAwCHUK</t>
  </si>
  <si>
    <t>FEC.ktoe.PL.Tr.Avia.Passenger.ExtraEEAwCHUK</t>
  </si>
  <si>
    <t>FEC.ktoe.PL.Tr.Avia.Freight</t>
  </si>
  <si>
    <t>FEC.ktoe.PL.Tr.Avia.Freight.Domestic</t>
  </si>
  <si>
    <t>FEC.ktoe.PL.Tr.Avia.Freight.IntraEEAwCHUK</t>
  </si>
  <si>
    <t>FEC.ktoe.PL.Tr.Avia.Freight.ExtraEEAwCHUK</t>
  </si>
  <si>
    <t>Eff.kgoe_per_100km.PL.Tr.Avia</t>
  </si>
  <si>
    <t>Eff.kgoe_per_100km.PL.Tr.Avia.Passenger</t>
  </si>
  <si>
    <t>Eff.kgoe_per_100km.PL.Tr.Avia.Passenger.Domestic</t>
  </si>
  <si>
    <t>Eff.kgoe_per_100km.PL.Tr.Avia.Passenger.IntraEEAwCHUK</t>
  </si>
  <si>
    <t>Eff.kgoe_per_100km.PL.Tr.Avia.Passenger.ExtraEEAwCHUK</t>
  </si>
  <si>
    <t>Eff.kgoe_per_100km.PL.Tr.Avia.Freight</t>
  </si>
  <si>
    <t>Eff.kgoe_per_100km.PL.Tr.Avia.Freight.Domestic</t>
  </si>
  <si>
    <t>Eff.kgoe_per_100km.PL.Tr.Avia.Freight.IntraEEAwCHUK</t>
  </si>
  <si>
    <t>Eff.kgoe_per_100km.PL.Tr.Avia.Freight.ExtraEEAwCHUK</t>
  </si>
  <si>
    <t>Eff.kgoe_per_kpkm.PL.Tr.Avia.Passenger</t>
  </si>
  <si>
    <t>Eff.kgoe_per_kpkm.PL.Tr.Avia.Passenger.Domestic</t>
  </si>
  <si>
    <t>Eff.kgoe_per_kpkm.PL.Tr.Avia.Passenger.IntraEEAwCHUK</t>
  </si>
  <si>
    <t>Eff.kgoe_per_kpkm.PL.Tr.Avia.Passenger.ExtraEEAwCHUK</t>
  </si>
  <si>
    <t>Eff.kgoe_per_ktkm.PL.Tr.Avia.Freight</t>
  </si>
  <si>
    <t>Eff.kgoe_per_ktkm.PL.Tr.Avia.Freight.Domestic</t>
  </si>
  <si>
    <t>Eff.kgoe_per_ktkm.PL.Tr.Avia.Freight.IntraEEAwCHUK</t>
  </si>
  <si>
    <t>Eff.kgoe_per_ktkm.PL.Tr.Avia.Freight.ExtraEEAwCHUK</t>
  </si>
  <si>
    <t>FEC_per_flight.kgoe.PL.Tr.Avia</t>
  </si>
  <si>
    <t>FEC_per_flight.kgoe.PL.Tr.Avia.Passenger</t>
  </si>
  <si>
    <t>FEC_per_flight.kgoe.PL.Tr.Avia.Passenger.Domestic</t>
  </si>
  <si>
    <t>FEC_per_flight.kgoe.PL.Tr.Avia.Passenger.IntraEEAwCHUK</t>
  </si>
  <si>
    <t>FEC_per_flight.kgoe.PL.Tr.Avia.Passenger.ExtraEEAwCHUK</t>
  </si>
  <si>
    <t>FEC_per_flight.kgoe.PL.Tr.Avia.Freight</t>
  </si>
  <si>
    <t>FEC_per_flight.kgoe.PL.Tr.Avia.Freight.Domestic</t>
  </si>
  <si>
    <t>FEC_per_flight.kgoe.PL.Tr.Avia.Freight.IntraEEAwCHUK</t>
  </si>
  <si>
    <t>FEC_per_flight.kgoe.PL.Tr.Avia.Freight.ExtraEEAwCHUK</t>
  </si>
  <si>
    <t>Eff_theor.kgoe_per_100km.PL.Tr.Avia</t>
  </si>
  <si>
    <t>Eff_theor.kgoe_per_100km.PL.Tr.Avia.Passenger</t>
  </si>
  <si>
    <t>Eff_theor.kgoe_per_100km.PL.Tr.Avia.Passenger.Domestic</t>
  </si>
  <si>
    <t>Eff_theor.kgoe_per_100km.PL.Tr.Avia.Passenger.IntraEEAwCHUK</t>
  </si>
  <si>
    <t>Eff_theor.kgoe_per_100km.PL.Tr.Avia.Passenger.ExtraEEAwCHUK</t>
  </si>
  <si>
    <t>Eff_theor.kgoe_per_100km.PL.Tr.Avia.Freight</t>
  </si>
  <si>
    <t>Eff_theor.kgoe_per_100km.PL.Tr.Avia.Freight.Domestic</t>
  </si>
  <si>
    <t>Eff_theor.kgoe_per_100km.PL.Tr.Avia.Freight.IntraEEAwCHUK</t>
  </si>
  <si>
    <t>Eff_theor.kgoe_per_100km.PL.Tr.Avia.Freight.ExtraEEAwCHUK</t>
  </si>
  <si>
    <t>Aviation / CO2 emissions - PL - Poland</t>
  </si>
  <si>
    <t>EMI.ktCO2.PL.Tr.Avia</t>
  </si>
  <si>
    <t>EMI.ktCO2.PL.Tr.Avia.Domestic</t>
  </si>
  <si>
    <t>EMI.ktCO2.PL.Tr.Avia.International</t>
  </si>
  <si>
    <t>EMI.ktCO2.PL.Tr.Avia.Passenger</t>
  </si>
  <si>
    <t>EMI.ktCO2.PL.Tr.Avia.Passenger.Domestic</t>
  </si>
  <si>
    <t>EMI.ktCO2.PL.Tr.Avia.Passenger.IntraEEAwCHUK</t>
  </si>
  <si>
    <t>EMI.ktCO2.PL.Tr.Avia.Passenger.ExtraEEAwCHUK</t>
  </si>
  <si>
    <t>EMI.ktCO2.PL.Tr.Avia.Freight</t>
  </si>
  <si>
    <t>EMI.ktCO2.PL.Tr.Avia.Freight.Domestic</t>
  </si>
  <si>
    <t>EMI.ktCO2.PL.Tr.Avia.Freight.IntraEEAwCHUK</t>
  </si>
  <si>
    <t>EMI.ktCO2.PL.Tr.Avia.Freight.ExtraEEAwCHUK</t>
  </si>
  <si>
    <t>EMIint.gCO2_per_km.PL.Tr.Avia</t>
  </si>
  <si>
    <t>EMIint.gCO2_per_km.PL.Tr.Avia.Passenger</t>
  </si>
  <si>
    <t>EMIint.gCO2_per_km.PL.Tr.Avia.Passenger.Domestic</t>
  </si>
  <si>
    <t>EMIint.gCO2_per_km.PL.Tr.Avia.Passenger.IntraEEAwCHUK</t>
  </si>
  <si>
    <t>EMIint.gCO2_per_km.PL.Tr.Avia.Passenger.ExtraEEAwCHUK</t>
  </si>
  <si>
    <t>EMIint.gCO2_per_km.PL.Tr.Avia.Freight</t>
  </si>
  <si>
    <t>EMIint.gCO2_per_km.PL.Tr.Avia.Freight.Domestic</t>
  </si>
  <si>
    <t>EMIint.gCO2_per_km.PL.Tr.Avia.Freight.IntraEEAwCHUK</t>
  </si>
  <si>
    <t>EMIint.gCO2_per_km.PL.Tr.Avia.Freight.ExtraEEAwCHUK</t>
  </si>
  <si>
    <t>EMIint.gCO2_per_pkm.PL.Tr.Avia.Passenger</t>
  </si>
  <si>
    <t>EMIint.gCO2_per_pkm.PL.Tr.Avia.Passenger.Domestic</t>
  </si>
  <si>
    <t>EMIint.gCO2_per_pkm.PL.Tr.Avia.Passenger.IntraEEAwCHUK</t>
  </si>
  <si>
    <t>EMIint.gCO2_per_pkm.PL.Tr.Avia.Passenger.ExtraEEAwCHUK</t>
  </si>
  <si>
    <t>EMIint.gCO2_per_tkm.PL.Tr.Avia.Freight</t>
  </si>
  <si>
    <t>EMIint.gCO2_per_tkm.PL.Tr.Avia.Freight.Domestic</t>
  </si>
  <si>
    <t>EMIint.gCO2_per_tkm.PL.Tr.Avia.Freight.IntraEEAwCHUK</t>
  </si>
  <si>
    <t>EMIint.gCO2_per_tkm.PL.Tr.Avia.Freight.ExtraEEAwCHUK</t>
  </si>
  <si>
    <t>EMI_per_flight.kgCO2.PL.Tr.Avia</t>
  </si>
  <si>
    <t>EMI_per_flight.kgCO2.PL.Tr.Avia.Passenger</t>
  </si>
  <si>
    <t>EMI_per_flight.kgCO2.PL.Tr.Avia.Passenger.Domestic</t>
  </si>
  <si>
    <t>EMI_per_flight.kgCO2.PL.Tr.Avia.Passenger.IntraEEAwCHUK</t>
  </si>
  <si>
    <t>EMI_per_flight.kgCO2.PL.Tr.Avia.Passenger.ExtraEEAwCHUK</t>
  </si>
  <si>
    <t>EMI_per_flight.kgCO2.PL.Tr.Avia.Freight</t>
  </si>
  <si>
    <t>EMI_per_flight.kgCO2.PL.Tr.Avia.Freight.Domestic</t>
  </si>
  <si>
    <t>EMI_per_flight.kgCO2.PL.Tr.Avia.Freight.IntraEEAwCHUK</t>
  </si>
  <si>
    <t>EMI_per_flight.kgCO2.PL.Tr.Avia.Freight.ExtraEEAwCHUK</t>
  </si>
  <si>
    <t>Aviation / passenger transport specific data - PL - Poland</t>
  </si>
  <si>
    <t>TrCap.seats.PL.Tr.Avia.Passenger</t>
  </si>
  <si>
    <t>TrCap.seats.PL.Tr.Avia.Passenger.Domestic</t>
  </si>
  <si>
    <t>TrCap.seats.PL.Tr.Avia.Passenger.IntraEEAwCHUK</t>
  </si>
  <si>
    <t>TrCap.seats.PL.Tr.Avia.Passenger.ExtraEEAwCHUK</t>
  </si>
  <si>
    <t>TrCap_per_flight.seats.PL.Tr.Avia.Passenger</t>
  </si>
  <si>
    <t>TrCap_per_flight.seats.PL.Tr.Avia.Passenger.Domestic</t>
  </si>
  <si>
    <t>TrCap_per_flight.seats.PL.Tr.Avia.Passenger.IntraEEAwCHUK</t>
  </si>
  <si>
    <t>TrCap_per_flight.seats.PL.Tr.Avia.Passenger.ExtraEEAwCHUK</t>
  </si>
  <si>
    <t>Transport overview - PL - Poland</t>
  </si>
  <si>
    <t>Activity.Mpkm.PL.Tr</t>
  </si>
  <si>
    <t>Activity.Mpkm.PL.Tr.Road.Passenger</t>
  </si>
  <si>
    <t>Activity.Mpkm.PL.Tr.Road.Passenger.P2W</t>
  </si>
  <si>
    <t>Activity.Mpkm.PL.Tr.Road.Passenger.Car</t>
  </si>
  <si>
    <t>Activity.Mpkm.PL.Tr.Road.Passenger.Bus</t>
  </si>
  <si>
    <t>Activity.Mpkm.PL.Tr.Rail.Passenger</t>
  </si>
  <si>
    <t>Activity.Mpkm.PL.Tr.Rail.Passenger.MTU</t>
  </si>
  <si>
    <t>Activity.Mpkm.PL.Tr.Rail.Passenger.CPT</t>
  </si>
  <si>
    <t>Activity.Mpkm.PL.Tr.Rail.Passenger.HST</t>
  </si>
  <si>
    <t>Activity.Mtkm.PL.Tr</t>
  </si>
  <si>
    <t>Activity.Mtkm.PL.Tr.Road.Freight</t>
  </si>
  <si>
    <t>Activity.Mtkm.PL.Tr.Road.Freight.LCV</t>
  </si>
  <si>
    <t>Activity.Mtkm.PL.Tr.Road.Freight.HGV_All</t>
  </si>
  <si>
    <t>Activity.Mtkm.PL.Tr.Rail.Freight</t>
  </si>
  <si>
    <t>Activity.Mtkm.PL.Tr.DNavi.Freight</t>
  </si>
  <si>
    <t>Activity.Mtkm.PL.Tr.DNavi.Freight.DCS</t>
  </si>
  <si>
    <t>Activity.Mtkm.PL.Tr.DNavi.Freight.IWW</t>
  </si>
  <si>
    <t>Activity.Mtkm.PL.MBunk.Freight</t>
  </si>
  <si>
    <t>Activity.Mtkm.PL.MBunk.Freight.IntraEEA</t>
  </si>
  <si>
    <t>Activity.Mtkm.PL.MBunk.Freight.ExtraEEA</t>
  </si>
  <si>
    <t>FEC.ktoe.PL.Tr.Road.Passenger</t>
  </si>
  <si>
    <t>FEC.ktoe.PL.Tr.Road.Passenger.P2W</t>
  </si>
  <si>
    <t>FEC.ktoe.PL.Tr.Road.Passenger.Car</t>
  </si>
  <si>
    <t>FEC.ktoe.PL.Tr.Road.Passenger.Bus</t>
  </si>
  <si>
    <t>FEC.ktoe.PL.Tr.Rail.Passenger</t>
  </si>
  <si>
    <t>FEC.ktoe.PL.Tr.Rail.Passenger.MTU</t>
  </si>
  <si>
    <t>FEC.ktoe.PL.Tr.Rail.Passenger.CPT</t>
  </si>
  <si>
    <t>FEC.ktoe.PL.Tr.Rail.Passenger.HST</t>
  </si>
  <si>
    <t>FEC.ktoe.PL.Tr.Road.Freight</t>
  </si>
  <si>
    <t>FEC.ktoe.PL.Tr.Road.Freight.LCV</t>
  </si>
  <si>
    <t>FEC.ktoe.PL.Tr.Road.Freight.HGV_All</t>
  </si>
  <si>
    <t>FEC.ktoe.PL.Tr.Rail.Freight</t>
  </si>
  <si>
    <t>EMI.ktCO2.PL.Tr.Road.Passenger</t>
  </si>
  <si>
    <t>EMI.ktCO2.PL.Tr.Road.Passenger.P2W</t>
  </si>
  <si>
    <t>EMI.ktCO2.PL.Tr.Road.Passenger.Car</t>
  </si>
  <si>
    <t>EMI.ktCO2.PL.Tr.Road.Passenger.Bus</t>
  </si>
  <si>
    <t>EMI.ktCO2.PL.Tr.Rail.Passenger</t>
  </si>
  <si>
    <t>EMI.ktCO2.PL.Tr.Rail.Passenger.MTU</t>
  </si>
  <si>
    <t>EMI.ktCO2.PL.Tr.Rail.Passenger.CPT</t>
  </si>
  <si>
    <t>EMI.ktCO2.PL.Tr.Rail.Passenger.HST</t>
  </si>
  <si>
    <t>EMI.ktCO2.PL.Tr.Road.Freight</t>
  </si>
  <si>
    <t>EMI.ktCO2.PL.Tr.Road.Freight.LCV</t>
  </si>
  <si>
    <t>EMI.ktCO2.PL.Tr.Road.Freight.HGV_All</t>
  </si>
  <si>
    <t>EMI.ktCO2.PL.Tr.Rail.Freight</t>
  </si>
  <si>
    <t>Eff.kgoe_per_kpkm.PL.Tr</t>
  </si>
  <si>
    <t>Eff.kgoe_per_kpkm.PL.Tr.Road.Passenger</t>
  </si>
  <si>
    <t>Eff.kgoe_per_kpkm.PL.Tr.Road.Passenger.P2W</t>
  </si>
  <si>
    <t>Eff.kgoe_per_kpkm.PL.Tr.Road.Passenger.Car</t>
  </si>
  <si>
    <t>Eff.kgoe_per_kpkm.PL.Tr.Road.Passenger.Bus</t>
  </si>
  <si>
    <t>Eff.kgoe_per_kpkm.PL.Tr.Rail.Passenger</t>
  </si>
  <si>
    <t>Eff.kgoe_per_kpkm.PL.Tr.Rail.Passenger.MTU</t>
  </si>
  <si>
    <t>Eff.kgoe_per_kpkm.PL.Tr.Rail.Passenger.CPT</t>
  </si>
  <si>
    <t>Eff.kgoe_per_kpkm.PL.Tr.Rail.Passenger.HST</t>
  </si>
  <si>
    <t>Eff.kgoe_per_ktkm.PL.Tr</t>
  </si>
  <si>
    <t>Eff.kgoe_per_ktkm.PL.Tr.Road.Freight</t>
  </si>
  <si>
    <t>Eff.kgoe_per_ktkm.PL.Tr.Road.Freight.LCV</t>
  </si>
  <si>
    <t>Eff.kgoe_per_ktkm.PL.Tr.Road.Freight.HGV_All</t>
  </si>
  <si>
    <t>Eff.kgoe_per_ktkm.PL.Tr.Rail.Freight</t>
  </si>
  <si>
    <t>Eff.kgoe_per_ktkm.PL.Tr.DNavi.Freight</t>
  </si>
  <si>
    <t>Eff.kgoe_per_ktkm.PL.Tr.DNavi.Freight.DCS</t>
  </si>
  <si>
    <t>Eff.kgoe_per_ktkm.PL.Tr.DNavi.Freight.IWW</t>
  </si>
  <si>
    <t>Eff.kgoe_per_ktkm.PL.MBunk.Freight</t>
  </si>
  <si>
    <t>Eff.kgoe_per_ktkm.PL.MBunk.Freight.IntraEEA</t>
  </si>
  <si>
    <t>Eff.kgoe_per_ktkm.PL.MBunk.Freight.ExtraEEA</t>
  </si>
  <si>
    <t>EMIint.gCO2_per_pkm.PL.Tr</t>
  </si>
  <si>
    <t>EMIint.gCO2_per_pkm.PL.Tr.Road.Passenger</t>
  </si>
  <si>
    <t>EMIint.gCO2_per_pkm.PL.Tr.Road.Passenger.P2W</t>
  </si>
  <si>
    <t>EMIint.gCO2_per_pkm.PL.Tr.Road.Passenger.Car</t>
  </si>
  <si>
    <t>EMIint.gCO2_per_pkm.PL.Tr.Road.Passenger.Bus</t>
  </si>
  <si>
    <t>EMIint.gCO2_per_pkm.PL.Tr.Rail.Passenger</t>
  </si>
  <si>
    <t>EMIint.gCO2_per_pkm.PL.Tr.Rail.Passenger.MTU</t>
  </si>
  <si>
    <t>EMIint.gCO2_per_pkm.PL.Tr.Rail.Passenger.CPT</t>
  </si>
  <si>
    <t>EMIint.gCO2_per_pkm.PL.Tr.Rail.Passenger.HST</t>
  </si>
  <si>
    <t>EMIint.gCO2_per_tkm.PL.Tr</t>
  </si>
  <si>
    <t>EMIint.gCO2_per_tkm.PL.Tr.Road.Freight</t>
  </si>
  <si>
    <t>EMIint.gCO2_per_tkm.PL.Tr.Road.Freight.LCV</t>
  </si>
  <si>
    <t>EMIint.gCO2_per_tkm.PL.Tr.Road.Freight.HGV_All</t>
  </si>
  <si>
    <t>EMIint.gCO2_per_tkm.PL.Tr.Rail.Freight</t>
  </si>
  <si>
    <t>EMIint.gCO2_per_tkm.PL.Tr.DNavi.Freight</t>
  </si>
  <si>
    <t>EMIint.gCO2_per_tkm.PL.Tr.DNavi.Freight.DCS</t>
  </si>
  <si>
    <t>EMIint.gCO2_per_tkm.PL.Tr.DNavi.Freight.IWW</t>
  </si>
  <si>
    <t>EMIint.gCO2_per_tkm.PL.MBunk.Freight</t>
  </si>
  <si>
    <t>EMIint.gCO2_per_tkm.PL.MBunk.Freight.IntraEEA</t>
  </si>
  <si>
    <t>EMIint.gCO2_per_tkm.PL.MBunk.Freight.ExtraEEA</t>
  </si>
  <si>
    <t>Road transport - PL - Poland</t>
  </si>
  <si>
    <t>Activity.Mpkm.PL.Tr.Road.Passenger.Car.ICE.Gasoline</t>
  </si>
  <si>
    <t>Activity.Mpkm.PL.Tr.Road.Passenger.Car.ICE.Diesel</t>
  </si>
  <si>
    <t>Activity.Mpkm.PL.Tr.Road.Passenger.Car.ICE.LPG</t>
  </si>
  <si>
    <t>Activity.Mpkm.PL.Tr.Road.Passenger.Car.ICE.NGas</t>
  </si>
  <si>
    <t>Activity.Mpkm.PL.Tr.Road.Passenger.Car.PHEV.Gasoline</t>
  </si>
  <si>
    <t>Activity.Mpkm.PL.Tr.Road.Passenger.Car.BEV</t>
  </si>
  <si>
    <t>Activity.Mpkm.PL.Tr.Road.Passenger.Bus.ICE.Gasoline</t>
  </si>
  <si>
    <t>Activity.Mpkm.PL.Tr.Road.Passenger.Bus.ICE.Diesel</t>
  </si>
  <si>
    <t>Activity.Mpkm.PL.Tr.Road.Passenger.Bus.ICE.LPG</t>
  </si>
  <si>
    <t>Activity.Mpkm.PL.Tr.Road.Passenger.Bus.ICE.NGas</t>
  </si>
  <si>
    <t>Activity.Mpkm.PL.Tr.Road.Passenger.Bus.BEV</t>
  </si>
  <si>
    <t>Activity.Mtkm.PL.Tr.Road.Freight.LCV.ICE.Gasoline</t>
  </si>
  <si>
    <t>Activity.Mtkm.PL.Tr.Road.Freight.LCV.ICE.Diesel</t>
  </si>
  <si>
    <t>Activity.Mtkm.PL.Tr.Road.Freight.LCV.ICE.LPG</t>
  </si>
  <si>
    <t>Activity.Mtkm.PL.Tr.Road.Freight.LCV.ICE.NGas</t>
  </si>
  <si>
    <t>Activity.Mtkm.PL.Tr.Road.Freight.LCV.BEV</t>
  </si>
  <si>
    <t>Activity.Mtkm.PL.Tr.Road.Freight.HGV_Domestic</t>
  </si>
  <si>
    <t>Activity.Mtkm.PL.Tr.Road.Freight.HGV_International</t>
  </si>
  <si>
    <t>VehicleKm.Mkm.PL.Tr.Road</t>
  </si>
  <si>
    <t>VehicleKm.Mkm.PL.Tr.Road.Passenger</t>
  </si>
  <si>
    <t>VehicleKm.Mkm.PL.Tr.Road.Passenger.P2W</t>
  </si>
  <si>
    <t>VehicleKm.Mkm.PL.Tr.Road.Passenger.Car</t>
  </si>
  <si>
    <t>VehicleKm.Mkm.PL.Tr.Road.Passenger.Car.ICE.Gasoline</t>
  </si>
  <si>
    <t>VehicleKm.Mkm.PL.Tr.Road.Passenger.Car.ICE.Diesel</t>
  </si>
  <si>
    <t>VehicleKm.Mkm.PL.Tr.Road.Passenger.Car.ICE.LPG</t>
  </si>
  <si>
    <t>VehicleKm.Mkm.PL.Tr.Road.Passenger.Car.ICE.NGas</t>
  </si>
  <si>
    <t>VehicleKm.Mkm.PL.Tr.Road.Passenger.Car.PHEV.Gasoline</t>
  </si>
  <si>
    <t>VehicleKm.Mkm.PL.Tr.Road.Passenger.Car.BEV</t>
  </si>
  <si>
    <t>VehicleKm.Mkm.PL.Tr.Road.Passenger.Bus</t>
  </si>
  <si>
    <t>VehicleKm.Mkm.PL.Tr.Road.Passenger.Bus.ICE.Gasoline</t>
  </si>
  <si>
    <t>VehicleKm.Mkm.PL.Tr.Road.Passenger.Bus.ICE.Diesel</t>
  </si>
  <si>
    <t>VehicleKm.Mkm.PL.Tr.Road.Passenger.Bus.ICE.LPG</t>
  </si>
  <si>
    <t>VehicleKm.Mkm.PL.Tr.Road.Passenger.Bus.ICE.NGas</t>
  </si>
  <si>
    <t>VehicleKm.Mkm.PL.Tr.Road.Passenger.Bus.BEV</t>
  </si>
  <si>
    <t>VehicleKm.Mkm.PL.Tr.Road.Freight</t>
  </si>
  <si>
    <t>VehicleKm.Mkm.PL.Tr.Road.Freight.LCV</t>
  </si>
  <si>
    <t>VehicleKm.Mkm.PL.Tr.Road.Freight.LCV.ICE.Gasoline</t>
  </si>
  <si>
    <t>VehicleKm.Mkm.PL.Tr.Road.Freight.LCV.ICE.Diesel</t>
  </si>
  <si>
    <t>VehicleKm.Mkm.PL.Tr.Road.Freight.LCV.ICE.LPG</t>
  </si>
  <si>
    <t>VehicleKm.Mkm.PL.Tr.Road.Freight.LCV.ICE.NGas</t>
  </si>
  <si>
    <t>VehicleKm.Mkm.PL.Tr.Road.Freight.LCV.BEV</t>
  </si>
  <si>
    <t>VehicleKm.Mkm.PL.Tr.Road.Freight.HGV_All</t>
  </si>
  <si>
    <t>VehicleKm.Mkm.PL.Tr.Road.Freight.HGV_Domestic</t>
  </si>
  <si>
    <t>VehicleKm.Mkm.PL.Tr.Road.Freight.HGV_International</t>
  </si>
  <si>
    <t>Stock.number.PL.Tr.Road</t>
  </si>
  <si>
    <t>Stock.number.PL.Tr.Road.Passenger</t>
  </si>
  <si>
    <t>Stock.number.PL.Tr.Road.Passenger.P2W</t>
  </si>
  <si>
    <t>Stock.number.PL.Tr.Road.Passenger.Car</t>
  </si>
  <si>
    <t>Stock.number.PL.Tr.Road.Passenger.Car.ICE.Gasoline</t>
  </si>
  <si>
    <t>Stock.number.PL.Tr.Road.Passenger.Car.ICE.Diesel</t>
  </si>
  <si>
    <t>Stock.number.PL.Tr.Road.Passenger.Car.ICE.LPG</t>
  </si>
  <si>
    <t>Stock.number.PL.Tr.Road.Passenger.Car.ICE.NGas</t>
  </si>
  <si>
    <t>Stock.number.PL.Tr.Road.Passenger.Car.PHEV.Gasoline</t>
  </si>
  <si>
    <t>Stock.number.PL.Tr.Road.Passenger.Car.BEV</t>
  </si>
  <si>
    <t>Stock.number.PL.Tr.Road.Passenger.Bus</t>
  </si>
  <si>
    <t>Stock.number.PL.Tr.Road.Passenger.Bus.ICE.Gasoline</t>
  </si>
  <si>
    <t>Stock.number.PL.Tr.Road.Passenger.Bus.ICE.Diesel</t>
  </si>
  <si>
    <t>Stock.number.PL.Tr.Road.Passenger.Bus.ICE.LPG</t>
  </si>
  <si>
    <t>Stock.number.PL.Tr.Road.Passenger.Bus.ICE.NGas</t>
  </si>
  <si>
    <t>Stock.number.PL.Tr.Road.Passenger.Bus.BEV</t>
  </si>
  <si>
    <t>Stock.number.PL.Tr.Road.Freight</t>
  </si>
  <si>
    <t>Stock.number.PL.Tr.Road.Freight.LCV</t>
  </si>
  <si>
    <t>Stock.number.PL.Tr.Road.Freight.LCV.ICE.Gasoline</t>
  </si>
  <si>
    <t>Stock.number.PL.Tr.Road.Freight.LCV.ICE.Diesel</t>
  </si>
  <si>
    <t>Stock.number.PL.Tr.Road.Freight.LCV.ICE.LPG</t>
  </si>
  <si>
    <t>Stock.number.PL.Tr.Road.Freight.LCV.ICE.NGas</t>
  </si>
  <si>
    <t>Stock.number.PL.Tr.Road.Freight.LCV.BEV</t>
  </si>
  <si>
    <t>Stock.number.PL.Tr.Road.Freight.HGV_All</t>
  </si>
  <si>
    <t>Stock.number.PL.Tr.Road.Freight.HGV_Domestic</t>
  </si>
  <si>
    <t>Stock.number.PL.Tr.Road.Freight.HGV_International</t>
  </si>
  <si>
    <t>StockNew.number.PL.Tr.Road</t>
  </si>
  <si>
    <t>StockNew.number.PL.Tr.Road.Passenger</t>
  </si>
  <si>
    <t>StockNew.number.PL.Tr.Road.Passenger.P2W</t>
  </si>
  <si>
    <t>StockNew.number.PL.Tr.Road.Passenger.Car</t>
  </si>
  <si>
    <t>StockNew.number.PL.Tr.Road.Passenger.Car.ICE.Gasoline</t>
  </si>
  <si>
    <t>StockNew.number.PL.Tr.Road.Passenger.Car.ICE.Diesel</t>
  </si>
  <si>
    <t>StockNew.number.PL.Tr.Road.Passenger.Car.ICE.LPG</t>
  </si>
  <si>
    <t>StockNew.number.PL.Tr.Road.Passenger.Car.ICE.NGas</t>
  </si>
  <si>
    <t>StockNew.number.PL.Tr.Road.Passenger.Car.PHEV.Gasoline</t>
  </si>
  <si>
    <t>StockNew.number.PL.Tr.Road.Passenger.Car.BEV</t>
  </si>
  <si>
    <t>StockNew.number.PL.Tr.Road.Passenger.Bus</t>
  </si>
  <si>
    <t>StockNew.number.PL.Tr.Road.Passenger.Bus.ICE.Gasoline</t>
  </si>
  <si>
    <t>StockNew.number.PL.Tr.Road.Passenger.Bus.ICE.Diesel</t>
  </si>
  <si>
    <t>StockNew.number.PL.Tr.Road.Passenger.Bus.ICE.LPG</t>
  </si>
  <si>
    <t>StockNew.number.PL.Tr.Road.Passenger.Bus.ICE.NGas</t>
  </si>
  <si>
    <t>StockNew.number.PL.Tr.Road.Passenger.Bus.BEV</t>
  </si>
  <si>
    <t>StockNew.number.PL.Tr.Road.Freight</t>
  </si>
  <si>
    <t>StockNew.number.PL.Tr.Road.Freight.LCV</t>
  </si>
  <si>
    <t>StockNew.number.PL.Tr.Road.Freight.LCV.ICE.Gasoline</t>
  </si>
  <si>
    <t>StockNew.number.PL.Tr.Road.Freight.LCV.ICE.Diesel</t>
  </si>
  <si>
    <t>StockNew.number.PL.Tr.Road.Freight.LCV.ICE.LPG</t>
  </si>
  <si>
    <t>StockNew.number.PL.Tr.Road.Freight.LCV.ICE.NGas</t>
  </si>
  <si>
    <t>StockNew.number.PL.Tr.Road.Freight.LCV.BEV</t>
  </si>
  <si>
    <t>StockNew.number.PL.Tr.Road.Freight.HGV_All</t>
  </si>
  <si>
    <t>StockNew.number.PL.Tr.Road.Freight.HGV_Domestic</t>
  </si>
  <si>
    <t>StockNew.number.PL.Tr.Road.Freight.HGV_International</t>
  </si>
  <si>
    <t>Load.passenger_per_movement.PL.Tr.Road.Passenger</t>
  </si>
  <si>
    <t>Load.passenger_per_movement.PL.Tr.Road.Passenger.P2W</t>
  </si>
  <si>
    <t>Load.passenger_per_movement.PL.Tr.Road.Passenger.Car</t>
  </si>
  <si>
    <t>Load.passenger_per_movement.PL.Tr.Road.Passenger.Car.ICE.Gasoline</t>
  </si>
  <si>
    <t>Load.passenger_per_movement.PL.Tr.Road.Passenger.Car.ICE.Diesel</t>
  </si>
  <si>
    <t>Load.passenger_per_movement.PL.Tr.Road.Passenger.Car.ICE.LPG</t>
  </si>
  <si>
    <t>Load.passenger_per_movement.PL.Tr.Road.Passenger.Car.ICE.NGas</t>
  </si>
  <si>
    <t>Load.passenger_per_movement.PL.Tr.Road.Passenger.Car.PHEV.Gasoline</t>
  </si>
  <si>
    <t>Load.passenger_per_movement.PL.Tr.Road.Passenger.Car.BEV</t>
  </si>
  <si>
    <t>Load.passenger_per_movement.PL.Tr.Road.Passenger.Bus</t>
  </si>
  <si>
    <t>Load.passenger_per_movement.PL.Tr.Road.Passenger.Bus.ICE.Gasoline</t>
  </si>
  <si>
    <t>Load.passenger_per_movement.PL.Tr.Road.Passenger.Bus.ICE.Diesel</t>
  </si>
  <si>
    <t>Load.passenger_per_movement.PL.Tr.Road.Passenger.Bus.ICE.LPG</t>
  </si>
  <si>
    <t>Load.passenger_per_movement.PL.Tr.Road.Passenger.Bus.ICE.NGas</t>
  </si>
  <si>
    <t>Load.passenger_per_movement.PL.Tr.Road.Passenger.Bus.BEV</t>
  </si>
  <si>
    <t>Load.t_per_movement.PL.Tr.Road.Freight</t>
  </si>
  <si>
    <t>Load.t_per_movement.PL.Tr.Road.Freight.LCV</t>
  </si>
  <si>
    <t>Load.t_per_movement.PL.Tr.Road.Freight.LCV.ICE.Gasoline</t>
  </si>
  <si>
    <t>Load.t_per_movement.PL.Tr.Road.Freight.LCV.ICE.Diesel</t>
  </si>
  <si>
    <t>Load.t_per_movement.PL.Tr.Road.Freight.LCV.ICE.LPG</t>
  </si>
  <si>
    <t>Load.t_per_movement.PL.Tr.Road.Freight.LCV.ICE.NGas</t>
  </si>
  <si>
    <t>Load.t_per_movement.PL.Tr.Road.Freight.LCV.BEV</t>
  </si>
  <si>
    <t>Load.t_per_movement.PL.Tr.Road.Freight.HGV_All</t>
  </si>
  <si>
    <t>Load.t_per_movement.PL.Tr.Road.Freight.HGV_Domestic</t>
  </si>
  <si>
    <t>Load.t_per_movement.PL.Tr.Road.Freight.HGV_International</t>
  </si>
  <si>
    <t>VehicleKm_per_vehicle.km.PL.Tr.Road</t>
  </si>
  <si>
    <t>VehicleKm_per_vehicle.km.PL.Tr.Road.Passenger</t>
  </si>
  <si>
    <t>VehicleKm_per_vehicle.km.PL.Tr.Road.Passenger.P2W</t>
  </si>
  <si>
    <t>VehicleKm_per_vehicle.km.PL.Tr.Road.Passenger.Car</t>
  </si>
  <si>
    <t>VehicleKm_per_vehicle.km.PL.Tr.Road.Passenger.Car.ICE.Gasoline</t>
  </si>
  <si>
    <t>VehicleKm_per_vehicle.km.PL.Tr.Road.Passenger.Car.ICE.Diesel</t>
  </si>
  <si>
    <t>VehicleKm_per_vehicle.km.PL.Tr.Road.Passenger.Car.ICE.LPG</t>
  </si>
  <si>
    <t>VehicleKm_per_vehicle.km.PL.Tr.Road.Passenger.Car.ICE.NGas</t>
  </si>
  <si>
    <t>VehicleKm_per_vehicle.km.PL.Tr.Road.Passenger.Car.PHEV.Gasoline</t>
  </si>
  <si>
    <t>VehicleKm_per_vehicle.km.PL.Tr.Road.Passenger.Car.BEV</t>
  </si>
  <si>
    <t>VehicleKm_per_vehicle.km.PL.Tr.Road.Passenger.Bus</t>
  </si>
  <si>
    <t>VehicleKm_per_vehicle.km.PL.Tr.Road.Passenger.Bus.ICE.Gasoline</t>
  </si>
  <si>
    <t>VehicleKm_per_vehicle.km.PL.Tr.Road.Passenger.Bus.ICE.Diesel</t>
  </si>
  <si>
    <t>VehicleKm_per_vehicle.km.PL.Tr.Road.Passenger.Bus.ICE.LPG</t>
  </si>
  <si>
    <t>VehicleKm_per_vehicle.km.PL.Tr.Road.Passenger.Bus.ICE.NGas</t>
  </si>
  <si>
    <t>VehicleKm_per_vehicle.km.PL.Tr.Road.Passenger.Bus.BEV</t>
  </si>
  <si>
    <t>VehicleKm_per_vehicle.km.PL.Tr.Road.Freight</t>
  </si>
  <si>
    <t>VehicleKm_per_vehicle.km.PL.Tr.Road.Freight.LCV</t>
  </si>
  <si>
    <t>VehicleKm_per_vehicle.km.PL.Tr.Road.Freight.LCV.ICE.Gasoline</t>
  </si>
  <si>
    <t>VehicleKm_per_vehicle.km.PL.Tr.Road.Freight.LCV.ICE.Diesel</t>
  </si>
  <si>
    <t>VehicleKm_per_vehicle.km.PL.Tr.Road.Freight.LCV.ICE.LPG</t>
  </si>
  <si>
    <t>VehicleKm_per_vehicle.km.PL.Tr.Road.Freight.LCV.ICE.NGas</t>
  </si>
  <si>
    <t>VehicleKm_per_vehicle.km.PL.Tr.Road.Freight.LCV.BEV</t>
  </si>
  <si>
    <t>VehicleKm_per_vehicle.km.PL.Tr.Road.Freight.HGV_All</t>
  </si>
  <si>
    <t>VehicleKm_per_vehicle.km.PL.Tr.Road.Freight.HGV_Domestic</t>
  </si>
  <si>
    <t>VehicleKm_per_vehicle.km.PL.Tr.Road.Freight.HGV_International</t>
  </si>
  <si>
    <t>Activity_per_vehicle.pkm.PL.Tr.Road.Passenger</t>
  </si>
  <si>
    <t>Activity_per_vehicle.pkm.PL.Tr.Road.Passenger.P2W</t>
  </si>
  <si>
    <t>Activity_per_vehicle.pkm.PL.Tr.Road.Passenger.Car</t>
  </si>
  <si>
    <t>Activity_per_vehicle.pkm.PL.Tr.Road.Passenger.Car.ICE.Gasoline</t>
  </si>
  <si>
    <t>Activity_per_vehicle.pkm.PL.Tr.Road.Passenger.Car.ICE.Diesel</t>
  </si>
  <si>
    <t>Activity_per_vehicle.pkm.PL.Tr.Road.Passenger.Car.ICE.LPG</t>
  </si>
  <si>
    <t>Activity_per_vehicle.pkm.PL.Tr.Road.Passenger.Car.ICE.NGas</t>
  </si>
  <si>
    <t>Activity_per_vehicle.pkm.PL.Tr.Road.Passenger.Car.PHEV.Gasoline</t>
  </si>
  <si>
    <t>Activity_per_vehicle.pkm.PL.Tr.Road.Passenger.Car.BEV</t>
  </si>
  <si>
    <t>Activity_per_vehicle.pkm.PL.Tr.Road.Passenger.Bus</t>
  </si>
  <si>
    <t>Activity_per_vehicle.pkm.PL.Tr.Road.Passenger.Bus.ICE.Gasoline</t>
  </si>
  <si>
    <t>Activity_per_vehicle.pkm.PL.Tr.Road.Passenger.Bus.ICE.Diesel</t>
  </si>
  <si>
    <t>Activity_per_vehicle.pkm.PL.Tr.Road.Passenger.Bus.ICE.LPG</t>
  </si>
  <si>
    <t>Activity_per_vehicle.pkm.PL.Tr.Road.Passenger.Bus.ICE.NGas</t>
  </si>
  <si>
    <t>Activity_per_vehicle.pkm.PL.Tr.Road.Passenger.Bus.BEV</t>
  </si>
  <si>
    <t>Activity_per_vehicle.tkm.PL.Tr.Road.Freight</t>
  </si>
  <si>
    <t>Activity_per_vehicle.tkm.PL.Tr.Road.Freight.LCV</t>
  </si>
  <si>
    <t>Activity_per_vehicle.tkm.PL.Tr.Road.Freight.LCV.ICE.Gasoline</t>
  </si>
  <si>
    <t>Activity_per_vehicle.tkm.PL.Tr.Road.Freight.LCV.ICE.Diesel</t>
  </si>
  <si>
    <t>Activity_per_vehicle.tkm.PL.Tr.Road.Freight.LCV.ICE.LPG</t>
  </si>
  <si>
    <t>Activity_per_vehicle.tkm.PL.Tr.Road.Freight.LCV.ICE.NGas</t>
  </si>
  <si>
    <t>Activity_per_vehicle.tkm.PL.Tr.Road.Freight.LCV.BEV</t>
  </si>
  <si>
    <t>Activity_per_vehicle.tkm.PL.Tr.Road.Freight.HGV_All</t>
  </si>
  <si>
    <t>Activity_per_vehicle.tkm.PL.Tr.Road.Freight.HGV_Domestic</t>
  </si>
  <si>
    <t>Activity_per_vehicle.tkm.PL.Tr.Road.Freight.HGV_International</t>
  </si>
  <si>
    <t>Road transport / energy consumption - PL - Poland</t>
  </si>
  <si>
    <t>FEC.ktoe.PL.ES.Tr.Road</t>
  </si>
  <si>
    <t>FEC.ktoe.PL.ES.Tr.Road.LPG</t>
  </si>
  <si>
    <t>FEC.ktoe.PL.ES.Tr.Road.Gasoline</t>
  </si>
  <si>
    <t>FEC.ktoe.PL.ES.Tr.Road.Diesel</t>
  </si>
  <si>
    <t>FEC.ktoe.PL.ES.Tr.Road.NG</t>
  </si>
  <si>
    <t>FEC.ktoe.PL.ES.Tr.Road.Biogas</t>
  </si>
  <si>
    <t>FEC.ktoe.PL.ES.Tr.Road.Biogasoline</t>
  </si>
  <si>
    <t>FEC.ktoe.PL.ES.Tr.Road.Biodiesel</t>
  </si>
  <si>
    <t>FEC.ktoe.PL.ES.Tr.Road.OthLiqBio</t>
  </si>
  <si>
    <t>FEC.ktoe.PL.ES.Tr.Road.Elec</t>
  </si>
  <si>
    <t>FEC.ktoe.PL.Tr.Road</t>
  </si>
  <si>
    <t>FEC.ktoe.PL.Tr.Road.Passenger.P2W.Total.Total.Biogasoline</t>
  </si>
  <si>
    <t>FEC.ktoe.PL.Tr.Road.Passenger.Car.ICE.Gasoline</t>
  </si>
  <si>
    <t>FEC.ktoe.PL.Tr.Road.Passenger.Car.ICE.Gasoline.Biogasoline</t>
  </si>
  <si>
    <t>FEC.ktoe.PL.Tr.Road.Passenger.Car.ICE.Diesel</t>
  </si>
  <si>
    <t>FEC.ktoe.PL.Tr.Road.Passenger.Car.ICE.Diesel.BioDiesel_OthLiqBio</t>
  </si>
  <si>
    <t>FEC.ktoe.PL.Tr.Road.Passenger.Car.ICE.LPG</t>
  </si>
  <si>
    <t>FEC.ktoe.PL.Tr.Road.Passenger.Car.ICE.NGas</t>
  </si>
  <si>
    <t>FEC.ktoe.PL.Tr.Road.Passenger.Car.ICE.NGas.Biogas</t>
  </si>
  <si>
    <t>FEC.ktoe.PL.Tr.Road.Passenger.Car.PHEV.Gasoline</t>
  </si>
  <si>
    <t>FEC.ktoe.PL.Tr.Road.Passenger.Car.PHEV.Gasoline.Biogasoline</t>
  </si>
  <si>
    <t>FEC.ktoe.PL.Tr.Road.Passenger.Car.PHEV.Gasoline.Elec</t>
  </si>
  <si>
    <t>FEC.ktoe.PL.Tr.Road.Passenger.Car.BEV</t>
  </si>
  <si>
    <t>FEC.ktoe.PL.Tr.Road.Passenger.Bus.ICE.Gasoline</t>
  </si>
  <si>
    <t>FEC.ktoe.PL.Tr.Road.Passenger.Bus.ICE.Gasoline.Biogasoline</t>
  </si>
  <si>
    <t>FEC.ktoe.PL.Tr.Road.Passenger.Bus.ICE.Diesel</t>
  </si>
  <si>
    <t>FEC.ktoe.PL.Tr.Road.Passenger.Bus.ICE.Diesel.BioDiesel_OthLiqBio</t>
  </si>
  <si>
    <t>FEC.ktoe.PL.Tr.Road.Passenger.Bus.ICE.LPG</t>
  </si>
  <si>
    <t>FEC.ktoe.PL.Tr.Road.Passenger.Bus.ICE.NGas</t>
  </si>
  <si>
    <t>FEC.ktoe.PL.Tr.Road.Passenger.Bus.ICE.NGas.Biogas</t>
  </si>
  <si>
    <t>FEC.ktoe.PL.Tr.Road.Passenger.Bus.BEV</t>
  </si>
  <si>
    <t>FEC.ktoe.PL.Tr.Road.Freight.LCV.ICE.Gasoline</t>
  </si>
  <si>
    <t>FEC.ktoe.PL.Tr.Road.Freight.LCV.ICE.Gasoline.Biogasoline</t>
  </si>
  <si>
    <t>FEC.ktoe.PL.Tr.Road.Freight.LCV.ICE.Diesel</t>
  </si>
  <si>
    <t>FEC.ktoe.PL.Tr.Road.Freight.LCV.ICE.Diesel.BioDiesel_OthLiqBio</t>
  </si>
  <si>
    <t>FEC.ktoe.PL.Tr.Road.Freight.LCV.ICE.LPG</t>
  </si>
  <si>
    <t>FEC.ktoe.PL.Tr.Road.Freight.LCV.ICE.NGas</t>
  </si>
  <si>
    <t>FEC.ktoe.PL.Tr.Road.Freight.LCV.ICE.NGas.Biogas</t>
  </si>
  <si>
    <t>FEC.ktoe.PL.Tr.Road.Freight.LCV.BEV</t>
  </si>
  <si>
    <t>FEC.ktoe.PL.Tr.Road.Freight.HGV_Domestic</t>
  </si>
  <si>
    <t>FEC.ktoe.PL.Tr.Road.Freight.HGV_Domestic.Total.Total.BioDiesel_OthLiqBio</t>
  </si>
  <si>
    <t>FEC.ktoe.PL.Tr.Road.Freight.HGV_International</t>
  </si>
  <si>
    <t>FEC.ktoe.PL.Tr.Road.Freight.HGV_International.Total.Total.BioDiesel_OthLiqBio</t>
  </si>
  <si>
    <t>Eff.kgoe_per_100km.PL.Tr.Road</t>
  </si>
  <si>
    <t>Eff.kgoe_per_100km.PL.Tr.Road.Passenger</t>
  </si>
  <si>
    <t>Eff.kgoe_per_100km.PL.Tr.Road.Passenger.P2W</t>
  </si>
  <si>
    <t>Eff.kgoe_per_100km.PL.Tr.Road.Passenger.Car</t>
  </si>
  <si>
    <t>Eff.kgoe_per_100km.PL.Tr.Road.Passenger.Car.ICE.Gasoline</t>
  </si>
  <si>
    <t>Eff.kgoe_per_100km.PL.Tr.Road.Passenger.Car.ICE.Diesel</t>
  </si>
  <si>
    <t>Eff.kgoe_per_100km.PL.Tr.Road.Passenger.Car.ICE.LPG</t>
  </si>
  <si>
    <t>Eff.kgoe_per_100km.PL.Tr.Road.Passenger.Car.ICE.NGas</t>
  </si>
  <si>
    <t>Eff.kgoe_per_100km.PL.Tr.Road.Passenger.Car.PHEV.Gasoline</t>
  </si>
  <si>
    <t>Eff.kgoe_per_100km.PL.Tr.Road.Passenger.Car.BEV</t>
  </si>
  <si>
    <t>Eff.kgoe_per_100km.PL.Tr.Road.Passenger.Bus</t>
  </si>
  <si>
    <t>Eff.kgoe_per_100km.PL.Tr.Road.Passenger.Bus.ICE.Gasoline</t>
  </si>
  <si>
    <t>Eff.kgoe_per_100km.PL.Tr.Road.Passenger.Bus.ICE.Diesel</t>
  </si>
  <si>
    <t>Eff.kgoe_per_100km.PL.Tr.Road.Passenger.Bus.ICE.LPG</t>
  </si>
  <si>
    <t>Eff.kgoe_per_100km.PL.Tr.Road.Passenger.Bus.ICE.NGas</t>
  </si>
  <si>
    <t>Eff.kgoe_per_100km.PL.Tr.Road.Passenger.Bus.BEV</t>
  </si>
  <si>
    <t>Eff.kgoe_per_100km.PL.Tr.Road.Freight</t>
  </si>
  <si>
    <t>Eff.kgoe_per_100km.PL.Tr.Road.Freight.LCV</t>
  </si>
  <si>
    <t>Eff.kgoe_per_100km.PL.Tr.Road.Freight.LCV.ICE.Gasoline</t>
  </si>
  <si>
    <t>Eff.kgoe_per_100km.PL.Tr.Road.Freight.LCV.ICE.Diesel</t>
  </si>
  <si>
    <t>Eff.kgoe_per_100km.PL.Tr.Road.Freight.LCV.ICE.LPG</t>
  </si>
  <si>
    <t>Eff.kgoe_per_100km.PL.Tr.Road.Freight.LCV.ICE.NGas</t>
  </si>
  <si>
    <t>Eff.kgoe_per_100km.PL.Tr.Road.Freight.LCV.BEV</t>
  </si>
  <si>
    <t>Eff.kgoe_per_100km.PL.Tr.Road.Freight.HGV_All</t>
  </si>
  <si>
    <t>Eff.kgoe_per_100km.PL.Tr.Road.Freight.HGV_Domestic</t>
  </si>
  <si>
    <t>Eff.kgoe_per_100km.PL.Tr.Road.Freight.HGV_International</t>
  </si>
  <si>
    <t>Eff.kgoe_per_kpkm.PL.Tr.Road.Passenger.Car.ICE.Gasoline</t>
  </si>
  <si>
    <t>Eff.kgoe_per_kpkm.PL.Tr.Road.Passenger.Car.ICE.Diesel</t>
  </si>
  <si>
    <t>Eff.kgoe_per_kpkm.PL.Tr.Road.Passenger.Car.ICE.LPG</t>
  </si>
  <si>
    <t>Eff.kgoe_per_kpkm.PL.Tr.Road.Passenger.Car.ICE.NGas</t>
  </si>
  <si>
    <t>Eff.kgoe_per_kpkm.PL.Tr.Road.Passenger.Car.PHEV.Gasoline</t>
  </si>
  <si>
    <t>Eff.kgoe_per_kpkm.PL.Tr.Road.Passenger.Car.BEV</t>
  </si>
  <si>
    <t>Eff.kgoe_per_kpkm.PL.Tr.Road.Passenger.Bus.ICE.Gasoline</t>
  </si>
  <si>
    <t>Eff.kgoe_per_kpkm.PL.Tr.Road.Passenger.Bus.ICE.Diesel</t>
  </si>
  <si>
    <t>Eff.kgoe_per_kpkm.PL.Tr.Road.Passenger.Bus.ICE.LPG</t>
  </si>
  <si>
    <t>Eff.kgoe_per_kpkm.PL.Tr.Road.Passenger.Bus.ICE.NGas</t>
  </si>
  <si>
    <t>Eff.kgoe_per_kpkm.PL.Tr.Road.Passenger.Bus.BEV</t>
  </si>
  <si>
    <t>Eff.kgoe_per_ktkm.PL.Tr.Road.Freight.LCV.ICE.Gasoline</t>
  </si>
  <si>
    <t>Eff.kgoe_per_ktkm.PL.Tr.Road.Freight.LCV.ICE.Diesel</t>
  </si>
  <si>
    <t>Eff.kgoe_per_ktkm.PL.Tr.Road.Freight.LCV.ICE.LPG</t>
  </si>
  <si>
    <t>Eff.kgoe_per_ktkm.PL.Tr.Road.Freight.LCV.ICE.NGas</t>
  </si>
  <si>
    <t>Eff.kgoe_per_ktkm.PL.Tr.Road.Freight.LCV.BEV</t>
  </si>
  <si>
    <t>Eff.kgoe_per_ktkm.PL.Tr.Road.Freight.HGV_Domestic</t>
  </si>
  <si>
    <t>Eff.kgoe_per_ktkm.PL.Tr.Road.Freight.HGV_International</t>
  </si>
  <si>
    <t>FEC_per_vehicle.kgoe.PL.Tr.Road.Passenger.P2W</t>
  </si>
  <si>
    <t>FEC_per_vehicle.kgoe.PL.Tr.Road.Passenger.Car</t>
  </si>
  <si>
    <t>FEC_per_vehicle.kgoe.PL.Tr.Road.Passenger.Car.ICE.Gasoline</t>
  </si>
  <si>
    <t>FEC_per_vehicle.kgoe.PL.Tr.Road.Passenger.Car.ICE.Diesel</t>
  </si>
  <si>
    <t>FEC_per_vehicle.kgoe.PL.Tr.Road.Passenger.Car.ICE.LPG</t>
  </si>
  <si>
    <t>FEC_per_vehicle.kgoe.PL.Tr.Road.Passenger.Car.ICE.NGas</t>
  </si>
  <si>
    <t>FEC_per_vehicle.kgoe.PL.Tr.Road.Passenger.Car.PHEV.Gasoline</t>
  </si>
  <si>
    <t>FEC_per_vehicle.kgoe.PL.Tr.Road.Passenger.Car.BEV</t>
  </si>
  <si>
    <t>FEC_per_vehicle.kgoe.PL.Tr.Road.Passenger.Bus</t>
  </si>
  <si>
    <t>FEC_per_vehicle.kgoe.PL.Tr.Road.Passenger.Bus.ICE.Gasoline</t>
  </si>
  <si>
    <t>FEC_per_vehicle.kgoe.PL.Tr.Road.Passenger.Bus.ICE.Diesel</t>
  </si>
  <si>
    <t>FEC_per_vehicle.kgoe.PL.Tr.Road.Passenger.Bus.ICE.LPG</t>
  </si>
  <si>
    <t>FEC_per_vehicle.kgoe.PL.Tr.Road.Passenger.Bus.ICE.NGas</t>
  </si>
  <si>
    <t>FEC_per_vehicle.kgoe.PL.Tr.Road.Passenger.Bus.BEV</t>
  </si>
  <si>
    <t>FEC_per_vehicle.kgoe.PL.Tr.Road.Freight.LCV</t>
  </si>
  <si>
    <t>FEC_per_vehicle.kgoe.PL.Tr.Road.Freight.LCV.ICE.Gasoline</t>
  </si>
  <si>
    <t>FEC_per_vehicle.kgoe.PL.Tr.Road.Freight.LCV.ICE.Diesel</t>
  </si>
  <si>
    <t>FEC_per_vehicle.kgoe.PL.Tr.Road.Freight.LCV.ICE.LPG</t>
  </si>
  <si>
    <t>FEC_per_vehicle.kgoe.PL.Tr.Road.Freight.LCV.ICE.NGas</t>
  </si>
  <si>
    <t>FEC_per_vehicle.kgoe.PL.Tr.Road.Freight.LCV.BEV</t>
  </si>
  <si>
    <t>FEC_per_vehicle.kgoe.PL.Tr.Road.Freight.HGV_All</t>
  </si>
  <si>
    <t>FEC_per_vehicle.kgoe.PL.Tr.Road.Freight.HGV_Domestic</t>
  </si>
  <si>
    <t>FEC_per_vehicle.kgoe.PL.Tr.Road.Freight.HGV_International</t>
  </si>
  <si>
    <t>Road transport / CO2 emissions - PL - Poland</t>
  </si>
  <si>
    <t>EMI.ktCO2.PL.ES.Tr.Road</t>
  </si>
  <si>
    <t>EMI.ktCO2.PL.ES.Tr.Road.LPG</t>
  </si>
  <si>
    <t>EMI.ktCO2.PL.ES.Tr.Road.Gasoline</t>
  </si>
  <si>
    <t>EMI.ktCO2.PL.ES.Tr.Road.Diesel</t>
  </si>
  <si>
    <t>EMI.ktCO2.PL.ES.Tr.Road.NG</t>
  </si>
  <si>
    <t>EMI.ktCO2.PL.ES.Tr.Road.Biogas</t>
  </si>
  <si>
    <t>EMI.ktCO2.PL.ES.Tr.Road.Biogasoline</t>
  </si>
  <si>
    <t>EMI.ktCO2.PL.ES.Tr.Road.Biodiesel</t>
  </si>
  <si>
    <t>EMI.ktCO2.PL.ES.Tr.Road.OthLiqBio</t>
  </si>
  <si>
    <t>EMI.ktCO2.PL.ES.Tr.Road.Elec</t>
  </si>
  <si>
    <t>EMI.ktCO2.PL.Tr.Road</t>
  </si>
  <si>
    <t>EMI.ktCO2.PL.Tr.Road.Passenger.Car.ICE.Gasoline</t>
  </si>
  <si>
    <t>EMI.ktCO2.PL.Tr.Road.Passenger.Car.ICE.Diesel</t>
  </si>
  <si>
    <t>EMI.ktCO2.PL.Tr.Road.Passenger.Car.ICE.LPG</t>
  </si>
  <si>
    <t>EMI.ktCO2.PL.Tr.Road.Passenger.Car.ICE.NGas</t>
  </si>
  <si>
    <t>EMI.ktCO2.PL.Tr.Road.Passenger.Car.PHEV.Gasoline</t>
  </si>
  <si>
    <t>EMI.ktCO2.PL.Tr.Road.Passenger.Car.BEV</t>
  </si>
  <si>
    <t>EMI.ktCO2.PL.Tr.Road.Passenger.Bus.ICE.Gasoline</t>
  </si>
  <si>
    <t>EMI.ktCO2.PL.Tr.Road.Passenger.Bus.ICE.Diesel</t>
  </si>
  <si>
    <t>EMI.ktCO2.PL.Tr.Road.Passenger.Bus.ICE.LPG</t>
  </si>
  <si>
    <t>EMI.ktCO2.PL.Tr.Road.Passenger.Bus.ICE.NGas</t>
  </si>
  <si>
    <t>EMI.ktCO2.PL.Tr.Road.Passenger.Bus.BEV</t>
  </si>
  <si>
    <t>EMI.ktCO2.PL.Tr.Road.Freight.LCV.ICE.Gasoline</t>
  </si>
  <si>
    <t>EMI.ktCO2.PL.Tr.Road.Freight.LCV.ICE.Diesel</t>
  </si>
  <si>
    <t>EMI.ktCO2.PL.Tr.Road.Freight.LCV.ICE.LPG</t>
  </si>
  <si>
    <t>EMI.ktCO2.PL.Tr.Road.Freight.LCV.ICE.NGas</t>
  </si>
  <si>
    <t>EMI.ktCO2.PL.Tr.Road.Freight.LCV.BEV</t>
  </si>
  <si>
    <t>EMI.ktCO2.PL.Tr.Road.Freight.HGV_Domestic</t>
  </si>
  <si>
    <t>EMI.ktCO2.PL.Tr.Road.Freight.HGV_International</t>
  </si>
  <si>
    <t>EMIint.gCO2_per_km.PL.Tr.Road</t>
  </si>
  <si>
    <t>EMIint.gCO2_per_km.PL.Tr.Road.Passenger</t>
  </si>
  <si>
    <t>EMIint.gCO2_per_km.PL.Tr.Road.Passenger.P2W</t>
  </si>
  <si>
    <t>EMIint.gCO2_per_km.PL.Tr.Road.Passenger.Car</t>
  </si>
  <si>
    <t>EMIint.gCO2_per_km.PL.Tr.Road.Passenger.Car.ICE.Gasoline</t>
  </si>
  <si>
    <t>EMIint.gCO2_per_km.PL.Tr.Road.Passenger.Car.ICE.Diesel</t>
  </si>
  <si>
    <t>EMIint.gCO2_per_km.PL.Tr.Road.Passenger.Car.ICE.LPG</t>
  </si>
  <si>
    <t>EMIint.gCO2_per_km.PL.Tr.Road.Passenger.Car.ICE.NGas</t>
  </si>
  <si>
    <t>EMIint.gCO2_per_km.PL.Tr.Road.Passenger.Car.PHEV.Gasoline</t>
  </si>
  <si>
    <t>EMIint.gCO2_per_km.PL.Tr.Road.Passenger.Car.BEV</t>
  </si>
  <si>
    <t>EMIint.gCO2_per_km.PL.Tr.Road.Passenger.Bus</t>
  </si>
  <si>
    <t>EMIint.gCO2_per_km.PL.Tr.Road.Passenger.Bus.ICE.Gasoline</t>
  </si>
  <si>
    <t>EMIint.gCO2_per_km.PL.Tr.Road.Passenger.Bus.ICE.Diesel</t>
  </si>
  <si>
    <t>EMIint.gCO2_per_km.PL.Tr.Road.Passenger.Bus.ICE.LPG</t>
  </si>
  <si>
    <t>EMIint.gCO2_per_km.PL.Tr.Road.Passenger.Bus.ICE.NGas</t>
  </si>
  <si>
    <t>EMIint.gCO2_per_km.PL.Tr.Road.Passenger.Bus.BEV</t>
  </si>
  <si>
    <t>EMIint.gCO2_per_km.PL.Tr.Road.Freight</t>
  </si>
  <si>
    <t>EMIint.gCO2_per_km.PL.Tr.Road.Freight.LCV</t>
  </si>
  <si>
    <t>EMIint.gCO2_per_km.PL.Tr.Road.Freight.LCV.ICE.Gasoline</t>
  </si>
  <si>
    <t>EMIint.gCO2_per_km.PL.Tr.Road.Freight.LCV.ICE.Diesel</t>
  </si>
  <si>
    <t>EMIint.gCO2_per_km.PL.Tr.Road.Freight.LCV.ICE.LPG</t>
  </si>
  <si>
    <t>EMIint.gCO2_per_km.PL.Tr.Road.Freight.LCV.ICE.NGas</t>
  </si>
  <si>
    <t>EMIint.gCO2_per_km.PL.Tr.Road.Freight.LCV.BEV</t>
  </si>
  <si>
    <t>EMIint.gCO2_per_km.PL.Tr.Road.Freight.HGV_All</t>
  </si>
  <si>
    <t>EMIint.gCO2_per_km.PL.Tr.Road.Freight.HGV_Domestic</t>
  </si>
  <si>
    <t>EMIint.gCO2_per_km.PL.Tr.Road.Freight.HGV_International</t>
  </si>
  <si>
    <t>EMIint.gCO2_per_pkm.PL.Tr.Road.Passenger.Car.ICE.Gasoline</t>
  </si>
  <si>
    <t>EMIint.gCO2_per_pkm.PL.Tr.Road.Passenger.Car.ICE.Diesel</t>
  </si>
  <si>
    <t>EMIint.gCO2_per_pkm.PL.Tr.Road.Passenger.Car.ICE.LPG</t>
  </si>
  <si>
    <t>EMIint.gCO2_per_pkm.PL.Tr.Road.Passenger.Car.ICE.NGas</t>
  </si>
  <si>
    <t>EMIint.gCO2_per_pkm.PL.Tr.Road.Passenger.Car.PHEV.Gasoline</t>
  </si>
  <si>
    <t>EMIint.gCO2_per_pkm.PL.Tr.Road.Passenger.Car.BEV</t>
  </si>
  <si>
    <t>EMIint.gCO2_per_pkm.PL.Tr.Road.Passenger.Bus.ICE.Gasoline</t>
  </si>
  <si>
    <t>EMIint.gCO2_per_pkm.PL.Tr.Road.Passenger.Bus.ICE.Diesel</t>
  </si>
  <si>
    <t>EMIint.gCO2_per_pkm.PL.Tr.Road.Passenger.Bus.ICE.LPG</t>
  </si>
  <si>
    <t>EMIint.gCO2_per_pkm.PL.Tr.Road.Passenger.Bus.ICE.NGas</t>
  </si>
  <si>
    <t>EMIint.gCO2_per_pkm.PL.Tr.Road.Passenger.Bus.BEV</t>
  </si>
  <si>
    <t>EMIint.gCO2_per_tkm.PL.Tr.Road.Freight.LCV.ICE.Gasoline</t>
  </si>
  <si>
    <t>EMIint.gCO2_per_tkm.PL.Tr.Road.Freight.LCV.ICE.Diesel</t>
  </si>
  <si>
    <t>EMIint.gCO2_per_tkm.PL.Tr.Road.Freight.LCV.ICE.LPG</t>
  </si>
  <si>
    <t>EMIint.gCO2_per_tkm.PL.Tr.Road.Freight.LCV.ICE.NGas</t>
  </si>
  <si>
    <t>EMIint.gCO2_per_tkm.PL.Tr.Road.Freight.LCV.BEV</t>
  </si>
  <si>
    <t>EMIint.gCO2_per_tkm.PL.Tr.Road.Freight.HGV_Domestic</t>
  </si>
  <si>
    <t>EMIint.gCO2_per_tkm.PL.Tr.Road.Freight.HGV_International</t>
  </si>
  <si>
    <t>EMI_per_vehicle.kgCO2.PL.Tr.Road.Passenger.P2W</t>
  </si>
  <si>
    <t>EMI_per_vehicle.kgCO2.PL.Tr.Road.Passenger.Car</t>
  </si>
  <si>
    <t>EMI_per_vehicle.kgCO2.PL.Tr.Road.Passenger.Car.ICE.Gasoline</t>
  </si>
  <si>
    <t>EMI_per_vehicle.kgCO2.PL.Tr.Road.Passenger.Car.ICE.Diesel</t>
  </si>
  <si>
    <t>EMI_per_vehicle.kgCO2.PL.Tr.Road.Passenger.Car.ICE.LPG</t>
  </si>
  <si>
    <t>EMI_per_vehicle.kgCO2.PL.Tr.Road.Passenger.Car.ICE.NGas</t>
  </si>
  <si>
    <t>EMI_per_vehicle.kgCO2.PL.Tr.Road.Passenger.Car.PHEV.Gasoline</t>
  </si>
  <si>
    <t>EMI_per_vehicle.kgCO2.PL.Tr.Road.Passenger.Car.BEV</t>
  </si>
  <si>
    <t>EMI_per_vehicle.kgCO2.PL.Tr.Road.Passenger.Bus</t>
  </si>
  <si>
    <t>EMI_per_vehicle.kgCO2.PL.Tr.Road.Passenger.Bus.ICE.Gasoline</t>
  </si>
  <si>
    <t>EMI_per_vehicle.kgCO2.PL.Tr.Road.Passenger.Bus.ICE.Diesel</t>
  </si>
  <si>
    <t>EMI_per_vehicle.kgCO2.PL.Tr.Road.Passenger.Bus.ICE.LPG</t>
  </si>
  <si>
    <t>EMI_per_vehicle.kgCO2.PL.Tr.Road.Passenger.Bus.ICE.NGas</t>
  </si>
  <si>
    <t>EMI_per_vehicle.kgCO2.PL.Tr.Road.Passenger.Bus.BEV</t>
  </si>
  <si>
    <t>EMI_per_vehicle.kgCO2.PL.Tr.Road.Freight.LCV</t>
  </si>
  <si>
    <t>EMI_per_vehicle.kgCO2.PL.Tr.Road.Freight.LCV.ICE.Gasoline</t>
  </si>
  <si>
    <t>EMI_per_vehicle.kgCO2.PL.Tr.Road.Freight.LCV.ICE.Diesel</t>
  </si>
  <si>
    <t>EMI_per_vehicle.kgCO2.PL.Tr.Road.Freight.LCV.ICE.LPG</t>
  </si>
  <si>
    <t>EMI_per_vehicle.kgCO2.PL.Tr.Road.Freight.LCV.ICE.NGas</t>
  </si>
  <si>
    <t>EMI_per_vehicle.kgCO2.PL.Tr.Road.Freight.LCV.BEV</t>
  </si>
  <si>
    <t>EMI_per_vehicle.kgCO2.PL.Tr.Road.Freight.HGV_All</t>
  </si>
  <si>
    <t>EMI_per_vehicle.kgCO2.PL.Tr.Road.Freight.HGV_Domestic</t>
  </si>
  <si>
    <t>EMI_per_vehicle.kgCO2.PL.Tr.Road.Freight.HGV_International</t>
  </si>
  <si>
    <t>Road transport / technologies - PL - Poland</t>
  </si>
  <si>
    <t>Stock.number.PL.Tr.Road.Freight.HGV_all</t>
  </si>
  <si>
    <t>StockVin.number.PL.Tr.Road</t>
  </si>
  <si>
    <t>StockVin.number.PL.Tr.Road.Passenger</t>
  </si>
  <si>
    <t>StockVin.number.PL.Tr.Road.Passenger.P2W</t>
  </si>
  <si>
    <t>StockVin.number.PL.Tr.Road.Passenger.Car</t>
  </si>
  <si>
    <t>StockVin.number.PL.Tr.Road.Passenger.Car.ICE.Gasoline</t>
  </si>
  <si>
    <t>StockVin.number.PL.Tr.Road.Passenger.Car.ICE.Diesel</t>
  </si>
  <si>
    <t>StockVin.number.PL.Tr.Road.Passenger.Car.ICE.LPG</t>
  </si>
  <si>
    <t>StockVin.number.PL.Tr.Road.Passenger.Car.ICE.NGas</t>
  </si>
  <si>
    <t>StockVin.number.PL.Tr.Road.Passenger.Car.PHEV.Gasoline</t>
  </si>
  <si>
    <t>StockVin.number.PL.Tr.Road.Passenger.Car.BEV</t>
  </si>
  <si>
    <t>StockVin.number.PL.Tr.Road.Passenger.Bus</t>
  </si>
  <si>
    <t>StockVin.number.PL.Tr.Road.Passenger.Bus.ICE.Gasoline</t>
  </si>
  <si>
    <t>StockVin.number.PL.Tr.Road.Passenger.Bus.ICE.Diesel</t>
  </si>
  <si>
    <t>StockVin.number.PL.Tr.Road.Passenger.Bus.ICE.LPG</t>
  </si>
  <si>
    <t>StockVin.number.PL.Tr.Road.Passenger.Bus.ICE.NGas</t>
  </si>
  <si>
    <t>StockVin.number.PL.Tr.Road.Passenger.Bus.BEV</t>
  </si>
  <si>
    <t>StockVin.number.PL.Tr.Road.Freight</t>
  </si>
  <si>
    <t>StockVin.number.PL.Tr.Road.Freight.LCV</t>
  </si>
  <si>
    <t>StockVin.number.PL.Tr.Road.Freight.LCV.ICE.Gasoline</t>
  </si>
  <si>
    <t>StockVin.number.PL.Tr.Road.Freight.LCV.ICE.Diesel</t>
  </si>
  <si>
    <t>StockVin.number.PL.Tr.Road.Freight.LCV.ICE.LPG</t>
  </si>
  <si>
    <t>StockVin.number.PL.Tr.Road.Freight.LCV.ICE.NGas</t>
  </si>
  <si>
    <t>StockVin.number.PL.Tr.Road.Freight.LCV.BEV</t>
  </si>
  <si>
    <t>StockVin.number.PL.Tr.Road.Freight.HGV_All</t>
  </si>
  <si>
    <t>StockVin.number.PL.Tr.Road.Freight.HGV_Domestic</t>
  </si>
  <si>
    <t>StockVin.number.PL.Tr.Road.Freight.HGV_International</t>
  </si>
  <si>
    <t>Eff_test_stock.kgoe_per_100km.PL.Tr.Road.Passenger.P2W</t>
  </si>
  <si>
    <t>Eff_test_stock.kgoe_per_100km.PL.Tr.Road.Passenger.Car</t>
  </si>
  <si>
    <t>Eff_test_stock.kgoe_per_100km.PL.Tr.Road.Passenger.Car.ICE.Gasoline</t>
  </si>
  <si>
    <t>Eff_test_stock.kgoe_per_100km.PL.Tr.Road.Passenger.Car.ICE.Diesel</t>
  </si>
  <si>
    <t>Eff_test_stock.kgoe_per_100km.PL.Tr.Road.Passenger.Car.ICE.LPG</t>
  </si>
  <si>
    <t>Eff_test_stock.kgoe_per_100km.PL.Tr.Road.Passenger.Car.ICE.NGas</t>
  </si>
  <si>
    <t>Eff_test_stock.kgoe_per_100km.PL.Tr.Road.Passenger.Car.PHEV.Gasoline</t>
  </si>
  <si>
    <t>Eff_test_stock.kgoe_per_100km.PL.Tr.Road.Passenger.Car.BEV</t>
  </si>
  <si>
    <t>Eff_test_stock.kgoe_per_100km.PL.Tr.Road.Passenger.Bus</t>
  </si>
  <si>
    <t>Eff_test_stock.kgoe_per_100km.PL.Tr.Road.Passenger.Bus.ICE.Gasoline</t>
  </si>
  <si>
    <t>Eff_test_stock.kgoe_per_100km.PL.Tr.Road.Passenger.Bus.ICE.Diesel</t>
  </si>
  <si>
    <t>Eff_test_stock.kgoe_per_100km.PL.Tr.Road.Passenger.Bus.ICE.LPG</t>
  </si>
  <si>
    <t>Eff_test_stock.kgoe_per_100km.PL.Tr.Road.Passenger.Bus.ICE.NGas</t>
  </si>
  <si>
    <t>Eff_test_stock.kgoe_per_100km.PL.Tr.Road.Passenger.Bus.BEV</t>
  </si>
  <si>
    <t>Eff_test_stock.kgoe_per_100km.PL.Tr.Road.Freight.LCV</t>
  </si>
  <si>
    <t>Eff_test_stock.kgoe_per_100km.PL.Tr.Road.Freight.LCV.ICE.Gasoline</t>
  </si>
  <si>
    <t>Eff_test_stock.kgoe_per_100km.PL.Tr.Road.Freight.LCV.ICE.Diesel</t>
  </si>
  <si>
    <t>Eff_test_stock.kgoe_per_100km.PL.Tr.Road.Freight.LCV.ICE.LPG</t>
  </si>
  <si>
    <t>Eff_test_stock.kgoe_per_100km.PL.Tr.Road.Freight.LCV.ICE.NGas</t>
  </si>
  <si>
    <t>Eff_test_stock.kgoe_per_100km.PL.Tr.Road.Freight.LCV.BEV</t>
  </si>
  <si>
    <t>Eff_test_stock.kgoe_per_100km.PL.Tr.Road.Freight.HGV_All</t>
  </si>
  <si>
    <t>Eff_test_stock.kgoe_per_100km.PL.Tr.Road.Freight.HGV_Domestic</t>
  </si>
  <si>
    <t>Eff_test_stock.kgoe_per_100km.PL.Tr.Road.Freight.HGV_International</t>
  </si>
  <si>
    <t>Eff_test_new.kgoe_per_100km.PL.Tr.Road.Passenger.P2W</t>
  </si>
  <si>
    <t>Eff_test_new.kgoe_per_100km.PL.Tr.Road.Passenger.Car</t>
  </si>
  <si>
    <t>Eff_test_new.kgoe_per_100km.PL.Tr.Road.Passenger.Car.ICE.Gasoline</t>
  </si>
  <si>
    <t>Eff_test_new.kgoe_per_100km.PL.Tr.Road.Passenger.Car.ICE.Diesel</t>
  </si>
  <si>
    <t>Eff_test_new.kgoe_per_100km.PL.Tr.Road.Passenger.Car.ICE.LPG</t>
  </si>
  <si>
    <t>Eff_test_new.kgoe_per_100km.PL.Tr.Road.Passenger.Car.ICE.NGas</t>
  </si>
  <si>
    <t>Eff_test_new.kgoe_per_100km.PL.Tr.Road.Passenger.Car.PHEV.Gasoline</t>
  </si>
  <si>
    <t>Eff_test_new.kgoe_per_100km.PL.Tr.Road.Passenger.Car.BEV</t>
  </si>
  <si>
    <t>Eff_test_new.kgoe_per_100km.PL.Tr.Road.Passenger.Bus</t>
  </si>
  <si>
    <t>Eff_test_new.kgoe_per_100km.PL.Tr.Road.Passenger.Bus.ICE.Gasoline</t>
  </si>
  <si>
    <t>Eff_test_new.kgoe_per_100km.PL.Tr.Road.Passenger.Bus.ICE.Diesel</t>
  </si>
  <si>
    <t>Eff_test_new.kgoe_per_100km.PL.Tr.Road.Passenger.Bus.ICE.LPG</t>
  </si>
  <si>
    <t>Eff_test_new.kgoe_per_100km.PL.Tr.Road.Passenger.Bus.ICE.NGas</t>
  </si>
  <si>
    <t>Eff_test_new.kgoe_per_100km.PL.Tr.Road.Passenger.Bus.BEV</t>
  </si>
  <si>
    <t>Eff_test_new.kgoe_per_100km.PL.Tr.Road.Freight.LCV</t>
  </si>
  <si>
    <t>Eff_test_new.kgoe_per_100km.PL.Tr.Road.Freight.LCV.ICE.Gasoline</t>
  </si>
  <si>
    <t>Eff_test_new.kgoe_per_100km.PL.Tr.Road.Freight.LCV.ICE.Diesel</t>
  </si>
  <si>
    <t>Eff_test_new.kgoe_per_100km.PL.Tr.Road.Freight.LCV.ICE.LPG</t>
  </si>
  <si>
    <t>Eff_test_new.kgoe_per_100km.PL.Tr.Road.Freight.LCV.ICE.NGas</t>
  </si>
  <si>
    <t>Eff_test_new.kgoe_per_100km.PL.Tr.Road.Freight.LCV.BEV</t>
  </si>
  <si>
    <t>Eff_test_new.kgoe_per_100km.PL.Tr.Road.Freight.HGV_All</t>
  </si>
  <si>
    <t>Eff_test_new.kgoe_per_100km.PL.Tr.Road.Freight.HGV_Domestic</t>
  </si>
  <si>
    <t>Eff_test_new.kgoe_per_100km.PL.Tr.Road.Freight.HGV_International</t>
  </si>
  <si>
    <t>EMIint_test_stock.gCO2_per_km.PL.Tr.Road.Passenger.P2W</t>
  </si>
  <si>
    <t>EMIint_test_stock.gCO2_per_km.PL.Tr.Road.Passenger.Car</t>
  </si>
  <si>
    <t>EMIint_test_stock.gCO2_per_km.PL.Tr.Road.Passenger.Car.ICE.Gasoline</t>
  </si>
  <si>
    <t>EMIint_test_stock.gCO2_per_km.PL.Tr.Road.Passenger.Car.ICE.Diesel</t>
  </si>
  <si>
    <t>EMIint_test_stock.gCO2_per_km.PL.Tr.Road.Passenger.Car.ICE.LPG</t>
  </si>
  <si>
    <t>EMIint_test_stock.gCO2_per_km.PL.Tr.Road.Passenger.Car.ICE.NGas</t>
  </si>
  <si>
    <t>EMIint_test_stock.gCO2_per_km.PL.Tr.Road.Passenger.Car.PHEV.Gasoline</t>
  </si>
  <si>
    <t>EMIint_test_stock.gCO2_per_km.PL.Tr.Road.Passenger.Car.BEV</t>
  </si>
  <si>
    <t>EMIint_test_stock.gCO2_per_km.PL.Tr.Road.Passenger.Bus</t>
  </si>
  <si>
    <t>EMIint_test_stock.gCO2_per_km.PL.Tr.Road.Passenger.Bus.ICE.Gasoline</t>
  </si>
  <si>
    <t>EMIint_test_stock.gCO2_per_km.PL.Tr.Road.Passenger.Bus.ICE.Diesel</t>
  </si>
  <si>
    <t>EMIint_test_stock.gCO2_per_km.PL.Tr.Road.Passenger.Bus.ICE.LPG</t>
  </si>
  <si>
    <t>EMIint_test_stock.gCO2_per_km.PL.Tr.Road.Passenger.Bus.ICE.NGas</t>
  </si>
  <si>
    <t>EMIint_test_stock.gCO2_per_km.PL.Tr.Road.Passenger.Bus.BEV</t>
  </si>
  <si>
    <t>EMIint_test_stock.gCO2_per_km.PL.Tr.Road.Freight.LCV</t>
  </si>
  <si>
    <t>EMIint_test_stock.gCO2_per_km.PL.Tr.Road.Freight.LCV.ICE.Gasoline</t>
  </si>
  <si>
    <t>EMIint_test_stock.gCO2_per_km.PL.Tr.Road.Freight.LCV.ICE.Diesel</t>
  </si>
  <si>
    <t>EMIint_test_stock.gCO2_per_km.PL.Tr.Road.Freight.LCV.ICE.LPG</t>
  </si>
  <si>
    <t>EMIint_test_stock.gCO2_per_km.PL.Tr.Road.Freight.LCV.ICE.NGas</t>
  </si>
  <si>
    <t>EMIint_test_stock.gCO2_per_km.PL.Tr.Road.Freight.LCV.BEV</t>
  </si>
  <si>
    <t>EMIint_test_stock.gCO2_per_km.PL.Tr.Road.Freight.HGV_All</t>
  </si>
  <si>
    <t>EMIint_test_stock.gCO2_per_km.PL.Tr.Road.Freight.HGV_Domestic</t>
  </si>
  <si>
    <t>EMIint_test_stock.gCO2_per_km.PL.Tr.Road.Freight.HGV_International</t>
  </si>
  <si>
    <t>EMIint_test_new.gCO2_per_km.PL.Tr.Road.Passenger.P2W</t>
  </si>
  <si>
    <t>EMIint_test_new.gCO2_per_km.PL.Tr.Road.Passenger.Car</t>
  </si>
  <si>
    <t>EMIint_test_new.gCO2_per_km.PL.Tr.Road.Passenger.Car.ICE.Gasoline</t>
  </si>
  <si>
    <t>EMIint_test_new.gCO2_per_km.PL.Tr.Road.Passenger.Car.ICE.Diesel</t>
  </si>
  <si>
    <t>EMIint_test_new.gCO2_per_km.PL.Tr.Road.Passenger.Car.ICE.LPG</t>
  </si>
  <si>
    <t>EMIint_test_new.gCO2_per_km.PL.Tr.Road.Passenger.Car.ICE.NGas</t>
  </si>
  <si>
    <t>EMIint_test_new.gCO2_per_km.PL.Tr.Road.Passenger.Car.PHEV.Gasoline</t>
  </si>
  <si>
    <t>EMIint_test_new.gCO2_per_km.PL.Tr.Road.Passenger.Car.BEV</t>
  </si>
  <si>
    <t>EMIint_test_new.gCO2_per_km.PL.Tr.Road.Passenger.Bus</t>
  </si>
  <si>
    <t>EMIint_test_new.gCO2_per_km.PL.Tr.Road.Passenger.Bus.ICE.Gasoline</t>
  </si>
  <si>
    <t>EMIint_test_new.gCO2_per_km.PL.Tr.Road.Passenger.Bus.ICE.Diesel</t>
  </si>
  <si>
    <t>EMIint_test_new.gCO2_per_km.PL.Tr.Road.Passenger.Bus.ICE.LPG</t>
  </si>
  <si>
    <t>EMIint_test_new.gCO2_per_km.PL.Tr.Road.Passenger.Bus.ICE.NGas</t>
  </si>
  <si>
    <t>EMIint_test_new.gCO2_per_km.PL.Tr.Road.Passenger.Bus.BEV</t>
  </si>
  <si>
    <t>EMIint_test_new.gCO2_per_km.PL.Tr.Road.Freight.LCV</t>
  </si>
  <si>
    <t>EMIint_test_new.gCO2_per_km.PL.Tr.Road.Freight.LCV.ICE.Gasoline</t>
  </si>
  <si>
    <t>EMIint_test_new.gCO2_per_km.PL.Tr.Road.Freight.LCV.ICE.Diesel</t>
  </si>
  <si>
    <t>EMIint_test_new.gCO2_per_km.PL.Tr.Road.Freight.LCV.ICE.LPG</t>
  </si>
  <si>
    <t>EMIint_test_new.gCO2_per_km.PL.Tr.Road.Freight.LCV.ICE.NGas</t>
  </si>
  <si>
    <t>EMIint_test_new.gCO2_per_km.PL.Tr.Road.Freight.LCV.BEV</t>
  </si>
  <si>
    <t>EMIint_test_new.gCO2_per_km.PL.Tr.Road.Freight.HGV_All</t>
  </si>
  <si>
    <t>EMIint_test_new.gCO2_per_km.PL.Tr.Road.Freight.HGV_Domestic</t>
  </si>
  <si>
    <t>EMIint_test_new.gCO2_per_km.PL.Tr.Road.Freight.HGV_International</t>
  </si>
  <si>
    <t>FEC.ktoe.PL.MBunk</t>
  </si>
  <si>
    <t>FEC.ktoe.PL.MBunk.IntraEEA</t>
  </si>
  <si>
    <t>FEC.ktoe.PL.MBunk.ExtraEEA</t>
  </si>
  <si>
    <t>EMI.ktCO2.PL.MBunk</t>
  </si>
  <si>
    <t>EMI.ktCO2.PL.MBunk.IntraEEA</t>
  </si>
  <si>
    <t>EMI.ktCO2.PL.MBunk.ExtraEEA</t>
  </si>
  <si>
    <t>International maritime bunkers - PL - Poland</t>
  </si>
  <si>
    <t>VehicleKm.Mkm.PL.MBunk.Freight</t>
  </si>
  <si>
    <t>VehicleKm.Mkm.PL.MBunk.Freight.IntraEEA</t>
  </si>
  <si>
    <t>VehicleKm.Mkm.PL.MBunk.Freight.ExtraEEA</t>
  </si>
  <si>
    <t>Load.t_per_movement.PL.MBunk.Freight</t>
  </si>
  <si>
    <t>Load.t_per_movement.PL.MBunk.Freight.IntraEEA</t>
  </si>
  <si>
    <t>Load.t_per_movement.PL.MBunk.Freight.ExtraEEA</t>
  </si>
  <si>
    <t>International maritime bunkers / energy consumption - PL - Poland</t>
  </si>
  <si>
    <t>FEC.ktoe.PL.ES.MBunk</t>
  </si>
  <si>
    <t>FEC.ktoe.PL.ES.MBunk.IntraEEA</t>
  </si>
  <si>
    <t>FEC.ktoe.PL.ES.MBunk.IntraEEA.Diesel</t>
  </si>
  <si>
    <t>FEC.ktoe.PL.ES.MBunk.IntraEEA.RFO_Other</t>
  </si>
  <si>
    <t>FEC.ktoe.PL.ES.MBunk.IntraEEA.LiqBio</t>
  </si>
  <si>
    <t>FEC.ktoe.PL.ES.MBunk.IntraEEA.NG</t>
  </si>
  <si>
    <t>FEC.ktoe.PL.ES.MBunk.IntraEEA.Biogas</t>
  </si>
  <si>
    <t>FEC.ktoe.PL.ES.MBunk.ExtraEEA</t>
  </si>
  <si>
    <t>FEC.ktoe.PL.ES.MBunk.ExtraEEA.Diesel</t>
  </si>
  <si>
    <t>FEC.ktoe.PL.ES.MBunk.ExtraEEA.RFO_Other</t>
  </si>
  <si>
    <t>FEC.ktoe.PL.ES.MBunk.ExtraEEA.LiqBio</t>
  </si>
  <si>
    <t>FEC.ktoe.PL.ES.MBunk.ExtraEEA.NG</t>
  </si>
  <si>
    <t>FEC.ktoe.PL.ES.MBunk.ExtraEEA.Biogas</t>
  </si>
  <si>
    <t>Eff.kgoe_per_100km.PL.MBunk.Freight</t>
  </si>
  <si>
    <t>Eff.kgoe_per_100km.PL.MBunk.Freight.IntraEEA</t>
  </si>
  <si>
    <t>Eff.kgoe_per_100km.PL.MBunk.Freight.ExtraEEA</t>
  </si>
  <si>
    <t>International maritime bunkers / CO2 emissions - PL - Poland</t>
  </si>
  <si>
    <t>EMI.ktCO2.PL.ES.MBunk</t>
  </si>
  <si>
    <t>EMI.ktCO2.PL.ES.MBunk.IntraEEA</t>
  </si>
  <si>
    <t>EMI.ktCO2.PL.ES.MBunk.ExtraEEA</t>
  </si>
  <si>
    <t>EMIint.gCO2_per_km.PL.MBunk.Freight</t>
  </si>
  <si>
    <t>EMIint.gCO2_per_km.PL.MBunk.Freight.IntraEEA</t>
  </si>
  <si>
    <t>EMIint.gCO2_per_km.PL.MBunk.Freight.ExtraEEA</t>
  </si>
  <si>
    <t>FEC.ktoe.PL.Tr.DNavi</t>
  </si>
  <si>
    <t>FEC.ktoe.PL.Tr.Dnavi.DCS</t>
  </si>
  <si>
    <t>FEC.ktoe.PL.Tr.Dnavi.IWW</t>
  </si>
  <si>
    <t>EMI.ktCO2.PL.Tr.DNavi</t>
  </si>
  <si>
    <t>EMI.ktCO2.PL.Tr.Dnavi.DCS</t>
  </si>
  <si>
    <t>EMI.ktCO2.PL.Tr.Dnavi.IWW</t>
  </si>
  <si>
    <t>Domestic navigation - PL - Poland</t>
  </si>
  <si>
    <t>VehicleKm.Mkm.PL.Tr.DNavi.Freight</t>
  </si>
  <si>
    <t>VehicleKm.Mkm.PL.Tr.DNavi.Freight.DCS</t>
  </si>
  <si>
    <t>VehicleKm.Mkm.PL.Tr.DNavi.Freight.IWW</t>
  </si>
  <si>
    <t>Load.t_per_movement.PL.Tr.DNavi.Freight</t>
  </si>
  <si>
    <t>Load.t_per_movement.PL.Tr.DNavi.Freight.DCS</t>
  </si>
  <si>
    <t>Load.t_per_movement.PL.Tr.DNavi.Freight.IWW</t>
  </si>
  <si>
    <t>Domestic navigation / energy consumption - PL - Poland</t>
  </si>
  <si>
    <t>FEC.ktoe.PL.ES.Tr.DNavi</t>
  </si>
  <si>
    <t>FEC.ktoe.PL.ES.Tr.DNavi.DCS</t>
  </si>
  <si>
    <t>FEC.ktoe.PL.ES.Tr.DNavi.DCS.Diesel</t>
  </si>
  <si>
    <t>FEC.ktoe.PL.ES.Tr.DNavi.DCS.RFO_Other</t>
  </si>
  <si>
    <t>FEC.ktoe.PL.ES.Tr.DNavi.DCS.LiqBio</t>
  </si>
  <si>
    <t>FEC.ktoe.PL.ES.Tr.DNavi.DCS.NG</t>
  </si>
  <si>
    <t>FEC.ktoe.PL.ES.Tr.DNavi.DCS.Biogas</t>
  </si>
  <si>
    <t>FEC.ktoe.PL.ES.Tr.DNavi.IWW</t>
  </si>
  <si>
    <t>FEC.ktoe.PL.ES.Tr.DNavi.IWW.Diesel</t>
  </si>
  <si>
    <t>FEC.ktoe.PL.ES.Tr.DNavi.IWW.RFO_Other</t>
  </si>
  <si>
    <t>FEC.ktoe.PL.ES.Tr.DNavi.IWW.LiqBio</t>
  </si>
  <si>
    <t>FEC.ktoe.PL.ES.Tr.DNavi.IWW.NG</t>
  </si>
  <si>
    <t>FEC.ktoe.PL.ES.Tr.DNavi.IWW.Biogas</t>
  </si>
  <si>
    <t>Eff.kgoe_per_100km.PL.Tr.DNavi.Freight</t>
  </si>
  <si>
    <t>Eff.kgoe_per_100km.PL.Tr.DNavi.Freight.DCS</t>
  </si>
  <si>
    <t>Eff.kgoe_per_100km.PL.Tr.DNavi.Freight.IWW</t>
  </si>
  <si>
    <t>Domestic navigation / CO2 emissions - PL - Poland</t>
  </si>
  <si>
    <t>EMI.ktCO2.PL.ES.Tr.DNavi</t>
  </si>
  <si>
    <t>EMI.ktCO2.PL.ES.Tr.DNavi.DCS</t>
  </si>
  <si>
    <t>EMI.ktCO2.PL.ES.Tr.DNavi.IWW</t>
  </si>
  <si>
    <t>EMIint.gCO2_per_km.PL.Tr.DNavi.Freight</t>
  </si>
  <si>
    <t>EMIint.gCO2_per_km.PL.Tr.DNavi.Freight.DCS</t>
  </si>
  <si>
    <t>EMIint.gCO2_per_km.PL.Tr.DNavi.Freight.IWW</t>
  </si>
  <si>
    <t>Rail, metro and tram - PL - Poland</t>
  </si>
  <si>
    <t>Activity.Mpkm.PL.Tr.Rail.Passenger.CPT.Diesel</t>
  </si>
  <si>
    <t>Activity.Mpkm.PL.Tr.Rail.Passenger.CPT.Elc</t>
  </si>
  <si>
    <t>Activity.Mtkm.PL.Tr.Rail.Freight.Diesel</t>
  </si>
  <si>
    <t>Activity.Mtkm.PL.Tr.Rail.Freight.Elc</t>
  </si>
  <si>
    <t>VehicleKm.Mkm.PL.Tr.Rail</t>
  </si>
  <si>
    <t>VehicleKm.Mkm.PL.Tr.Rail.Passenger</t>
  </si>
  <si>
    <t>VehicleKm.Mkm.PL.Tr.Rail.Passenger.MTU</t>
  </si>
  <si>
    <t>VehicleKm.Mkm.PL.Tr.Rail.Passenger.CPT</t>
  </si>
  <si>
    <t>VehicleKm.Mkm.PL.Tr.Rail.Passenger.CPT.Diesel</t>
  </si>
  <si>
    <t>VehicleKm.Mkm.PL.Tr.Rail.Passenger.CPT.Elc</t>
  </si>
  <si>
    <t>VehicleKm.Mkm.PL.Tr.Rail.Passenger.HST</t>
  </si>
  <si>
    <t>VehicleKm.Mkm.PL.Tr.Rail.Freight</t>
  </si>
  <si>
    <t>VehicleKm.Mkm.PL.Tr.Rail.Freight.Diesel</t>
  </si>
  <si>
    <t>VehicleKm.Mkm.PL.Tr.Rail.Freight.Elc</t>
  </si>
  <si>
    <t>Stock.number.PL.Tr.Rail</t>
  </si>
  <si>
    <t>Stock.number.PL.Tr.Rail.Passenger</t>
  </si>
  <si>
    <t>Stock.number.PL.Tr.Rail.Passenger.MTU</t>
  </si>
  <si>
    <t>Stock.number.PL.Tr.Rail.Passenger.CPT</t>
  </si>
  <si>
    <t>Stock.number.PL.Tr.Rail.Passenger.CPT.Diesel</t>
  </si>
  <si>
    <t>Stock.number.PL.Tr.Rail.Passenger.CPT.Elc</t>
  </si>
  <si>
    <t>Stock.number.PL.Tr.Rail.Passenger.HST</t>
  </si>
  <si>
    <t>Stock.number.PL.Tr.Rail.Freight</t>
  </si>
  <si>
    <t>Stock.number.PL.Tr.Rail.Freight.Diesel</t>
  </si>
  <si>
    <t>Stock.number.PL.Tr.Rail.Freight.Elc</t>
  </si>
  <si>
    <t>StockNew.number.PL.Tr.Rail</t>
  </si>
  <si>
    <t>StockNew.number.PL.Tr.Rail.Passenger</t>
  </si>
  <si>
    <t>StockNew.number.PL.Tr.Rail.Passenger.MTU</t>
  </si>
  <si>
    <t>StockNew.number.PL.Tr.Rail.Passenger.CPT</t>
  </si>
  <si>
    <t>StockNew.number.PL.Tr.Rail.Passenger.CPT.Diesel</t>
  </si>
  <si>
    <t>StockNew.number.PL.Tr.Rail.Passenger.CPT.Elc</t>
  </si>
  <si>
    <t>StockNew.number.PL.Tr.Rail.Passenger.HST</t>
  </si>
  <si>
    <t>StockNew.number.PL.Tr.Rail.Freight</t>
  </si>
  <si>
    <t>StockNew.number.PL.Tr.Rail.Freight.Diesel</t>
  </si>
  <si>
    <t>StockNew.number.PL.Tr.Rail.Freight.Elc</t>
  </si>
  <si>
    <t>Load.passenger_per_movement.PL.Tr.Rail.Passenger</t>
  </si>
  <si>
    <t>Load.passenger_per_movement.PL.Tr.Rail.Passenger.MTU</t>
  </si>
  <si>
    <t>Load.passenger_per_movement.PL.Tr.Rail.Passenger.CPT</t>
  </si>
  <si>
    <t>Load.passenger_per_movement.PL.Tr.Rail.Passenger.CPT.Diesel</t>
  </si>
  <si>
    <t>Load.passenger_per_movement.PL.Tr.Rail.Passenger.CPT.Elc</t>
  </si>
  <si>
    <t>Load.passenger_per_movement.PL.Tr.Rail.Passenger.HST</t>
  </si>
  <si>
    <t>Load.t_per_movement.PL.Tr.Rail.Freight</t>
  </si>
  <si>
    <t>Load.t_per_movement.PL.Tr.Rail.Freight.Diesel</t>
  </si>
  <si>
    <t>Load.t_per_movement.PL.Tr.Rail.Freight.Elc</t>
  </si>
  <si>
    <t>TrCap.seats.PL.Tr.Rail.Passenger</t>
  </si>
  <si>
    <t>TrCap.seats.PL.Tr.Rail.Passenger.MTU</t>
  </si>
  <si>
    <t>TrCap.seats.PL.Tr.Rail.Passenger.CPT</t>
  </si>
  <si>
    <t>TrCap.seats.PL.Tr.Rail.Passenger.CPT.Diesel</t>
  </si>
  <si>
    <t>TrCap.seats.PL.Tr.Rail.Passenger.CPT.Elc</t>
  </si>
  <si>
    <t>TrCap.seats.PL.Tr.Rail.Passenger.HST</t>
  </si>
  <si>
    <t>TrCap.t.PL.Tr.Rail.Freight</t>
  </si>
  <si>
    <t>TrCap.t.PL.Tr.Rail.Freight.Diesel</t>
  </si>
  <si>
    <t>TrCap.t.PL.Tr.Rail.Freight.Elc</t>
  </si>
  <si>
    <t>VehicleKm_per_vehicle.km.PL.Tr.Rail</t>
  </si>
  <si>
    <t>VehicleKm_per_vehicle.km.PL.Tr.Rail.Passenger</t>
  </si>
  <si>
    <t>VehicleKm_per_vehicle.km.PL.Tr.Rail.Passenger.MTU</t>
  </si>
  <si>
    <t>VehicleKm_per_vehicle.km.PL.Tr.Rail.Passenger.CPT</t>
  </si>
  <si>
    <t>VehicleKm_per_vehicle.km.PL.Tr.Rail.Passenger.CPT.Diesel</t>
  </si>
  <si>
    <t>VehicleKm_per_vehicle.km.PL.Tr.Rail.Passenger.CPT.Elc</t>
  </si>
  <si>
    <t>VehicleKm_per_vehicle.km.PL.Tr.Rail.Passenger.HST</t>
  </si>
  <si>
    <t>VehicleKm_per_vehicle.km.PL.Tr.Rail.Freight</t>
  </si>
  <si>
    <t>VehicleKm_per_vehicle.km.PL.Tr.Rail.Freight.Diesel</t>
  </si>
  <si>
    <t>VehicleKm_per_vehicle.km.PL.Tr.Rail.Freight.Elc</t>
  </si>
  <si>
    <t>Activity_per_vehicle.pkm.PL.Tr.Rail.Passenger</t>
  </si>
  <si>
    <t>Activity_per_vehicle.pkm.PL.Tr.Rail.Passenger.MTU</t>
  </si>
  <si>
    <t>Activity_per_vehicle.pkm.PL.Tr.Rail.Passenger.CPT</t>
  </si>
  <si>
    <t>Activity_per_vehicle.pkm.PL.Tr.Rail.Passenger.CPT.Diesel</t>
  </si>
  <si>
    <t>Activity_per_vehicle.pkm.PL.Tr.Rail.Passenger.CPT.Elc</t>
  </si>
  <si>
    <t>Activity_per_vehicle.pkm.PL.Tr.Rail.Passenger.HST</t>
  </si>
  <si>
    <t>Activity_per_vehicle.tkm.PL.Tr.Rail.Freight</t>
  </si>
  <si>
    <t>Activity_per_vehicle.tkm.PL.Tr.Rail.Freight.Diesel</t>
  </si>
  <si>
    <t>Activity_per_vehicle.tkm.PL.Tr.Rail.Freight.Elc</t>
  </si>
  <si>
    <t>Rail, metro and tram / energy consumption - PL - Poland</t>
  </si>
  <si>
    <t>FEC.ktoe.PL.ES.Tr.Rail</t>
  </si>
  <si>
    <t>FEC.ktoe.PL.ES.Tr.Rail.Diesel</t>
  </si>
  <si>
    <t>FEC.ktoe.PL.ES.Tr.Rail.LiqBio</t>
  </si>
  <si>
    <t>FEC.ktoe.PL.ES.Tr.Rail.Elec</t>
  </si>
  <si>
    <t>FEC.ktoe.PL.Tr.Rail</t>
  </si>
  <si>
    <t>FEC.ktoe.PL.Tr.Rail.Passenger.CPT.Diesel</t>
  </si>
  <si>
    <t>FEC.ktoe.PL.Tr.Rail.Passenger.CPT.Elc</t>
  </si>
  <si>
    <t>FEC.ktoe.PL.Tr.Rail.Freight.Diesel</t>
  </si>
  <si>
    <t>FEC.ktoe.PL.Tr.Rail.Freight.Elc</t>
  </si>
  <si>
    <t>Eff.kgoe_per_100km.PL.Tr.Rail</t>
  </si>
  <si>
    <t>Eff.kgoe_per_100km.PL.Tr.Rail.Passenger</t>
  </si>
  <si>
    <t>Eff.kgoe_per_100km.PL.Tr.Rail.Passenger.MTU</t>
  </si>
  <si>
    <t>Eff.kgoe_per_100km.PL.Tr.Rail.Passenger.CPT</t>
  </si>
  <si>
    <t>Eff.kgoe_per_100km.PL.Tr.Rail.Passenger.CPT.Diesel</t>
  </si>
  <si>
    <t>Eff.kgoe_per_100km.PL.Tr.Rail.Passenger.CPT.Elc</t>
  </si>
  <si>
    <t>Eff.kgoe_per_100km.PL.Tr.Rail.Passenger.HST</t>
  </si>
  <si>
    <t>Eff.kgoe_per_100km.PL.Tr.Rail.Freight</t>
  </si>
  <si>
    <t>Eff.kgoe_per_100km.PL.Tr.Rail.Freight.Diesel</t>
  </si>
  <si>
    <t>Eff.kgoe_per_100km.PL.Tr.Rail.Freight.Elc</t>
  </si>
  <si>
    <t>Eff.kgoe_per_kpkm.PL.Tr.Rail.Passenger.CPT.Diesel</t>
  </si>
  <si>
    <t>Eff.kgoe_per_kpkm.PL.Tr.Rail.Passenger.CPT.Elc</t>
  </si>
  <si>
    <t>Eff.kgoe_per_ktkm.PL.Tr.Rail.Freight.Diesel</t>
  </si>
  <si>
    <t>Eff.kgoe_per_ktkm.PL.Tr.Rail.Freight.Elc</t>
  </si>
  <si>
    <t>FEC_per_vehicle.kgoe.PL.Tr.Rail</t>
  </si>
  <si>
    <t>FEC_per_vehicle.kgoe.PL.Tr.Rail.Passenger</t>
  </si>
  <si>
    <t>FEC_per_vehicle.kgoe.PL.Tr.Rail.Passenger.MTU</t>
  </si>
  <si>
    <t>FEC_per_vehicle.kgoe.PL.Tr.Rail.Passenger.CPT</t>
  </si>
  <si>
    <t>FEC_per_vehicle.kgoe.PL.Tr.Rail.Passenger.CPT.Diesel</t>
  </si>
  <si>
    <t>FEC_per_vehicle.kgoe.PL.Tr.Rail.Passenger.CPT.Elc</t>
  </si>
  <si>
    <t>FEC_per_vehicle.kgoe.PL.Tr.Rail.Passenger.HST</t>
  </si>
  <si>
    <t>FEC_per_vehicle.kgoe.PL.Tr.Rail.Freight</t>
  </si>
  <si>
    <t>FEC_per_vehicle.kgoe.PL.Tr.Rail.Freight.Diesel</t>
  </si>
  <si>
    <t>FEC_per_vehicle.kgoe.PL.Tr.Rail.Freight.Elc</t>
  </si>
  <si>
    <t>Rail, metro and tram / CO2 emissions - PL - Poland</t>
  </si>
  <si>
    <t>EMI.ktCO2.PL.ES.Tr.Rail</t>
  </si>
  <si>
    <t>EMI.ktCO2.PL.ES.Tr.Rail.Diesel</t>
  </si>
  <si>
    <t>EMI.ktCO2.PL.ES.Tr.Rail.Elec</t>
  </si>
  <si>
    <t>EMI.ktCO2.PL.Tr.Rail</t>
  </si>
  <si>
    <t>EMI.ktCO2.PL.Tr.Rail.Passenger.CPT.Diesel</t>
  </si>
  <si>
    <t>EMI.ktCO2.PL.Tr.Rail.Passenger.CPT.Elc</t>
  </si>
  <si>
    <t>EMI.ktCO2.PL.Tr.Rail.Freight.Diesel</t>
  </si>
  <si>
    <t>EMI.ktCO2.PL.Tr.Rail.Freight.Elc</t>
  </si>
  <si>
    <t>EMIint.gCO2_per_km.PL.Tr.Rail</t>
  </si>
  <si>
    <t>EMIint.gCO2_per_km.PL.Tr.Rail.Passenger</t>
  </si>
  <si>
    <t>EMIint.gCO2_per_km.PL.Tr.Rail.Passenger.MTU</t>
  </si>
  <si>
    <t>EMIint.gCO2_per_km.PL.Tr.Rail.Passenger.CPT</t>
  </si>
  <si>
    <t>EMIint.gCO2_per_km.PL.Tr.Rail.Passenger.CPT.Diesel</t>
  </si>
  <si>
    <t>EMIint.gCO2_per_km.PL.Tr.Rail.Passenger.CPT.Elc</t>
  </si>
  <si>
    <t>EMIint.gCO2_per_km.PL.Tr.Rail.Passenger.HST</t>
  </si>
  <si>
    <t>EMIint.gCO2_per_km.PL.Tr.Rail.Freight</t>
  </si>
  <si>
    <t>EMIint.gCO2_per_km.PL.Tr.Rail.Freight.Diesel</t>
  </si>
  <si>
    <t>EMIint.gCO2_per_km.PL.Tr.Rail.Freight.Elc</t>
  </si>
  <si>
    <t>EMIint.gCO2_per_pkm.PL.Tr.Rail.Passenger.CPT.Diesel</t>
  </si>
  <si>
    <t>EMIint.gCO2_per_pkm.PL.Tr.Rail.Passenger.CPT.Elc</t>
  </si>
  <si>
    <t>EMIint.gCO2_per_tkm.PL.Tr.Rail.Freight.Diesel</t>
  </si>
  <si>
    <t>EMIint.gCO2_per_tkm.PL.Tr.Rail.Freight.Elc</t>
  </si>
  <si>
    <t>EMI_per_vehicle.tCO2.PL.Tr.Rail</t>
  </si>
  <si>
    <t>EMI_per_vehicle.tCO2.PL.Tr.Rail.Passenger</t>
  </si>
  <si>
    <t>EMI_per_vehicle.tCO2.PL.Tr.Rail.Passenger.MTU</t>
  </si>
  <si>
    <t>EMI_per_vehicle.tCO2.PL.Tr.Rail.Passenger.CPT</t>
  </si>
  <si>
    <t>EMI_per_vehicle.tCO2.PL.Tr.Rail.Passenger.CPT.Diesel</t>
  </si>
  <si>
    <t>EMI_per_vehicle.tCO2.PL.Tr.Rail.Passenger.CPT.Elc</t>
  </si>
  <si>
    <t>EMI_per_vehicle.tCO2.PL.Tr.Rail.Passenger.HST</t>
  </si>
  <si>
    <t>EMI_per_vehicle.tCO2.PL.Tr.Rail.Freight</t>
  </si>
  <si>
    <t>EMI_per_vehicle.tCO2.PL.Tr.Rail.Freight.Diesel</t>
  </si>
  <si>
    <t>EMI_per_vehicle.tCO2.PL.Tr.Rail.Freight.Elc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</si>
</sst>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164" formatCode="mmmm\ yyyy"/>
    <numFmt numFmtId="165" formatCode="#,##0.0"/>
    <numFmt numFmtId="166" formatCode="#,##0;\-#,##0;&quot;-&quot;"/>
    <numFmt numFmtId="167" formatCode="#,##0.000;\-#,##0.000;&quot;-&quot;"/>
    <numFmt numFmtId="168" formatCode="0.00%;\-0.00%;&quot;-&quot;"/>
    <numFmt numFmtId="169" formatCode="#,##0.00;\-#,##0.00;&quot;-&quot;"/>
    <numFmt numFmtId="170" formatCode="#,##0.0;\-#,##0.0;&quot;-&quot;"/>
    <numFmt numFmtId="171" formatCode="0.0%;\-0.0%;&quot;-&quot;"/>
    <numFmt numFmtId="172" formatCode="0.0%"/>
  </numFmts>
  <fonts count="3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006EBE"/>
      <name val="Calibri"/>
      <family val="2"/>
      <scheme val="minor"/>
    </font>
    <font>
      <u/>
      <sz val="9"/>
      <color rgb="FF0564C3"/>
      <name val="Calibri"/>
      <family val="2"/>
      <scheme val="minor"/>
    </font>
    <font>
      <sz val="8"/>
      <color rgb="FF001E5F"/>
      <name val="Calibri"/>
      <family val="2"/>
      <scheme val="minor"/>
    </font>
    <font>
      <sz val="8"/>
      <color rgb="FFBE0000"/>
      <name val="Calibri"/>
      <family val="2"/>
      <scheme val="minor"/>
    </font>
    <font>
      <sz val="8"/>
      <color rgb="FF232D37"/>
      <name val="Calibri"/>
      <family val="2"/>
      <scheme val="minor"/>
    </font>
    <font>
      <i/>
      <sz val="8"/>
      <color rgb="FF001E5F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b/>
      <sz val="8"/>
      <color rgb="FF00143C"/>
      <name val="Calibri"/>
      <family val="2"/>
      <scheme val="minor"/>
    </font>
    <font>
      <sz val="8"/>
      <color rgb="FF00143C"/>
      <name val="Calibri"/>
      <family val="2"/>
      <scheme val="minor"/>
    </font>
    <font>
      <b/>
      <sz val="10"/>
      <color rgb="FF00143C"/>
      <name val="Calibri"/>
      <family val="2"/>
      <scheme val="minor"/>
    </font>
    <font>
      <sz val="10"/>
      <color rgb="FF00143C"/>
      <name val="Calibri"/>
      <family val="2"/>
      <scheme val="minor"/>
    </font>
    <font>
      <sz val="8"/>
      <color rgb="FF282428"/>
      <name val="Calibri"/>
      <family val="2"/>
      <scheme val="minor"/>
    </font>
    <font>
      <i/>
      <sz val="8"/>
      <color rgb="FF00143C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i/>
      <sz val="9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  <font>
      <sz val="16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7D7D7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BEBEBE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7E1F0"/>
        <bgColor indexed="64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auto="1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1" fillId="0" borderId="0"/>
    <xf numFmtId="0" fontId="4" fillId="0" borderId="0" applyNumberFormat="0" applyFill="0" applyBorder="0" applyAlignment="0" applyProtection="0"/>
  </cellStyleXfs>
  <cellXfs count="232">
    <xf numFmtId="0" fontId="0" fillId="0" borderId="0" xfId="0"/>
    <xf numFmtId="0" fontId="5" fillId="0" borderId="0" xfId="0" applyFont="1"/>
    <xf numFmtId="0" fontId="6" fillId="0" borderId="0" xfId="0" applyFont="1"/>
    <xf numFmtId="0" fontId="7" fillId="0" borderId="2" xfId="0" applyFont="1" applyBorder="1"/>
    <xf numFmtId="0" fontId="4" fillId="0" borderId="0" xfId="4"/>
    <xf numFmtId="0" fontId="8" fillId="0" borderId="0" xfId="4" applyFont="1"/>
    <xf numFmtId="0" fontId="9" fillId="0" borderId="0" xfId="0" applyFont="1"/>
    <xf numFmtId="0" fontId="10" fillId="0" borderId="0" xfId="4" applyFont="1"/>
    <xf numFmtId="0" fontId="10" fillId="0" borderId="0" xfId="4" applyFont="1" applyAlignment="1">
      <alignment horizontal="left" indent="1"/>
    </xf>
    <xf numFmtId="0" fontId="0" fillId="0" borderId="2" xfId="0" applyBorder="1"/>
    <xf numFmtId="0" fontId="12" fillId="4" borderId="3" xfId="3" applyFont="1" applyFill="1" applyBorder="1" applyAlignment="1">
      <alignment horizontal="left" vertical="center" indent="1"/>
    </xf>
    <xf numFmtId="166" fontId="12" fillId="4" borderId="3" xfId="3" applyNumberFormat="1" applyFont="1" applyFill="1" applyBorder="1" applyAlignment="1">
      <alignment vertical="center"/>
    </xf>
    <xf numFmtId="0" fontId="12" fillId="4" borderId="4" xfId="3" applyFont="1" applyFill="1" applyBorder="1" applyAlignment="1">
      <alignment horizontal="left" vertical="center" indent="1"/>
    </xf>
    <xf numFmtId="166" fontId="12" fillId="4" borderId="4" xfId="3" applyNumberFormat="1" applyFont="1" applyFill="1" applyBorder="1" applyAlignment="1">
      <alignment vertical="center"/>
    </xf>
    <xf numFmtId="170" fontId="12" fillId="4" borderId="3" xfId="3" applyNumberFormat="1" applyFont="1" applyFill="1" applyBorder="1" applyAlignment="1">
      <alignment vertical="center"/>
    </xf>
    <xf numFmtId="170" fontId="12" fillId="4" borderId="4" xfId="3" applyNumberFormat="1" applyFont="1" applyFill="1" applyBorder="1" applyAlignment="1">
      <alignment vertical="center"/>
    </xf>
    <xf numFmtId="168" fontId="12" fillId="4" borderId="3" xfId="1" applyNumberFormat="1" applyFont="1" applyFill="1" applyBorder="1" applyAlignment="1">
      <alignment vertical="center"/>
    </xf>
    <xf numFmtId="168" fontId="12" fillId="4" borderId="4" xfId="1" applyNumberFormat="1" applyFont="1" applyFill="1" applyBorder="1" applyAlignment="1">
      <alignment vertical="center"/>
    </xf>
    <xf numFmtId="0" fontId="3" fillId="0" borderId="0" xfId="3" applyFont="1" applyFill="1" applyAlignment="1">
      <alignment vertical="center"/>
    </xf>
    <xf numFmtId="0" fontId="3" fillId="0" borderId="0" xfId="3" applyNumberFormat="1" applyFont="1" applyFill="1" applyAlignment="1">
      <alignment vertical="center"/>
    </xf>
    <xf numFmtId="0" fontId="14" fillId="4" borderId="1" xfId="3" applyFont="1" applyFill="1" applyBorder="1" applyAlignment="1">
      <alignment horizontal="left" vertical="center" indent="1"/>
    </xf>
    <xf numFmtId="169" fontId="12" fillId="4" borderId="3" xfId="3" applyNumberFormat="1" applyFont="1" applyFill="1" applyBorder="1" applyAlignment="1">
      <alignment vertical="center"/>
    </xf>
    <xf numFmtId="169" fontId="12" fillId="4" borderId="4" xfId="3" applyNumberFormat="1" applyFont="1" applyFill="1" applyBorder="1" applyAlignment="1">
      <alignment vertical="center"/>
    </xf>
    <xf numFmtId="167" fontId="12" fillId="4" borderId="3" xfId="3" applyNumberFormat="1" applyFont="1" applyFill="1" applyBorder="1" applyAlignment="1">
      <alignment vertical="center"/>
    </xf>
    <xf numFmtId="167" fontId="12" fillId="4" borderId="4" xfId="3" applyNumberFormat="1" applyFont="1" applyFill="1" applyBorder="1" applyAlignment="1">
      <alignment vertical="center"/>
    </xf>
    <xf numFmtId="171" fontId="12" fillId="4" borderId="3" xfId="1" applyNumberFormat="1" applyFont="1" applyFill="1" applyBorder="1" applyAlignment="1">
      <alignment vertical="center"/>
    </xf>
    <xf numFmtId="169" fontId="11" fillId="4" borderId="0" xfId="3" applyNumberFormat="1" applyFont="1" applyFill="1" applyBorder="1" applyAlignment="1">
      <alignment vertical="center"/>
    </xf>
    <xf numFmtId="0" fontId="12" fillId="4" borderId="1" xfId="3" applyFont="1" applyFill="1" applyBorder="1" applyAlignment="1">
      <alignment horizontal="left" vertical="center" indent="1"/>
    </xf>
    <xf numFmtId="166" fontId="12" fillId="4" borderId="1" xfId="3" applyNumberFormat="1" applyFont="1" applyFill="1" applyBorder="1" applyAlignment="1">
      <alignment vertical="center"/>
    </xf>
    <xf numFmtId="170" fontId="12" fillId="4" borderId="1" xfId="3" applyNumberFormat="1" applyFont="1" applyFill="1" applyBorder="1" applyAlignment="1">
      <alignment vertical="center"/>
    </xf>
    <xf numFmtId="171" fontId="12" fillId="4" borderId="1" xfId="3" applyNumberFormat="1" applyFont="1" applyFill="1" applyBorder="1" applyAlignment="1">
      <alignment vertical="center"/>
    </xf>
    <xf numFmtId="168" fontId="12" fillId="4" borderId="1" xfId="3" applyNumberFormat="1" applyFont="1" applyFill="1" applyBorder="1" applyAlignment="1">
      <alignment vertical="center"/>
    </xf>
    <xf numFmtId="169" fontId="12" fillId="4" borderId="1" xfId="3" applyNumberFormat="1" applyFont="1" applyFill="1" applyBorder="1" applyAlignment="1">
      <alignment vertical="center"/>
    </xf>
    <xf numFmtId="0" fontId="3" fillId="2" borderId="0" xfId="3" applyNumberFormat="1" applyFont="1" applyFill="1" applyAlignment="1">
      <alignment vertical="center"/>
    </xf>
    <xf numFmtId="166" fontId="13" fillId="2" borderId="0" xfId="3" applyNumberFormat="1" applyFont="1" applyFill="1" applyBorder="1" applyAlignment="1">
      <alignment vertical="center"/>
    </xf>
    <xf numFmtId="166" fontId="13" fillId="2" borderId="2" xfId="3" applyNumberFormat="1" applyFont="1" applyFill="1" applyBorder="1" applyAlignment="1">
      <alignment vertical="center"/>
    </xf>
    <xf numFmtId="166" fontId="13" fillId="2" borderId="0" xfId="3" applyNumberFormat="1" applyFont="1" applyFill="1" applyAlignment="1">
      <alignment vertical="center"/>
    </xf>
    <xf numFmtId="0" fontId="13" fillId="2" borderId="0" xfId="3" applyFont="1" applyFill="1" applyAlignment="1">
      <alignment horizontal="left" vertical="center" indent="2"/>
    </xf>
    <xf numFmtId="0" fontId="13" fillId="2" borderId="2" xfId="3" applyFont="1" applyFill="1" applyBorder="1" applyAlignment="1">
      <alignment horizontal="left" vertical="center" indent="2"/>
    </xf>
    <xf numFmtId="170" fontId="13" fillId="2" borderId="0" xfId="3" applyNumberFormat="1" applyFont="1" applyFill="1" applyAlignment="1">
      <alignment vertical="center"/>
    </xf>
    <xf numFmtId="170" fontId="13" fillId="2" borderId="2" xfId="3" applyNumberFormat="1" applyFont="1" applyFill="1" applyBorder="1" applyAlignment="1">
      <alignment vertical="center"/>
    </xf>
    <xf numFmtId="170" fontId="13" fillId="2" borderId="0" xfId="3" applyNumberFormat="1" applyFont="1" applyFill="1" applyBorder="1" applyAlignment="1">
      <alignment vertical="center"/>
    </xf>
    <xf numFmtId="0" fontId="13" fillId="2" borderId="0" xfId="3" applyFont="1" applyFill="1" applyBorder="1" applyAlignment="1">
      <alignment horizontal="left" vertical="center" indent="2"/>
    </xf>
    <xf numFmtId="168" fontId="13" fillId="2" borderId="0" xfId="1" applyNumberFormat="1" applyFont="1" applyFill="1" applyAlignment="1">
      <alignment vertical="center"/>
    </xf>
    <xf numFmtId="168" fontId="13" fillId="2" borderId="0" xfId="1" applyNumberFormat="1" applyFont="1" applyFill="1" applyBorder="1" applyAlignment="1">
      <alignment vertical="center"/>
    </xf>
    <xf numFmtId="168" fontId="13" fillId="2" borderId="2" xfId="1" applyNumberFormat="1" applyFont="1" applyFill="1" applyBorder="1" applyAlignment="1">
      <alignment vertical="center"/>
    </xf>
    <xf numFmtId="168" fontId="12" fillId="4" borderId="1" xfId="1" applyNumberFormat="1" applyFont="1" applyFill="1" applyBorder="1" applyAlignment="1">
      <alignment vertical="center"/>
    </xf>
    <xf numFmtId="167" fontId="12" fillId="4" borderId="1" xfId="3" applyNumberFormat="1" applyFont="1" applyFill="1" applyBorder="1" applyAlignment="1">
      <alignment vertical="center"/>
    </xf>
    <xf numFmtId="0" fontId="15" fillId="6" borderId="1" xfId="3" applyFont="1" applyFill="1" applyBorder="1" applyAlignment="1">
      <alignment horizontal="left" vertical="center"/>
    </xf>
    <xf numFmtId="1" fontId="16" fillId="6" borderId="1" xfId="3" applyNumberFormat="1" applyFont="1" applyFill="1" applyBorder="1" applyAlignment="1">
      <alignment horizontal="center" vertical="center"/>
    </xf>
    <xf numFmtId="0" fontId="17" fillId="8" borderId="0" xfId="3" applyNumberFormat="1" applyFont="1" applyFill="1" applyAlignment="1">
      <alignment vertical="center"/>
    </xf>
    <xf numFmtId="0" fontId="17" fillId="8" borderId="0" xfId="3" applyFont="1" applyFill="1" applyAlignment="1">
      <alignment vertical="center"/>
    </xf>
    <xf numFmtId="0" fontId="18" fillId="8" borderId="0" xfId="3" applyNumberFormat="1" applyFont="1" applyFill="1" applyAlignment="1">
      <alignment vertical="center"/>
    </xf>
    <xf numFmtId="0" fontId="19" fillId="3" borderId="1" xfId="3" applyFont="1" applyFill="1" applyBorder="1" applyAlignment="1">
      <alignment horizontal="left" vertical="center"/>
    </xf>
    <xf numFmtId="166" fontId="20" fillId="3" borderId="1" xfId="3" applyNumberFormat="1" applyFont="1" applyFill="1" applyBorder="1" applyAlignment="1">
      <alignment vertical="center"/>
    </xf>
    <xf numFmtId="0" fontId="17" fillId="8" borderId="0" xfId="3" applyFont="1" applyFill="1" applyAlignment="1">
      <alignment horizontal="left" vertical="center" indent="1"/>
    </xf>
    <xf numFmtId="166" fontId="17" fillId="8" borderId="0" xfId="3" applyNumberFormat="1" applyFont="1" applyFill="1" applyAlignment="1">
      <alignment vertical="center"/>
    </xf>
    <xf numFmtId="0" fontId="17" fillId="8" borderId="2" xfId="3" applyFont="1" applyFill="1" applyBorder="1" applyAlignment="1">
      <alignment horizontal="left" vertical="center" indent="1"/>
    </xf>
    <xf numFmtId="166" fontId="17" fillId="8" borderId="2" xfId="3" applyNumberFormat="1" applyFont="1" applyFill="1" applyBorder="1" applyAlignment="1">
      <alignment vertical="center"/>
    </xf>
    <xf numFmtId="167" fontId="20" fillId="3" borderId="1" xfId="3" applyNumberFormat="1" applyFont="1" applyFill="1" applyBorder="1" applyAlignment="1">
      <alignment vertical="center"/>
    </xf>
    <xf numFmtId="167" fontId="17" fillId="8" borderId="0" xfId="3" applyNumberFormat="1" applyFont="1" applyFill="1" applyAlignment="1">
      <alignment vertical="center"/>
    </xf>
    <xf numFmtId="167" fontId="17" fillId="8" borderId="2" xfId="3" applyNumberFormat="1" applyFont="1" applyFill="1" applyBorder="1" applyAlignment="1">
      <alignment vertical="center"/>
    </xf>
    <xf numFmtId="170" fontId="20" fillId="3" borderId="1" xfId="3" applyNumberFormat="1" applyFont="1" applyFill="1" applyBorder="1" applyAlignment="1">
      <alignment vertical="center"/>
    </xf>
    <xf numFmtId="170" fontId="17" fillId="8" borderId="0" xfId="3" applyNumberFormat="1" applyFont="1" applyFill="1" applyAlignment="1">
      <alignment vertical="center"/>
    </xf>
    <xf numFmtId="170" fontId="17" fillId="8" borderId="2" xfId="3" applyNumberFormat="1" applyFont="1" applyFill="1" applyBorder="1" applyAlignment="1">
      <alignment vertical="center"/>
    </xf>
    <xf numFmtId="168" fontId="20" fillId="3" borderId="1" xfId="3" applyNumberFormat="1" applyFont="1" applyFill="1" applyBorder="1" applyAlignment="1">
      <alignment vertical="center"/>
    </xf>
    <xf numFmtId="168" fontId="17" fillId="8" borderId="0" xfId="3" applyNumberFormat="1" applyFont="1" applyFill="1" applyAlignment="1">
      <alignment vertical="center"/>
    </xf>
    <xf numFmtId="168" fontId="17" fillId="8" borderId="2" xfId="3" applyNumberFormat="1" applyFont="1" applyFill="1" applyBorder="1" applyAlignment="1">
      <alignment vertical="center"/>
    </xf>
    <xf numFmtId="0" fontId="21" fillId="5" borderId="1" xfId="3" applyFont="1" applyFill="1" applyBorder="1" applyAlignment="1">
      <alignment horizontal="left" vertical="center"/>
    </xf>
    <xf numFmtId="167" fontId="22" fillId="5" borderId="1" xfId="3" applyNumberFormat="1" applyFont="1" applyFill="1" applyBorder="1" applyAlignment="1">
      <alignment vertical="center"/>
    </xf>
    <xf numFmtId="0" fontId="17" fillId="8" borderId="1" xfId="3" applyFont="1" applyFill="1" applyBorder="1" applyAlignment="1">
      <alignment horizontal="left" vertical="center" indent="1"/>
    </xf>
    <xf numFmtId="170" fontId="17" fillId="8" borderId="1" xfId="3" applyNumberFormat="1" applyFont="1" applyFill="1" applyBorder="1" applyAlignment="1">
      <alignment vertical="center"/>
    </xf>
    <xf numFmtId="0" fontId="23" fillId="8" borderId="0" xfId="3" applyFont="1" applyFill="1" applyAlignment="1">
      <alignment horizontal="left" vertical="center" indent="2"/>
    </xf>
    <xf numFmtId="170" fontId="23" fillId="8" borderId="0" xfId="3" applyNumberFormat="1" applyFont="1" applyFill="1" applyAlignment="1">
      <alignment vertical="center"/>
    </xf>
    <xf numFmtId="0" fontId="23" fillId="8" borderId="2" xfId="3" applyFont="1" applyFill="1" applyBorder="1" applyAlignment="1">
      <alignment horizontal="left" vertical="center" indent="2"/>
    </xf>
    <xf numFmtId="170" fontId="23" fillId="8" borderId="2" xfId="3" applyNumberFormat="1" applyFont="1" applyFill="1" applyBorder="1" applyAlignment="1">
      <alignment vertical="center"/>
    </xf>
    <xf numFmtId="168" fontId="20" fillId="3" borderId="1" xfId="1" applyNumberFormat="1" applyFont="1" applyFill="1" applyBorder="1" applyAlignment="1">
      <alignment vertical="center"/>
    </xf>
    <xf numFmtId="168" fontId="17" fillId="8" borderId="0" xfId="1" applyNumberFormat="1" applyFont="1" applyFill="1" applyAlignment="1">
      <alignment vertical="center"/>
    </xf>
    <xf numFmtId="168" fontId="17" fillId="8" borderId="2" xfId="1" applyNumberFormat="1" applyFont="1" applyFill="1" applyBorder="1" applyAlignment="1">
      <alignment vertical="center"/>
    </xf>
    <xf numFmtId="169" fontId="20" fillId="3" borderId="1" xfId="3" applyNumberFormat="1" applyFont="1" applyFill="1" applyBorder="1" applyAlignment="1">
      <alignment vertical="center"/>
    </xf>
    <xf numFmtId="169" fontId="17" fillId="8" borderId="0" xfId="3" applyNumberFormat="1" applyFont="1" applyFill="1" applyAlignment="1">
      <alignment vertical="center"/>
    </xf>
    <xf numFmtId="169" fontId="17" fillId="8" borderId="2" xfId="3" applyNumberFormat="1" applyFont="1" applyFill="1" applyBorder="1" applyAlignment="1">
      <alignment vertical="center"/>
    </xf>
    <xf numFmtId="171" fontId="20" fillId="3" borderId="1" xfId="1" applyNumberFormat="1" applyFont="1" applyFill="1" applyBorder="1" applyAlignment="1">
      <alignment vertical="center"/>
    </xf>
    <xf numFmtId="0" fontId="17" fillId="2" borderId="0" xfId="3" applyFont="1" applyFill="1" applyAlignment="1">
      <alignment horizontal="left" vertical="center" indent="2"/>
    </xf>
    <xf numFmtId="166" fontId="17" fillId="2" borderId="0" xfId="3" applyNumberFormat="1" applyFont="1" applyFill="1" applyAlignment="1">
      <alignment vertical="center"/>
    </xf>
    <xf numFmtId="0" fontId="17" fillId="2" borderId="2" xfId="3" applyFont="1" applyFill="1" applyBorder="1" applyAlignment="1">
      <alignment horizontal="left" vertical="center" indent="2"/>
    </xf>
    <xf numFmtId="166" fontId="17" fillId="2" borderId="2" xfId="3" applyNumberFormat="1" applyFont="1" applyFill="1" applyBorder="1" applyAlignment="1">
      <alignment vertical="center"/>
    </xf>
    <xf numFmtId="170" fontId="17" fillId="2" borderId="0" xfId="3" applyNumberFormat="1" applyFont="1" applyFill="1" applyAlignment="1">
      <alignment vertical="center"/>
    </xf>
    <xf numFmtId="170" fontId="17" fillId="2" borderId="2" xfId="3" applyNumberFormat="1" applyFont="1" applyFill="1" applyBorder="1" applyAlignment="1">
      <alignment vertical="center"/>
    </xf>
    <xf numFmtId="171" fontId="17" fillId="2" borderId="0" xfId="1" applyNumberFormat="1" applyFont="1" applyFill="1" applyAlignment="1">
      <alignment vertical="center"/>
    </xf>
    <xf numFmtId="171" fontId="17" fillId="2" borderId="2" xfId="1" applyNumberFormat="1" applyFont="1" applyFill="1" applyBorder="1" applyAlignment="1">
      <alignment vertical="center"/>
    </xf>
    <xf numFmtId="167" fontId="17" fillId="2" borderId="0" xfId="3" applyNumberFormat="1" applyFont="1" applyFill="1" applyAlignment="1">
      <alignment vertical="center"/>
    </xf>
    <xf numFmtId="0" fontId="17" fillId="2" borderId="0" xfId="3" applyFont="1" applyFill="1" applyBorder="1" applyAlignment="1">
      <alignment horizontal="left" vertical="center" indent="2"/>
    </xf>
    <xf numFmtId="167" fontId="17" fillId="2" borderId="0" xfId="3" applyNumberFormat="1" applyFont="1" applyFill="1" applyBorder="1" applyAlignment="1">
      <alignment vertical="center"/>
    </xf>
    <xf numFmtId="167" fontId="17" fillId="2" borderId="2" xfId="3" applyNumberFormat="1" applyFont="1" applyFill="1" applyBorder="1" applyAlignment="1">
      <alignment vertical="center"/>
    </xf>
    <xf numFmtId="0" fontId="17" fillId="2" borderId="0" xfId="3" applyFont="1" applyFill="1" applyAlignment="1">
      <alignment horizontal="left" vertical="center" indent="1"/>
    </xf>
    <xf numFmtId="169" fontId="17" fillId="2" borderId="0" xfId="3" applyNumberFormat="1" applyFont="1" applyFill="1" applyAlignment="1">
      <alignment vertical="center"/>
    </xf>
    <xf numFmtId="169" fontId="17" fillId="2" borderId="0" xfId="3" applyNumberFormat="1" applyFont="1" applyFill="1" applyBorder="1" applyAlignment="1">
      <alignment vertical="center"/>
    </xf>
    <xf numFmtId="169" fontId="17" fillId="2" borderId="2" xfId="3" applyNumberFormat="1" applyFont="1" applyFill="1" applyBorder="1" applyAlignment="1">
      <alignment vertical="center"/>
    </xf>
    <xf numFmtId="0" fontId="17" fillId="2" borderId="0" xfId="3" applyFont="1" applyFill="1" applyBorder="1" applyAlignment="1">
      <alignment horizontal="left" vertical="center" indent="1"/>
    </xf>
    <xf numFmtId="0" fontId="17" fillId="2" borderId="2" xfId="3" applyFont="1" applyFill="1" applyBorder="1" applyAlignment="1">
      <alignment horizontal="left" vertical="center" indent="1"/>
    </xf>
    <xf numFmtId="170" fontId="17" fillId="2" borderId="0" xfId="3" applyNumberFormat="1" applyFont="1" applyFill="1" applyBorder="1" applyAlignment="1">
      <alignment vertical="center"/>
    </xf>
    <xf numFmtId="166" fontId="17" fillId="2" borderId="0" xfId="3" applyNumberFormat="1" applyFont="1" applyFill="1" applyBorder="1" applyAlignment="1">
      <alignment vertical="center"/>
    </xf>
    <xf numFmtId="168" fontId="17" fillId="2" borderId="0" xfId="1" applyNumberFormat="1" applyFont="1" applyFill="1" applyAlignment="1">
      <alignment vertical="center"/>
    </xf>
    <xf numFmtId="168" fontId="17" fillId="2" borderId="0" xfId="1" applyNumberFormat="1" applyFont="1" applyFill="1" applyBorder="1" applyAlignment="1">
      <alignment vertical="center"/>
    </xf>
    <xf numFmtId="168" fontId="17" fillId="2" borderId="2" xfId="1" applyNumberFormat="1" applyFont="1" applyFill="1" applyBorder="1" applyAlignment="1">
      <alignment vertical="center"/>
    </xf>
    <xf numFmtId="0" fontId="17" fillId="2" borderId="0" xfId="3" applyNumberFormat="1" applyFont="1" applyFill="1" applyAlignment="1">
      <alignment vertical="center"/>
    </xf>
    <xf numFmtId="0" fontId="17" fillId="2" borderId="5" xfId="3" applyFont="1" applyFill="1" applyBorder="1" applyAlignment="1">
      <alignment horizontal="left" vertical="center" indent="2"/>
    </xf>
    <xf numFmtId="166" fontId="17" fillId="2" borderId="5" xfId="3" applyNumberFormat="1" applyFont="1" applyFill="1" applyBorder="1" applyAlignment="1">
      <alignment vertical="center"/>
    </xf>
    <xf numFmtId="0" fontId="17" fillId="2" borderId="4" xfId="3" applyFont="1" applyFill="1" applyBorder="1" applyAlignment="1">
      <alignment horizontal="left" vertical="center" indent="2"/>
    </xf>
    <xf numFmtId="166" fontId="17" fillId="2" borderId="4" xfId="3" applyNumberFormat="1" applyFont="1" applyFill="1" applyBorder="1" applyAlignment="1">
      <alignment vertical="center"/>
    </xf>
    <xf numFmtId="0" fontId="17" fillId="2" borderId="0" xfId="3" applyFont="1" applyFill="1" applyAlignment="1">
      <alignment horizontal="left" vertical="center" indent="3"/>
    </xf>
    <xf numFmtId="0" fontId="17" fillId="2" borderId="6" xfId="3" applyFont="1" applyFill="1" applyBorder="1" applyAlignment="1">
      <alignment horizontal="left" vertical="center" indent="2"/>
    </xf>
    <xf numFmtId="166" fontId="17" fillId="2" borderId="6" xfId="3" applyNumberFormat="1" applyFont="1" applyFill="1" applyBorder="1" applyAlignment="1">
      <alignment vertical="center"/>
    </xf>
    <xf numFmtId="0" fontId="17" fillId="0" borderId="0" xfId="3" applyNumberFormat="1" applyFont="1" applyFill="1" applyAlignment="1">
      <alignment vertical="center"/>
    </xf>
    <xf numFmtId="170" fontId="17" fillId="2" borderId="5" xfId="3" applyNumberFormat="1" applyFont="1" applyFill="1" applyBorder="1" applyAlignment="1">
      <alignment vertical="center"/>
    </xf>
    <xf numFmtId="170" fontId="17" fillId="2" borderId="4" xfId="3" applyNumberFormat="1" applyFont="1" applyFill="1" applyBorder="1" applyAlignment="1">
      <alignment vertical="center"/>
    </xf>
    <xf numFmtId="170" fontId="17" fillId="2" borderId="6" xfId="3" applyNumberFormat="1" applyFont="1" applyFill="1" applyBorder="1" applyAlignment="1">
      <alignment vertical="center"/>
    </xf>
    <xf numFmtId="171" fontId="17" fillId="2" borderId="5" xfId="3" applyNumberFormat="1" applyFont="1" applyFill="1" applyBorder="1" applyAlignment="1">
      <alignment vertical="center"/>
    </xf>
    <xf numFmtId="171" fontId="17" fillId="2" borderId="4" xfId="3" applyNumberFormat="1" applyFont="1" applyFill="1" applyBorder="1" applyAlignment="1">
      <alignment vertical="center"/>
    </xf>
    <xf numFmtId="171" fontId="17" fillId="2" borderId="0" xfId="3" applyNumberFormat="1" applyFont="1" applyFill="1" applyAlignment="1">
      <alignment vertical="center"/>
    </xf>
    <xf numFmtId="171" fontId="17" fillId="2" borderId="6" xfId="3" applyNumberFormat="1" applyFont="1" applyFill="1" applyBorder="1" applyAlignment="1">
      <alignment vertical="center"/>
    </xf>
    <xf numFmtId="171" fontId="17" fillId="2" borderId="2" xfId="3" applyNumberFormat="1" applyFont="1" applyFill="1" applyBorder="1" applyAlignment="1">
      <alignment vertical="center"/>
    </xf>
    <xf numFmtId="168" fontId="17" fillId="2" borderId="5" xfId="3" applyNumberFormat="1" applyFont="1" applyFill="1" applyBorder="1" applyAlignment="1">
      <alignment vertical="center"/>
    </xf>
    <xf numFmtId="168" fontId="17" fillId="2" borderId="4" xfId="3" applyNumberFormat="1" applyFont="1" applyFill="1" applyBorder="1" applyAlignment="1">
      <alignment vertical="center"/>
    </xf>
    <xf numFmtId="168" fontId="17" fillId="2" borderId="0" xfId="3" applyNumberFormat="1" applyFont="1" applyFill="1" applyAlignment="1">
      <alignment vertical="center"/>
    </xf>
    <xf numFmtId="168" fontId="17" fillId="2" borderId="6" xfId="3" applyNumberFormat="1" applyFont="1" applyFill="1" applyBorder="1" applyAlignment="1">
      <alignment vertical="center"/>
    </xf>
    <xf numFmtId="168" fontId="17" fillId="2" borderId="2" xfId="3" applyNumberFormat="1" applyFont="1" applyFill="1" applyBorder="1" applyAlignment="1">
      <alignment vertical="center"/>
    </xf>
    <xf numFmtId="0" fontId="17" fillId="2" borderId="0" xfId="3" applyFont="1" applyFill="1" applyBorder="1" applyAlignment="1">
      <alignment horizontal="left" vertical="center" indent="3"/>
    </xf>
    <xf numFmtId="169" fontId="17" fillId="2" borderId="5" xfId="3" applyNumberFormat="1" applyFont="1" applyFill="1" applyBorder="1" applyAlignment="1">
      <alignment vertical="center"/>
    </xf>
    <xf numFmtId="169" fontId="17" fillId="2" borderId="4" xfId="3" applyNumberFormat="1" applyFont="1" applyFill="1" applyBorder="1" applyAlignment="1">
      <alignment vertical="center"/>
    </xf>
    <xf numFmtId="169" fontId="17" fillId="2" borderId="6" xfId="3" applyNumberFormat="1" applyFont="1" applyFill="1" applyBorder="1" applyAlignment="1">
      <alignment vertical="center"/>
    </xf>
    <xf numFmtId="3" fontId="20" fillId="3" borderId="1" xfId="3" applyNumberFormat="1" applyFont="1" applyFill="1" applyBorder="1" applyAlignment="1">
      <alignment vertical="center"/>
    </xf>
    <xf numFmtId="0" fontId="24" fillId="4" borderId="1" xfId="3" applyFont="1" applyFill="1" applyBorder="1" applyAlignment="1">
      <alignment horizontal="left" vertical="center" indent="1"/>
    </xf>
    <xf numFmtId="169" fontId="20" fillId="4" borderId="0" xfId="3" applyNumberFormat="1" applyFont="1" applyFill="1" applyBorder="1" applyAlignment="1">
      <alignment vertical="center"/>
    </xf>
    <xf numFmtId="171" fontId="20" fillId="3" borderId="1" xfId="3" applyNumberFormat="1" applyFont="1" applyFill="1" applyBorder="1" applyAlignment="1">
      <alignment vertical="center"/>
    </xf>
    <xf numFmtId="0" fontId="17" fillId="2" borderId="3" xfId="3" applyFont="1" applyFill="1" applyBorder="1" applyAlignment="1">
      <alignment horizontal="left" vertical="center" indent="2"/>
    </xf>
    <xf numFmtId="166" fontId="17" fillId="2" borderId="3" xfId="3" applyNumberFormat="1" applyFont="1" applyFill="1" applyBorder="1" applyAlignment="1">
      <alignment vertical="center"/>
    </xf>
    <xf numFmtId="0" fontId="17" fillId="2" borderId="2" xfId="3" applyFont="1" applyFill="1" applyBorder="1" applyAlignment="1">
      <alignment horizontal="left" vertical="center" indent="3"/>
    </xf>
    <xf numFmtId="168" fontId="17" fillId="2" borderId="3" xfId="3" applyNumberFormat="1" applyFont="1" applyFill="1" applyBorder="1" applyAlignment="1">
      <alignment vertical="center"/>
    </xf>
    <xf numFmtId="168" fontId="17" fillId="2" borderId="0" xfId="3" applyNumberFormat="1" applyFont="1" applyFill="1" applyBorder="1" applyAlignment="1">
      <alignment vertical="center"/>
    </xf>
    <xf numFmtId="169" fontId="17" fillId="2" borderId="3" xfId="3" applyNumberFormat="1" applyFont="1" applyFill="1" applyBorder="1" applyAlignment="1">
      <alignment vertical="center"/>
    </xf>
    <xf numFmtId="165" fontId="20" fillId="3" borderId="1" xfId="3" applyNumberFormat="1" applyFont="1" applyFill="1" applyBorder="1" applyAlignment="1">
      <alignment vertical="center"/>
    </xf>
    <xf numFmtId="0" fontId="21" fillId="5" borderId="1" xfId="3" applyNumberFormat="1" applyFont="1" applyFill="1" applyBorder="1" applyAlignment="1">
      <alignment horizontal="left" vertical="center"/>
    </xf>
    <xf numFmtId="0" fontId="22" fillId="5" borderId="1" xfId="3" applyNumberFormat="1" applyFont="1" applyFill="1" applyBorder="1" applyAlignment="1">
      <alignment vertical="center"/>
    </xf>
    <xf numFmtId="169" fontId="20" fillId="4" borderId="1" xfId="3" applyNumberFormat="1" applyFont="1" applyFill="1" applyBorder="1" applyAlignment="1">
      <alignment vertical="center"/>
    </xf>
    <xf numFmtId="170" fontId="20" fillId="4" borderId="1" xfId="3" applyNumberFormat="1" applyFont="1" applyFill="1" applyBorder="1" applyAlignment="1">
      <alignment vertical="center"/>
    </xf>
    <xf numFmtId="1" fontId="19" fillId="7" borderId="1" xfId="3" applyNumberFormat="1" applyFont="1" applyFill="1" applyBorder="1" applyAlignment="1">
      <alignment horizontal="center" vertical="center"/>
    </xf>
    <xf numFmtId="0" fontId="21" fillId="6" borderId="1" xfId="3" applyFont="1" applyFill="1" applyBorder="1" applyAlignment="1">
      <alignment horizontal="left" vertical="center"/>
    </xf>
    <xf numFmtId="1" fontId="19" fillId="7" borderId="1" xfId="3" applyNumberFormat="1" applyFont="1" applyFill="1" applyBorder="1" applyAlignment="1">
      <alignment horizontal="right" vertical="center"/>
    </xf>
    <xf numFmtId="167" fontId="17" fillId="2" borderId="3" xfId="3" applyNumberFormat="1" applyFont="1" applyFill="1" applyBorder="1" applyAlignment="1">
      <alignment vertical="center"/>
    </xf>
    <xf numFmtId="167" fontId="17" fillId="2" borderId="4" xfId="3" applyNumberFormat="1" applyFont="1" applyFill="1" applyBorder="1" applyAlignment="1">
      <alignment vertical="center"/>
    </xf>
    <xf numFmtId="170" fontId="17" fillId="2" borderId="3" xfId="3" applyNumberFormat="1" applyFont="1" applyFill="1" applyBorder="1" applyAlignment="1">
      <alignment vertical="center"/>
    </xf>
    <xf numFmtId="172" fontId="17" fillId="2" borderId="3" xfId="1" applyNumberFormat="1" applyFont="1" applyFill="1" applyBorder="1" applyAlignment="1">
      <alignment horizontal="left" vertical="center" indent="2"/>
    </xf>
    <xf numFmtId="168" fontId="17" fillId="2" borderId="3" xfId="1" applyNumberFormat="1" applyFont="1" applyFill="1" applyBorder="1" applyAlignment="1">
      <alignment vertical="center"/>
    </xf>
    <xf numFmtId="172" fontId="17" fillId="2" borderId="4" xfId="1" applyNumberFormat="1" applyFont="1" applyFill="1" applyBorder="1" applyAlignment="1">
      <alignment horizontal="left" vertical="center" indent="2"/>
    </xf>
    <xf numFmtId="168" fontId="17" fillId="2" borderId="4" xfId="1" applyNumberFormat="1" applyFont="1" applyFill="1" applyBorder="1" applyAlignment="1">
      <alignment vertical="center"/>
    </xf>
    <xf numFmtId="172" fontId="17" fillId="2" borderId="0" xfId="1" applyNumberFormat="1" applyFont="1" applyFill="1" applyAlignment="1">
      <alignment horizontal="left" vertical="center" indent="3"/>
    </xf>
    <xf numFmtId="172" fontId="17" fillId="2" borderId="2" xfId="1" applyNumberFormat="1" applyFont="1" applyFill="1" applyBorder="1" applyAlignment="1">
      <alignment horizontal="left" vertical="center" indent="3"/>
    </xf>
    <xf numFmtId="0" fontId="18" fillId="2" borderId="7" xfId="3" applyFont="1" applyFill="1" applyBorder="1" applyAlignment="1">
      <alignment horizontal="left" vertical="center" indent="3"/>
    </xf>
    <xf numFmtId="0" fontId="18" fillId="2" borderId="0" xfId="3" applyFont="1" applyFill="1" applyAlignment="1">
      <alignment horizontal="left" vertical="center" indent="4"/>
    </xf>
    <xf numFmtId="0" fontId="18" fillId="2" borderId="2" xfId="3" applyFont="1" applyFill="1" applyBorder="1" applyAlignment="1">
      <alignment horizontal="left" vertical="center" indent="4"/>
    </xf>
    <xf numFmtId="172" fontId="17" fillId="2" borderId="0" xfId="1" applyNumberFormat="1" applyFont="1" applyFill="1" applyBorder="1" applyAlignment="1">
      <alignment horizontal="left" vertical="center" indent="3"/>
    </xf>
    <xf numFmtId="166" fontId="17" fillId="2" borderId="8" xfId="3" applyNumberFormat="1" applyFont="1" applyFill="1" applyBorder="1" applyAlignment="1">
      <alignment vertical="center"/>
    </xf>
    <xf numFmtId="0" fontId="17" fillId="2" borderId="8" xfId="3" applyFont="1" applyFill="1" applyBorder="1" applyAlignment="1">
      <alignment horizontal="left" vertical="center" indent="3"/>
    </xf>
    <xf numFmtId="170" fontId="17" fillId="2" borderId="8" xfId="3" applyNumberFormat="1" applyFont="1" applyFill="1" applyBorder="1" applyAlignment="1">
      <alignment vertical="center"/>
    </xf>
    <xf numFmtId="0" fontId="17" fillId="2" borderId="7" xfId="3" applyFont="1" applyFill="1" applyBorder="1" applyAlignment="1">
      <alignment horizontal="left" vertical="center" indent="3"/>
    </xf>
    <xf numFmtId="170" fontId="17" fillId="2" borderId="7" xfId="3" applyNumberFormat="1" applyFont="1" applyFill="1" applyBorder="1" applyAlignment="1">
      <alignment vertical="center"/>
    </xf>
    <xf numFmtId="1" fontId="19" fillId="6" borderId="1" xfId="3" applyNumberFormat="1" applyFont="1" applyFill="1" applyBorder="1" applyAlignment="1">
      <alignment vertical="center"/>
    </xf>
    <xf numFmtId="166" fontId="17" fillId="2" borderId="7" xfId="3" applyNumberFormat="1" applyFont="1" applyFill="1" applyBorder="1" applyAlignment="1">
      <alignment vertical="center"/>
    </xf>
    <xf numFmtId="1" fontId="16" fillId="6" borderId="1" xfId="3" applyNumberFormat="1" applyFont="1" applyFill="1" applyBorder="1" applyAlignment="1">
      <alignment horizontal="center" vertical="center" shrinkToFit="1"/>
    </xf>
    <xf numFmtId="0" fontId="17" fillId="2" borderId="0" xfId="3" applyNumberFormat="1" applyFont="1" applyFill="1" applyAlignment="1">
      <alignment vertical="center" shrinkToFit="1"/>
    </xf>
    <xf numFmtId="0" fontId="20" fillId="3" borderId="1" xfId="3" applyNumberFormat="1" applyFont="1" applyFill="1" applyBorder="1" applyAlignment="1">
      <alignment vertical="center" shrinkToFit="1"/>
    </xf>
    <xf numFmtId="0" fontId="12" fillId="4" borderId="1" xfId="3" applyNumberFormat="1" applyFont="1" applyFill="1" applyBorder="1" applyAlignment="1">
      <alignment vertical="center" shrinkToFit="1"/>
    </xf>
    <xf numFmtId="0" fontId="17" fillId="2" borderId="3" xfId="3" applyNumberFormat="1" applyFont="1" applyFill="1" applyBorder="1" applyAlignment="1">
      <alignment vertical="center" shrinkToFit="1"/>
    </xf>
    <xf numFmtId="0" fontId="17" fillId="2" borderId="0" xfId="3" applyNumberFormat="1" applyFont="1" applyFill="1" applyBorder="1" applyAlignment="1">
      <alignment vertical="center" shrinkToFit="1"/>
    </xf>
    <xf numFmtId="0" fontId="17" fillId="2" borderId="4" xfId="3" applyNumberFormat="1" applyFont="1" applyFill="1" applyBorder="1" applyAlignment="1">
      <alignment vertical="center" shrinkToFit="1"/>
    </xf>
    <xf numFmtId="0" fontId="17" fillId="2" borderId="7" xfId="3" applyNumberFormat="1" applyFont="1" applyFill="1" applyBorder="1" applyAlignment="1">
      <alignment vertical="center" shrinkToFit="1"/>
    </xf>
    <xf numFmtId="0" fontId="17" fillId="2" borderId="2" xfId="3" applyNumberFormat="1" applyFont="1" applyFill="1" applyBorder="1" applyAlignment="1">
      <alignment vertical="center" shrinkToFit="1"/>
    </xf>
    <xf numFmtId="0" fontId="22" fillId="5" borderId="1" xfId="3" applyNumberFormat="1" applyFont="1" applyFill="1" applyBorder="1" applyAlignment="1">
      <alignment vertical="center" shrinkToFit="1"/>
    </xf>
    <xf numFmtId="0" fontId="3" fillId="0" borderId="0" xfId="3" applyNumberFormat="1" applyFont="1" applyFill="1" applyAlignment="1">
      <alignment vertical="center" shrinkToFit="1"/>
    </xf>
    <xf numFmtId="0" fontId="17" fillId="8" borderId="0" xfId="3" applyNumberFormat="1" applyFont="1" applyFill="1" applyAlignment="1">
      <alignment vertical="center" shrinkToFit="1"/>
    </xf>
    <xf numFmtId="0" fontId="17" fillId="8" borderId="2" xfId="3" applyNumberFormat="1" applyFont="1" applyFill="1" applyBorder="1" applyAlignment="1">
      <alignment vertical="center" shrinkToFit="1"/>
    </xf>
    <xf numFmtId="0" fontId="20" fillId="3" borderId="1" xfId="1" applyNumberFormat="1" applyFont="1" applyFill="1" applyBorder="1" applyAlignment="1">
      <alignment vertical="center" shrinkToFit="1"/>
    </xf>
    <xf numFmtId="0" fontId="17" fillId="8" borderId="0" xfId="1" applyNumberFormat="1" applyFont="1" applyFill="1" applyAlignment="1">
      <alignment vertical="center" shrinkToFit="1"/>
    </xf>
    <xf numFmtId="0" fontId="17" fillId="8" borderId="2" xfId="1" applyNumberFormat="1" applyFont="1" applyFill="1" applyBorder="1" applyAlignment="1">
      <alignment vertical="center" shrinkToFit="1"/>
    </xf>
    <xf numFmtId="0" fontId="17" fillId="8" borderId="1" xfId="3" applyNumberFormat="1" applyFont="1" applyFill="1" applyBorder="1" applyAlignment="1">
      <alignment vertical="center" shrinkToFit="1"/>
    </xf>
    <xf numFmtId="0" fontId="23" fillId="8" borderId="0" xfId="3" applyNumberFormat="1" applyFont="1" applyFill="1" applyAlignment="1">
      <alignment vertical="center" shrinkToFit="1"/>
    </xf>
    <xf numFmtId="0" fontId="23" fillId="8" borderId="2" xfId="3" applyNumberFormat="1" applyFont="1" applyFill="1" applyBorder="1" applyAlignment="1">
      <alignment vertical="center" shrinkToFit="1"/>
    </xf>
    <xf numFmtId="0" fontId="12" fillId="4" borderId="3" xfId="3" applyNumberFormat="1" applyFont="1" applyFill="1" applyBorder="1" applyAlignment="1">
      <alignment vertical="center" shrinkToFit="1"/>
    </xf>
    <xf numFmtId="0" fontId="12" fillId="4" borderId="3" xfId="1" applyNumberFormat="1" applyFont="1" applyFill="1" applyBorder="1" applyAlignment="1">
      <alignment vertical="center" shrinkToFit="1"/>
    </xf>
    <xf numFmtId="0" fontId="17" fillId="2" borderId="0" xfId="1" applyNumberFormat="1" applyFont="1" applyFill="1" applyAlignment="1">
      <alignment vertical="center" shrinkToFit="1"/>
    </xf>
    <xf numFmtId="0" fontId="17" fillId="2" borderId="2" xfId="1" applyNumberFormat="1" applyFont="1" applyFill="1" applyBorder="1" applyAlignment="1">
      <alignment vertical="center" shrinkToFit="1"/>
    </xf>
    <xf numFmtId="0" fontId="12" fillId="4" borderId="4" xfId="3" applyNumberFormat="1" applyFont="1" applyFill="1" applyBorder="1" applyAlignment="1">
      <alignment vertical="center" shrinkToFit="1"/>
    </xf>
    <xf numFmtId="0" fontId="12" fillId="4" borderId="4" xfId="1" applyNumberFormat="1" applyFont="1" applyFill="1" applyBorder="1" applyAlignment="1">
      <alignment vertical="center" shrinkToFit="1"/>
    </xf>
    <xf numFmtId="0" fontId="17" fillId="2" borderId="0" xfId="1" applyNumberFormat="1" applyFont="1" applyFill="1" applyBorder="1" applyAlignment="1">
      <alignment vertical="center" shrinkToFit="1"/>
    </xf>
    <xf numFmtId="0" fontId="13" fillId="2" borderId="0" xfId="3" applyNumberFormat="1" applyFont="1" applyFill="1" applyBorder="1" applyAlignment="1">
      <alignment vertical="center" shrinkToFit="1"/>
    </xf>
    <xf numFmtId="0" fontId="13" fillId="2" borderId="2" xfId="3" applyNumberFormat="1" applyFont="1" applyFill="1" applyBorder="1" applyAlignment="1">
      <alignment vertical="center" shrinkToFit="1"/>
    </xf>
    <xf numFmtId="0" fontId="13" fillId="2" borderId="0" xfId="3" applyNumberFormat="1" applyFont="1" applyFill="1" applyAlignment="1">
      <alignment vertical="center" shrinkToFit="1"/>
    </xf>
    <xf numFmtId="0" fontId="13" fillId="2" borderId="0" xfId="1" applyNumberFormat="1" applyFont="1" applyFill="1" applyAlignment="1">
      <alignment vertical="center" shrinkToFit="1"/>
    </xf>
    <xf numFmtId="0" fontId="13" fillId="2" borderId="0" xfId="1" applyNumberFormat="1" applyFont="1" applyFill="1" applyBorder="1" applyAlignment="1">
      <alignment vertical="center" shrinkToFit="1"/>
    </xf>
    <xf numFmtId="0" fontId="13" fillId="2" borderId="2" xfId="1" applyNumberFormat="1" applyFont="1" applyFill="1" applyBorder="1" applyAlignment="1">
      <alignment vertical="center" shrinkToFit="1"/>
    </xf>
    <xf numFmtId="0" fontId="11" fillId="4" borderId="0" xfId="3" applyNumberFormat="1" applyFont="1" applyFill="1" applyBorder="1" applyAlignment="1">
      <alignment vertical="center" shrinkToFit="1"/>
    </xf>
    <xf numFmtId="0" fontId="17" fillId="2" borderId="5" xfId="3" applyNumberFormat="1" applyFont="1" applyFill="1" applyBorder="1" applyAlignment="1">
      <alignment vertical="center" shrinkToFit="1"/>
    </xf>
    <xf numFmtId="0" fontId="17" fillId="2" borderId="6" xfId="3" applyNumberFormat="1" applyFont="1" applyFill="1" applyBorder="1" applyAlignment="1">
      <alignment vertical="center" shrinkToFit="1"/>
    </xf>
    <xf numFmtId="0" fontId="20" fillId="4" borderId="0" xfId="3" applyNumberFormat="1" applyFont="1" applyFill="1" applyBorder="1" applyAlignment="1">
      <alignment vertical="center" shrinkToFit="1"/>
    </xf>
    <xf numFmtId="0" fontId="20" fillId="4" borderId="1" xfId="3" applyNumberFormat="1" applyFont="1" applyFill="1" applyBorder="1" applyAlignment="1">
      <alignment vertical="center" shrinkToFit="1"/>
    </xf>
    <xf numFmtId="0" fontId="17" fillId="2" borderId="8" xfId="3" applyNumberFormat="1" applyFont="1" applyFill="1" applyBorder="1" applyAlignment="1">
      <alignment vertical="center" shrinkToFit="1"/>
    </xf>
    <xf numFmtId="0" fontId="3" fillId="2" borderId="0" xfId="3" applyNumberFormat="1" applyFont="1" applyFill="1" applyAlignment="1">
      <alignment vertical="center" shrinkToFit="1"/>
    </xf>
    <xf numFmtId="0" fontId="19" fillId="6" borderId="1" xfId="3" applyNumberFormat="1" applyFont="1" applyFill="1" applyBorder="1" applyAlignment="1">
      <alignment vertical="center" shrinkToFit="1"/>
    </xf>
    <xf numFmtId="0" fontId="19" fillId="7" borderId="1" xfId="3" applyNumberFormat="1" applyFont="1" applyFill="1" applyBorder="1" applyAlignment="1">
      <alignment horizontal="center" vertical="center" shrinkToFit="1"/>
    </xf>
    <xf numFmtId="0" fontId="12" fillId="4" borderId="1" xfId="1" applyNumberFormat="1" applyFont="1" applyFill="1" applyBorder="1" applyAlignment="1">
      <alignment vertical="center" shrinkToFit="1"/>
    </xf>
    <xf numFmtId="0" fontId="17" fillId="2" borderId="3" xfId="1" applyNumberFormat="1" applyFont="1" applyFill="1" applyBorder="1" applyAlignment="1">
      <alignment vertical="center" shrinkToFit="1"/>
    </xf>
    <xf numFmtId="0" fontId="17" fillId="2" borderId="4" xfId="1" applyNumberFormat="1" applyFont="1" applyFill="1" applyBorder="1" applyAlignment="1">
      <alignment vertical="center" shrinkToFit="1"/>
    </xf>
    <xf numFmtId="0" fontId="25" fillId="2" borderId="0" xfId="2" applyFont="1" applyFill="1"/>
    <xf numFmtId="0" fontId="17" fillId="2" borderId="0" xfId="2" applyFont="1" applyFill="1" applyAlignment="1">
      <alignment vertical="center"/>
    </xf>
    <xf numFmtId="0" fontId="17" fillId="2" borderId="0" xfId="2" applyFont="1" applyFill="1" applyAlignment="1">
      <alignment horizontal="center" vertical="center"/>
    </xf>
    <xf numFmtId="0" fontId="26" fillId="2" borderId="1" xfId="2" applyFont="1" applyFill="1" applyBorder="1" applyAlignment="1">
      <alignment vertical="center"/>
    </xf>
    <xf numFmtId="0" fontId="27" fillId="2" borderId="1" xfId="2" applyFont="1" applyFill="1" applyBorder="1" applyAlignment="1">
      <alignment vertical="center"/>
    </xf>
    <xf numFmtId="0" fontId="28" fillId="2" borderId="0" xfId="2" applyFont="1" applyFill="1" applyAlignment="1">
      <alignment vertical="center"/>
    </xf>
    <xf numFmtId="0" fontId="27" fillId="2" borderId="0" xfId="2" applyFont="1" applyFill="1" applyAlignment="1">
      <alignment vertical="center"/>
    </xf>
    <xf numFmtId="0" fontId="15" fillId="2" borderId="0" xfId="2" applyFont="1" applyFill="1" applyAlignment="1">
      <alignment vertical="center"/>
    </xf>
    <xf numFmtId="0" fontId="31" fillId="2" borderId="0" xfId="2" applyFont="1" applyFill="1" applyAlignment="1">
      <alignment vertical="center"/>
    </xf>
    <xf numFmtId="0" fontId="32" fillId="2" borderId="0" xfId="3" applyFont="1" applyFill="1" applyAlignment="1">
      <alignment vertical="center"/>
    </xf>
    <xf numFmtId="0" fontId="33" fillId="2" borderId="0" xfId="4" applyFont="1" applyFill="1" applyAlignment="1">
      <alignment horizontal="left" vertical="center" indent="1"/>
    </xf>
    <xf numFmtId="0" fontId="34" fillId="0" borderId="2" xfId="0" applyFont="1" applyBorder="1"/>
    <xf numFmtId="0" fontId="35" fillId="0" borderId="0" xfId="0" applyFont="1"/>
    <xf numFmtId="0" fontId="35" fillId="0" borderId="0" xfId="0" applyFont="1" applyAlignment="1">
      <alignment horizontal="left" indent="1"/>
    </xf>
    <xf numFmtId="0" fontId="29" fillId="2" borderId="0" xfId="2" applyFont="1" applyFill="1" applyAlignment="1">
      <alignment horizontal="left" vertical="center"/>
    </xf>
    <xf numFmtId="164" fontId="30" fillId="2" borderId="0" xfId="2" quotePrefix="1" applyNumberFormat="1" applyFont="1" applyFill="1" applyAlignment="1">
      <alignment horizontal="left" vertical="center"/>
    </xf>
    <xf numFmtId="0" fontId="36" fillId="0" borderId="0" xfId="2" applyFont="1" applyAlignment="1">
      <alignment horizontal="left" vertical="center"/>
    </xf>
    <xf numFmtId="1" fontId="19" fillId="6" borderId="1" xfId="3" applyNumberFormat="1" applyFont="1" applyFill="1" applyBorder="1" applyAlignment="1">
      <alignment horizontal="center" vertical="center"/>
    </xf>
  </cellXfs>
  <cellStyles count="5">
    <cellStyle name="Hyperlink" xfId="4" builtinId="8"/>
    <cellStyle name="Normal" xfId="0" builtinId="0"/>
    <cellStyle name="Normal 2" xfId="3"/>
    <cellStyle name="Normal 3" xfId="2"/>
    <cellStyle name="Percent" xfId="1" builtinId="5"/>
  </cellStyles>
  <dxfs count="0"/>
  <tableStyles count="0" defaultTableStyle="TableStyleMedium2" defaultPivotStyle="PivotStyleLight16"/>
  <colors>
    <mruColors>
      <color rgb="FF0564C3"/>
      <color rgb="FF050505"/>
      <color rgb="FFD7D7D7"/>
      <color rgb="FF00143C"/>
      <color rgb="FF001E5F"/>
      <color rgb="FF232D37"/>
      <color rgb="FFDCEBF5"/>
      <color rgb="FFD7E1F0"/>
      <color rgb="FFF0F0F0"/>
      <color rgb="FFBEBEB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15</xdr:row>
      <xdr:rowOff>0</xdr:rowOff>
    </xdr:from>
    <xdr:to>
      <xdr:col>15</xdr:col>
      <xdr:colOff>305811</xdr:colOff>
      <xdr:row>25</xdr:row>
      <xdr:rowOff>106854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96611" cy="2011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215"/>
    <col min="5" max="21" width="9.7109375" style="215" customWidth="1"/>
    <col min="22" max="22" width="9.7109375" style="216" customWidth="1"/>
    <col min="23" max="23" width="107.42578125" style="215" customWidth="1"/>
    <col min="24" max="24" width="44.7109375" style="215" customWidth="1"/>
    <col min="25" max="26" width="9.7109375" style="215" customWidth="1"/>
    <col min="27" max="16384" width="9.140625" style="215"/>
  </cols>
  <sheetData>
    <row r="2" spans="1:23" ht="21" x14ac:dyDescent="0.35">
      <c r="A2" s="214"/>
      <c r="B2" s="230"/>
      <c r="C2" s="230"/>
      <c r="D2" s="230"/>
      <c r="E2" s="230"/>
      <c r="F2" s="230"/>
      <c r="G2" s="230"/>
      <c r="H2" s="230"/>
      <c r="I2" s="230"/>
      <c r="J2" s="230"/>
      <c r="K2" s="230"/>
    </row>
    <row r="3" spans="1:23" ht="15" customHeight="1" x14ac:dyDescent="0.25">
      <c r="B3" s="230"/>
      <c r="C3" s="230"/>
      <c r="D3" s="230"/>
      <c r="E3" s="230"/>
      <c r="F3" s="230"/>
      <c r="G3" s="230"/>
      <c r="H3" s="230"/>
      <c r="I3" s="230"/>
      <c r="J3" s="230"/>
      <c r="K3" s="230"/>
    </row>
    <row r="6" spans="1:23" ht="31.5" x14ac:dyDescent="0.25">
      <c r="A6" s="217"/>
      <c r="B6" s="218" t="s">
        <v>179</v>
      </c>
      <c r="C6" s="218"/>
      <c r="D6" s="218"/>
      <c r="E6" s="218"/>
      <c r="F6" s="218"/>
      <c r="G6" s="218"/>
      <c r="H6" s="218"/>
      <c r="I6" s="218"/>
      <c r="J6" s="218"/>
      <c r="K6" s="218"/>
      <c r="L6" s="218"/>
      <c r="M6" s="218"/>
      <c r="N6" s="218"/>
      <c r="O6" s="218"/>
      <c r="P6" s="218"/>
      <c r="Q6" s="218"/>
      <c r="V6" s="215"/>
    </row>
    <row r="7" spans="1:23" ht="15" customHeight="1" x14ac:dyDescent="0.25">
      <c r="V7" s="215"/>
    </row>
    <row r="8" spans="1:23" ht="15" customHeight="1" x14ac:dyDescent="0.25">
      <c r="V8" s="215"/>
    </row>
    <row r="9" spans="1:23" ht="15" customHeight="1" x14ac:dyDescent="0.25">
      <c r="V9" s="215"/>
    </row>
    <row r="10" spans="1:23" ht="28.5" x14ac:dyDescent="0.25">
      <c r="C10" s="219" t="s">
        <v>188</v>
      </c>
      <c r="V10" s="215"/>
    </row>
    <row r="11" spans="1:23" ht="15" customHeight="1" x14ac:dyDescent="0.25">
      <c r="V11" s="215"/>
    </row>
    <row r="15" spans="1:23" ht="30" customHeight="1" x14ac:dyDescent="0.25">
      <c r="C15" s="219" t="s">
        <v>142</v>
      </c>
    </row>
    <row r="16" spans="1:23" ht="15" customHeight="1" x14ac:dyDescent="0.25">
      <c r="W16" s="220"/>
    </row>
    <row r="17" spans="12:32" ht="15" customHeight="1" x14ac:dyDescent="0.25">
      <c r="W17" s="220"/>
    </row>
    <row r="28" spans="12:32" ht="21" x14ac:dyDescent="0.25">
      <c r="L28" s="228" t="s">
        <v>0</v>
      </c>
      <c r="M28" s="228"/>
      <c r="N28" s="228"/>
      <c r="O28" s="228"/>
    </row>
    <row r="29" spans="12:32" ht="15" customHeight="1" x14ac:dyDescent="0.25">
      <c r="V29" s="215"/>
    </row>
    <row r="30" spans="12:32" ht="18.75" x14ac:dyDescent="0.25">
      <c r="L30" s="229">
        <v>45967.478773148148</v>
      </c>
      <c r="M30" s="229"/>
      <c r="N30" s="229"/>
      <c r="O30" s="229"/>
      <c r="V30" s="215"/>
    </row>
    <row r="31" spans="12:32" ht="15" customHeight="1" x14ac:dyDescent="0.25">
      <c r="L31" s="221" t="s">
        <v>180</v>
      </c>
      <c r="V31" s="215"/>
      <c r="AA31" s="222"/>
      <c r="AB31" s="222"/>
      <c r="AC31" s="222"/>
      <c r="AD31" s="222"/>
      <c r="AE31" s="222"/>
      <c r="AF31" s="222"/>
    </row>
    <row r="32" spans="12:32" ht="15" customHeight="1" x14ac:dyDescent="0.25">
      <c r="V32" s="215"/>
    </row>
    <row r="33" spans="2:32" ht="15" customHeight="1" x14ac:dyDescent="0.25">
      <c r="B33" s="223" t="s">
        <v>1</v>
      </c>
      <c r="V33" s="215"/>
    </row>
    <row r="34" spans="2:32" ht="15" customHeight="1" x14ac:dyDescent="0.25">
      <c r="B34" s="223"/>
      <c r="V34" s="223"/>
    </row>
    <row r="35" spans="2:32" ht="15" customHeight="1" x14ac:dyDescent="0.25">
      <c r="B35" s="223" t="s">
        <v>2</v>
      </c>
      <c r="V35" s="223"/>
    </row>
    <row r="36" spans="2:32" ht="15" customHeight="1" x14ac:dyDescent="0.25">
      <c r="B36" s="223" t="s">
        <v>3</v>
      </c>
      <c r="E36" s="222"/>
      <c r="F36" s="222"/>
      <c r="G36" s="222"/>
      <c r="H36" s="222"/>
      <c r="I36" s="222"/>
      <c r="J36" s="222"/>
      <c r="K36" s="222"/>
      <c r="L36" s="222"/>
      <c r="M36" s="222"/>
      <c r="N36" s="222"/>
      <c r="O36" s="222"/>
      <c r="P36" s="222"/>
      <c r="Q36" s="222"/>
      <c r="R36" s="222"/>
      <c r="S36" s="222"/>
      <c r="T36" s="222"/>
      <c r="U36" s="222"/>
      <c r="W36" s="222"/>
      <c r="X36" s="222"/>
      <c r="Y36" s="222"/>
      <c r="Z36" s="222"/>
    </row>
    <row r="38" spans="2:32" ht="15" customHeight="1" x14ac:dyDescent="0.25">
      <c r="B38" s="223" t="s">
        <v>4</v>
      </c>
    </row>
    <row r="39" spans="2:32" ht="15" customHeight="1" x14ac:dyDescent="0.25">
      <c r="B39" s="223" t="s">
        <v>5</v>
      </c>
    </row>
    <row r="40" spans="2:32" ht="15" customHeight="1" x14ac:dyDescent="0.25">
      <c r="B40" s="224" t="s">
        <v>6</v>
      </c>
      <c r="AA40" s="222"/>
      <c r="AB40" s="222"/>
      <c r="AC40" s="222"/>
      <c r="AD40" s="222"/>
      <c r="AE40" s="222"/>
      <c r="AF40" s="222"/>
    </row>
  </sheetData>
  <mergeCells count="3">
    <mergeCell ref="L28:O28"/>
    <mergeCell ref="L30:O30"/>
    <mergeCell ref="B2:K3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D26"/>
  <sheetViews>
    <sheetView showGridLines="0" workbookViewId="0"/>
  </sheetViews>
  <sheetFormatPr defaultRowHeight="15" x14ac:dyDescent="0.25"/>
  <cols>
    <col min="1" max="1" width="7.7109375" customWidth="1"/>
    <col min="2" max="2" width="15.85546875" customWidth="1"/>
    <col min="3" max="3" width="2.85546875" customWidth="1"/>
    <col min="4" max="4" width="54.7109375" customWidth="1"/>
  </cols>
  <sheetData>
    <row r="1" spans="1:4" ht="18.75" x14ac:dyDescent="0.3">
      <c r="A1" s="6" t="s">
        <v>187</v>
      </c>
      <c r="B1" s="6" t="s">
        <v>188</v>
      </c>
      <c r="C1" s="2"/>
    </row>
    <row r="2" spans="1:4" ht="18.75" x14ac:dyDescent="0.3">
      <c r="A2" s="1"/>
      <c r="B2" s="2"/>
      <c r="C2" s="2"/>
    </row>
    <row r="3" spans="1:4" ht="18.75" x14ac:dyDescent="0.3">
      <c r="A3" s="1"/>
      <c r="B3" s="225" t="s">
        <v>16</v>
      </c>
      <c r="C3" s="3"/>
      <c r="D3" s="9"/>
    </row>
    <row r="4" spans="1:4" x14ac:dyDescent="0.25">
      <c r="A4" s="4"/>
      <c r="B4" s="7" t="str">
        <f ca="1">HYPERLINK("#"&amp;CELL("address",Transport!$B$2),MID(CELL("filename",Transport!$B$2),FIND("]",CELL("filename",Transport!$B$2))+1,256))</f>
        <v>Transport</v>
      </c>
      <c r="C4" s="5"/>
      <c r="D4" s="226" t="s">
        <v>7</v>
      </c>
    </row>
    <row r="5" spans="1:4" ht="5.0999999999999996" customHeight="1" x14ac:dyDescent="0.25">
      <c r="B5" s="7"/>
      <c r="C5" s="5"/>
      <c r="D5" s="2"/>
    </row>
    <row r="6" spans="1:4" x14ac:dyDescent="0.25">
      <c r="B6" s="7" t="str">
        <f ca="1">HYPERLINK("#"&amp;CELL("address",TrRoad_act!$B$2),MID(CELL("filename",TrRoad_act!$B$2),FIND("]",CELL("filename",TrRoad_act!$B$2))+1,256))</f>
        <v>TrRoad_act</v>
      </c>
      <c r="C6" s="5"/>
      <c r="D6" s="226" t="s">
        <v>8</v>
      </c>
    </row>
    <row r="7" spans="1:4" x14ac:dyDescent="0.25">
      <c r="B7" s="8" t="str">
        <f ca="1">HYPERLINK("#"&amp;CELL("address",TrRoad_ene!$B$2),MID(CELL("filename",TrRoad_ene!$B$2),FIND("]",CELL("filename",TrRoad_ene!$B$2))+1,256))</f>
        <v>TrRoad_ene</v>
      </c>
      <c r="C7" s="5"/>
      <c r="D7" s="227" t="s">
        <v>9</v>
      </c>
    </row>
    <row r="8" spans="1:4" x14ac:dyDescent="0.25">
      <c r="B8" s="8" t="str">
        <f ca="1">HYPERLINK("#"&amp;CELL("address",TrRoad_emi!$B$2),MID(CELL("filename",TrRoad_emi!$B$2),FIND("]",CELL("filename",TrRoad_emi!$B$2))+1,256))</f>
        <v>TrRoad_emi</v>
      </c>
      <c r="C8" s="5"/>
      <c r="D8" s="227" t="s">
        <v>10</v>
      </c>
    </row>
    <row r="9" spans="1:4" x14ac:dyDescent="0.25">
      <c r="B9" s="8" t="str">
        <f ca="1">HYPERLINK("#"&amp;CELL("address",TrRoad_tech!$B$2),MID(CELL("filename",TrRoad_tech!$B$2),FIND("]",CELL("filename",TrRoad_tech!$B$2))+1,256))</f>
        <v>TrRoad_tech</v>
      </c>
      <c r="C9" s="5"/>
      <c r="D9" s="227" t="s">
        <v>11</v>
      </c>
    </row>
    <row r="10" spans="1:4" ht="5.0999999999999996" customHeight="1" x14ac:dyDescent="0.25">
      <c r="B10" s="7"/>
      <c r="C10" s="5"/>
      <c r="D10" s="2"/>
    </row>
    <row r="11" spans="1:4" x14ac:dyDescent="0.25">
      <c r="B11" s="7" t="str">
        <f ca="1">HYPERLINK("#"&amp;CELL("address",TrRail_act!$B$2),MID(CELL("filename",TrRail_act!$B$2),FIND("]",CELL("filename",TrRail_act!$B$2))+1,256))</f>
        <v>TrRail_act</v>
      </c>
      <c r="C11" s="5"/>
      <c r="D11" s="226" t="s">
        <v>12</v>
      </c>
    </row>
    <row r="12" spans="1:4" x14ac:dyDescent="0.25">
      <c r="B12" s="8" t="str">
        <f ca="1">HYPERLINK("#"&amp;CELL("address",TrRail_ene!$B$2),MID(CELL("filename",TrRail_ene!$B$2),FIND("]",CELL("filename",TrRail_ene!$B$2))+1,256))</f>
        <v>TrRail_ene</v>
      </c>
      <c r="C12" s="5"/>
      <c r="D12" s="227" t="s">
        <v>9</v>
      </c>
    </row>
    <row r="13" spans="1:4" x14ac:dyDescent="0.25">
      <c r="B13" s="8" t="str">
        <f ca="1">HYPERLINK("#"&amp;CELL("address",TrRail_emi!$B$2),MID(CELL("filename",TrRail_emi!$B$2),FIND("]",CELL("filename",TrRail_emi!$B$2))+1,256))</f>
        <v>TrRail_emi</v>
      </c>
      <c r="C13" s="5"/>
      <c r="D13" s="227" t="s">
        <v>10</v>
      </c>
    </row>
    <row r="14" spans="1:4" ht="5.0999999999999996" customHeight="1" x14ac:dyDescent="0.25">
      <c r="B14" s="7"/>
      <c r="C14" s="5"/>
      <c r="D14" s="2"/>
    </row>
    <row r="15" spans="1:4" x14ac:dyDescent="0.25">
      <c r="B15" s="7" t="str">
        <f ca="1">HYPERLINK("#"&amp;CELL("address",TrAvia_act!$B$2),MID(CELL("filename",TrAvia_act!$B$2),FIND("]",CELL("filename",TrAvia_act!$B$2))+1,256))</f>
        <v>TrAvia_act</v>
      </c>
      <c r="C15" s="5"/>
      <c r="D15" s="226" t="s">
        <v>13</v>
      </c>
    </row>
    <row r="16" spans="1:4" x14ac:dyDescent="0.25">
      <c r="B16" s="8" t="str">
        <f ca="1">HYPERLINK("#"&amp;CELL("address",TrAvia_ene!$B$2),MID(CELL("filename",TrAvia_ene!$B$2),FIND("]",CELL("filename",TrAvia_ene!$B$2))+1,256))</f>
        <v>TrAvia_ene</v>
      </c>
      <c r="C16" s="5"/>
      <c r="D16" s="227" t="s">
        <v>9</v>
      </c>
    </row>
    <row r="17" spans="2:4" x14ac:dyDescent="0.25">
      <c r="B17" s="8" t="str">
        <f ca="1">HYPERLINK("#"&amp;CELL("address",TrAvia_emi!$B$2),MID(CELL("filename",TrAvia_emi!$B$2),FIND("]",CELL("filename",TrAvia_emi!$B$2))+1,256))</f>
        <v>TrAvia_emi</v>
      </c>
      <c r="C17" s="5"/>
      <c r="D17" s="227" t="s">
        <v>10</v>
      </c>
    </row>
    <row r="18" spans="2:4" x14ac:dyDescent="0.25">
      <c r="B18" s="8" t="str">
        <f ca="1">HYPERLINK("#"&amp;CELL("address",TrAvia_png!$B$2),MID(CELL("filename",TrAvia_png!$B$2),FIND("]",CELL("filename",TrAvia_png!$B$2))+1,256))</f>
        <v>TrAvia_png</v>
      </c>
      <c r="C18" s="5"/>
      <c r="D18" s="227" t="s">
        <v>14</v>
      </c>
    </row>
    <row r="19" spans="2:4" ht="5.0999999999999996" customHeight="1" x14ac:dyDescent="0.25">
      <c r="B19" s="7"/>
      <c r="C19" s="5"/>
      <c r="D19" s="2"/>
    </row>
    <row r="20" spans="2:4" x14ac:dyDescent="0.25">
      <c r="B20" s="7" t="str">
        <f ca="1">HYPERLINK("#"&amp;CELL("address",TrNavi_act!$B$2),MID(CELL("filename",TrNavi_act!$B$2),FIND("]",CELL("filename",TrNavi_act!$B$2))+1,256))</f>
        <v>TrNavi_act</v>
      </c>
      <c r="C20" s="5"/>
      <c r="D20" s="226" t="s">
        <v>15</v>
      </c>
    </row>
    <row r="21" spans="2:4" x14ac:dyDescent="0.25">
      <c r="B21" s="8" t="str">
        <f ca="1">HYPERLINK("#"&amp;CELL("address",TrNavi_ene!$B$2),MID(CELL("filename",TrNavi_ene!$B$2),FIND("]",CELL("filename",TrNavi_ene!$B$2))+1,256))</f>
        <v>TrNavi_ene</v>
      </c>
      <c r="C21" s="5"/>
      <c r="D21" s="227" t="s">
        <v>9</v>
      </c>
    </row>
    <row r="22" spans="2:4" x14ac:dyDescent="0.25">
      <c r="B22" s="8" t="str">
        <f ca="1">HYPERLINK("#"&amp;CELL("address",TrNavi_emi!$B$2),MID(CELL("filename",TrNavi_emi!$B$2),FIND("]",CELL("filename",TrNavi_emi!$B$2))+1,256))</f>
        <v>TrNavi_emi</v>
      </c>
      <c r="C22" s="5"/>
      <c r="D22" s="227" t="s">
        <v>10</v>
      </c>
    </row>
    <row r="23" spans="2:4" ht="5.0999999999999996" customHeight="1" x14ac:dyDescent="0.25">
      <c r="B23" s="7"/>
      <c r="C23" s="5"/>
      <c r="D23" s="2"/>
    </row>
    <row r="24" spans="2:4" x14ac:dyDescent="0.25">
      <c r="B24" s="7" t="str">
        <f ca="1">HYPERLINK("#"&amp;CELL("address",MBunk_act!$B$2),MID(CELL("filename",MBunk_act!$B$2),FIND("]",CELL("filename",MBunk_act!$B$2))+1,256))</f>
        <v>MBunk_act</v>
      </c>
      <c r="C24" s="5"/>
      <c r="D24" s="226" t="s">
        <v>165</v>
      </c>
    </row>
    <row r="25" spans="2:4" x14ac:dyDescent="0.25">
      <c r="B25" s="8" t="str">
        <f ca="1">HYPERLINK("#"&amp;CELL("address",MBunk_ene!$B$2),MID(CELL("filename",MBunk_ene!$B$2),FIND("]",CELL("filename",MBunk_ene!$B$2))+1,256))</f>
        <v>MBunk_ene</v>
      </c>
      <c r="C25" s="5"/>
      <c r="D25" s="227" t="s">
        <v>9</v>
      </c>
    </row>
    <row r="26" spans="2:4" x14ac:dyDescent="0.25">
      <c r="B26" s="8" t="str">
        <f ca="1">HYPERLINK("#"&amp;CELL("address",MBunk_emi!$B$2),MID(CELL("filename",MBunk_emi!$B$2),FIND("]",CELL("filename",MBunk_emi!$B$2))+1,256))</f>
        <v>MBunk_emi</v>
      </c>
      <c r="C26" s="5"/>
      <c r="D26" s="227" t="s">
        <v>10</v>
      </c>
    </row>
  </sheetData>
  <pageMargins left="0.39370078740157483" right="0.39370078740157483" top="0.39370078740157483" bottom="0.39370078740157483" header="0.31496062992125984" footer="0.31496062992125984"/>
  <pageSetup paperSize="9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DA246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370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DA2" s="171"/>
    </row>
    <row r="3" spans="1:105" ht="11.45" customHeight="1" x14ac:dyDescent="0.25">
      <c r="A3" s="53" t="s">
        <v>17</v>
      </c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  <c r="P3" s="142"/>
      <c r="Q3" s="142"/>
      <c r="R3" s="142"/>
      <c r="S3" s="142"/>
      <c r="T3" s="142"/>
      <c r="U3" s="142"/>
      <c r="V3" s="142"/>
      <c r="W3" s="142"/>
      <c r="X3" s="142"/>
      <c r="Y3" s="142"/>
      <c r="DA3" s="172"/>
    </row>
    <row r="4" spans="1:105" ht="11.45" customHeight="1" x14ac:dyDescent="0.25">
      <c r="A4" s="27" t="s">
        <v>18</v>
      </c>
      <c r="B4" s="28">
        <f t="shared" ref="B4:Q4" si="0">B5+B9+B13</f>
        <v>228982.2679057621</v>
      </c>
      <c r="C4" s="28">
        <f t="shared" si="0"/>
        <v>225496.5062456218</v>
      </c>
      <c r="D4" s="28">
        <f t="shared" si="0"/>
        <v>223779.91017113125</v>
      </c>
      <c r="E4" s="28">
        <f t="shared" si="0"/>
        <v>228249.26863564385</v>
      </c>
      <c r="F4" s="28">
        <f t="shared" si="0"/>
        <v>232074.27095194304</v>
      </c>
      <c r="G4" s="28">
        <f t="shared" si="0"/>
        <v>236971.49410080613</v>
      </c>
      <c r="H4" s="28">
        <f t="shared" si="0"/>
        <v>243581.85355824706</v>
      </c>
      <c r="I4" s="28">
        <f t="shared" si="0"/>
        <v>252518.54155180801</v>
      </c>
      <c r="J4" s="28">
        <f t="shared" si="0"/>
        <v>264731.24107880692</v>
      </c>
      <c r="K4" s="28">
        <f t="shared" si="0"/>
        <v>267149.99652229424</v>
      </c>
      <c r="L4" s="28">
        <f t="shared" si="0"/>
        <v>271192.41028651857</v>
      </c>
      <c r="M4" s="28">
        <f t="shared" si="0"/>
        <v>271236.75228500221</v>
      </c>
      <c r="N4" s="28">
        <f t="shared" si="0"/>
        <v>270877.25897452433</v>
      </c>
      <c r="O4" s="28">
        <f t="shared" si="0"/>
        <v>272634.25434182701</v>
      </c>
      <c r="P4" s="28">
        <f t="shared" si="0"/>
        <v>279169.73838186444</v>
      </c>
      <c r="Q4" s="28">
        <f t="shared" si="0"/>
        <v>284388.1025148895</v>
      </c>
      <c r="R4" s="28">
        <f t="shared" ref="R4:V4" si="1">R5+R9+R13</f>
        <v>300978.97065844375</v>
      </c>
      <c r="S4" s="28">
        <f t="shared" si="1"/>
        <v>315175.96695205249</v>
      </c>
      <c r="T4" s="28">
        <f t="shared" si="1"/>
        <v>326106.32906632102</v>
      </c>
      <c r="U4" s="28">
        <f t="shared" si="1"/>
        <v>336845.60047589493</v>
      </c>
      <c r="V4" s="28">
        <f t="shared" si="1"/>
        <v>272871.73876772413</v>
      </c>
      <c r="W4" s="28">
        <f t="shared" ref="W4:Y4" si="2">W5+W9+W13</f>
        <v>291361.33582320431</v>
      </c>
      <c r="X4" s="28">
        <f t="shared" si="2"/>
        <v>329585.20054394112</v>
      </c>
      <c r="Y4" s="28">
        <f t="shared" si="2"/>
        <v>356255.58051031816</v>
      </c>
      <c r="DA4" s="173" t="s">
        <v>371</v>
      </c>
    </row>
    <row r="5" spans="1:105" ht="11.45" customHeight="1" x14ac:dyDescent="0.25">
      <c r="A5" s="136" t="s">
        <v>19</v>
      </c>
      <c r="B5" s="137">
        <f t="shared" ref="B5:Q5" si="3">B6+B7+B8</f>
        <v>191811.7466304999</v>
      </c>
      <c r="C5" s="137">
        <f t="shared" si="3"/>
        <v>189941.44088697375</v>
      </c>
      <c r="D5" s="137">
        <f t="shared" si="3"/>
        <v>189930.84798716812</v>
      </c>
      <c r="E5" s="137">
        <f t="shared" si="3"/>
        <v>194863.79036980725</v>
      </c>
      <c r="F5" s="137">
        <f t="shared" si="3"/>
        <v>199768.1023543156</v>
      </c>
      <c r="G5" s="137">
        <f t="shared" si="3"/>
        <v>203572.99603532464</v>
      </c>
      <c r="H5" s="137">
        <f t="shared" si="3"/>
        <v>207499.81719397014</v>
      </c>
      <c r="I5" s="137">
        <f t="shared" si="3"/>
        <v>212389.18763261841</v>
      </c>
      <c r="J5" s="137">
        <f t="shared" si="3"/>
        <v>222715.94363703093</v>
      </c>
      <c r="K5" s="137">
        <f t="shared" si="3"/>
        <v>229323.50214097404</v>
      </c>
      <c r="L5" s="137">
        <f t="shared" si="3"/>
        <v>233380.44742792755</v>
      </c>
      <c r="M5" s="137">
        <f t="shared" si="3"/>
        <v>232067.47021639254</v>
      </c>
      <c r="N5" s="137">
        <f t="shared" si="3"/>
        <v>231611.45664402161</v>
      </c>
      <c r="O5" s="137">
        <f t="shared" si="3"/>
        <v>233921.68595036457</v>
      </c>
      <c r="P5" s="137">
        <f t="shared" si="3"/>
        <v>239014.83801841148</v>
      </c>
      <c r="Q5" s="137">
        <f t="shared" si="3"/>
        <v>241104.764046906</v>
      </c>
      <c r="R5" s="137">
        <f t="shared" ref="R5:V5" si="4">R6+R7+R8</f>
        <v>253241.17904304632</v>
      </c>
      <c r="S5" s="137">
        <f t="shared" si="4"/>
        <v>260600.10311262694</v>
      </c>
      <c r="T5" s="137">
        <f t="shared" si="4"/>
        <v>265019.49136403413</v>
      </c>
      <c r="U5" s="137">
        <f t="shared" si="4"/>
        <v>271550.76462231518</v>
      </c>
      <c r="V5" s="137">
        <f t="shared" si="4"/>
        <v>246180.25090476355</v>
      </c>
      <c r="W5" s="137">
        <f t="shared" ref="W5:Y5" si="5">W6+W7+W8</f>
        <v>255673.24953466246</v>
      </c>
      <c r="X5" s="137">
        <f t="shared" si="5"/>
        <v>266206.25065479614</v>
      </c>
      <c r="Y5" s="137">
        <f t="shared" si="5"/>
        <v>279552.86029085366</v>
      </c>
      <c r="DA5" s="174" t="s">
        <v>372</v>
      </c>
    </row>
    <row r="6" spans="1:105" ht="11.45" customHeight="1" x14ac:dyDescent="0.25">
      <c r="A6" s="128" t="str">
        <f>TrRoad_act!$A$5</f>
        <v>Powered two-wheelers</v>
      </c>
      <c r="B6" s="102">
        <f>TrRoad_act!B$5</f>
        <v>2511.7466304999098</v>
      </c>
      <c r="C6" s="102">
        <f>TrRoad_act!C$5</f>
        <v>2241.4408869737649</v>
      </c>
      <c r="D6" s="102">
        <f>TrRoad_act!D$5</f>
        <v>2130.847987168132</v>
      </c>
      <c r="E6" s="102">
        <f>TrRoad_act!E$5</f>
        <v>1963.7903698072353</v>
      </c>
      <c r="F6" s="102">
        <f>TrRoad_act!F$5</f>
        <v>1868.1023543155991</v>
      </c>
      <c r="G6" s="102">
        <f>TrRoad_act!G$5</f>
        <v>2072.9960353246447</v>
      </c>
      <c r="H6" s="102">
        <f>TrRoad_act!H$5</f>
        <v>2199.8171939701506</v>
      </c>
      <c r="I6" s="102">
        <f>TrRoad_act!I$5</f>
        <v>2389.187632618412</v>
      </c>
      <c r="J6" s="102">
        <f>TrRoad_act!J$5</f>
        <v>2415.9436370309395</v>
      </c>
      <c r="K6" s="102">
        <f>TrRoad_act!K$5</f>
        <v>2665.5021409740566</v>
      </c>
      <c r="L6" s="102">
        <f>TrRoad_act!L$5</f>
        <v>2870.447427927535</v>
      </c>
      <c r="M6" s="102">
        <f>TrRoad_act!M$5</f>
        <v>2864.4702163925226</v>
      </c>
      <c r="N6" s="102">
        <f>TrRoad_act!N$5</f>
        <v>2868.456644021629</v>
      </c>
      <c r="O6" s="102">
        <f>TrRoad_act!O$5</f>
        <v>2785.6859503645719</v>
      </c>
      <c r="P6" s="102">
        <f>TrRoad_act!P$5</f>
        <v>2824.8380184114808</v>
      </c>
      <c r="Q6" s="102">
        <f>TrRoad_act!Q$5</f>
        <v>2954.7640469059738</v>
      </c>
      <c r="R6" s="102">
        <f>TrRoad_act!R$5</f>
        <v>3149.1790430463279</v>
      </c>
      <c r="S6" s="102">
        <f>TrRoad_act!S$5</f>
        <v>2990.1031126269254</v>
      </c>
      <c r="T6" s="102">
        <f>TrRoad_act!T$5</f>
        <v>2863.4913640341101</v>
      </c>
      <c r="U6" s="102">
        <f>TrRoad_act!U$5</f>
        <v>3059.7646223151878</v>
      </c>
      <c r="V6" s="102">
        <f>TrRoad_act!V$5</f>
        <v>2750.2509047635544</v>
      </c>
      <c r="W6" s="102">
        <f>TrRoad_act!W$5</f>
        <v>2866.2495346624619</v>
      </c>
      <c r="X6" s="102">
        <f>TrRoad_act!X$5</f>
        <v>2908.2506547961489</v>
      </c>
      <c r="Y6" s="102">
        <f>TrRoad_act!Y$5</f>
        <v>3155.4703292778117</v>
      </c>
      <c r="DA6" s="175" t="s">
        <v>373</v>
      </c>
    </row>
    <row r="7" spans="1:105" ht="11.45" customHeight="1" x14ac:dyDescent="0.25">
      <c r="A7" s="128" t="str">
        <f>TrRoad_act!$A$6</f>
        <v>Passenger cars</v>
      </c>
      <c r="B7" s="102">
        <f>TrRoad_act!B$6</f>
        <v>130100</v>
      </c>
      <c r="C7" s="102">
        <f>TrRoad_act!C$6</f>
        <v>132300</v>
      </c>
      <c r="D7" s="102">
        <f>TrRoad_act!D$6</f>
        <v>135800</v>
      </c>
      <c r="E7" s="102">
        <f>TrRoad_act!E$6</f>
        <v>141300</v>
      </c>
      <c r="F7" s="102">
        <f>TrRoad_act!F$6</f>
        <v>146800</v>
      </c>
      <c r="G7" s="102">
        <f>TrRoad_act!G$6</f>
        <v>152300</v>
      </c>
      <c r="H7" s="102">
        <f>TrRoad_act!H$6</f>
        <v>156600</v>
      </c>
      <c r="I7" s="102">
        <f>TrRoad_act!I$6</f>
        <v>162300</v>
      </c>
      <c r="J7" s="102">
        <f>TrRoad_act!J$6</f>
        <v>172600</v>
      </c>
      <c r="K7" s="102">
        <f>TrRoad_act!K$6</f>
        <v>182758</v>
      </c>
      <c r="L7" s="102">
        <f>TrRoad_act!L$6</f>
        <v>188810</v>
      </c>
      <c r="M7" s="102">
        <f>TrRoad_act!M$6</f>
        <v>189103.00000000003</v>
      </c>
      <c r="N7" s="102">
        <f>TrRoad_act!N$6</f>
        <v>189324</v>
      </c>
      <c r="O7" s="102">
        <f>TrRoad_act!O$6</f>
        <v>193336</v>
      </c>
      <c r="P7" s="102">
        <f>TrRoad_act!P$6</f>
        <v>197032</v>
      </c>
      <c r="Q7" s="102">
        <f>TrRoad_act!Q$6</f>
        <v>200570.00000000003</v>
      </c>
      <c r="R7" s="102">
        <f>TrRoad_act!R$6</f>
        <v>213318</v>
      </c>
      <c r="S7" s="102">
        <f>TrRoad_act!S$6</f>
        <v>221545</v>
      </c>
      <c r="T7" s="102">
        <f>TrRoad_act!T$6</f>
        <v>227612</v>
      </c>
      <c r="U7" s="102">
        <f>TrRoad_act!U$6</f>
        <v>232255</v>
      </c>
      <c r="V7" s="102">
        <f>TrRoad_act!V$6</f>
        <v>224130</v>
      </c>
      <c r="W7" s="102">
        <f>TrRoad_act!W$6</f>
        <v>231720</v>
      </c>
      <c r="X7" s="102">
        <f>TrRoad_act!X$6</f>
        <v>237317</v>
      </c>
      <c r="Y7" s="102">
        <f>TrRoad_act!Y$6</f>
        <v>247921.45170132609</v>
      </c>
      <c r="DA7" s="175" t="s">
        <v>374</v>
      </c>
    </row>
    <row r="8" spans="1:105" ht="11.45" customHeight="1" x14ac:dyDescent="0.25">
      <c r="A8" s="128" t="str">
        <f>TrRoad_act!$A$13</f>
        <v>Motor coaches, buses and trolley buses</v>
      </c>
      <c r="B8" s="102">
        <f>TrRoad_act!B$13</f>
        <v>59200</v>
      </c>
      <c r="C8" s="102">
        <f>TrRoad_act!C$13</f>
        <v>55400</v>
      </c>
      <c r="D8" s="102">
        <f>TrRoad_act!D$13</f>
        <v>52000</v>
      </c>
      <c r="E8" s="102">
        <f>TrRoad_act!E$13</f>
        <v>51599.999999999993</v>
      </c>
      <c r="F8" s="102">
        <f>TrRoad_act!F$13</f>
        <v>51100</v>
      </c>
      <c r="G8" s="102">
        <f>TrRoad_act!G$13</f>
        <v>49200</v>
      </c>
      <c r="H8" s="102">
        <f>TrRoad_act!H$13</f>
        <v>48700</v>
      </c>
      <c r="I8" s="102">
        <f>TrRoad_act!I$13</f>
        <v>47700</v>
      </c>
      <c r="J8" s="102">
        <f>TrRoad_act!J$13</f>
        <v>47700</v>
      </c>
      <c r="K8" s="102">
        <f>TrRoad_act!K$13</f>
        <v>43900</v>
      </c>
      <c r="L8" s="102">
        <f>TrRoad_act!L$13</f>
        <v>41700</v>
      </c>
      <c r="M8" s="102">
        <f>TrRoad_act!M$13</f>
        <v>40100.000000000007</v>
      </c>
      <c r="N8" s="102">
        <f>TrRoad_act!N$13</f>
        <v>39419</v>
      </c>
      <c r="O8" s="102">
        <f>TrRoad_act!O$13</f>
        <v>37800</v>
      </c>
      <c r="P8" s="102">
        <f>TrRoad_act!P$13</f>
        <v>39158.000000000007</v>
      </c>
      <c r="Q8" s="102">
        <f>TrRoad_act!Q$13</f>
        <v>37580</v>
      </c>
      <c r="R8" s="102">
        <f>TrRoad_act!R$13</f>
        <v>36773.999999999993</v>
      </c>
      <c r="S8" s="102">
        <f>TrRoad_act!S$13</f>
        <v>36065</v>
      </c>
      <c r="T8" s="102">
        <f>TrRoad_act!T$13</f>
        <v>34544</v>
      </c>
      <c r="U8" s="102">
        <f>TrRoad_act!U$13</f>
        <v>36235.999999999993</v>
      </c>
      <c r="V8" s="102">
        <f>TrRoad_act!V$13</f>
        <v>19300</v>
      </c>
      <c r="W8" s="102">
        <f>TrRoad_act!W$13</f>
        <v>21086.999999999996</v>
      </c>
      <c r="X8" s="102">
        <f>TrRoad_act!X$13</f>
        <v>25981</v>
      </c>
      <c r="Y8" s="102">
        <f>TrRoad_act!Y$13</f>
        <v>28475.93826024975</v>
      </c>
      <c r="DA8" s="175" t="s">
        <v>375</v>
      </c>
    </row>
    <row r="9" spans="1:105" ht="11.45" customHeight="1" x14ac:dyDescent="0.25">
      <c r="A9" s="109" t="s">
        <v>22</v>
      </c>
      <c r="B9" s="110">
        <f t="shared" ref="B9:Q9" si="6">B10+B11+B12</f>
        <v>28792</v>
      </c>
      <c r="C9" s="110">
        <f t="shared" si="6"/>
        <v>27119</v>
      </c>
      <c r="D9" s="110">
        <f t="shared" si="6"/>
        <v>25369</v>
      </c>
      <c r="E9" s="110">
        <f t="shared" si="6"/>
        <v>24138</v>
      </c>
      <c r="F9" s="110">
        <f t="shared" si="6"/>
        <v>23190</v>
      </c>
      <c r="G9" s="110">
        <f t="shared" si="6"/>
        <v>22557</v>
      </c>
      <c r="H9" s="110">
        <f t="shared" si="6"/>
        <v>23002</v>
      </c>
      <c r="I9" s="110">
        <f t="shared" si="6"/>
        <v>24459</v>
      </c>
      <c r="J9" s="110">
        <f t="shared" si="6"/>
        <v>24795</v>
      </c>
      <c r="K9" s="110">
        <f t="shared" si="6"/>
        <v>22957</v>
      </c>
      <c r="L9" s="110">
        <f t="shared" si="6"/>
        <v>22261</v>
      </c>
      <c r="M9" s="110">
        <f t="shared" si="6"/>
        <v>22580.712781401457</v>
      </c>
      <c r="N9" s="110">
        <f t="shared" si="6"/>
        <v>22218.245206824664</v>
      </c>
      <c r="O9" s="110">
        <f t="shared" si="6"/>
        <v>20897.160900570823</v>
      </c>
      <c r="P9" s="110">
        <f t="shared" si="6"/>
        <v>20252.198951023754</v>
      </c>
      <c r="Q9" s="110">
        <f t="shared" si="6"/>
        <v>21587.398613107649</v>
      </c>
      <c r="R9" s="110">
        <f t="shared" ref="R9:V9" si="7">R10+R11+R12</f>
        <v>23512.342141739358</v>
      </c>
      <c r="S9" s="110">
        <f t="shared" si="7"/>
        <v>24630.427895019093</v>
      </c>
      <c r="T9" s="110">
        <f t="shared" si="7"/>
        <v>25395.274735129806</v>
      </c>
      <c r="U9" s="110">
        <f t="shared" si="7"/>
        <v>26483.819428667895</v>
      </c>
      <c r="V9" s="110">
        <f t="shared" si="7"/>
        <v>15167.574257075739</v>
      </c>
      <c r="W9" s="110">
        <f t="shared" ref="W9:Y9" si="8">W10+W11+W12</f>
        <v>18791.651274458163</v>
      </c>
      <c r="X9" s="110">
        <f t="shared" si="8"/>
        <v>27725.980104692102</v>
      </c>
      <c r="Y9" s="110">
        <f t="shared" si="8"/>
        <v>29958.458263265813</v>
      </c>
      <c r="DA9" s="176" t="s">
        <v>376</v>
      </c>
    </row>
    <row r="10" spans="1:105" ht="11.45" customHeight="1" x14ac:dyDescent="0.25">
      <c r="A10" s="128" t="str">
        <f>TrRail_act!$A$5</f>
        <v>Metro and tram, urban light rail</v>
      </c>
      <c r="B10" s="102">
        <f>TrRail_act!B$5</f>
        <v>4700</v>
      </c>
      <c r="C10" s="102">
        <f>TrRail_act!C$5</f>
        <v>4650</v>
      </c>
      <c r="D10" s="102">
        <f>TrRail_act!D$5</f>
        <v>4620</v>
      </c>
      <c r="E10" s="102">
        <f>TrRail_act!E$5</f>
        <v>4500</v>
      </c>
      <c r="F10" s="102">
        <f>TrRail_act!F$5</f>
        <v>4500</v>
      </c>
      <c r="G10" s="102">
        <f>TrRail_act!G$5</f>
        <v>4400</v>
      </c>
      <c r="H10" s="102">
        <f>TrRail_act!H$5</f>
        <v>4450</v>
      </c>
      <c r="I10" s="102">
        <f>TrRail_act!I$5</f>
        <v>4600</v>
      </c>
      <c r="J10" s="102">
        <f>TrRail_act!J$5</f>
        <v>4600</v>
      </c>
      <c r="K10" s="102">
        <f>TrRail_act!K$5</f>
        <v>4320</v>
      </c>
      <c r="L10" s="102">
        <f>TrRail_act!L$5</f>
        <v>4340</v>
      </c>
      <c r="M10" s="102">
        <f>TrRail_act!M$5</f>
        <v>4403.7127814014557</v>
      </c>
      <c r="N10" s="102">
        <f>TrRail_act!N$5</f>
        <v>4392.2452068246657</v>
      </c>
      <c r="O10" s="102">
        <f>TrRail_act!O$5</f>
        <v>4100.1609005708251</v>
      </c>
      <c r="P10" s="102">
        <f>TrRail_act!P$5</f>
        <v>4237.1989510237545</v>
      </c>
      <c r="Q10" s="102">
        <f>TrRail_act!Q$5</f>
        <v>4220.3986131076499</v>
      </c>
      <c r="R10" s="102">
        <f>TrRail_act!R$5</f>
        <v>4337.3421417393574</v>
      </c>
      <c r="S10" s="102">
        <f>TrRail_act!S$5</f>
        <v>4311.4278950190928</v>
      </c>
      <c r="T10" s="102">
        <f>TrRail_act!T$5</f>
        <v>4352.2747351298049</v>
      </c>
      <c r="U10" s="102">
        <f>TrRail_act!U$5</f>
        <v>4427.8194286678954</v>
      </c>
      <c r="V10" s="102">
        <f>TrRail_act!V$5</f>
        <v>2610.5742570757402</v>
      </c>
      <c r="W10" s="102">
        <f>TrRail_act!W$5</f>
        <v>2874.6512744581646</v>
      </c>
      <c r="X10" s="102">
        <f>TrRail_act!X$5</f>
        <v>3898.9801046921007</v>
      </c>
      <c r="Y10" s="102">
        <f>TrRail_act!Y$5</f>
        <v>4167.4582632658121</v>
      </c>
      <c r="DA10" s="175" t="s">
        <v>377</v>
      </c>
    </row>
    <row r="11" spans="1:105" ht="11.45" customHeight="1" x14ac:dyDescent="0.25">
      <c r="A11" s="128" t="str">
        <f>TrRail_act!$A$6</f>
        <v>Conventional passenger trains</v>
      </c>
      <c r="B11" s="102">
        <f>TrRail_act!B$6</f>
        <v>24092</v>
      </c>
      <c r="C11" s="102">
        <f>TrRail_act!C$6</f>
        <v>22469</v>
      </c>
      <c r="D11" s="102">
        <f>TrRail_act!D$6</f>
        <v>20749</v>
      </c>
      <c r="E11" s="102">
        <f>TrRail_act!E$6</f>
        <v>19638</v>
      </c>
      <c r="F11" s="102">
        <f>TrRail_act!F$6</f>
        <v>18690</v>
      </c>
      <c r="G11" s="102">
        <f>TrRail_act!G$6</f>
        <v>18157</v>
      </c>
      <c r="H11" s="102">
        <f>TrRail_act!H$6</f>
        <v>18552</v>
      </c>
      <c r="I11" s="102">
        <f>TrRail_act!I$6</f>
        <v>19859</v>
      </c>
      <c r="J11" s="102">
        <f>TrRail_act!J$6</f>
        <v>20195</v>
      </c>
      <c r="K11" s="102">
        <f>TrRail_act!K$6</f>
        <v>18637</v>
      </c>
      <c r="L11" s="102">
        <f>TrRail_act!L$6</f>
        <v>17921</v>
      </c>
      <c r="M11" s="102">
        <f>TrRail_act!M$6</f>
        <v>18177</v>
      </c>
      <c r="N11" s="102">
        <f>TrRail_act!N$6</f>
        <v>17826</v>
      </c>
      <c r="O11" s="102">
        <f>TrRail_act!O$6</f>
        <v>16797</v>
      </c>
      <c r="P11" s="102">
        <f>TrRail_act!P$6</f>
        <v>16015</v>
      </c>
      <c r="Q11" s="102">
        <f>TrRail_act!Q$6</f>
        <v>16900</v>
      </c>
      <c r="R11" s="102">
        <f>TrRail_act!R$6</f>
        <v>17739.509999999998</v>
      </c>
      <c r="S11" s="102">
        <f>TrRail_act!S$6</f>
        <v>18879</v>
      </c>
      <c r="T11" s="102">
        <f>TrRail_act!T$6</f>
        <v>19493</v>
      </c>
      <c r="U11" s="102">
        <f>TrRail_act!U$6</f>
        <v>20373</v>
      </c>
      <c r="V11" s="102">
        <f>TrRail_act!V$6</f>
        <v>11799</v>
      </c>
      <c r="W11" s="102">
        <f>TrRail_act!W$6</f>
        <v>14792.7</v>
      </c>
      <c r="X11" s="102">
        <f>TrRail_act!X$6</f>
        <v>22431</v>
      </c>
      <c r="Y11" s="102">
        <f>TrRail_act!Y$6</f>
        <v>24170.3</v>
      </c>
      <c r="DA11" s="175" t="s">
        <v>378</v>
      </c>
    </row>
    <row r="12" spans="1:105" ht="11.45" customHeight="1" x14ac:dyDescent="0.25">
      <c r="A12" s="128" t="str">
        <f>TrRail_act!$A$9</f>
        <v>High speed passenger trains</v>
      </c>
      <c r="B12" s="102">
        <f>TrRail_act!B$9</f>
        <v>0</v>
      </c>
      <c r="C12" s="102">
        <f>TrRail_act!C$9</f>
        <v>0</v>
      </c>
      <c r="D12" s="102">
        <f>TrRail_act!D$9</f>
        <v>0</v>
      </c>
      <c r="E12" s="102">
        <f>TrRail_act!E$9</f>
        <v>0</v>
      </c>
      <c r="F12" s="102">
        <f>TrRail_act!F$9</f>
        <v>0</v>
      </c>
      <c r="G12" s="102">
        <f>TrRail_act!G$9</f>
        <v>0</v>
      </c>
      <c r="H12" s="102">
        <f>TrRail_act!H$9</f>
        <v>0</v>
      </c>
      <c r="I12" s="102">
        <f>TrRail_act!I$9</f>
        <v>0</v>
      </c>
      <c r="J12" s="102">
        <f>TrRail_act!J$9</f>
        <v>0</v>
      </c>
      <c r="K12" s="102">
        <f>TrRail_act!K$9</f>
        <v>0</v>
      </c>
      <c r="L12" s="102">
        <f>TrRail_act!L$9</f>
        <v>0</v>
      </c>
      <c r="M12" s="102">
        <f>TrRail_act!M$9</f>
        <v>0</v>
      </c>
      <c r="N12" s="102">
        <f>TrRail_act!N$9</f>
        <v>0</v>
      </c>
      <c r="O12" s="102">
        <f>TrRail_act!O$9</f>
        <v>0</v>
      </c>
      <c r="P12" s="102">
        <f>TrRail_act!P$9</f>
        <v>0</v>
      </c>
      <c r="Q12" s="102">
        <f>TrRail_act!Q$9</f>
        <v>467</v>
      </c>
      <c r="R12" s="102">
        <f>TrRail_act!R$9</f>
        <v>1435.49</v>
      </c>
      <c r="S12" s="102">
        <f>TrRail_act!S$9</f>
        <v>1440</v>
      </c>
      <c r="T12" s="102">
        <f>TrRail_act!T$9</f>
        <v>1550</v>
      </c>
      <c r="U12" s="102">
        <f>TrRail_act!U$9</f>
        <v>1683</v>
      </c>
      <c r="V12" s="102">
        <f>TrRail_act!V$9</f>
        <v>758</v>
      </c>
      <c r="W12" s="102">
        <f>TrRail_act!W$9</f>
        <v>1124.3000000000002</v>
      </c>
      <c r="X12" s="102">
        <f>TrRail_act!X$9</f>
        <v>1396</v>
      </c>
      <c r="Y12" s="102">
        <f>TrRail_act!Y$9</f>
        <v>1620.7</v>
      </c>
      <c r="DA12" s="175" t="s">
        <v>379</v>
      </c>
    </row>
    <row r="13" spans="1:105" ht="11.45" customHeight="1" x14ac:dyDescent="0.25">
      <c r="A13" s="109" t="s">
        <v>26</v>
      </c>
      <c r="B13" s="110">
        <f t="shared" ref="B13" si="9">B14+B15+B16</f>
        <v>8378.5212752621956</v>
      </c>
      <c r="C13" s="110">
        <f t="shared" ref="C13:V13" si="10">C14+C15+C16</f>
        <v>8436.0653586480475</v>
      </c>
      <c r="D13" s="110">
        <f t="shared" si="10"/>
        <v>8480.0621839631458</v>
      </c>
      <c r="E13" s="110">
        <f t="shared" si="10"/>
        <v>9247.4782658366021</v>
      </c>
      <c r="F13" s="110">
        <f t="shared" si="10"/>
        <v>9116.1685976274312</v>
      </c>
      <c r="G13" s="110">
        <f t="shared" si="10"/>
        <v>10841.498065481472</v>
      </c>
      <c r="H13" s="110">
        <f t="shared" si="10"/>
        <v>13080.036364276933</v>
      </c>
      <c r="I13" s="110">
        <f t="shared" si="10"/>
        <v>15670.353919189609</v>
      </c>
      <c r="J13" s="110">
        <f t="shared" si="10"/>
        <v>17220.297441775987</v>
      </c>
      <c r="K13" s="110">
        <f t="shared" si="10"/>
        <v>14869.494381320179</v>
      </c>
      <c r="L13" s="110">
        <f t="shared" si="10"/>
        <v>15550.962858591023</v>
      </c>
      <c r="M13" s="110">
        <f t="shared" si="10"/>
        <v>16588.569287208218</v>
      </c>
      <c r="N13" s="110">
        <f t="shared" si="10"/>
        <v>17047.557123678027</v>
      </c>
      <c r="O13" s="110">
        <f t="shared" si="10"/>
        <v>17815.407490891615</v>
      </c>
      <c r="P13" s="110">
        <f t="shared" si="10"/>
        <v>19902.701412429225</v>
      </c>
      <c r="Q13" s="110">
        <f t="shared" si="10"/>
        <v>21695.939854875862</v>
      </c>
      <c r="R13" s="110">
        <f t="shared" si="10"/>
        <v>24225.449473658042</v>
      </c>
      <c r="S13" s="110">
        <f t="shared" si="10"/>
        <v>29945.435944406487</v>
      </c>
      <c r="T13" s="110">
        <f t="shared" si="10"/>
        <v>35691.562967157108</v>
      </c>
      <c r="U13" s="110">
        <f t="shared" si="10"/>
        <v>38811.016424911875</v>
      </c>
      <c r="V13" s="110">
        <f t="shared" si="10"/>
        <v>11523.913605884834</v>
      </c>
      <c r="W13" s="110">
        <f t="shared" ref="W13:Y13" si="11">W14+W15+W16</f>
        <v>16896.435014083705</v>
      </c>
      <c r="X13" s="110">
        <f t="shared" si="11"/>
        <v>35652.969784452856</v>
      </c>
      <c r="Y13" s="110">
        <f t="shared" si="11"/>
        <v>46744.261956198723</v>
      </c>
      <c r="DA13" s="176" t="s">
        <v>190</v>
      </c>
    </row>
    <row r="14" spans="1:105" ht="11.45" customHeight="1" x14ac:dyDescent="0.25">
      <c r="A14" s="128" t="s">
        <v>27</v>
      </c>
      <c r="B14" s="102">
        <f>TrAvia_act!B$5</f>
        <v>243.80120081546826</v>
      </c>
      <c r="C14" s="102">
        <f>TrAvia_act!C$5</f>
        <v>246.83806160291368</v>
      </c>
      <c r="D14" s="102">
        <f>TrAvia_act!D$5</f>
        <v>334.7489046259771</v>
      </c>
      <c r="E14" s="102">
        <f>TrAvia_act!E$5</f>
        <v>343.09289744009334</v>
      </c>
      <c r="F14" s="102">
        <f>TrAvia_act!F$5</f>
        <v>262.16848059496942</v>
      </c>
      <c r="G14" s="102">
        <f>TrAvia_act!G$5</f>
        <v>275.61719741344677</v>
      </c>
      <c r="H14" s="102">
        <f>TrAvia_act!H$5</f>
        <v>275.66086976305633</v>
      </c>
      <c r="I14" s="102">
        <f>TrAvia_act!I$5</f>
        <v>331.16694784417871</v>
      </c>
      <c r="J14" s="102">
        <f>TrAvia_act!J$5</f>
        <v>290.46927434696278</v>
      </c>
      <c r="K14" s="102">
        <f>TrAvia_act!K$5</f>
        <v>267.78632396114978</v>
      </c>
      <c r="L14" s="102">
        <f>TrAvia_act!L$5</f>
        <v>307.66308450944683</v>
      </c>
      <c r="M14" s="102">
        <f>TrAvia_act!M$5</f>
        <v>407.30425486998058</v>
      </c>
      <c r="N14" s="102">
        <f>TrAvia_act!N$5</f>
        <v>673.46022859012919</v>
      </c>
      <c r="O14" s="102">
        <f>TrAvia_act!O$5</f>
        <v>460.26806791486121</v>
      </c>
      <c r="P14" s="102">
        <f>TrAvia_act!P$5</f>
        <v>562.28334189344139</v>
      </c>
      <c r="Q14" s="102">
        <f>TrAvia_act!Q$5</f>
        <v>554.4982749138959</v>
      </c>
      <c r="R14" s="102">
        <f>TrAvia_act!R$5</f>
        <v>606.07416235382084</v>
      </c>
      <c r="S14" s="102">
        <f>TrAvia_act!S$5</f>
        <v>761.18977750654324</v>
      </c>
      <c r="T14" s="102">
        <f>TrAvia_act!T$5</f>
        <v>648.49503683068804</v>
      </c>
      <c r="U14" s="102">
        <f>TrAvia_act!U$5</f>
        <v>662.60020664744468</v>
      </c>
      <c r="V14" s="102">
        <f>TrAvia_act!V$5</f>
        <v>227.35813337546827</v>
      </c>
      <c r="W14" s="102">
        <f>TrAvia_act!W$5</f>
        <v>260.93449306233629</v>
      </c>
      <c r="X14" s="102">
        <f>TrAvia_act!X$5</f>
        <v>562.09265748721418</v>
      </c>
      <c r="Y14" s="102">
        <f>TrAvia_act!Y$5</f>
        <v>662.44991918196581</v>
      </c>
      <c r="DA14" s="175" t="s">
        <v>191</v>
      </c>
    </row>
    <row r="15" spans="1:105" ht="11.45" customHeight="1" x14ac:dyDescent="0.25">
      <c r="A15" s="128" t="s">
        <v>181</v>
      </c>
      <c r="B15" s="102">
        <f>TrAvia_act!B$6</f>
        <v>3997.471010736916</v>
      </c>
      <c r="C15" s="102">
        <f>TrAvia_act!C$6</f>
        <v>4033.6837047381528</v>
      </c>
      <c r="D15" s="102">
        <f>TrAvia_act!D$6</f>
        <v>4013.3933607392419</v>
      </c>
      <c r="E15" s="102">
        <f>TrAvia_act!E$6</f>
        <v>4350.0871412803081</v>
      </c>
      <c r="F15" s="102">
        <f>TrAvia_act!F$6</f>
        <v>4284.2551795637746</v>
      </c>
      <c r="G15" s="102">
        <f>TrAvia_act!G$6</f>
        <v>5467.7643861036349</v>
      </c>
      <c r="H15" s="102">
        <f>TrAvia_act!H$6</f>
        <v>7044.9450283123397</v>
      </c>
      <c r="I15" s="102">
        <f>TrAvia_act!I$6</f>
        <v>8910.1474459076817</v>
      </c>
      <c r="J15" s="102">
        <f>TrAvia_act!J$6</f>
        <v>9277.2512132154952</v>
      </c>
      <c r="K15" s="102">
        <f>TrAvia_act!K$6</f>
        <v>8369.4071664946205</v>
      </c>
      <c r="L15" s="102">
        <f>TrAvia_act!L$6</f>
        <v>8830.6970389873586</v>
      </c>
      <c r="M15" s="102">
        <f>TrAvia_act!M$6</f>
        <v>10344.14587084421</v>
      </c>
      <c r="N15" s="102">
        <f>TrAvia_act!N$6</f>
        <v>10383.860194523135</v>
      </c>
      <c r="O15" s="102">
        <f>TrAvia_act!O$6</f>
        <v>11844.215381871411</v>
      </c>
      <c r="P15" s="102">
        <f>TrAvia_act!P$6</f>
        <v>12854.87229273075</v>
      </c>
      <c r="Q15" s="102">
        <f>TrAvia_act!Q$6</f>
        <v>15053.938906480635</v>
      </c>
      <c r="R15" s="102">
        <f>TrAvia_act!R$6</f>
        <v>17334.382250036393</v>
      </c>
      <c r="S15" s="102">
        <f>TrAvia_act!S$6</f>
        <v>20098.24157319394</v>
      </c>
      <c r="T15" s="102">
        <f>TrAvia_act!T$6</f>
        <v>22481.476139340106</v>
      </c>
      <c r="U15" s="102">
        <f>TrAvia_act!U$6</f>
        <v>22603.300708636223</v>
      </c>
      <c r="V15" s="102">
        <f>TrAvia_act!V$6</f>
        <v>7242.2373742386326</v>
      </c>
      <c r="W15" s="102">
        <f>TrAvia_act!W$6</f>
        <v>9531.3931623893732</v>
      </c>
      <c r="X15" s="102">
        <f>TrAvia_act!X$6</f>
        <v>20575.666643409422</v>
      </c>
      <c r="Y15" s="102">
        <f>TrAvia_act!Y$6</f>
        <v>25938.658589949009</v>
      </c>
      <c r="DA15" s="175" t="s">
        <v>192</v>
      </c>
    </row>
    <row r="16" spans="1:105" ht="11.45" customHeight="1" x14ac:dyDescent="0.25">
      <c r="A16" s="128" t="s">
        <v>182</v>
      </c>
      <c r="B16" s="102">
        <f>TrAvia_act!B$7</f>
        <v>4137.2490637098126</v>
      </c>
      <c r="C16" s="102">
        <f>TrAvia_act!C$7</f>
        <v>4155.5435923069817</v>
      </c>
      <c r="D16" s="102">
        <f>TrAvia_act!D$7</f>
        <v>4131.9199185979278</v>
      </c>
      <c r="E16" s="102">
        <f>TrAvia_act!E$7</f>
        <v>4554.2982271162009</v>
      </c>
      <c r="F16" s="102">
        <f>TrAvia_act!F$7</f>
        <v>4569.7449374686876</v>
      </c>
      <c r="G16" s="102">
        <f>TrAvia_act!G$7</f>
        <v>5098.1164819643891</v>
      </c>
      <c r="H16" s="102">
        <f>TrAvia_act!H$7</f>
        <v>5759.4304662015365</v>
      </c>
      <c r="I16" s="102">
        <f>TrAvia_act!I$7</f>
        <v>6429.039525437749</v>
      </c>
      <c r="J16" s="102">
        <f>TrAvia_act!J$7</f>
        <v>7652.5769542135304</v>
      </c>
      <c r="K16" s="102">
        <f>TrAvia_act!K$7</f>
        <v>6232.3008908644088</v>
      </c>
      <c r="L16" s="102">
        <f>TrAvia_act!L$7</f>
        <v>6412.6027350942186</v>
      </c>
      <c r="M16" s="102">
        <f>TrAvia_act!M$7</f>
        <v>5837.1191614940271</v>
      </c>
      <c r="N16" s="102">
        <f>TrAvia_act!N$7</f>
        <v>5990.2367005647639</v>
      </c>
      <c r="O16" s="102">
        <f>TrAvia_act!O$7</f>
        <v>5510.9240411053452</v>
      </c>
      <c r="P16" s="102">
        <f>TrAvia_act!P$7</f>
        <v>6485.5457778050359</v>
      </c>
      <c r="Q16" s="102">
        <f>TrAvia_act!Q$7</f>
        <v>6087.5026734813327</v>
      </c>
      <c r="R16" s="102">
        <f>TrAvia_act!R$7</f>
        <v>6284.9930612678281</v>
      </c>
      <c r="S16" s="102">
        <f>TrAvia_act!S$7</f>
        <v>9086.0045937060022</v>
      </c>
      <c r="T16" s="102">
        <f>TrAvia_act!T$7</f>
        <v>12561.591790986315</v>
      </c>
      <c r="U16" s="102">
        <f>TrAvia_act!U$7</f>
        <v>15545.115509628209</v>
      </c>
      <c r="V16" s="102">
        <f>TrAvia_act!V$7</f>
        <v>4054.318098270734</v>
      </c>
      <c r="W16" s="102">
        <f>TrAvia_act!W$7</f>
        <v>7104.1073586319962</v>
      </c>
      <c r="X16" s="102">
        <f>TrAvia_act!X$7</f>
        <v>14515.210483556224</v>
      </c>
      <c r="Y16" s="102">
        <f>TrAvia_act!Y$7</f>
        <v>20143.153447067747</v>
      </c>
      <c r="DA16" s="175" t="s">
        <v>193</v>
      </c>
    </row>
    <row r="17" spans="1:105" ht="11.45" customHeight="1" x14ac:dyDescent="0.25">
      <c r="A17" s="27" t="s">
        <v>28</v>
      </c>
      <c r="B17" s="28">
        <f t="shared" ref="B17:Q17" si="12">B18+B21+B22+B26</f>
        <v>125767.58774610983</v>
      </c>
      <c r="C17" s="28">
        <f t="shared" si="12"/>
        <v>121809.48798314849</v>
      </c>
      <c r="D17" s="28">
        <f t="shared" si="12"/>
        <v>123447.44823442827</v>
      </c>
      <c r="E17" s="28">
        <f t="shared" si="12"/>
        <v>126985.23080611354</v>
      </c>
      <c r="F17" s="28">
        <f t="shared" si="12"/>
        <v>140610.62728134994</v>
      </c>
      <c r="G17" s="28">
        <f t="shared" si="12"/>
        <v>141391.88505149086</v>
      </c>
      <c r="H17" s="28">
        <f t="shared" si="12"/>
        <v>149435.62230120308</v>
      </c>
      <c r="I17" s="28">
        <f t="shared" si="12"/>
        <v>154601.88041057767</v>
      </c>
      <c r="J17" s="28">
        <f t="shared" si="12"/>
        <v>159036.7694199777</v>
      </c>
      <c r="K17" s="28">
        <f t="shared" si="12"/>
        <v>156354.38683694685</v>
      </c>
      <c r="L17" s="28">
        <f t="shared" si="12"/>
        <v>170800.77889662463</v>
      </c>
      <c r="M17" s="28">
        <f t="shared" si="12"/>
        <v>185573.79354399806</v>
      </c>
      <c r="N17" s="28">
        <f t="shared" si="12"/>
        <v>182977.72611113626</v>
      </c>
      <c r="O17" s="28">
        <f t="shared" si="12"/>
        <v>198766.92531392488</v>
      </c>
      <c r="P17" s="28">
        <f t="shared" si="12"/>
        <v>195014.60786419892</v>
      </c>
      <c r="Q17" s="28">
        <f t="shared" si="12"/>
        <v>204499.94368629146</v>
      </c>
      <c r="R17" s="28">
        <f t="shared" ref="R17:V17" si="13">R18+R21+R22+R26</f>
        <v>211762.09303865826</v>
      </c>
      <c r="S17" s="28">
        <f t="shared" si="13"/>
        <v>236002.1358623445</v>
      </c>
      <c r="T17" s="28">
        <f t="shared" si="13"/>
        <v>228907.25368229908</v>
      </c>
      <c r="U17" s="28">
        <f t="shared" si="13"/>
        <v>235696.09169632872</v>
      </c>
      <c r="V17" s="28">
        <f t="shared" si="13"/>
        <v>234158.6339256879</v>
      </c>
      <c r="W17" s="28">
        <f t="shared" ref="W17:Y17" si="14">W18+W21+W22+W26</f>
        <v>252443.58406521028</v>
      </c>
      <c r="X17" s="28">
        <f t="shared" si="14"/>
        <v>264620.27572802285</v>
      </c>
      <c r="Y17" s="28">
        <f t="shared" si="14"/>
        <v>261680.8408044251</v>
      </c>
      <c r="DA17" s="173" t="s">
        <v>380</v>
      </c>
    </row>
    <row r="18" spans="1:105" ht="11.45" customHeight="1" x14ac:dyDescent="0.25">
      <c r="A18" s="136" t="s">
        <v>19</v>
      </c>
      <c r="B18" s="137">
        <f t="shared" ref="B18:Q18" si="15">B19+B20</f>
        <v>70544.260432518742</v>
      </c>
      <c r="C18" s="137">
        <f t="shared" si="15"/>
        <v>72797.137600275499</v>
      </c>
      <c r="D18" s="137">
        <f t="shared" si="15"/>
        <v>75672.957365720562</v>
      </c>
      <c r="E18" s="137">
        <f t="shared" si="15"/>
        <v>78656.933152701677</v>
      </c>
      <c r="F18" s="137">
        <f t="shared" si="15"/>
        <v>87863.138221890811</v>
      </c>
      <c r="G18" s="137">
        <f t="shared" si="15"/>
        <v>91014.214731414715</v>
      </c>
      <c r="H18" s="137">
        <f t="shared" si="15"/>
        <v>95439.613181883615</v>
      </c>
      <c r="I18" s="137">
        <f t="shared" si="15"/>
        <v>99982.055797508976</v>
      </c>
      <c r="J18" s="137">
        <f t="shared" si="15"/>
        <v>106611.05364412046</v>
      </c>
      <c r="K18" s="137">
        <f t="shared" si="15"/>
        <v>112618.41029388714</v>
      </c>
      <c r="L18" s="137">
        <f t="shared" si="15"/>
        <v>121843.03489495581</v>
      </c>
      <c r="M18" s="137">
        <f t="shared" si="15"/>
        <v>131520.76589460566</v>
      </c>
      <c r="N18" s="137">
        <f t="shared" si="15"/>
        <v>133808.73704450359</v>
      </c>
      <c r="O18" s="137">
        <f t="shared" si="15"/>
        <v>147659.4693523621</v>
      </c>
      <c r="P18" s="137">
        <f t="shared" si="15"/>
        <v>144666.2040003622</v>
      </c>
      <c r="Q18" s="137">
        <f t="shared" si="15"/>
        <v>153612.88376567207</v>
      </c>
      <c r="R18" s="137">
        <f t="shared" ref="R18:V18" si="16">R19+R20</f>
        <v>160747.06065454698</v>
      </c>
      <c r="S18" s="137">
        <f t="shared" si="16"/>
        <v>180807.13443491561</v>
      </c>
      <c r="T18" s="137">
        <f t="shared" si="16"/>
        <v>169104.53360652592</v>
      </c>
      <c r="U18" s="137">
        <f t="shared" si="16"/>
        <v>180601.89719398911</v>
      </c>
      <c r="V18" s="137">
        <f t="shared" si="16"/>
        <v>182784.69415462617</v>
      </c>
      <c r="W18" s="137">
        <f t="shared" ref="W18:Y18" si="17">W19+W20</f>
        <v>197700.23925431209</v>
      </c>
      <c r="X18" s="137">
        <f t="shared" si="17"/>
        <v>204760.75630318385</v>
      </c>
      <c r="Y18" s="137">
        <f t="shared" si="17"/>
        <v>200009.28651791118</v>
      </c>
      <c r="DA18" s="174" t="s">
        <v>381</v>
      </c>
    </row>
    <row r="19" spans="1:105" ht="11.45" customHeight="1" x14ac:dyDescent="0.25">
      <c r="A19" s="128" t="str">
        <f>TrRoad_act!$A$20</f>
        <v>Light commercial vehicles</v>
      </c>
      <c r="B19" s="102">
        <f>TrRoad_act!B$20</f>
        <v>3869.1154587522142</v>
      </c>
      <c r="C19" s="102">
        <f>TrRoad_act!C$20</f>
        <v>3792.6540508980656</v>
      </c>
      <c r="D19" s="102">
        <f>TrRoad_act!D$20</f>
        <v>3989.2869630346099</v>
      </c>
      <c r="E19" s="102">
        <f>TrRoad_act!E$20</f>
        <v>4131.9963086666576</v>
      </c>
      <c r="F19" s="102">
        <f>TrRoad_act!F$20</f>
        <v>4054.3197530436855</v>
      </c>
      <c r="G19" s="102">
        <f>TrRoad_act!G$20</f>
        <v>4202.6749026788402</v>
      </c>
      <c r="H19" s="102">
        <f>TrRoad_act!H$20</f>
        <v>4439.4903178175573</v>
      </c>
      <c r="I19" s="102">
        <f>TrRoad_act!I$20</f>
        <v>4647.2083811668754</v>
      </c>
      <c r="J19" s="102">
        <f>TrRoad_act!J$20</f>
        <v>4974.4094593712143</v>
      </c>
      <c r="K19" s="102">
        <f>TrRoad_act!K$20</f>
        <v>5262.5354835893204</v>
      </c>
      <c r="L19" s="102">
        <f>TrRoad_act!L$20</f>
        <v>5626.0372920469017</v>
      </c>
      <c r="M19" s="102">
        <f>TrRoad_act!M$20</f>
        <v>5918.8960183949921</v>
      </c>
      <c r="N19" s="102">
        <f>TrRoad_act!N$20</f>
        <v>5932.1963835860106</v>
      </c>
      <c r="O19" s="102">
        <f>TrRoad_act!O$20</f>
        <v>6119.3768060422581</v>
      </c>
      <c r="P19" s="102">
        <f>TrRoad_act!P$20</f>
        <v>6127.7777340486518</v>
      </c>
      <c r="Q19" s="102">
        <f>TrRoad_act!Q$20</f>
        <v>6213.9130106012253</v>
      </c>
      <c r="R19" s="102">
        <f>TrRoad_act!R$20</f>
        <v>6542.128102141497</v>
      </c>
      <c r="S19" s="102">
        <f>TrRoad_act!S$20</f>
        <v>6812.9725167452261</v>
      </c>
      <c r="T19" s="102">
        <f>TrRoad_act!T$20</f>
        <v>7179.5336065259162</v>
      </c>
      <c r="U19" s="102">
        <f>TrRoad_act!U$20</f>
        <v>7533.8971939891135</v>
      </c>
      <c r="V19" s="102">
        <f>TrRoad_act!V$20</f>
        <v>7643.6941546261778</v>
      </c>
      <c r="W19" s="102">
        <f>TrRoad_act!W$20</f>
        <v>7918.2392543120895</v>
      </c>
      <c r="X19" s="102">
        <f>TrRoad_act!X$20</f>
        <v>8049.7563031838517</v>
      </c>
      <c r="Y19" s="102">
        <f>TrRoad_act!Y$20</f>
        <v>8143.2865179111741</v>
      </c>
      <c r="DA19" s="175" t="s">
        <v>382</v>
      </c>
    </row>
    <row r="20" spans="1:105" ht="11.45" customHeight="1" x14ac:dyDescent="0.25">
      <c r="A20" s="128" t="str">
        <f>TrRoad_act!$A$26</f>
        <v>Heavy goods vehicles</v>
      </c>
      <c r="B20" s="102">
        <f>TrRoad_act!B$26</f>
        <v>66675.144973766524</v>
      </c>
      <c r="C20" s="102">
        <f>TrRoad_act!C$26</f>
        <v>69004.48354937743</v>
      </c>
      <c r="D20" s="102">
        <f>TrRoad_act!D$26</f>
        <v>71683.670402685952</v>
      </c>
      <c r="E20" s="102">
        <f>TrRoad_act!E$26</f>
        <v>74524.936844035023</v>
      </c>
      <c r="F20" s="102">
        <f>TrRoad_act!F$26</f>
        <v>83808.818468847123</v>
      </c>
      <c r="G20" s="102">
        <f>TrRoad_act!G$26</f>
        <v>86811.539828735869</v>
      </c>
      <c r="H20" s="102">
        <f>TrRoad_act!H$26</f>
        <v>91000.122864066056</v>
      </c>
      <c r="I20" s="102">
        <f>TrRoad_act!I$26</f>
        <v>95334.847416342105</v>
      </c>
      <c r="J20" s="102">
        <f>TrRoad_act!J$26</f>
        <v>101636.64418474924</v>
      </c>
      <c r="K20" s="102">
        <f>TrRoad_act!K$26</f>
        <v>107355.87481029781</v>
      </c>
      <c r="L20" s="102">
        <f>TrRoad_act!L$26</f>
        <v>116216.99760290892</v>
      </c>
      <c r="M20" s="102">
        <f>TrRoad_act!M$26</f>
        <v>125601.86987621067</v>
      </c>
      <c r="N20" s="102">
        <f>TrRoad_act!N$26</f>
        <v>127876.54066091758</v>
      </c>
      <c r="O20" s="102">
        <f>TrRoad_act!O$26</f>
        <v>141540.09254631985</v>
      </c>
      <c r="P20" s="102">
        <f>TrRoad_act!P$26</f>
        <v>138538.42626631353</v>
      </c>
      <c r="Q20" s="102">
        <f>TrRoad_act!Q$26</f>
        <v>147398.97075507086</v>
      </c>
      <c r="R20" s="102">
        <f>TrRoad_act!R$26</f>
        <v>154204.93255240549</v>
      </c>
      <c r="S20" s="102">
        <f>TrRoad_act!S$26</f>
        <v>173994.1619181704</v>
      </c>
      <c r="T20" s="102">
        <f>TrRoad_act!T$26</f>
        <v>161925</v>
      </c>
      <c r="U20" s="102">
        <f>TrRoad_act!U$26</f>
        <v>173068</v>
      </c>
      <c r="V20" s="102">
        <f>TrRoad_act!V$26</f>
        <v>175141</v>
      </c>
      <c r="W20" s="102">
        <f>TrRoad_act!W$26</f>
        <v>189782</v>
      </c>
      <c r="X20" s="102">
        <f>TrRoad_act!X$26</f>
        <v>196711</v>
      </c>
      <c r="Y20" s="102">
        <f>TrRoad_act!Y$26</f>
        <v>191866</v>
      </c>
      <c r="DA20" s="175" t="s">
        <v>383</v>
      </c>
    </row>
    <row r="21" spans="1:105" ht="11.45" customHeight="1" x14ac:dyDescent="0.25">
      <c r="A21" s="109" t="s">
        <v>29</v>
      </c>
      <c r="B21" s="110">
        <f>TrRail_act!B$10</f>
        <v>54000</v>
      </c>
      <c r="C21" s="110">
        <f>TrRail_act!C$10</f>
        <v>47700</v>
      </c>
      <c r="D21" s="110">
        <f>TrRail_act!D$10</f>
        <v>46600</v>
      </c>
      <c r="E21" s="110">
        <f>TrRail_act!E$10</f>
        <v>47407</v>
      </c>
      <c r="F21" s="110">
        <f>TrRail_act!F$10</f>
        <v>52332</v>
      </c>
      <c r="G21" s="110">
        <f>TrRail_act!G$10</f>
        <v>49972</v>
      </c>
      <c r="H21" s="110">
        <f>TrRail_act!H$10</f>
        <v>53622</v>
      </c>
      <c r="I21" s="110">
        <f>TrRail_act!I$10</f>
        <v>54253</v>
      </c>
      <c r="J21" s="110">
        <f>TrRail_act!J$10</f>
        <v>52043</v>
      </c>
      <c r="K21" s="110">
        <f>TrRail_act!K$10</f>
        <v>43445</v>
      </c>
      <c r="L21" s="110">
        <f>TrRail_act!L$10</f>
        <v>48705</v>
      </c>
      <c r="M21" s="110">
        <f>TrRail_act!M$10</f>
        <v>53746</v>
      </c>
      <c r="N21" s="110">
        <f>TrRail_act!N$10</f>
        <v>48903</v>
      </c>
      <c r="O21" s="110">
        <f>TrRail_act!O$10</f>
        <v>50881</v>
      </c>
      <c r="P21" s="110">
        <f>TrRail_act!P$10</f>
        <v>50073</v>
      </c>
      <c r="Q21" s="110">
        <f>TrRail_act!Q$10</f>
        <v>50603</v>
      </c>
      <c r="R21" s="110">
        <f>TrRail_act!R$10</f>
        <v>50650</v>
      </c>
      <c r="S21" s="110">
        <f>TrRail_act!S$10</f>
        <v>54797</v>
      </c>
      <c r="T21" s="110">
        <f>TrRail_act!T$10</f>
        <v>59388</v>
      </c>
      <c r="U21" s="110">
        <f>TrRail_act!U$10</f>
        <v>54584</v>
      </c>
      <c r="V21" s="110">
        <f>TrRail_act!V$10</f>
        <v>51096</v>
      </c>
      <c r="W21" s="110">
        <f>TrRail_act!W$10</f>
        <v>54387</v>
      </c>
      <c r="X21" s="110">
        <f>TrRail_act!X$10</f>
        <v>59306</v>
      </c>
      <c r="Y21" s="110">
        <f>TrRail_act!Y$10</f>
        <v>61085</v>
      </c>
      <c r="DA21" s="176" t="s">
        <v>384</v>
      </c>
    </row>
    <row r="22" spans="1:105" ht="11.45" customHeight="1" x14ac:dyDescent="0.25">
      <c r="A22" s="109" t="s">
        <v>26</v>
      </c>
      <c r="B22" s="110">
        <f t="shared" ref="B22" si="18">B23+B24+B25</f>
        <v>35.938313591094285</v>
      </c>
      <c r="C22" s="110">
        <f t="shared" ref="C22:V22" si="19">C23+C24+C25</f>
        <v>34.372382872978832</v>
      </c>
      <c r="D22" s="110">
        <f t="shared" si="19"/>
        <v>33.9248687077081</v>
      </c>
      <c r="E22" s="110">
        <f t="shared" si="19"/>
        <v>33.881653411863802</v>
      </c>
      <c r="F22" s="110">
        <f t="shared" si="19"/>
        <v>30.432059459137953</v>
      </c>
      <c r="G22" s="110">
        <f t="shared" si="19"/>
        <v>31.722320076145834</v>
      </c>
      <c r="H22" s="110">
        <f t="shared" si="19"/>
        <v>41.228119319485643</v>
      </c>
      <c r="I22" s="110">
        <f t="shared" si="19"/>
        <v>57.544613068679489</v>
      </c>
      <c r="J22" s="110">
        <f t="shared" si="19"/>
        <v>66.434775857265208</v>
      </c>
      <c r="K22" s="110">
        <f t="shared" si="19"/>
        <v>61.140543059700576</v>
      </c>
      <c r="L22" s="110">
        <f t="shared" si="19"/>
        <v>95.075001668814281</v>
      </c>
      <c r="M22" s="110">
        <f t="shared" si="19"/>
        <v>94.745649392410215</v>
      </c>
      <c r="N22" s="110">
        <f t="shared" si="19"/>
        <v>88.81906663264138</v>
      </c>
      <c r="O22" s="110">
        <f t="shared" si="19"/>
        <v>95.063961562792798</v>
      </c>
      <c r="P22" s="110">
        <f t="shared" si="19"/>
        <v>140.34586383672874</v>
      </c>
      <c r="Q22" s="110">
        <f t="shared" si="19"/>
        <v>161.11292061939082</v>
      </c>
      <c r="R22" s="110">
        <f t="shared" si="19"/>
        <v>191.3603841112874</v>
      </c>
      <c r="S22" s="110">
        <f t="shared" si="19"/>
        <v>216.82942742888397</v>
      </c>
      <c r="T22" s="110">
        <f t="shared" si="19"/>
        <v>237.60507577317395</v>
      </c>
      <c r="U22" s="110">
        <f t="shared" si="19"/>
        <v>357.8005023395973</v>
      </c>
      <c r="V22" s="110">
        <f t="shared" si="19"/>
        <v>100.98777106173679</v>
      </c>
      <c r="W22" s="110">
        <f t="shared" ref="W22:Y22" si="20">W23+W24+W25</f>
        <v>162.83381089819875</v>
      </c>
      <c r="X22" s="110">
        <f t="shared" si="20"/>
        <v>352.56242483900087</v>
      </c>
      <c r="Y22" s="110">
        <f t="shared" si="20"/>
        <v>434.98928651390258</v>
      </c>
      <c r="DA22" s="176" t="s">
        <v>194</v>
      </c>
    </row>
    <row r="23" spans="1:105" ht="11.45" customHeight="1" x14ac:dyDescent="0.25">
      <c r="A23" s="128" t="s">
        <v>27</v>
      </c>
      <c r="B23" s="102">
        <f>TrAvia_act!B$9</f>
        <v>1.000409343402989</v>
      </c>
      <c r="C23" s="102">
        <f>TrAvia_act!C$9</f>
        <v>0.76680191682837684</v>
      </c>
      <c r="D23" s="102">
        <f>TrAvia_act!D$9</f>
        <v>0.87468710362832114</v>
      </c>
      <c r="E23" s="102">
        <f>TrAvia_act!E$9</f>
        <v>0.92762125370571213</v>
      </c>
      <c r="F23" s="102">
        <f>TrAvia_act!F$9</f>
        <v>0.64858501384464395</v>
      </c>
      <c r="G23" s="102">
        <f>TrAvia_act!G$9</f>
        <v>0.52576272222637455</v>
      </c>
      <c r="H23" s="102">
        <f>TrAvia_act!H$9</f>
        <v>1.2641426471372432</v>
      </c>
      <c r="I23" s="102">
        <f>TrAvia_act!I$9</f>
        <v>1.662281462341122</v>
      </c>
      <c r="J23" s="102">
        <f>TrAvia_act!J$9</f>
        <v>1.8642952174801228</v>
      </c>
      <c r="K23" s="102">
        <f>TrAvia_act!K$9</f>
        <v>1.8832645583264191</v>
      </c>
      <c r="L23" s="102">
        <f>TrAvia_act!L$9</f>
        <v>1.8280701097646137</v>
      </c>
      <c r="M23" s="102">
        <f>TrAvia_act!M$9</f>
        <v>2.230467396554535</v>
      </c>
      <c r="N23" s="102">
        <f>TrAvia_act!N$9</f>
        <v>2.3869080269806915</v>
      </c>
      <c r="O23" s="102">
        <f>TrAvia_act!O$9</f>
        <v>2.0865345715570043</v>
      </c>
      <c r="P23" s="102">
        <f>TrAvia_act!P$9</f>
        <v>1.3413845836473863</v>
      </c>
      <c r="Q23" s="102">
        <f>TrAvia_act!Q$9</f>
        <v>0.92990713241639655</v>
      </c>
      <c r="R23" s="102">
        <f>TrAvia_act!R$9</f>
        <v>0.52256689177606164</v>
      </c>
      <c r="S23" s="102">
        <f>TrAvia_act!S$9</f>
        <v>0.17261472604933298</v>
      </c>
      <c r="T23" s="102">
        <f>TrAvia_act!T$9</f>
        <v>0.16091862087789174</v>
      </c>
      <c r="U23" s="102">
        <f>TrAvia_act!U$9</f>
        <v>0.22048615568084171</v>
      </c>
      <c r="V23" s="102">
        <f>TrAvia_act!V$9</f>
        <v>9.5263292059038954E-2</v>
      </c>
      <c r="W23" s="102">
        <f>TrAvia_act!W$9</f>
        <v>0.10176405675947679</v>
      </c>
      <c r="X23" s="102">
        <f>TrAvia_act!X$9</f>
        <v>0.13083873895791226</v>
      </c>
      <c r="Y23" s="102">
        <f>TrAvia_act!Y$9</f>
        <v>9.9463012150001917E-2</v>
      </c>
      <c r="DA23" s="175" t="s">
        <v>195</v>
      </c>
    </row>
    <row r="24" spans="1:105" ht="11.45" customHeight="1" x14ac:dyDescent="0.25">
      <c r="A24" s="128" t="s">
        <v>181</v>
      </c>
      <c r="B24" s="102">
        <f>TrAvia_act!B$10</f>
        <v>9.3651074111026027</v>
      </c>
      <c r="C24" s="102">
        <f>TrAvia_act!C$10</f>
        <v>7.5840822095742428</v>
      </c>
      <c r="D24" s="102">
        <f>TrAvia_act!D$10</f>
        <v>8.1145342242338785</v>
      </c>
      <c r="E24" s="102">
        <f>TrAvia_act!E$10</f>
        <v>8.2976631508887113</v>
      </c>
      <c r="F24" s="102">
        <f>TrAvia_act!F$10</f>
        <v>5.6908575696886592</v>
      </c>
      <c r="G24" s="102">
        <f>TrAvia_act!G$10</f>
        <v>7.7249275085235443</v>
      </c>
      <c r="H24" s="102">
        <f>TrAvia_act!H$10</f>
        <v>9.0842245869903628</v>
      </c>
      <c r="I24" s="102">
        <f>TrAvia_act!I$10</f>
        <v>10.106970835092035</v>
      </c>
      <c r="J24" s="102">
        <f>TrAvia_act!J$10</f>
        <v>11.249975403310549</v>
      </c>
      <c r="K24" s="102">
        <f>TrAvia_act!K$10</f>
        <v>13.505299781567212</v>
      </c>
      <c r="L24" s="102">
        <f>TrAvia_act!L$10</f>
        <v>13.945558195998625</v>
      </c>
      <c r="M24" s="102">
        <f>TrAvia_act!M$10</f>
        <v>16.300296709839042</v>
      </c>
      <c r="N24" s="102">
        <f>TrAvia_act!N$10</f>
        <v>18.468274195372295</v>
      </c>
      <c r="O24" s="102">
        <f>TrAvia_act!O$10</f>
        <v>19.90856652937493</v>
      </c>
      <c r="P24" s="102">
        <f>TrAvia_act!P$10</f>
        <v>23.899591279595885</v>
      </c>
      <c r="Q24" s="102">
        <f>TrAvia_act!Q$10</f>
        <v>27.866957727551508</v>
      </c>
      <c r="R24" s="102">
        <f>TrAvia_act!R$10</f>
        <v>29.184886338197117</v>
      </c>
      <c r="S24" s="102">
        <f>TrAvia_act!S$10</f>
        <v>31.863494635736725</v>
      </c>
      <c r="T24" s="102">
        <f>TrAvia_act!T$10</f>
        <v>34.777442513772954</v>
      </c>
      <c r="U24" s="102">
        <f>TrAvia_act!U$10</f>
        <v>38.348523037753225</v>
      </c>
      <c r="V24" s="102">
        <f>TrAvia_act!V$10</f>
        <v>34.648194340649674</v>
      </c>
      <c r="W24" s="102">
        <f>TrAvia_act!W$10</f>
        <v>46.31654337588899</v>
      </c>
      <c r="X24" s="102">
        <f>TrAvia_act!X$10</f>
        <v>58.772212002481616</v>
      </c>
      <c r="Y24" s="102">
        <f>TrAvia_act!Y$10</f>
        <v>49.448035641201074</v>
      </c>
      <c r="DA24" s="175" t="s">
        <v>196</v>
      </c>
    </row>
    <row r="25" spans="1:105" ht="11.45" customHeight="1" x14ac:dyDescent="0.25">
      <c r="A25" s="128" t="s">
        <v>182</v>
      </c>
      <c r="B25" s="102">
        <f>TrAvia_act!B$11</f>
        <v>25.572796836588694</v>
      </c>
      <c r="C25" s="102">
        <f>TrAvia_act!C$11</f>
        <v>26.021498746576214</v>
      </c>
      <c r="D25" s="102">
        <f>TrAvia_act!D$11</f>
        <v>24.935647379845896</v>
      </c>
      <c r="E25" s="102">
        <f>TrAvia_act!E$11</f>
        <v>24.656369007269376</v>
      </c>
      <c r="F25" s="102">
        <f>TrAvia_act!F$11</f>
        <v>24.092616875604648</v>
      </c>
      <c r="G25" s="102">
        <f>TrAvia_act!G$11</f>
        <v>23.471629845395913</v>
      </c>
      <c r="H25" s="102">
        <f>TrAvia_act!H$11</f>
        <v>30.879752085358039</v>
      </c>
      <c r="I25" s="102">
        <f>TrAvia_act!I$11</f>
        <v>45.775360771246334</v>
      </c>
      <c r="J25" s="102">
        <f>TrAvia_act!J$11</f>
        <v>53.320505236474531</v>
      </c>
      <c r="K25" s="102">
        <f>TrAvia_act!K$11</f>
        <v>45.751978719806949</v>
      </c>
      <c r="L25" s="102">
        <f>TrAvia_act!L$11</f>
        <v>79.301373363051042</v>
      </c>
      <c r="M25" s="102">
        <f>TrAvia_act!M$11</f>
        <v>76.214885286016639</v>
      </c>
      <c r="N25" s="102">
        <f>TrAvia_act!N$11</f>
        <v>67.963884410288401</v>
      </c>
      <c r="O25" s="102">
        <f>TrAvia_act!O$11</f>
        <v>73.068860461860865</v>
      </c>
      <c r="P25" s="102">
        <f>TrAvia_act!P$11</f>
        <v>115.10488797348548</v>
      </c>
      <c r="Q25" s="102">
        <f>TrAvia_act!Q$11</f>
        <v>132.31605575942291</v>
      </c>
      <c r="R25" s="102">
        <f>TrAvia_act!R$11</f>
        <v>161.65293088131423</v>
      </c>
      <c r="S25" s="102">
        <f>TrAvia_act!S$11</f>
        <v>184.79331806709791</v>
      </c>
      <c r="T25" s="102">
        <f>TrAvia_act!T$11</f>
        <v>202.6667146385231</v>
      </c>
      <c r="U25" s="102">
        <f>TrAvia_act!U$11</f>
        <v>319.23149314616325</v>
      </c>
      <c r="V25" s="102">
        <f>TrAvia_act!V$11</f>
        <v>66.244313429028082</v>
      </c>
      <c r="W25" s="102">
        <f>TrAvia_act!W$11</f>
        <v>116.41550346555029</v>
      </c>
      <c r="X25" s="102">
        <f>TrAvia_act!X$11</f>
        <v>293.65937409756134</v>
      </c>
      <c r="Y25" s="102">
        <f>TrAvia_act!Y$11</f>
        <v>385.44178786055153</v>
      </c>
      <c r="DA25" s="175" t="s">
        <v>197</v>
      </c>
    </row>
    <row r="26" spans="1:105" ht="11.45" customHeight="1" x14ac:dyDescent="0.25">
      <c r="A26" s="109" t="s">
        <v>141</v>
      </c>
      <c r="B26" s="110">
        <f t="shared" ref="B26:Q26" si="21">B27+B28</f>
        <v>1187.3889999999999</v>
      </c>
      <c r="C26" s="110">
        <f t="shared" si="21"/>
        <v>1277.9780000000001</v>
      </c>
      <c r="D26" s="110">
        <f t="shared" si="21"/>
        <v>1140.566</v>
      </c>
      <c r="E26" s="110">
        <f t="shared" si="21"/>
        <v>887.41600000000005</v>
      </c>
      <c r="F26" s="110">
        <f t="shared" si="21"/>
        <v>385.05700000000002</v>
      </c>
      <c r="G26" s="110">
        <f t="shared" si="21"/>
        <v>373.94799999999998</v>
      </c>
      <c r="H26" s="110">
        <f t="shared" si="21"/>
        <v>332.78100000000001</v>
      </c>
      <c r="I26" s="110">
        <f t="shared" si="21"/>
        <v>309.27999999999997</v>
      </c>
      <c r="J26" s="110">
        <f t="shared" si="21"/>
        <v>316.28100000000001</v>
      </c>
      <c r="K26" s="110">
        <f t="shared" si="21"/>
        <v>229.83600000000001</v>
      </c>
      <c r="L26" s="110">
        <f t="shared" si="21"/>
        <v>157.66900000000001</v>
      </c>
      <c r="M26" s="110">
        <f t="shared" si="21"/>
        <v>212.28199999999998</v>
      </c>
      <c r="N26" s="110">
        <f t="shared" si="21"/>
        <v>177.17000000000002</v>
      </c>
      <c r="O26" s="110">
        <f t="shared" si="21"/>
        <v>131.392</v>
      </c>
      <c r="P26" s="110">
        <f t="shared" si="21"/>
        <v>135.05799999999999</v>
      </c>
      <c r="Q26" s="110">
        <f t="shared" si="21"/>
        <v>122.947</v>
      </c>
      <c r="R26" s="110">
        <f t="shared" ref="R26:V26" si="22">R27+R28</f>
        <v>173.672</v>
      </c>
      <c r="S26" s="110">
        <f t="shared" si="22"/>
        <v>181.172</v>
      </c>
      <c r="T26" s="110">
        <f t="shared" si="22"/>
        <v>177.11500000000001</v>
      </c>
      <c r="U26" s="110">
        <f t="shared" si="22"/>
        <v>152.39400000000001</v>
      </c>
      <c r="V26" s="110">
        <f t="shared" si="22"/>
        <v>176.952</v>
      </c>
      <c r="W26" s="110">
        <f t="shared" ref="W26:Y26" si="23">W27+W28</f>
        <v>193.511</v>
      </c>
      <c r="X26" s="110">
        <f t="shared" si="23"/>
        <v>200.95699999999999</v>
      </c>
      <c r="Y26" s="110">
        <f t="shared" si="23"/>
        <v>151.565</v>
      </c>
      <c r="DA26" s="176" t="s">
        <v>385</v>
      </c>
    </row>
    <row r="27" spans="1:105" ht="11.45" customHeight="1" x14ac:dyDescent="0.25">
      <c r="A27" s="128" t="str">
        <f>TrNavi_act!$A$4</f>
        <v>Domestic coastal shipping</v>
      </c>
      <c r="B27" s="102">
        <f>TrNavi_act!B4</f>
        <v>14.388999999999999</v>
      </c>
      <c r="C27" s="102">
        <f>TrNavi_act!C4</f>
        <v>13.978</v>
      </c>
      <c r="D27" s="102">
        <f>TrNavi_act!D4</f>
        <v>14.566000000000001</v>
      </c>
      <c r="E27" s="102">
        <f>TrNavi_act!E4</f>
        <v>15.416</v>
      </c>
      <c r="F27" s="102">
        <f>TrNavi_act!F4</f>
        <v>15.057</v>
      </c>
      <c r="G27" s="102">
        <f>TrNavi_act!G4</f>
        <v>46.948</v>
      </c>
      <c r="H27" s="102">
        <f>TrNavi_act!H4</f>
        <v>43.780999999999999</v>
      </c>
      <c r="I27" s="102">
        <f>TrNavi_act!I4</f>
        <v>32.28</v>
      </c>
      <c r="J27" s="102">
        <f>TrNavi_act!J4</f>
        <v>39.280999999999999</v>
      </c>
      <c r="K27" s="102">
        <f>TrNavi_act!K4</f>
        <v>27.835999999999999</v>
      </c>
      <c r="L27" s="102">
        <f>TrNavi_act!L4</f>
        <v>27.669</v>
      </c>
      <c r="M27" s="102">
        <f>TrNavi_act!M4</f>
        <v>51.281999999999996</v>
      </c>
      <c r="N27" s="102">
        <f>TrNavi_act!N4</f>
        <v>46.17</v>
      </c>
      <c r="O27" s="102">
        <f>TrNavi_act!O4</f>
        <v>40.392000000000003</v>
      </c>
      <c r="P27" s="102">
        <f>TrNavi_act!P4</f>
        <v>25.058</v>
      </c>
      <c r="Q27" s="102">
        <f>TrNavi_act!Q4</f>
        <v>34.947000000000003</v>
      </c>
      <c r="R27" s="102">
        <f>TrNavi_act!R4</f>
        <v>65.671999999999997</v>
      </c>
      <c r="S27" s="102">
        <f>TrNavi_act!S4</f>
        <v>66.171999999999997</v>
      </c>
      <c r="T27" s="102">
        <f>TrNavi_act!T4</f>
        <v>52.115000000000002</v>
      </c>
      <c r="U27" s="102">
        <f>TrNavi_act!U4</f>
        <v>65.394000000000005</v>
      </c>
      <c r="V27" s="102">
        <f>TrNavi_act!V4</f>
        <v>99.951999999999998</v>
      </c>
      <c r="W27" s="102">
        <f>TrNavi_act!W4</f>
        <v>139.511</v>
      </c>
      <c r="X27" s="102">
        <f>TrNavi_act!X4</f>
        <v>160.95699999999999</v>
      </c>
      <c r="Y27" s="102">
        <f>TrNavi_act!Y4</f>
        <v>122.565</v>
      </c>
      <c r="DA27" s="175" t="s">
        <v>386</v>
      </c>
    </row>
    <row r="28" spans="1:105" ht="11.45" customHeight="1" x14ac:dyDescent="0.25">
      <c r="A28" s="166" t="str">
        <f>TrNavi_act!$A$5</f>
        <v>Inland waterways</v>
      </c>
      <c r="B28" s="169">
        <f>TrNavi_act!B5</f>
        <v>1173</v>
      </c>
      <c r="C28" s="169">
        <f>TrNavi_act!C5</f>
        <v>1264</v>
      </c>
      <c r="D28" s="169">
        <f>TrNavi_act!D5</f>
        <v>1126</v>
      </c>
      <c r="E28" s="169">
        <f>TrNavi_act!E5</f>
        <v>872</v>
      </c>
      <c r="F28" s="169">
        <f>TrNavi_act!F5</f>
        <v>370</v>
      </c>
      <c r="G28" s="169">
        <f>TrNavi_act!G5</f>
        <v>327</v>
      </c>
      <c r="H28" s="169">
        <f>TrNavi_act!H5</f>
        <v>289</v>
      </c>
      <c r="I28" s="169">
        <f>TrNavi_act!I5</f>
        <v>277</v>
      </c>
      <c r="J28" s="169">
        <f>TrNavi_act!J5</f>
        <v>277</v>
      </c>
      <c r="K28" s="169">
        <f>TrNavi_act!K5</f>
        <v>202</v>
      </c>
      <c r="L28" s="169">
        <f>TrNavi_act!L5</f>
        <v>130</v>
      </c>
      <c r="M28" s="169">
        <f>TrNavi_act!M5</f>
        <v>161</v>
      </c>
      <c r="N28" s="169">
        <f>TrNavi_act!N5</f>
        <v>131</v>
      </c>
      <c r="O28" s="169">
        <f>TrNavi_act!O5</f>
        <v>91</v>
      </c>
      <c r="P28" s="169">
        <f>TrNavi_act!P5</f>
        <v>110</v>
      </c>
      <c r="Q28" s="169">
        <f>TrNavi_act!Q5</f>
        <v>88</v>
      </c>
      <c r="R28" s="169">
        <f>TrNavi_act!R5</f>
        <v>108</v>
      </c>
      <c r="S28" s="169">
        <f>TrNavi_act!S5</f>
        <v>115</v>
      </c>
      <c r="T28" s="169">
        <f>TrNavi_act!T5</f>
        <v>125</v>
      </c>
      <c r="U28" s="169">
        <f>TrNavi_act!U5</f>
        <v>87</v>
      </c>
      <c r="V28" s="169">
        <f>TrNavi_act!V5</f>
        <v>77</v>
      </c>
      <c r="W28" s="169">
        <f>TrNavi_act!W5</f>
        <v>54</v>
      </c>
      <c r="X28" s="169">
        <f>TrNavi_act!X5</f>
        <v>40</v>
      </c>
      <c r="Y28" s="169">
        <f>TrNavi_act!Y5</f>
        <v>29</v>
      </c>
      <c r="DA28" s="177" t="s">
        <v>387</v>
      </c>
    </row>
    <row r="29" spans="1:105" ht="11.45" customHeight="1" x14ac:dyDescent="0.25">
      <c r="A29" s="27" t="s">
        <v>170</v>
      </c>
      <c r="B29" s="28">
        <f t="shared" ref="B29:W29" si="24">B30+B31</f>
        <v>54914.365048000007</v>
      </c>
      <c r="C29" s="28">
        <f t="shared" si="24"/>
        <v>49478.600707999998</v>
      </c>
      <c r="D29" s="28">
        <f t="shared" si="24"/>
        <v>51511.065805999999</v>
      </c>
      <c r="E29" s="28">
        <f t="shared" si="24"/>
        <v>54374.927660000001</v>
      </c>
      <c r="F29" s="28">
        <f t="shared" si="24"/>
        <v>48347.766540000004</v>
      </c>
      <c r="G29" s="28">
        <f t="shared" si="24"/>
        <v>121265.066861</v>
      </c>
      <c r="H29" s="28">
        <f t="shared" si="24"/>
        <v>116459.15085599999</v>
      </c>
      <c r="I29" s="28">
        <f t="shared" si="24"/>
        <v>88457.408364999996</v>
      </c>
      <c r="J29" s="28">
        <f t="shared" si="24"/>
        <v>82951.685765000002</v>
      </c>
      <c r="K29" s="28">
        <f t="shared" si="24"/>
        <v>83279.743633999999</v>
      </c>
      <c r="L29" s="28">
        <f t="shared" si="24"/>
        <v>110210.910965</v>
      </c>
      <c r="M29" s="28">
        <f t="shared" si="24"/>
        <v>101991.90660999999</v>
      </c>
      <c r="N29" s="28">
        <f t="shared" si="24"/>
        <v>124260.61745800001</v>
      </c>
      <c r="O29" s="28">
        <f t="shared" si="24"/>
        <v>141784.21324399998</v>
      </c>
      <c r="P29" s="28">
        <f t="shared" si="24"/>
        <v>168540.22747899999</v>
      </c>
      <c r="Q29" s="28">
        <f t="shared" si="24"/>
        <v>172026.236718</v>
      </c>
      <c r="R29" s="28">
        <f t="shared" si="24"/>
        <v>201667.203152</v>
      </c>
      <c r="S29" s="28">
        <f t="shared" si="24"/>
        <v>242406.230407</v>
      </c>
      <c r="T29" s="28">
        <f t="shared" si="24"/>
        <v>275839.94294500002</v>
      </c>
      <c r="U29" s="28">
        <f t="shared" si="24"/>
        <v>284076.78530500003</v>
      </c>
      <c r="V29" s="28">
        <f t="shared" si="24"/>
        <v>266900.66647399997</v>
      </c>
      <c r="W29" s="28">
        <f t="shared" si="24"/>
        <v>288960.61823299999</v>
      </c>
      <c r="X29" s="28">
        <f t="shared" ref="X29:Y29" si="25">X30+X31</f>
        <v>378622.48581699998</v>
      </c>
      <c r="Y29" s="28">
        <f t="shared" si="25"/>
        <v>368395.23953699996</v>
      </c>
      <c r="DA29" s="173" t="s">
        <v>388</v>
      </c>
    </row>
    <row r="30" spans="1:105" ht="11.45" customHeight="1" x14ac:dyDescent="0.25">
      <c r="A30" s="128" t="s">
        <v>166</v>
      </c>
      <c r="B30" s="102">
        <f>MBunk_act!B$4</f>
        <v>14948.69916</v>
      </c>
      <c r="C30" s="102">
        <f>MBunk_act!C$4</f>
        <v>13231.778343</v>
      </c>
      <c r="D30" s="102">
        <f>MBunk_act!D$4</f>
        <v>13786.592832</v>
      </c>
      <c r="E30" s="102">
        <f>MBunk_act!E$4</f>
        <v>14588.018786000001</v>
      </c>
      <c r="F30" s="102">
        <f>MBunk_act!F$4</f>
        <v>12964.248432</v>
      </c>
      <c r="G30" s="102">
        <f>MBunk_act!G$4</f>
        <v>27712.117399000002</v>
      </c>
      <c r="H30" s="102">
        <f>MBunk_act!H$4</f>
        <v>21709.411239000001</v>
      </c>
      <c r="I30" s="102">
        <f>MBunk_act!I$4</f>
        <v>22885.779427000001</v>
      </c>
      <c r="J30" s="102">
        <f>MBunk_act!J$4</f>
        <v>18302.013667000003</v>
      </c>
      <c r="K30" s="102">
        <f>MBunk_act!K$4</f>
        <v>19401.116614999999</v>
      </c>
      <c r="L30" s="102">
        <f>MBunk_act!L$4</f>
        <v>26512.455086000002</v>
      </c>
      <c r="M30" s="102">
        <f>MBunk_act!M$4</f>
        <v>23792.016882</v>
      </c>
      <c r="N30" s="102">
        <f>MBunk_act!N$4</f>
        <v>20264.993726000001</v>
      </c>
      <c r="O30" s="102">
        <f>MBunk_act!O$4</f>
        <v>22912.572402000002</v>
      </c>
      <c r="P30" s="102">
        <f>MBunk_act!P$4</f>
        <v>23900.396728</v>
      </c>
      <c r="Q30" s="102">
        <f>MBunk_act!Q$4</f>
        <v>26565.898235000001</v>
      </c>
      <c r="R30" s="102">
        <f>MBunk_act!R$4</f>
        <v>25811.700236000001</v>
      </c>
      <c r="S30" s="102">
        <f>MBunk_act!S$4</f>
        <v>23436.595774000001</v>
      </c>
      <c r="T30" s="102">
        <f>MBunk_act!T$4</f>
        <v>26333.347720000002</v>
      </c>
      <c r="U30" s="102">
        <f>MBunk_act!U$4</f>
        <v>25987.883737</v>
      </c>
      <c r="V30" s="102">
        <f>MBunk_act!V$4</f>
        <v>27666.739507999999</v>
      </c>
      <c r="W30" s="102">
        <f>MBunk_act!W$4</f>
        <v>28929.783190999999</v>
      </c>
      <c r="X30" s="102">
        <f>MBunk_act!X$4</f>
        <v>36335.035860000004</v>
      </c>
      <c r="Y30" s="102">
        <f>MBunk_act!Y$4</f>
        <v>50974.829337999996</v>
      </c>
      <c r="DA30" s="175" t="s">
        <v>389</v>
      </c>
    </row>
    <row r="31" spans="1:105" ht="11.45" customHeight="1" x14ac:dyDescent="0.25">
      <c r="A31" s="138" t="s">
        <v>167</v>
      </c>
      <c r="B31" s="86">
        <f>MBunk_act!B$5</f>
        <v>39965.665888000003</v>
      </c>
      <c r="C31" s="86">
        <f>MBunk_act!C$5</f>
        <v>36246.822365</v>
      </c>
      <c r="D31" s="86">
        <f>MBunk_act!D$5</f>
        <v>37724.472973999997</v>
      </c>
      <c r="E31" s="86">
        <f>MBunk_act!E$5</f>
        <v>39786.908874000001</v>
      </c>
      <c r="F31" s="86">
        <f>MBunk_act!F$5</f>
        <v>35383.518108000004</v>
      </c>
      <c r="G31" s="86">
        <f>MBunk_act!G$5</f>
        <v>93552.949462000004</v>
      </c>
      <c r="H31" s="86">
        <f>MBunk_act!H$5</f>
        <v>94749.739616999999</v>
      </c>
      <c r="I31" s="86">
        <f>MBunk_act!I$5</f>
        <v>65571.628937999994</v>
      </c>
      <c r="J31" s="86">
        <f>MBunk_act!J$5</f>
        <v>64649.672097999995</v>
      </c>
      <c r="K31" s="86">
        <f>MBunk_act!K$5</f>
        <v>63878.627019</v>
      </c>
      <c r="L31" s="86">
        <f>MBunk_act!L$5</f>
        <v>83698.455879000001</v>
      </c>
      <c r="M31" s="86">
        <f>MBunk_act!M$5</f>
        <v>78199.889727999995</v>
      </c>
      <c r="N31" s="86">
        <f>MBunk_act!N$5</f>
        <v>103995.62373200001</v>
      </c>
      <c r="O31" s="86">
        <f>MBunk_act!O$5</f>
        <v>118871.64084199999</v>
      </c>
      <c r="P31" s="86">
        <f>MBunk_act!P$5</f>
        <v>144639.830751</v>
      </c>
      <c r="Q31" s="86">
        <f>MBunk_act!Q$5</f>
        <v>145460.338483</v>
      </c>
      <c r="R31" s="86">
        <f>MBunk_act!R$5</f>
        <v>175855.502916</v>
      </c>
      <c r="S31" s="86">
        <f>MBunk_act!S$5</f>
        <v>218969.63463299998</v>
      </c>
      <c r="T31" s="86">
        <f>MBunk_act!T$5</f>
        <v>249506.595225</v>
      </c>
      <c r="U31" s="86">
        <f>MBunk_act!U$5</f>
        <v>258088.901568</v>
      </c>
      <c r="V31" s="86">
        <f>MBunk_act!V$5</f>
        <v>239233.926966</v>
      </c>
      <c r="W31" s="86">
        <f>MBunk_act!W$5</f>
        <v>260030.83504199999</v>
      </c>
      <c r="X31" s="86">
        <f>MBunk_act!X$5</f>
        <v>342287.44995699998</v>
      </c>
      <c r="Y31" s="86">
        <f>MBunk_act!Y$5</f>
        <v>317420.41019899998</v>
      </c>
      <c r="DA31" s="178" t="s">
        <v>390</v>
      </c>
    </row>
    <row r="32" spans="1:105" ht="11.45" customHeight="1" x14ac:dyDescent="0.25">
      <c r="A32" s="106"/>
      <c r="B32" s="106"/>
      <c r="C32" s="106"/>
      <c r="D32" s="106"/>
      <c r="E32" s="106"/>
      <c r="F32" s="106"/>
      <c r="G32" s="106"/>
      <c r="H32" s="106"/>
      <c r="I32" s="106"/>
      <c r="J32" s="106"/>
      <c r="K32" s="106"/>
      <c r="L32" s="106"/>
      <c r="M32" s="106"/>
      <c r="N32" s="106"/>
      <c r="O32" s="106"/>
      <c r="P32" s="106"/>
      <c r="Q32" s="106"/>
      <c r="R32" s="106"/>
      <c r="S32" s="106"/>
      <c r="T32" s="106"/>
      <c r="U32" s="106"/>
      <c r="V32" s="106"/>
      <c r="W32" s="106"/>
      <c r="X32" s="106"/>
      <c r="Y32" s="106"/>
      <c r="DA32" s="171"/>
    </row>
    <row r="33" spans="1:105" ht="11.45" customHeight="1" x14ac:dyDescent="0.25">
      <c r="A33" s="53" t="s">
        <v>32</v>
      </c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DA33" s="172"/>
    </row>
    <row r="34" spans="1:105" ht="11.45" customHeight="1" x14ac:dyDescent="0.25">
      <c r="A34" s="27" t="s">
        <v>33</v>
      </c>
      <c r="B34" s="28">
        <f t="shared" ref="B34:Q34" si="26">B35+B39+B43</f>
        <v>6877.4690067734282</v>
      </c>
      <c r="C34" s="28">
        <f t="shared" si="26"/>
        <v>6708.944628425972</v>
      </c>
      <c r="D34" s="28">
        <f t="shared" si="26"/>
        <v>6619.9396801879602</v>
      </c>
      <c r="E34" s="28">
        <f t="shared" si="26"/>
        <v>6919.6319377324107</v>
      </c>
      <c r="F34" s="28">
        <f t="shared" si="26"/>
        <v>7576.3210507278254</v>
      </c>
      <c r="G34" s="28">
        <f t="shared" si="26"/>
        <v>7656.8622229762705</v>
      </c>
      <c r="H34" s="28">
        <f t="shared" si="26"/>
        <v>8449.7262581559626</v>
      </c>
      <c r="I34" s="28">
        <f t="shared" si="26"/>
        <v>9233.1350227257517</v>
      </c>
      <c r="J34" s="28">
        <f t="shared" si="26"/>
        <v>9854.7250375060994</v>
      </c>
      <c r="K34" s="28">
        <f t="shared" si="26"/>
        <v>10198.207816608108</v>
      </c>
      <c r="L34" s="28">
        <f t="shared" si="26"/>
        <v>10700.196393273081</v>
      </c>
      <c r="M34" s="28">
        <f t="shared" si="26"/>
        <v>10794.366175382589</v>
      </c>
      <c r="N34" s="28">
        <f t="shared" si="26"/>
        <v>10758.741708422474</v>
      </c>
      <c r="O34" s="28">
        <f t="shared" si="26"/>
        <v>10280.68890878984</v>
      </c>
      <c r="P34" s="28">
        <f t="shared" si="26"/>
        <v>10363.111878392594</v>
      </c>
      <c r="Q34" s="28">
        <f t="shared" si="26"/>
        <v>11032.263829044396</v>
      </c>
      <c r="R34" s="28">
        <f t="shared" ref="R34:V34" si="27">R35+R39+R43</f>
        <v>11821.170441083959</v>
      </c>
      <c r="S34" s="28">
        <f t="shared" si="27"/>
        <v>13165.210603602929</v>
      </c>
      <c r="T34" s="28">
        <f t="shared" si="27"/>
        <v>13871.904544432009</v>
      </c>
      <c r="U34" s="28">
        <f t="shared" si="27"/>
        <v>14325.749263102918</v>
      </c>
      <c r="V34" s="28">
        <f t="shared" si="27"/>
        <v>13177.488659046887</v>
      </c>
      <c r="W34" s="28">
        <f t="shared" ref="W34:Y34" si="28">W35+W39+W43</f>
        <v>13285.781032645411</v>
      </c>
      <c r="X34" s="28">
        <f t="shared" si="28"/>
        <v>14150.148324573538</v>
      </c>
      <c r="Y34" s="28">
        <f t="shared" si="28"/>
        <v>14410.808997848646</v>
      </c>
      <c r="DA34" s="173"/>
    </row>
    <row r="35" spans="1:105" ht="11.45" customHeight="1" x14ac:dyDescent="0.25">
      <c r="A35" s="136" t="str">
        <f>$A$5</f>
        <v>Road transport</v>
      </c>
      <c r="B35" s="137">
        <f t="shared" ref="B35:Q35" si="29">B36+B37+B38</f>
        <v>6299.3300917437027</v>
      </c>
      <c r="C35" s="137">
        <f t="shared" si="29"/>
        <v>6117.099155151067</v>
      </c>
      <c r="D35" s="137">
        <f t="shared" si="29"/>
        <v>6025.634755723233</v>
      </c>
      <c r="E35" s="137">
        <f t="shared" si="29"/>
        <v>6297.5544936990254</v>
      </c>
      <c r="F35" s="137">
        <f t="shared" si="29"/>
        <v>7005.1946377804625</v>
      </c>
      <c r="G35" s="137">
        <f t="shared" si="29"/>
        <v>7056.5997984743535</v>
      </c>
      <c r="H35" s="137">
        <f t="shared" si="29"/>
        <v>7801.8699426259527</v>
      </c>
      <c r="I35" s="137">
        <f t="shared" si="29"/>
        <v>8543.5326093116364</v>
      </c>
      <c r="J35" s="137">
        <f t="shared" si="29"/>
        <v>9091.3753068342648</v>
      </c>
      <c r="K35" s="137">
        <f t="shared" si="29"/>
        <v>9496.7215281518656</v>
      </c>
      <c r="L35" s="137">
        <f t="shared" si="29"/>
        <v>9994.7880687220331</v>
      </c>
      <c r="M35" s="137">
        <f t="shared" si="29"/>
        <v>10104.633400293449</v>
      </c>
      <c r="N35" s="137">
        <f t="shared" si="29"/>
        <v>10009.738209890662</v>
      </c>
      <c r="O35" s="137">
        <f t="shared" si="29"/>
        <v>9551.3005938299466</v>
      </c>
      <c r="P35" s="137">
        <f t="shared" si="29"/>
        <v>9577.2357234938027</v>
      </c>
      <c r="Q35" s="137">
        <f t="shared" si="29"/>
        <v>10185.671327950253</v>
      </c>
      <c r="R35" s="137">
        <f t="shared" ref="R35:V35" si="30">R36+R37+R38</f>
        <v>10917.996062941864</v>
      </c>
      <c r="S35" s="137">
        <f t="shared" si="30"/>
        <v>12089.156501379091</v>
      </c>
      <c r="T35" s="137">
        <f t="shared" si="30"/>
        <v>12616.888990184287</v>
      </c>
      <c r="U35" s="137">
        <f t="shared" si="30"/>
        <v>13013.392814141303</v>
      </c>
      <c r="V35" s="137">
        <f t="shared" si="30"/>
        <v>12510.122668671152</v>
      </c>
      <c r="W35" s="137">
        <f t="shared" ref="W35:Y35" si="31">W36+W37+W38</f>
        <v>12482.169934056687</v>
      </c>
      <c r="X35" s="137">
        <f t="shared" si="31"/>
        <v>12921.50409453306</v>
      </c>
      <c r="Y35" s="137">
        <f t="shared" si="31"/>
        <v>12969.33848080845</v>
      </c>
      <c r="DA35" s="174" t="s">
        <v>391</v>
      </c>
    </row>
    <row r="36" spans="1:105" ht="11.45" customHeight="1" x14ac:dyDescent="0.25">
      <c r="A36" s="128" t="str">
        <f>$A$6</f>
        <v>Powered two-wheelers</v>
      </c>
      <c r="B36" s="102">
        <f>TrRoad_ene!B$19</f>
        <v>103.84491730023861</v>
      </c>
      <c r="C36" s="102">
        <f>TrRoad_ene!C$19</f>
        <v>89.388993770675611</v>
      </c>
      <c r="D36" s="102">
        <f>TrRoad_ene!D$19</f>
        <v>86.801581928956665</v>
      </c>
      <c r="E36" s="102">
        <f>TrRoad_ene!E$19</f>
        <v>76.080387353032648</v>
      </c>
      <c r="F36" s="102">
        <f>TrRoad_ene!F$19</f>
        <v>72.319207218547191</v>
      </c>
      <c r="G36" s="102">
        <f>TrRoad_ene!G$19</f>
        <v>77.765116251238538</v>
      </c>
      <c r="H36" s="102">
        <f>TrRoad_ene!H$19</f>
        <v>81.543365925719286</v>
      </c>
      <c r="I36" s="102">
        <f>TrRoad_ene!I$19</f>
        <v>87.097366612430093</v>
      </c>
      <c r="J36" s="102">
        <f>TrRoad_ene!J$19</f>
        <v>90.275815950229145</v>
      </c>
      <c r="K36" s="102">
        <f>TrRoad_ene!K$19</f>
        <v>92.636797565340871</v>
      </c>
      <c r="L36" s="102">
        <f>TrRoad_ene!L$19</f>
        <v>98.401749127177169</v>
      </c>
      <c r="M36" s="102">
        <f>TrRoad_ene!M$19</f>
        <v>96.694842739253943</v>
      </c>
      <c r="N36" s="102">
        <f>TrRoad_ene!N$19</f>
        <v>96.326700228316128</v>
      </c>
      <c r="O36" s="102">
        <f>TrRoad_ene!O$19</f>
        <v>92.557048029166623</v>
      </c>
      <c r="P36" s="102">
        <f>TrRoad_ene!P$19</f>
        <v>93.039851446850491</v>
      </c>
      <c r="Q36" s="102">
        <f>TrRoad_ene!Q$19</f>
        <v>95.938094770976505</v>
      </c>
      <c r="R36" s="102">
        <f>TrRoad_ene!R$19</f>
        <v>101.00054111077523</v>
      </c>
      <c r="S36" s="102">
        <f>TrRoad_ene!S$19</f>
        <v>95.38509866860467</v>
      </c>
      <c r="T36" s="102">
        <f>TrRoad_ene!T$19</f>
        <v>90.752327193073469</v>
      </c>
      <c r="U36" s="102">
        <f>TrRoad_ene!U$19</f>
        <v>96.538033024643283</v>
      </c>
      <c r="V36" s="102">
        <f>TrRoad_ene!V$19</f>
        <v>86.536647261517629</v>
      </c>
      <c r="W36" s="102">
        <f>TrRoad_ene!W$19</f>
        <v>89.862927622549989</v>
      </c>
      <c r="X36" s="102">
        <f>TrRoad_ene!X$19</f>
        <v>90.910017749550036</v>
      </c>
      <c r="Y36" s="102">
        <f>TrRoad_ene!Y$19</f>
        <v>98.229044915409432</v>
      </c>
      <c r="DA36" s="175" t="s">
        <v>392</v>
      </c>
    </row>
    <row r="37" spans="1:105" ht="11.45" customHeight="1" x14ac:dyDescent="0.25">
      <c r="A37" s="128" t="str">
        <f>$A$7</f>
        <v>Passenger cars</v>
      </c>
      <c r="B37" s="102">
        <f>TrRoad_ene!B$21</f>
        <v>5203.9780211812504</v>
      </c>
      <c r="C37" s="102">
        <f>TrRoad_ene!C$21</f>
        <v>5107.2072875738722</v>
      </c>
      <c r="D37" s="102">
        <f>TrRoad_ene!D$21</f>
        <v>5042.7503299431773</v>
      </c>
      <c r="E37" s="102">
        <f>TrRoad_ene!E$21</f>
        <v>5361.6223811934506</v>
      </c>
      <c r="F37" s="102">
        <f>TrRoad_ene!F$21</f>
        <v>6026.1517599296012</v>
      </c>
      <c r="G37" s="102">
        <f>TrRoad_ene!G$21</f>
        <v>6092.5560431489594</v>
      </c>
      <c r="H37" s="102">
        <f>TrRoad_ene!H$21</f>
        <v>6876.1863770632835</v>
      </c>
      <c r="I37" s="102">
        <f>TrRoad_ene!I$21</f>
        <v>7603.0502665614513</v>
      </c>
      <c r="J37" s="102">
        <f>TrRoad_ene!J$21</f>
        <v>8167.9555426844554</v>
      </c>
      <c r="K37" s="102">
        <f>TrRoad_ene!K$21</f>
        <v>8564.1869868354588</v>
      </c>
      <c r="L37" s="102">
        <f>TrRoad_ene!L$21</f>
        <v>9060.8084304485837</v>
      </c>
      <c r="M37" s="102">
        <f>TrRoad_ene!M$21</f>
        <v>9161.1645777909325</v>
      </c>
      <c r="N37" s="102">
        <f>TrRoad_ene!N$21</f>
        <v>9082.962447158241</v>
      </c>
      <c r="O37" s="102">
        <f>TrRoad_ene!O$21</f>
        <v>8619.7866206713188</v>
      </c>
      <c r="P37" s="102">
        <f>TrRoad_ene!P$21</f>
        <v>8625.5004874542483</v>
      </c>
      <c r="Q37" s="102">
        <f>TrRoad_ene!Q$21</f>
        <v>9088.5072841465699</v>
      </c>
      <c r="R37" s="102">
        <f>TrRoad_ene!R$21</f>
        <v>9833.4622813151182</v>
      </c>
      <c r="S37" s="102">
        <f>TrRoad_ene!S$21</f>
        <v>11027.734810478805</v>
      </c>
      <c r="T37" s="102">
        <f>TrRoad_ene!T$21</f>
        <v>11610.183295047904</v>
      </c>
      <c r="U37" s="102">
        <f>TrRoad_ene!U$21</f>
        <v>11957.956781177825</v>
      </c>
      <c r="V37" s="102">
        <f>TrRoad_ene!V$21</f>
        <v>11480.053530493875</v>
      </c>
      <c r="W37" s="102">
        <f>TrRoad_ene!W$21</f>
        <v>11455.032150740639</v>
      </c>
      <c r="X37" s="102">
        <f>TrRoad_ene!X$21</f>
        <v>11897.442997476885</v>
      </c>
      <c r="Y37" s="102">
        <f>TrRoad_ene!Y$21</f>
        <v>11958.96175118053</v>
      </c>
      <c r="DA37" s="175" t="s">
        <v>393</v>
      </c>
    </row>
    <row r="38" spans="1:105" ht="11.45" customHeight="1" x14ac:dyDescent="0.25">
      <c r="A38" s="128" t="str">
        <f>$A$8</f>
        <v>Motor coaches, buses and trolley buses</v>
      </c>
      <c r="B38" s="102">
        <f>TrRoad_ene!B$33</f>
        <v>991.50715326221393</v>
      </c>
      <c r="C38" s="102">
        <f>TrRoad_ene!C$33</f>
        <v>920.50287380651889</v>
      </c>
      <c r="D38" s="102">
        <f>TrRoad_ene!D$33</f>
        <v>896.08284385109903</v>
      </c>
      <c r="E38" s="102">
        <f>TrRoad_ene!E$33</f>
        <v>859.8517251525418</v>
      </c>
      <c r="F38" s="102">
        <f>TrRoad_ene!F$33</f>
        <v>906.72367063231411</v>
      </c>
      <c r="G38" s="102">
        <f>TrRoad_ene!G$33</f>
        <v>886.27863907415542</v>
      </c>
      <c r="H38" s="102">
        <f>TrRoad_ene!H$33</f>
        <v>844.14019963694955</v>
      </c>
      <c r="I38" s="102">
        <f>TrRoad_ene!I$33</f>
        <v>853.38497613775451</v>
      </c>
      <c r="J38" s="102">
        <f>TrRoad_ene!J$33</f>
        <v>833.1439481995809</v>
      </c>
      <c r="K38" s="102">
        <f>TrRoad_ene!K$33</f>
        <v>839.89774375106504</v>
      </c>
      <c r="L38" s="102">
        <f>TrRoad_ene!L$33</f>
        <v>835.57788914627235</v>
      </c>
      <c r="M38" s="102">
        <f>TrRoad_ene!M$33</f>
        <v>846.7739797632621</v>
      </c>
      <c r="N38" s="102">
        <f>TrRoad_ene!N$33</f>
        <v>830.44906250410588</v>
      </c>
      <c r="O38" s="102">
        <f>TrRoad_ene!O$33</f>
        <v>838.95692512946175</v>
      </c>
      <c r="P38" s="102">
        <f>TrRoad_ene!P$33</f>
        <v>858.6953845927037</v>
      </c>
      <c r="Q38" s="102">
        <f>TrRoad_ene!Q$33</f>
        <v>1001.225949032707</v>
      </c>
      <c r="R38" s="102">
        <f>TrRoad_ene!R$33</f>
        <v>983.53324051596996</v>
      </c>
      <c r="S38" s="102">
        <f>TrRoad_ene!S$33</f>
        <v>966.03659223168074</v>
      </c>
      <c r="T38" s="102">
        <f>TrRoad_ene!T$33</f>
        <v>915.95336794331058</v>
      </c>
      <c r="U38" s="102">
        <f>TrRoad_ene!U$33</f>
        <v>958.8979999388356</v>
      </c>
      <c r="V38" s="102">
        <f>TrRoad_ene!V$33</f>
        <v>943.53249091576129</v>
      </c>
      <c r="W38" s="102">
        <f>TrRoad_ene!W$33</f>
        <v>937.27485569349903</v>
      </c>
      <c r="X38" s="102">
        <f>TrRoad_ene!X$33</f>
        <v>933.15107930662634</v>
      </c>
      <c r="Y38" s="102">
        <f>TrRoad_ene!Y$33</f>
        <v>912.14768471251034</v>
      </c>
      <c r="DA38" s="175" t="s">
        <v>394</v>
      </c>
    </row>
    <row r="39" spans="1:105" ht="11.45" customHeight="1" x14ac:dyDescent="0.25">
      <c r="A39" s="109" t="str">
        <f>$A$9</f>
        <v>Rail, metro and tram</v>
      </c>
      <c r="B39" s="110">
        <f t="shared" ref="B39:Q39" si="32">B40+B41+B42</f>
        <v>295.70111819442013</v>
      </c>
      <c r="C39" s="110">
        <f t="shared" si="32"/>
        <v>313.22694803404238</v>
      </c>
      <c r="D39" s="110">
        <f t="shared" si="32"/>
        <v>320.06899072503683</v>
      </c>
      <c r="E39" s="110">
        <f t="shared" si="32"/>
        <v>325.75222366815814</v>
      </c>
      <c r="F39" s="110">
        <f t="shared" si="32"/>
        <v>280.77794460486041</v>
      </c>
      <c r="G39" s="110">
        <f t="shared" si="32"/>
        <v>271.39382675873213</v>
      </c>
      <c r="H39" s="110">
        <f t="shared" si="32"/>
        <v>210.14737326420567</v>
      </c>
      <c r="I39" s="110">
        <f t="shared" si="32"/>
        <v>233.4721652318637</v>
      </c>
      <c r="J39" s="110">
        <f t="shared" si="32"/>
        <v>217.66134110594967</v>
      </c>
      <c r="K39" s="110">
        <f t="shared" si="32"/>
        <v>219.25724320888219</v>
      </c>
      <c r="L39" s="110">
        <f t="shared" si="32"/>
        <v>199.92714913175965</v>
      </c>
      <c r="M39" s="110">
        <f t="shared" si="32"/>
        <v>192.89795835352919</v>
      </c>
      <c r="N39" s="110">
        <f t="shared" si="32"/>
        <v>199.06980930052987</v>
      </c>
      <c r="O39" s="110">
        <f t="shared" si="32"/>
        <v>194.21975279990357</v>
      </c>
      <c r="P39" s="110">
        <f t="shared" si="32"/>
        <v>182.91591010614755</v>
      </c>
      <c r="Q39" s="110">
        <f t="shared" si="32"/>
        <v>187.47646503387233</v>
      </c>
      <c r="R39" s="110">
        <f t="shared" ref="R39:V39" si="33">R40+R41+R42</f>
        <v>206.43769369368096</v>
      </c>
      <c r="S39" s="110">
        <f t="shared" si="33"/>
        <v>210.3531538817177</v>
      </c>
      <c r="T39" s="110">
        <f t="shared" si="33"/>
        <v>226.96235771147118</v>
      </c>
      <c r="U39" s="110">
        <f t="shared" si="33"/>
        <v>217.92319340215559</v>
      </c>
      <c r="V39" s="110">
        <f t="shared" si="33"/>
        <v>201.09376668992846</v>
      </c>
      <c r="W39" s="110">
        <f t="shared" ref="W39:Y39" si="34">W40+W41+W42</f>
        <v>223.39930816072351</v>
      </c>
      <c r="X39" s="110">
        <f t="shared" si="34"/>
        <v>242.72018809110688</v>
      </c>
      <c r="Y39" s="110">
        <f t="shared" si="34"/>
        <v>241.75488720243908</v>
      </c>
      <c r="DA39" s="176" t="s">
        <v>395</v>
      </c>
    </row>
    <row r="40" spans="1:105" ht="11.45" customHeight="1" x14ac:dyDescent="0.25">
      <c r="A40" s="128" t="str">
        <f>$A$10</f>
        <v>Metro and tram, urban light rail</v>
      </c>
      <c r="B40" s="102">
        <f>TrRail_ene!B$12</f>
        <v>26.138689780706617</v>
      </c>
      <c r="C40" s="102">
        <f>TrRail_ene!C$12</f>
        <v>25.717648389043536</v>
      </c>
      <c r="D40" s="102">
        <f>TrRail_ene!D$12</f>
        <v>25.690758301809783</v>
      </c>
      <c r="E40" s="102">
        <f>TrRail_ene!E$12</f>
        <v>24.760796985483115</v>
      </c>
      <c r="F40" s="102">
        <f>TrRail_ene!F$12</f>
        <v>23.665752229499226</v>
      </c>
      <c r="G40" s="102">
        <f>TrRail_ene!G$12</f>
        <v>22.249511814670125</v>
      </c>
      <c r="H40" s="102">
        <f>TrRail_ene!H$12</f>
        <v>22.083772875898521</v>
      </c>
      <c r="I40" s="102">
        <f>TrRail_ene!I$12</f>
        <v>21.937915558700229</v>
      </c>
      <c r="J40" s="102">
        <f>TrRail_ene!J$12</f>
        <v>21.750667161924348</v>
      </c>
      <c r="K40" s="102">
        <f>TrRail_ene!K$12</f>
        <v>20.578361621189352</v>
      </c>
      <c r="L40" s="102">
        <f>TrRail_ene!L$12</f>
        <v>20.744407463083938</v>
      </c>
      <c r="M40" s="102">
        <f>TrRail_ene!M$12</f>
        <v>20.559435944536986</v>
      </c>
      <c r="N40" s="102">
        <f>TrRail_ene!N$12</f>
        <v>20.740339315476117</v>
      </c>
      <c r="O40" s="102">
        <f>TrRail_ene!O$12</f>
        <v>19.259071367095146</v>
      </c>
      <c r="P40" s="102">
        <f>TrRail_ene!P$12</f>
        <v>19.473278847894285</v>
      </c>
      <c r="Q40" s="102">
        <f>TrRail_ene!Q$12</f>
        <v>18.992302521675299</v>
      </c>
      <c r="R40" s="102">
        <f>TrRail_ene!R$12</f>
        <v>19.332949386670947</v>
      </c>
      <c r="S40" s="102">
        <f>TrRail_ene!S$12</f>
        <v>18.864566832566016</v>
      </c>
      <c r="T40" s="102">
        <f>TrRail_ene!T$12</f>
        <v>18.83026997204518</v>
      </c>
      <c r="U40" s="102">
        <f>TrRail_ene!U$12</f>
        <v>18.967135026251263</v>
      </c>
      <c r="V40" s="102">
        <f>TrRail_ene!V$12</f>
        <v>18.356051022155153</v>
      </c>
      <c r="W40" s="102">
        <f>TrRail_ene!W$12</f>
        <v>17.6696215273933</v>
      </c>
      <c r="X40" s="102">
        <f>TrRail_ene!X$12</f>
        <v>16.691665478573466</v>
      </c>
      <c r="Y40" s="102">
        <f>TrRail_ene!Y$12</f>
        <v>16.93895522724716</v>
      </c>
      <c r="DA40" s="175" t="s">
        <v>396</v>
      </c>
    </row>
    <row r="41" spans="1:105" ht="11.45" customHeight="1" x14ac:dyDescent="0.25">
      <c r="A41" s="128" t="str">
        <f>$A$11</f>
        <v>Conventional passenger trains</v>
      </c>
      <c r="B41" s="102">
        <f>TrRail_ene!B$13</f>
        <v>269.56242841371352</v>
      </c>
      <c r="C41" s="102">
        <f>TrRail_ene!C$13</f>
        <v>287.50929964499886</v>
      </c>
      <c r="D41" s="102">
        <f>TrRail_ene!D$13</f>
        <v>294.37823242322702</v>
      </c>
      <c r="E41" s="102">
        <f>TrRail_ene!E$13</f>
        <v>300.99142668267501</v>
      </c>
      <c r="F41" s="102">
        <f>TrRail_ene!F$13</f>
        <v>257.11219237536119</v>
      </c>
      <c r="G41" s="102">
        <f>TrRail_ene!G$13</f>
        <v>249.14431494406199</v>
      </c>
      <c r="H41" s="102">
        <f>TrRail_ene!H$13</f>
        <v>188.06360038830715</v>
      </c>
      <c r="I41" s="102">
        <f>TrRail_ene!I$13</f>
        <v>211.53424967316346</v>
      </c>
      <c r="J41" s="102">
        <f>TrRail_ene!J$13</f>
        <v>195.91067394402532</v>
      </c>
      <c r="K41" s="102">
        <f>TrRail_ene!K$13</f>
        <v>198.67888158769284</v>
      </c>
      <c r="L41" s="102">
        <f>TrRail_ene!L$13</f>
        <v>179.1827416686757</v>
      </c>
      <c r="M41" s="102">
        <f>TrRail_ene!M$13</f>
        <v>172.33852240899222</v>
      </c>
      <c r="N41" s="102">
        <f>TrRail_ene!N$13</f>
        <v>178.32946998505375</v>
      </c>
      <c r="O41" s="102">
        <f>TrRail_ene!O$13</f>
        <v>174.96068143280843</v>
      </c>
      <c r="P41" s="102">
        <f>TrRail_ene!P$13</f>
        <v>163.44263125825327</v>
      </c>
      <c r="Q41" s="102">
        <f>TrRail_ene!Q$13</f>
        <v>165.42344720558458</v>
      </c>
      <c r="R41" s="102">
        <f>TrRail_ene!R$13</f>
        <v>178.16973311473959</v>
      </c>
      <c r="S41" s="102">
        <f>TrRail_ene!S$13</f>
        <v>183.04941810637146</v>
      </c>
      <c r="T41" s="102">
        <f>TrRail_ene!T$13</f>
        <v>199.49006228887251</v>
      </c>
      <c r="U41" s="102">
        <f>TrRail_ene!U$13</f>
        <v>189.68166179116974</v>
      </c>
      <c r="V41" s="102">
        <f>TrRail_ene!V$13</f>
        <v>174.05684684064303</v>
      </c>
      <c r="W41" s="102">
        <f>TrRail_ene!W$13</f>
        <v>196.87553375981085</v>
      </c>
      <c r="X41" s="102">
        <f>TrRail_ene!X$13</f>
        <v>217.52613310487615</v>
      </c>
      <c r="Y41" s="102">
        <f>TrRail_ene!Y$13</f>
        <v>216.38117263840908</v>
      </c>
      <c r="DA41" s="175" t="s">
        <v>397</v>
      </c>
    </row>
    <row r="42" spans="1:105" ht="11.45" customHeight="1" x14ac:dyDescent="0.25">
      <c r="A42" s="128" t="str">
        <f>$A$12</f>
        <v>High speed passenger trains</v>
      </c>
      <c r="B42" s="102">
        <f>TrRail_ene!B$16</f>
        <v>0</v>
      </c>
      <c r="C42" s="102">
        <f>TrRail_ene!C$16</f>
        <v>0</v>
      </c>
      <c r="D42" s="102">
        <f>TrRail_ene!D$16</f>
        <v>0</v>
      </c>
      <c r="E42" s="102">
        <f>TrRail_ene!E$16</f>
        <v>0</v>
      </c>
      <c r="F42" s="102">
        <f>TrRail_ene!F$16</f>
        <v>0</v>
      </c>
      <c r="G42" s="102">
        <f>TrRail_ene!G$16</f>
        <v>0</v>
      </c>
      <c r="H42" s="102">
        <f>TrRail_ene!H$16</f>
        <v>0</v>
      </c>
      <c r="I42" s="102">
        <f>TrRail_ene!I$16</f>
        <v>0</v>
      </c>
      <c r="J42" s="102">
        <f>TrRail_ene!J$16</f>
        <v>0</v>
      </c>
      <c r="K42" s="102">
        <f>TrRail_ene!K$16</f>
        <v>0</v>
      </c>
      <c r="L42" s="102">
        <f>TrRail_ene!L$16</f>
        <v>0</v>
      </c>
      <c r="M42" s="102">
        <f>TrRail_ene!M$16</f>
        <v>0</v>
      </c>
      <c r="N42" s="102">
        <f>TrRail_ene!N$16</f>
        <v>0</v>
      </c>
      <c r="O42" s="102">
        <f>TrRail_ene!O$16</f>
        <v>0</v>
      </c>
      <c r="P42" s="102">
        <f>TrRail_ene!P$16</f>
        <v>0</v>
      </c>
      <c r="Q42" s="102">
        <f>TrRail_ene!Q$16</f>
        <v>3.0607153066124546</v>
      </c>
      <c r="R42" s="102">
        <f>TrRail_ene!R$16</f>
        <v>8.9350111922704301</v>
      </c>
      <c r="S42" s="102">
        <f>TrRail_ene!S$16</f>
        <v>8.4391689427802081</v>
      </c>
      <c r="T42" s="102">
        <f>TrRail_ene!T$16</f>
        <v>8.6420254505534846</v>
      </c>
      <c r="U42" s="102">
        <f>TrRail_ene!U$16</f>
        <v>9.2743965847345677</v>
      </c>
      <c r="V42" s="102">
        <f>TrRail_ene!V$16</f>
        <v>8.6808688271302561</v>
      </c>
      <c r="W42" s="102">
        <f>TrRail_ene!W$16</f>
        <v>8.8541528735193573</v>
      </c>
      <c r="X42" s="102">
        <f>TrRail_ene!X$16</f>
        <v>8.50238950765727</v>
      </c>
      <c r="Y42" s="102">
        <f>TrRail_ene!Y$16</f>
        <v>8.4347593367828466</v>
      </c>
      <c r="DA42" s="175" t="s">
        <v>398</v>
      </c>
    </row>
    <row r="43" spans="1:105" ht="11.45" customHeight="1" x14ac:dyDescent="0.25">
      <c r="A43" s="109" t="str">
        <f>$A$13</f>
        <v>Aviation</v>
      </c>
      <c r="B43" s="110">
        <f t="shared" ref="B43:Q43" si="35">B44+B45+B46</f>
        <v>282.43779683530545</v>
      </c>
      <c r="C43" s="110">
        <f t="shared" si="35"/>
        <v>278.61852524086311</v>
      </c>
      <c r="D43" s="110">
        <f t="shared" si="35"/>
        <v>274.23593373969004</v>
      </c>
      <c r="E43" s="110">
        <f t="shared" si="35"/>
        <v>296.32522036522738</v>
      </c>
      <c r="F43" s="110">
        <f t="shared" si="35"/>
        <v>290.34846834250249</v>
      </c>
      <c r="G43" s="110">
        <f t="shared" si="35"/>
        <v>328.86859774318538</v>
      </c>
      <c r="H43" s="110">
        <f t="shared" si="35"/>
        <v>437.70894226580396</v>
      </c>
      <c r="I43" s="110">
        <f t="shared" si="35"/>
        <v>456.13024818225159</v>
      </c>
      <c r="J43" s="110">
        <f t="shared" si="35"/>
        <v>545.6883895658849</v>
      </c>
      <c r="K43" s="110">
        <f t="shared" si="35"/>
        <v>482.22904524736032</v>
      </c>
      <c r="L43" s="110">
        <f t="shared" si="35"/>
        <v>505.48117541928946</v>
      </c>
      <c r="M43" s="110">
        <f t="shared" si="35"/>
        <v>496.83481673561141</v>
      </c>
      <c r="N43" s="110">
        <f t="shared" si="35"/>
        <v>549.93368923128219</v>
      </c>
      <c r="O43" s="110">
        <f t="shared" si="35"/>
        <v>535.16856215998973</v>
      </c>
      <c r="P43" s="110">
        <f t="shared" si="35"/>
        <v>602.96024479264429</v>
      </c>
      <c r="Q43" s="110">
        <f t="shared" si="35"/>
        <v>659.11603606027052</v>
      </c>
      <c r="R43" s="110">
        <f t="shared" ref="R43:V43" si="36">R44+R45+R46</f>
        <v>696.73668444841542</v>
      </c>
      <c r="S43" s="110">
        <f t="shared" si="36"/>
        <v>865.70094834212045</v>
      </c>
      <c r="T43" s="110">
        <f t="shared" si="36"/>
        <v>1028.0531965362511</v>
      </c>
      <c r="U43" s="110">
        <f t="shared" si="36"/>
        <v>1094.4332555594594</v>
      </c>
      <c r="V43" s="110">
        <f t="shared" si="36"/>
        <v>466.27222368580658</v>
      </c>
      <c r="W43" s="110">
        <f t="shared" ref="W43:Y43" si="37">W44+W45+W46</f>
        <v>580.2117904280002</v>
      </c>
      <c r="X43" s="110">
        <f t="shared" si="37"/>
        <v>985.92404194937012</v>
      </c>
      <c r="Y43" s="110">
        <f t="shared" si="37"/>
        <v>1199.7156298377549</v>
      </c>
      <c r="DA43" s="176" t="s">
        <v>280</v>
      </c>
    </row>
    <row r="44" spans="1:105" ht="11.45" customHeight="1" x14ac:dyDescent="0.25">
      <c r="A44" s="128" t="str">
        <f>$A$14</f>
        <v>Domestic</v>
      </c>
      <c r="B44" s="102">
        <f>TrAvia_ene!B$7</f>
        <v>3.1271011748368092</v>
      </c>
      <c r="C44" s="102">
        <f>TrAvia_ene!C$7</f>
        <v>3.1377542195117267</v>
      </c>
      <c r="D44" s="102">
        <f>TrAvia_ene!D$7</f>
        <v>4.1917632157272822</v>
      </c>
      <c r="E44" s="102">
        <f>TrAvia_ene!E$7</f>
        <v>4.1919236020705766</v>
      </c>
      <c r="F44" s="102">
        <f>TrAvia_ene!F$7</f>
        <v>3.1443151549555144</v>
      </c>
      <c r="G44" s="102">
        <f>TrAvia_ene!G$7</f>
        <v>3.1502171071243077</v>
      </c>
      <c r="H44" s="102">
        <f>TrAvia_ene!H$7</f>
        <v>3.1136940111661984</v>
      </c>
      <c r="I44" s="102">
        <f>TrAvia_ene!I$7</f>
        <v>4.1354738698713023</v>
      </c>
      <c r="J44" s="102">
        <f>TrAvia_ene!J$7</f>
        <v>3.0877564321077666</v>
      </c>
      <c r="K44" s="102">
        <f>TrAvia_ene!K$7</f>
        <v>4.0812984482403172</v>
      </c>
      <c r="L44" s="102">
        <f>TrAvia_ene!L$7</f>
        <v>4.1004366838788391</v>
      </c>
      <c r="M44" s="102">
        <f>TrAvia_ene!M$7</f>
        <v>5.1395872197781225</v>
      </c>
      <c r="N44" s="102">
        <f>TrAvia_ene!N$7</f>
        <v>18.313140194603818</v>
      </c>
      <c r="O44" s="102">
        <f>TrAvia_ene!O$7</f>
        <v>16.229762671329059</v>
      </c>
      <c r="P44" s="102">
        <f>TrAvia_ene!P$7</f>
        <v>26.54373388724601</v>
      </c>
      <c r="Q44" s="102">
        <f>TrAvia_ene!Q$7</f>
        <v>18.428611088664137</v>
      </c>
      <c r="R44" s="102">
        <f>TrAvia_ene!R$7</f>
        <v>24.640237585225961</v>
      </c>
      <c r="S44" s="102">
        <f>TrAvia_ene!S$7</f>
        <v>27.49380344744149</v>
      </c>
      <c r="T44" s="102">
        <f>TrAvia_ene!T$7</f>
        <v>32.796793040918431</v>
      </c>
      <c r="U44" s="102">
        <f>TrAvia_ene!U$7</f>
        <v>33.765304607658138</v>
      </c>
      <c r="V44" s="102">
        <f>TrAvia_ene!V$7</f>
        <v>18.214040664634087</v>
      </c>
      <c r="W44" s="102">
        <f>TrAvia_ene!W$7</f>
        <v>29.999080227707115</v>
      </c>
      <c r="X44" s="102">
        <f>TrAvia_ene!X$7</f>
        <v>30.599925886977552</v>
      </c>
      <c r="Y44" s="102">
        <f>TrAvia_ene!Y$7</f>
        <v>37.222632678839318</v>
      </c>
      <c r="DA44" s="175" t="s">
        <v>281</v>
      </c>
    </row>
    <row r="45" spans="1:105" ht="11.45" customHeight="1" x14ac:dyDescent="0.25">
      <c r="A45" s="128" t="str">
        <f>$A$15</f>
        <v>International - Intra-EEAwCHUK</v>
      </c>
      <c r="B45" s="102">
        <f>TrAvia_ene!B$8</f>
        <v>184.93402079000089</v>
      </c>
      <c r="C45" s="102">
        <f>TrAvia_ene!C$8</f>
        <v>182.39977080047396</v>
      </c>
      <c r="D45" s="102">
        <f>TrAvia_ene!D$8</f>
        <v>178.79475743769387</v>
      </c>
      <c r="E45" s="102">
        <f>TrAvia_ene!E$8</f>
        <v>193.41806254012323</v>
      </c>
      <c r="F45" s="102">
        <f>TrAvia_ene!F$8</f>
        <v>190.15007033449675</v>
      </c>
      <c r="G45" s="102">
        <f>TrAvia_ene!G$8</f>
        <v>223.23825382807971</v>
      </c>
      <c r="H45" s="102">
        <f>TrAvia_ene!H$8</f>
        <v>314.26553387710311</v>
      </c>
      <c r="I45" s="102">
        <f>TrAvia_ene!I$8</f>
        <v>337.27677367184128</v>
      </c>
      <c r="J45" s="102">
        <f>TrAvia_ene!J$8</f>
        <v>411.21349048082021</v>
      </c>
      <c r="K45" s="102">
        <f>TrAvia_ene!K$8</f>
        <v>351.36297659105657</v>
      </c>
      <c r="L45" s="102">
        <f>TrAvia_ene!L$8</f>
        <v>368.29046277770453</v>
      </c>
      <c r="M45" s="102">
        <f>TrAvia_ene!M$8</f>
        <v>360.43797506460805</v>
      </c>
      <c r="N45" s="102">
        <f>TrAvia_ene!N$8</f>
        <v>392.39950359519582</v>
      </c>
      <c r="O45" s="102">
        <f>TrAvia_ene!O$8</f>
        <v>390.66539177316656</v>
      </c>
      <c r="P45" s="102">
        <f>TrAvia_ene!P$8</f>
        <v>431.59363957536823</v>
      </c>
      <c r="Q45" s="102">
        <f>TrAvia_ene!Q$8</f>
        <v>488.3947476866191</v>
      </c>
      <c r="R45" s="102">
        <f>TrAvia_ene!R$8</f>
        <v>523.95949673332109</v>
      </c>
      <c r="S45" s="102">
        <f>TrAvia_ene!S$8</f>
        <v>661.75997468714218</v>
      </c>
      <c r="T45" s="102">
        <f>TrAvia_ene!T$8</f>
        <v>789.43959069991786</v>
      </c>
      <c r="U45" s="102">
        <f>TrAvia_ene!U$8</f>
        <v>843.1086224708813</v>
      </c>
      <c r="V45" s="102">
        <f>TrAvia_ene!V$8</f>
        <v>315.91152880900972</v>
      </c>
      <c r="W45" s="102">
        <f>TrAvia_ene!W$8</f>
        <v>397.2832443087907</v>
      </c>
      <c r="X45" s="102">
        <f>TrAvia_ene!X$8</f>
        <v>753.52646140345746</v>
      </c>
      <c r="Y45" s="102">
        <f>TrAvia_ene!Y$8</f>
        <v>922.14404928359897</v>
      </c>
      <c r="DA45" s="175" t="s">
        <v>282</v>
      </c>
    </row>
    <row r="46" spans="1:105" ht="11.45" customHeight="1" x14ac:dyDescent="0.25">
      <c r="A46" s="128" t="str">
        <f>$A$16</f>
        <v>International - Extra-EEAwCHUK</v>
      </c>
      <c r="B46" s="102">
        <f>TrAvia_ene!B$9</f>
        <v>94.376674870467781</v>
      </c>
      <c r="C46" s="102">
        <f>TrAvia_ene!C$9</f>
        <v>93.081000220877414</v>
      </c>
      <c r="D46" s="102">
        <f>TrAvia_ene!D$9</f>
        <v>91.249413086268902</v>
      </c>
      <c r="E46" s="102">
        <f>TrAvia_ene!E$9</f>
        <v>98.715234223033576</v>
      </c>
      <c r="F46" s="102">
        <f>TrAvia_ene!F$9</f>
        <v>97.054082853050218</v>
      </c>
      <c r="G46" s="102">
        <f>TrAvia_ene!G$9</f>
        <v>102.48012680798134</v>
      </c>
      <c r="H46" s="102">
        <f>TrAvia_ene!H$9</f>
        <v>120.32971437753463</v>
      </c>
      <c r="I46" s="102">
        <f>TrAvia_ene!I$9</f>
        <v>114.71800064053902</v>
      </c>
      <c r="J46" s="102">
        <f>TrAvia_ene!J$9</f>
        <v>131.38714265295692</v>
      </c>
      <c r="K46" s="102">
        <f>TrAvia_ene!K$9</f>
        <v>126.78477020806346</v>
      </c>
      <c r="L46" s="102">
        <f>TrAvia_ene!L$9</f>
        <v>133.09027595770607</v>
      </c>
      <c r="M46" s="102">
        <f>TrAvia_ene!M$9</f>
        <v>131.25725445122521</v>
      </c>
      <c r="N46" s="102">
        <f>TrAvia_ene!N$9</f>
        <v>139.22104544148252</v>
      </c>
      <c r="O46" s="102">
        <f>TrAvia_ene!O$9</f>
        <v>128.2734077154941</v>
      </c>
      <c r="P46" s="102">
        <f>TrAvia_ene!P$9</f>
        <v>144.82287133003004</v>
      </c>
      <c r="Q46" s="102">
        <f>TrAvia_ene!Q$9</f>
        <v>152.29267728498723</v>
      </c>
      <c r="R46" s="102">
        <f>TrAvia_ene!R$9</f>
        <v>148.13695012986844</v>
      </c>
      <c r="S46" s="102">
        <f>TrAvia_ene!S$9</f>
        <v>176.44717020753683</v>
      </c>
      <c r="T46" s="102">
        <f>TrAvia_ene!T$9</f>
        <v>205.81681279541468</v>
      </c>
      <c r="U46" s="102">
        <f>TrAvia_ene!U$9</f>
        <v>217.5593284809201</v>
      </c>
      <c r="V46" s="102">
        <f>TrAvia_ene!V$9</f>
        <v>132.14665421216282</v>
      </c>
      <c r="W46" s="102">
        <f>TrAvia_ene!W$9</f>
        <v>152.92946589150236</v>
      </c>
      <c r="X46" s="102">
        <f>TrAvia_ene!X$9</f>
        <v>201.79765465893519</v>
      </c>
      <c r="Y46" s="102">
        <f>TrAvia_ene!Y$9</f>
        <v>240.3489478753167</v>
      </c>
      <c r="DA46" s="175" t="s">
        <v>283</v>
      </c>
    </row>
    <row r="47" spans="1:105" ht="11.45" customHeight="1" x14ac:dyDescent="0.25">
      <c r="A47" s="27" t="s">
        <v>34</v>
      </c>
      <c r="B47" s="28">
        <f t="shared" ref="B47:Q47" si="38">B48+B51+B52+B56</f>
        <v>2911.2997012661499</v>
      </c>
      <c r="C47" s="28">
        <f t="shared" si="38"/>
        <v>3008.7839572683429</v>
      </c>
      <c r="D47" s="28">
        <f t="shared" si="38"/>
        <v>2813.0716632199365</v>
      </c>
      <c r="E47" s="28">
        <f t="shared" si="38"/>
        <v>3354.5160057387784</v>
      </c>
      <c r="F47" s="28">
        <f t="shared" si="38"/>
        <v>3884.9825567726903</v>
      </c>
      <c r="G47" s="28">
        <f t="shared" si="38"/>
        <v>4627.1664480194204</v>
      </c>
      <c r="H47" s="28">
        <f t="shared" si="38"/>
        <v>5144.7806988964157</v>
      </c>
      <c r="I47" s="28">
        <f t="shared" si="38"/>
        <v>5749.5742436554874</v>
      </c>
      <c r="J47" s="28">
        <f t="shared" si="38"/>
        <v>6149.2798088787176</v>
      </c>
      <c r="K47" s="28">
        <f t="shared" si="38"/>
        <v>6154.7382021878557</v>
      </c>
      <c r="L47" s="28">
        <f t="shared" si="38"/>
        <v>6746.8563225792141</v>
      </c>
      <c r="M47" s="28">
        <f t="shared" si="38"/>
        <v>6864.1835796284349</v>
      </c>
      <c r="N47" s="28">
        <f t="shared" si="38"/>
        <v>6177.8635256970219</v>
      </c>
      <c r="O47" s="28">
        <f t="shared" si="38"/>
        <v>5599.406632265167</v>
      </c>
      <c r="P47" s="28">
        <f t="shared" si="38"/>
        <v>5642.862142649883</v>
      </c>
      <c r="Q47" s="28">
        <f t="shared" si="38"/>
        <v>5812.9332144685595</v>
      </c>
      <c r="R47" s="28">
        <f t="shared" ref="R47:V47" si="39">R48+R51+R52+R56</f>
        <v>7028.0117779801212</v>
      </c>
      <c r="S47" s="28">
        <f t="shared" si="39"/>
        <v>8729.6907110180327</v>
      </c>
      <c r="T47" s="28">
        <f t="shared" si="39"/>
        <v>9058.6188457631979</v>
      </c>
      <c r="U47" s="28">
        <f t="shared" si="39"/>
        <v>9143.870142059126</v>
      </c>
      <c r="V47" s="28">
        <f t="shared" si="39"/>
        <v>8712.711880958861</v>
      </c>
      <c r="W47" s="28">
        <f t="shared" ref="W47:Y47" si="40">W48+W51+W52+W56</f>
        <v>10532.476768864251</v>
      </c>
      <c r="X47" s="28">
        <f t="shared" si="40"/>
        <v>10664.939127870819</v>
      </c>
      <c r="Y47" s="28">
        <f t="shared" si="40"/>
        <v>10452.197879327687</v>
      </c>
      <c r="DA47" s="173"/>
    </row>
    <row r="48" spans="1:105" ht="11.45" customHeight="1" x14ac:dyDescent="0.25">
      <c r="A48" s="136" t="str">
        <f>$A$18</f>
        <v>Road transport</v>
      </c>
      <c r="B48" s="137">
        <f t="shared" ref="B48:Q48" si="41">B49+B50</f>
        <v>2658.8997512915766</v>
      </c>
      <c r="C48" s="137">
        <f t="shared" si="41"/>
        <v>2782.023239657608</v>
      </c>
      <c r="D48" s="137">
        <f t="shared" si="41"/>
        <v>2599.9007493355662</v>
      </c>
      <c r="E48" s="137">
        <f t="shared" si="41"/>
        <v>3130.3648169260769</v>
      </c>
      <c r="F48" s="137">
        <f t="shared" si="41"/>
        <v>3659.5363127982992</v>
      </c>
      <c r="G48" s="137">
        <f t="shared" si="41"/>
        <v>4424.1089241120517</v>
      </c>
      <c r="H48" s="137">
        <f t="shared" si="41"/>
        <v>4930.4463007548857</v>
      </c>
      <c r="I48" s="137">
        <f t="shared" si="41"/>
        <v>5548.1190474393361</v>
      </c>
      <c r="J48" s="137">
        <f t="shared" si="41"/>
        <v>5957.0452747182226</v>
      </c>
      <c r="K48" s="137">
        <f t="shared" si="41"/>
        <v>5996.2765972649067</v>
      </c>
      <c r="L48" s="137">
        <f t="shared" si="41"/>
        <v>6566.9202791165053</v>
      </c>
      <c r="M48" s="137">
        <f t="shared" si="41"/>
        <v>6673.9125713985732</v>
      </c>
      <c r="N48" s="137">
        <f t="shared" si="41"/>
        <v>6009.3835332572089</v>
      </c>
      <c r="O48" s="137">
        <f t="shared" si="41"/>
        <v>5435.6211725045105</v>
      </c>
      <c r="P48" s="137">
        <f t="shared" si="41"/>
        <v>5490.2268616071442</v>
      </c>
      <c r="Q48" s="137">
        <f t="shared" si="41"/>
        <v>5665.0000921749115</v>
      </c>
      <c r="R48" s="137">
        <f t="shared" ref="R48:V48" si="42">R49+R50</f>
        <v>6882.8484949012372</v>
      </c>
      <c r="S48" s="137">
        <f t="shared" si="42"/>
        <v>8572.9916748067899</v>
      </c>
      <c r="T48" s="137">
        <f t="shared" si="42"/>
        <v>8893.2135917564065</v>
      </c>
      <c r="U48" s="137">
        <f t="shared" si="42"/>
        <v>8987.4878120009653</v>
      </c>
      <c r="V48" s="137">
        <f t="shared" si="42"/>
        <v>8571.68105276194</v>
      </c>
      <c r="W48" s="137">
        <f t="shared" ref="W48:Y48" si="43">W49+W50</f>
        <v>10373.992252663636</v>
      </c>
      <c r="X48" s="137">
        <f t="shared" si="43"/>
        <v>10507.942171324881</v>
      </c>
      <c r="Y48" s="137">
        <f t="shared" si="43"/>
        <v>10300.646556299092</v>
      </c>
      <c r="DA48" s="174" t="s">
        <v>399</v>
      </c>
    </row>
    <row r="49" spans="1:105" ht="11.45" customHeight="1" x14ac:dyDescent="0.25">
      <c r="A49" s="128" t="str">
        <f>$A$19</f>
        <v>Light commercial vehicles</v>
      </c>
      <c r="B49" s="102">
        <f>TrRoad_ene!B$43</f>
        <v>1933.7469489967784</v>
      </c>
      <c r="C49" s="102">
        <f>TrRoad_ene!C$43</f>
        <v>1838.7593615975036</v>
      </c>
      <c r="D49" s="102">
        <f>TrRoad_ene!D$43</f>
        <v>1889.8500841719285</v>
      </c>
      <c r="E49" s="102">
        <f>TrRoad_ene!E$43</f>
        <v>1931.057806059669</v>
      </c>
      <c r="F49" s="102">
        <f>TrRoad_ene!F$43</f>
        <v>1862.4828582663306</v>
      </c>
      <c r="G49" s="102">
        <f>TrRoad_ene!G$43</f>
        <v>1888.3573433805095</v>
      </c>
      <c r="H49" s="102">
        <f>TrRoad_ene!H$43</f>
        <v>1973.3855159681229</v>
      </c>
      <c r="I49" s="102">
        <f>TrRoad_ene!I$43</f>
        <v>2031.7708703381493</v>
      </c>
      <c r="J49" s="102">
        <f>TrRoad_ene!J$43</f>
        <v>2139.3877241117934</v>
      </c>
      <c r="K49" s="102">
        <f>TrRoad_ene!K$43</f>
        <v>2247.6946518765271</v>
      </c>
      <c r="L49" s="102">
        <f>TrRoad_ene!L$43</f>
        <v>2375.9885533999422</v>
      </c>
      <c r="M49" s="102">
        <f>TrRoad_ene!M$43</f>
        <v>2485.2081053841139</v>
      </c>
      <c r="N49" s="102">
        <f>TrRoad_ene!N$43</f>
        <v>2470.2244384985888</v>
      </c>
      <c r="O49" s="102">
        <f>TrRoad_ene!O$43</f>
        <v>2520.7049628031882</v>
      </c>
      <c r="P49" s="102">
        <f>TrRoad_ene!P$43</f>
        <v>2506.0710601250339</v>
      </c>
      <c r="Q49" s="102">
        <f>TrRoad_ene!Q$43</f>
        <v>2514.3145850128803</v>
      </c>
      <c r="R49" s="102">
        <f>TrRoad_ene!R$43</f>
        <v>2635.961746567742</v>
      </c>
      <c r="S49" s="102">
        <f>TrRoad_ene!S$43</f>
        <v>2731.4227714699832</v>
      </c>
      <c r="T49" s="102">
        <f>TrRoad_ene!T$43</f>
        <v>2871.8514336256071</v>
      </c>
      <c r="U49" s="102">
        <f>TrRoad_ene!U$43</f>
        <v>2985.9395887908227</v>
      </c>
      <c r="V49" s="102">
        <f>TrRoad_ene!V$43</f>
        <v>3011.4130749718747</v>
      </c>
      <c r="W49" s="102">
        <f>TrRoad_ene!W$43</f>
        <v>3113.4308239471875</v>
      </c>
      <c r="X49" s="102">
        <f>TrRoad_ene!X$43</f>
        <v>3132.1848088749957</v>
      </c>
      <c r="Y49" s="102">
        <f>TrRoad_ene!Y$43</f>
        <v>3160.4218842110504</v>
      </c>
      <c r="DA49" s="175" t="s">
        <v>400</v>
      </c>
    </row>
    <row r="50" spans="1:105" ht="11.45" customHeight="1" x14ac:dyDescent="0.25">
      <c r="A50" s="128" t="str">
        <f>$A$20</f>
        <v>Heavy goods vehicles</v>
      </c>
      <c r="B50" s="102">
        <f>TrRoad_ene!B$52</f>
        <v>725.15280229479799</v>
      </c>
      <c r="C50" s="102">
        <f>TrRoad_ene!C$52</f>
        <v>943.26387806010428</v>
      </c>
      <c r="D50" s="102">
        <f>TrRoad_ene!D$52</f>
        <v>710.05066516363752</v>
      </c>
      <c r="E50" s="102">
        <f>TrRoad_ene!E$52</f>
        <v>1199.3070108664078</v>
      </c>
      <c r="F50" s="102">
        <f>TrRoad_ene!F$52</f>
        <v>1797.0534545319686</v>
      </c>
      <c r="G50" s="102">
        <f>TrRoad_ene!G$52</f>
        <v>2535.7515807315422</v>
      </c>
      <c r="H50" s="102">
        <f>TrRoad_ene!H$52</f>
        <v>2957.0607847867632</v>
      </c>
      <c r="I50" s="102">
        <f>TrRoad_ene!I$52</f>
        <v>3516.3481771011866</v>
      </c>
      <c r="J50" s="102">
        <f>TrRoad_ene!J$52</f>
        <v>3817.6575506064296</v>
      </c>
      <c r="K50" s="102">
        <f>TrRoad_ene!K$52</f>
        <v>3748.5819453883796</v>
      </c>
      <c r="L50" s="102">
        <f>TrRoad_ene!L$52</f>
        <v>4190.9317257165631</v>
      </c>
      <c r="M50" s="102">
        <f>TrRoad_ene!M$52</f>
        <v>4188.7044660144593</v>
      </c>
      <c r="N50" s="102">
        <f>TrRoad_ene!N$52</f>
        <v>3539.1590947586205</v>
      </c>
      <c r="O50" s="102">
        <f>TrRoad_ene!O$52</f>
        <v>2914.9162097013227</v>
      </c>
      <c r="P50" s="102">
        <f>TrRoad_ene!P$52</f>
        <v>2984.1558014821103</v>
      </c>
      <c r="Q50" s="102">
        <f>TrRoad_ene!Q$52</f>
        <v>3150.6855071620312</v>
      </c>
      <c r="R50" s="102">
        <f>TrRoad_ene!R$52</f>
        <v>4246.8867483334952</v>
      </c>
      <c r="S50" s="102">
        <f>TrRoad_ene!S$52</f>
        <v>5841.5689033368062</v>
      </c>
      <c r="T50" s="102">
        <f>TrRoad_ene!T$52</f>
        <v>6021.3621581307998</v>
      </c>
      <c r="U50" s="102">
        <f>TrRoad_ene!U$52</f>
        <v>6001.5482232101422</v>
      </c>
      <c r="V50" s="102">
        <f>TrRoad_ene!V$52</f>
        <v>5560.2679777900657</v>
      </c>
      <c r="W50" s="102">
        <f>TrRoad_ene!W$52</f>
        <v>7260.561428716449</v>
      </c>
      <c r="X50" s="102">
        <f>TrRoad_ene!X$52</f>
        <v>7375.7573624498864</v>
      </c>
      <c r="Y50" s="102">
        <f>TrRoad_ene!Y$52</f>
        <v>7140.2246720880412</v>
      </c>
      <c r="DA50" s="175" t="s">
        <v>401</v>
      </c>
    </row>
    <row r="51" spans="1:105" ht="11.45" customHeight="1" x14ac:dyDescent="0.25">
      <c r="A51" s="109" t="str">
        <f>$A$21</f>
        <v>Rail transport</v>
      </c>
      <c r="B51" s="110">
        <f>TrRail_ene!B$17</f>
        <v>244.26732548571738</v>
      </c>
      <c r="C51" s="110">
        <f>TrRail_ene!C$17</f>
        <v>219.0220631439455</v>
      </c>
      <c r="D51" s="110">
        <f>TrRail_ene!D$17</f>
        <v>206.28526550884101</v>
      </c>
      <c r="E51" s="110">
        <f>TrRail_ene!E$17</f>
        <v>215.18122431120554</v>
      </c>
      <c r="F51" s="110">
        <f>TrRail_ene!F$17</f>
        <v>217.85111816384125</v>
      </c>
      <c r="G51" s="110">
        <f>TrRail_ene!G$17</f>
        <v>196.03712766947081</v>
      </c>
      <c r="H51" s="110">
        <f>TrRail_ene!H$17</f>
        <v>205.58297927233775</v>
      </c>
      <c r="I51" s="110">
        <f>TrRail_ene!I$17</f>
        <v>193.18785196504081</v>
      </c>
      <c r="J51" s="110">
        <f>TrRail_ene!J$17</f>
        <v>182.94536568682767</v>
      </c>
      <c r="K51" s="110">
        <f>TrRail_ene!K$17</f>
        <v>150.67680666214099</v>
      </c>
      <c r="L51" s="110">
        <f>TrRail_ene!L$17</f>
        <v>169.72745104020944</v>
      </c>
      <c r="M51" s="110">
        <f>TrRail_ene!M$17</f>
        <v>180.63548962583451</v>
      </c>
      <c r="N51" s="110">
        <f>TrRail_ene!N$17</f>
        <v>158.53741339938412</v>
      </c>
      <c r="O51" s="110">
        <f>TrRail_ene!O$17</f>
        <v>153.48016121557362</v>
      </c>
      <c r="P51" s="110">
        <f>TrRail_ene!P$17</f>
        <v>141.28632549144481</v>
      </c>
      <c r="Q51" s="110">
        <f>TrRail_ene!Q$17</f>
        <v>137.32525465658338</v>
      </c>
      <c r="R51" s="110">
        <f>TrRail_ene!R$17</f>
        <v>132.12154964251857</v>
      </c>
      <c r="S51" s="110">
        <f>TrRail_ene!S$17</f>
        <v>139.50815308302859</v>
      </c>
      <c r="T51" s="110">
        <f>TrRail_ene!T$17</f>
        <v>152.19963712945759</v>
      </c>
      <c r="U51" s="110">
        <f>TrRail_ene!U$17</f>
        <v>138.9985606821092</v>
      </c>
      <c r="V51" s="110">
        <f>TrRail_ene!V$17</f>
        <v>130.87459100568634</v>
      </c>
      <c r="W51" s="110">
        <f>TrRail_ene!W$17</f>
        <v>143.726573180635</v>
      </c>
      <c r="X51" s="110">
        <f>TrRail_ene!X$17</f>
        <v>133.23570184870385</v>
      </c>
      <c r="Y51" s="110">
        <f>TrRail_ene!Y$17</f>
        <v>126.61733979670103</v>
      </c>
      <c r="DA51" s="176" t="s">
        <v>402</v>
      </c>
    </row>
    <row r="52" spans="1:105" ht="11.45" customHeight="1" x14ac:dyDescent="0.25">
      <c r="A52" s="109" t="str">
        <f>$A$22</f>
        <v>Aviation</v>
      </c>
      <c r="B52" s="110">
        <f t="shared" ref="B52:V52" si="44">B53+B54+B55</f>
        <v>1.9703716943591436</v>
      </c>
      <c r="C52" s="110">
        <f t="shared" si="44"/>
        <v>1.5764016722924823</v>
      </c>
      <c r="D52" s="110">
        <f t="shared" si="44"/>
        <v>1.7504807057096619</v>
      </c>
      <c r="E52" s="110">
        <f t="shared" si="44"/>
        <v>1.7807125668448276</v>
      </c>
      <c r="F52" s="110">
        <f t="shared" si="44"/>
        <v>1.4328730160529621</v>
      </c>
      <c r="G52" s="110">
        <f t="shared" si="44"/>
        <v>1.8852285680786878</v>
      </c>
      <c r="H52" s="110">
        <f t="shared" si="44"/>
        <v>2.5891660746947629</v>
      </c>
      <c r="I52" s="110">
        <f t="shared" si="44"/>
        <v>3.1321765812907802</v>
      </c>
      <c r="J52" s="110">
        <f t="shared" si="44"/>
        <v>4.1540008038484544</v>
      </c>
      <c r="K52" s="110">
        <f t="shared" si="44"/>
        <v>4.6822187251245317</v>
      </c>
      <c r="L52" s="110">
        <f t="shared" si="44"/>
        <v>7.1060128868154617</v>
      </c>
      <c r="M52" s="110">
        <f t="shared" si="44"/>
        <v>6.5329390683438415</v>
      </c>
      <c r="N52" s="110">
        <f t="shared" si="44"/>
        <v>6.8399995047453555</v>
      </c>
      <c r="O52" s="110">
        <f t="shared" si="44"/>
        <v>7.2027190093997859</v>
      </c>
      <c r="P52" s="110">
        <f t="shared" si="44"/>
        <v>8.2463760156102328</v>
      </c>
      <c r="Q52" s="110">
        <f t="shared" si="44"/>
        <v>8.5537833722317256</v>
      </c>
      <c r="R52" s="110">
        <f t="shared" si="44"/>
        <v>10.987649171532976</v>
      </c>
      <c r="S52" s="110">
        <f t="shared" si="44"/>
        <v>12.501459224517561</v>
      </c>
      <c r="T52" s="110">
        <f t="shared" si="44"/>
        <v>11.179305613361969</v>
      </c>
      <c r="U52" s="110">
        <f t="shared" si="44"/>
        <v>15.504319676998037</v>
      </c>
      <c r="V52" s="110">
        <f t="shared" si="44"/>
        <v>9.1220153511665671</v>
      </c>
      <c r="W52" s="110">
        <f t="shared" ref="W52:Y52" si="45">W53+W54+W55</f>
        <v>13.637478703556019</v>
      </c>
      <c r="X52" s="110">
        <f t="shared" si="45"/>
        <v>22.640790380810301</v>
      </c>
      <c r="Y52" s="110">
        <f t="shared" si="45"/>
        <v>23.813518915469288</v>
      </c>
      <c r="DA52" s="176" t="s">
        <v>284</v>
      </c>
    </row>
    <row r="53" spans="1:105" ht="11.45" customHeight="1" x14ac:dyDescent="0.25">
      <c r="A53" s="128" t="s">
        <v>27</v>
      </c>
      <c r="B53" s="102">
        <f>TrAvia_ene!B$11</f>
        <v>4.7189452850207217E-2</v>
      </c>
      <c r="C53" s="102">
        <f>TrAvia_ene!C$11</f>
        <v>3.6536408175289317E-2</v>
      </c>
      <c r="D53" s="102">
        <f>TrAvia_ene!D$11</f>
        <v>4.0566964840215929E-2</v>
      </c>
      <c r="E53" s="102">
        <f>TrAvia_ene!E$11</f>
        <v>4.0406578496921468E-2</v>
      </c>
      <c r="F53" s="102">
        <f>TrAvia_ene!F$11</f>
        <v>2.9975472731501834E-2</v>
      </c>
      <c r="G53" s="102">
        <f>TrAvia_ene!G$11</f>
        <v>2.4073520562708398E-2</v>
      </c>
      <c r="H53" s="102">
        <f>TrAvia_ene!H$11</f>
        <v>6.0596616520817936E-2</v>
      </c>
      <c r="I53" s="102">
        <f>TrAvia_ene!I$11</f>
        <v>9.6856310696195366E-2</v>
      </c>
      <c r="J53" s="102">
        <f>TrAvia_ene!J$11</f>
        <v>8.6534195579249379E-2</v>
      </c>
      <c r="K53" s="102">
        <f>TrAvia_ene!K$11</f>
        <v>0.12239888623947603</v>
      </c>
      <c r="L53" s="102">
        <f>TrAvia_ene!L$11</f>
        <v>0.10326065060095388</v>
      </c>
      <c r="M53" s="102">
        <f>TrAvia_ene!M$11</f>
        <v>0.11501295219092253</v>
      </c>
      <c r="N53" s="102">
        <f>TrAvia_ene!N$11</f>
        <v>0.29296470651397649</v>
      </c>
      <c r="O53" s="102">
        <f>TrAvia_ene!O$11</f>
        <v>0.29835426762192574</v>
      </c>
      <c r="P53" s="102">
        <f>TrAvia_ene!P$11</f>
        <v>0.27862208867832672</v>
      </c>
      <c r="Q53" s="102">
        <f>TrAvia_ene!Q$11</f>
        <v>0.15359011511918735</v>
      </c>
      <c r="R53" s="102">
        <f>TrAvia_ene!R$11</f>
        <v>0.10421641305435121</v>
      </c>
      <c r="S53" s="102">
        <f>TrAvia_ene!S$11</f>
        <v>3.7666887898147421E-2</v>
      </c>
      <c r="T53" s="102">
        <f>TrAvia_ene!T$11</f>
        <v>4.6801112134028176E-2</v>
      </c>
      <c r="U53" s="102">
        <f>TrAvia_ene!U$11</f>
        <v>6.0146811086487569E-2</v>
      </c>
      <c r="V53" s="102">
        <f>TrAvia_ene!V$11</f>
        <v>2.1728896844848702E-2</v>
      </c>
      <c r="W53" s="102">
        <f>TrAvia_ene!W$11</f>
        <v>3.9010915887040941E-2</v>
      </c>
      <c r="X53" s="102">
        <f>TrAvia_ene!X$11</f>
        <v>3.2318309067153363E-2</v>
      </c>
      <c r="Y53" s="102">
        <f>TrAvia_ene!Y$11</f>
        <v>2.8614096741074471E-2</v>
      </c>
      <c r="DA53" s="175" t="s">
        <v>285</v>
      </c>
    </row>
    <row r="54" spans="1:105" ht="11.45" customHeight="1" x14ac:dyDescent="0.25">
      <c r="A54" s="128" t="str">
        <f>$A$24</f>
        <v>International - Intra-EEAwCHUK</v>
      </c>
      <c r="B54" s="102">
        <f>TrAvia_ene!B$12</f>
        <v>1.6034803547705108</v>
      </c>
      <c r="C54" s="102">
        <f>TrAvia_ene!C$12</f>
        <v>1.2293348071050163</v>
      </c>
      <c r="D54" s="102">
        <f>TrAvia_ene!D$12</f>
        <v>1.3953034364126058</v>
      </c>
      <c r="E54" s="102">
        <f>TrAvia_ene!E$12</f>
        <v>1.3981559202866616</v>
      </c>
      <c r="F54" s="102">
        <f>TrAvia_ene!F$12</f>
        <v>1.0584162372862891</v>
      </c>
      <c r="G54" s="102">
        <f>TrAvia_ene!G$12</f>
        <v>1.5202955729355514</v>
      </c>
      <c r="H54" s="102">
        <f>TrAvia_ene!H$12</f>
        <v>1.9764980312855891</v>
      </c>
      <c r="I54" s="102">
        <f>TrAvia_ene!I$12</f>
        <v>2.1204331614529268</v>
      </c>
      <c r="J54" s="102">
        <f>TrAvia_ene!J$12</f>
        <v>2.4208874565820286</v>
      </c>
      <c r="K54" s="102">
        <f>TrAvia_ene!K$12</f>
        <v>2.7202216002775019</v>
      </c>
      <c r="L54" s="102">
        <f>TrAvia_ene!L$12</f>
        <v>2.7372399877378832</v>
      </c>
      <c r="M54" s="102">
        <f>TrAvia_ene!M$12</f>
        <v>2.6913065257108326</v>
      </c>
      <c r="N54" s="102">
        <f>TrAvia_ene!N$12</f>
        <v>3.0287607359434814</v>
      </c>
      <c r="O54" s="102">
        <f>TrAvia_ene!O$12</f>
        <v>2.8431185369491918</v>
      </c>
      <c r="P54" s="102">
        <f>TrAvia_ene!P$12</f>
        <v>3.1059138778177258</v>
      </c>
      <c r="Q54" s="102">
        <f>TrAvia_ene!Q$12</f>
        <v>3.3646047482655876</v>
      </c>
      <c r="R54" s="102">
        <f>TrAvia_ene!R$12</f>
        <v>3.1497080302029632</v>
      </c>
      <c r="S54" s="102">
        <f>TrAvia_ene!S$12</f>
        <v>4.3108842056424299</v>
      </c>
      <c r="T54" s="102">
        <f>TrAvia_ene!T$12</f>
        <v>4.5133768510417651</v>
      </c>
      <c r="U54" s="102">
        <f>TrAvia_ene!U$12</f>
        <v>4.7930090091083564</v>
      </c>
      <c r="V54" s="102">
        <f>TrAvia_ene!V$12</f>
        <v>6.3175481435729361</v>
      </c>
      <c r="W54" s="102">
        <f>TrAvia_ene!W$12</f>
        <v>7.9223473438068011</v>
      </c>
      <c r="X54" s="102">
        <f>TrAvia_ene!X$12</f>
        <v>9.2613797825615745</v>
      </c>
      <c r="Y54" s="102">
        <f>TrAvia_ene!Y$12</f>
        <v>7.6308253266207906</v>
      </c>
      <c r="DA54" s="175" t="s">
        <v>286</v>
      </c>
    </row>
    <row r="55" spans="1:105" ht="11.45" customHeight="1" x14ac:dyDescent="0.25">
      <c r="A55" s="128" t="str">
        <f>$A$25</f>
        <v>International - Extra-EEAwCHUK</v>
      </c>
      <c r="B55" s="102">
        <f>TrAvia_ene!B$13</f>
        <v>0.3197018867384257</v>
      </c>
      <c r="C55" s="102">
        <f>TrAvia_ene!C$13</f>
        <v>0.31053045701217674</v>
      </c>
      <c r="D55" s="102">
        <f>TrAvia_ene!D$13</f>
        <v>0.31461030445684035</v>
      </c>
      <c r="E55" s="102">
        <f>TrAvia_ene!E$13</f>
        <v>0.34215006806124465</v>
      </c>
      <c r="F55" s="102">
        <f>TrAvia_ene!F$13</f>
        <v>0.34448130603517119</v>
      </c>
      <c r="G55" s="102">
        <f>TrAvia_ene!G$13</f>
        <v>0.34085947458042781</v>
      </c>
      <c r="H55" s="102">
        <f>TrAvia_ene!H$13</f>
        <v>0.55207142688835609</v>
      </c>
      <c r="I55" s="102">
        <f>TrAvia_ene!I$13</f>
        <v>0.91488710914165838</v>
      </c>
      <c r="J55" s="102">
        <f>TrAvia_ene!J$13</f>
        <v>1.6465791516871766</v>
      </c>
      <c r="K55" s="102">
        <f>TrAvia_ene!K$13</f>
        <v>1.8395982386075533</v>
      </c>
      <c r="L55" s="102">
        <f>TrAvia_ene!L$13</f>
        <v>4.2655122484766252</v>
      </c>
      <c r="M55" s="102">
        <f>TrAvia_ene!M$13</f>
        <v>3.7266195904420862</v>
      </c>
      <c r="N55" s="102">
        <f>TrAvia_ene!N$13</f>
        <v>3.518274062287897</v>
      </c>
      <c r="O55" s="102">
        <f>TrAvia_ene!O$13</f>
        <v>4.0612462048286684</v>
      </c>
      <c r="P55" s="102">
        <f>TrAvia_ene!P$13</f>
        <v>4.8618400491141802</v>
      </c>
      <c r="Q55" s="102">
        <f>TrAvia_ene!Q$13</f>
        <v>5.0355885088469501</v>
      </c>
      <c r="R55" s="102">
        <f>TrAvia_ene!R$13</f>
        <v>7.7337247282756616</v>
      </c>
      <c r="S55" s="102">
        <f>TrAvia_ene!S$13</f>
        <v>8.152908130976984</v>
      </c>
      <c r="T55" s="102">
        <f>TrAvia_ene!T$13</f>
        <v>6.6191276501861749</v>
      </c>
      <c r="U55" s="102">
        <f>TrAvia_ene!U$13</f>
        <v>10.651163856803194</v>
      </c>
      <c r="V55" s="102">
        <f>TrAvia_ene!V$13</f>
        <v>2.782738310748782</v>
      </c>
      <c r="W55" s="102">
        <f>TrAvia_ene!W$13</f>
        <v>5.6761204438621764</v>
      </c>
      <c r="X55" s="102">
        <f>TrAvia_ene!X$13</f>
        <v>13.347092289181573</v>
      </c>
      <c r="Y55" s="102">
        <f>TrAvia_ene!Y$13</f>
        <v>16.154079492107421</v>
      </c>
      <c r="DA55" s="175" t="s">
        <v>287</v>
      </c>
    </row>
    <row r="56" spans="1:105" ht="11.45" customHeight="1" x14ac:dyDescent="0.25">
      <c r="A56" s="109" t="s">
        <v>141</v>
      </c>
      <c r="B56" s="110">
        <f t="shared" ref="B56:Q56" si="46">B57+B58</f>
        <v>6.1622527944969905</v>
      </c>
      <c r="C56" s="110">
        <f t="shared" si="46"/>
        <v>6.1622527944969896</v>
      </c>
      <c r="D56" s="110">
        <f t="shared" si="46"/>
        <v>5.135167669819432</v>
      </c>
      <c r="E56" s="110">
        <f t="shared" si="46"/>
        <v>7.1892519346517627</v>
      </c>
      <c r="F56" s="110">
        <f t="shared" si="46"/>
        <v>6.1622527944969905</v>
      </c>
      <c r="G56" s="110">
        <f t="shared" si="46"/>
        <v>5.135167669819432</v>
      </c>
      <c r="H56" s="110">
        <f t="shared" si="46"/>
        <v>6.1622527944969896</v>
      </c>
      <c r="I56" s="110">
        <f t="shared" si="46"/>
        <v>5.135167669819432</v>
      </c>
      <c r="J56" s="110">
        <f t="shared" si="46"/>
        <v>5.135167669819432</v>
      </c>
      <c r="K56" s="110">
        <f t="shared" si="46"/>
        <v>3.1025795356835775</v>
      </c>
      <c r="L56" s="110">
        <f t="shared" si="46"/>
        <v>3.1025795356835775</v>
      </c>
      <c r="M56" s="110">
        <f t="shared" si="46"/>
        <v>3.102579535683577</v>
      </c>
      <c r="N56" s="110">
        <f t="shared" si="46"/>
        <v>3.102579535683577</v>
      </c>
      <c r="O56" s="110">
        <f t="shared" si="46"/>
        <v>3.102579535683577</v>
      </c>
      <c r="P56" s="110">
        <f t="shared" si="46"/>
        <v>3.1025795356835775</v>
      </c>
      <c r="Q56" s="110">
        <f t="shared" si="46"/>
        <v>2.0540842648323299</v>
      </c>
      <c r="R56" s="110">
        <f t="shared" ref="R56:V56" si="47">R57+R58</f>
        <v>2.0540842648323299</v>
      </c>
      <c r="S56" s="110">
        <f t="shared" si="47"/>
        <v>4.6894239036973344</v>
      </c>
      <c r="T56" s="110">
        <f t="shared" si="47"/>
        <v>2.026311263972485</v>
      </c>
      <c r="U56" s="110">
        <f t="shared" si="47"/>
        <v>1.87944969905417</v>
      </c>
      <c r="V56" s="110">
        <f t="shared" si="47"/>
        <v>1.034221840068787</v>
      </c>
      <c r="W56" s="110">
        <f t="shared" ref="W56:Y56" si="48">W57+W58</f>
        <v>1.1204643164230439</v>
      </c>
      <c r="X56" s="110">
        <f t="shared" si="48"/>
        <v>1.1204643164230439</v>
      </c>
      <c r="Y56" s="110">
        <f t="shared" si="48"/>
        <v>1.1204643164230439</v>
      </c>
      <c r="DA56" s="176" t="s">
        <v>993</v>
      </c>
    </row>
    <row r="57" spans="1:105" ht="11.45" customHeight="1" x14ac:dyDescent="0.25">
      <c r="A57" s="128" t="str">
        <f>$A$27</f>
        <v>Domestic coastal shipping</v>
      </c>
      <c r="B57" s="102">
        <f>TrNavi_ene!B4</f>
        <v>0.24397136294746677</v>
      </c>
      <c r="C57" s="102">
        <f>TrNavi_ene!C4</f>
        <v>0.24239460004820199</v>
      </c>
      <c r="D57" s="102">
        <f>TrNavi_ene!D4</f>
        <v>0.25850591985742893</v>
      </c>
      <c r="E57" s="102">
        <f>TrNavi_ene!E4</f>
        <v>0.28411513793890575</v>
      </c>
      <c r="F57" s="102">
        <f>TrNavi_ene!F4</f>
        <v>0.32602193460842538</v>
      </c>
      <c r="G57" s="102">
        <f>TrNavi_ene!G4</f>
        <v>1.0225054316494211</v>
      </c>
      <c r="H57" s="102">
        <f>TrNavi_ene!H4</f>
        <v>1.1190709420412379</v>
      </c>
      <c r="I57" s="102">
        <f>TrNavi_ene!I4</f>
        <v>0.79814610749366788</v>
      </c>
      <c r="J57" s="102">
        <f>TrNavi_ene!J4</f>
        <v>0.94637867163214895</v>
      </c>
      <c r="K57" s="102">
        <f>TrNavi_ene!K4</f>
        <v>0.70260014438854934</v>
      </c>
      <c r="L57" s="102">
        <f>TrNavi_ene!L4</f>
        <v>0.841112770215385</v>
      </c>
      <c r="M57" s="102">
        <f>TrNavi_ene!M4</f>
        <v>1.0990232359716063</v>
      </c>
      <c r="N57" s="102">
        <f>TrNavi_ene!N4</f>
        <v>1.0367409346766829</v>
      </c>
      <c r="O57" s="102">
        <f>TrNavi_ene!O4</f>
        <v>1.041450088489009</v>
      </c>
      <c r="P57" s="102">
        <f>TrNavi_ene!P4</f>
        <v>0.71153621198165717</v>
      </c>
      <c r="Q57" s="102">
        <f>TrNavi_ene!Q4</f>
        <v>0.78049428685248901</v>
      </c>
      <c r="R57" s="102">
        <f>TrNavi_ene!R4</f>
        <v>1.034913601400655</v>
      </c>
      <c r="S57" s="102">
        <f>TrNavi_ene!S4</f>
        <v>2.1348848777713587</v>
      </c>
      <c r="T57" s="102">
        <f>TrNavi_ene!T4</f>
        <v>0.88984033721133449</v>
      </c>
      <c r="U57" s="102">
        <f>TrNavi_ene!U4</f>
        <v>1.062027932097777</v>
      </c>
      <c r="V57" s="102">
        <f>TrNavi_ene!V4</f>
        <v>0.70547671634592601</v>
      </c>
      <c r="W57" s="102">
        <f>TrNavi_ene!W4</f>
        <v>0.9005961509623911</v>
      </c>
      <c r="X57" s="102">
        <f>TrNavi_ene!X4</f>
        <v>0.97277213369722393</v>
      </c>
      <c r="Y57" s="102">
        <f>TrNavi_ene!Y4</f>
        <v>0.97039489234924592</v>
      </c>
      <c r="DA57" s="175" t="s">
        <v>994</v>
      </c>
    </row>
    <row r="58" spans="1:105" ht="11.45" customHeight="1" x14ac:dyDescent="0.25">
      <c r="A58" s="166" t="str">
        <f>$A$28</f>
        <v>Inland waterways</v>
      </c>
      <c r="B58" s="169">
        <f>TrNavi_ene!B10</f>
        <v>5.9182814315495236</v>
      </c>
      <c r="C58" s="169">
        <f>TrNavi_ene!C10</f>
        <v>5.9198581944487874</v>
      </c>
      <c r="D58" s="169">
        <f>TrNavi_ene!D10</f>
        <v>4.8766617499620031</v>
      </c>
      <c r="E58" s="169">
        <f>TrNavi_ene!E10</f>
        <v>6.9051367967128572</v>
      </c>
      <c r="F58" s="169">
        <f>TrNavi_ene!F10</f>
        <v>5.8362308598885653</v>
      </c>
      <c r="G58" s="169">
        <f>TrNavi_ene!G10</f>
        <v>4.1126622381700111</v>
      </c>
      <c r="H58" s="169">
        <f>TrNavi_ene!H10</f>
        <v>5.0431818524557519</v>
      </c>
      <c r="I58" s="169">
        <f>TrNavi_ene!I10</f>
        <v>4.3370215623257637</v>
      </c>
      <c r="J58" s="169">
        <f>TrNavi_ene!J10</f>
        <v>4.1887889981872828</v>
      </c>
      <c r="K58" s="169">
        <f>TrNavi_ene!K10</f>
        <v>2.399979391295028</v>
      </c>
      <c r="L58" s="169">
        <f>TrNavi_ene!L10</f>
        <v>2.2614667654681924</v>
      </c>
      <c r="M58" s="169">
        <f>TrNavi_ene!M10</f>
        <v>2.0035562997119709</v>
      </c>
      <c r="N58" s="169">
        <f>TrNavi_ene!N10</f>
        <v>2.0658386010068939</v>
      </c>
      <c r="O58" s="169">
        <f>TrNavi_ene!O10</f>
        <v>2.0611294471945683</v>
      </c>
      <c r="P58" s="169">
        <f>TrNavi_ene!P10</f>
        <v>2.3910433237019202</v>
      </c>
      <c r="Q58" s="169">
        <f>TrNavi_ene!Q10</f>
        <v>1.2735899779798407</v>
      </c>
      <c r="R58" s="169">
        <f>TrNavi_ene!R10</f>
        <v>1.0191706634316748</v>
      </c>
      <c r="S58" s="169">
        <f>TrNavi_ene!S10</f>
        <v>2.5545390259259757</v>
      </c>
      <c r="T58" s="169">
        <f>TrNavi_ene!T10</f>
        <v>1.1364709267611504</v>
      </c>
      <c r="U58" s="169">
        <f>TrNavi_ene!U10</f>
        <v>0.81742176695639301</v>
      </c>
      <c r="V58" s="169">
        <f>TrNavi_ene!V10</f>
        <v>0.32874512372286091</v>
      </c>
      <c r="W58" s="169">
        <f>TrNavi_ene!W10</f>
        <v>0.21986816546065277</v>
      </c>
      <c r="X58" s="169">
        <f>TrNavi_ene!X10</f>
        <v>0.14769218272581991</v>
      </c>
      <c r="Y58" s="169">
        <f>TrNavi_ene!Y10</f>
        <v>0.15006942407379806</v>
      </c>
      <c r="DA58" s="177" t="s">
        <v>995</v>
      </c>
    </row>
    <row r="59" spans="1:105" ht="11.45" customHeight="1" x14ac:dyDescent="0.25">
      <c r="A59" s="27" t="s">
        <v>169</v>
      </c>
      <c r="B59" s="28">
        <f>B60+B61</f>
        <v>284.49415305245049</v>
      </c>
      <c r="C59" s="28">
        <f t="shared" ref="C59:W59" si="49">C60+C61</f>
        <v>259.00447119518486</v>
      </c>
      <c r="D59" s="28">
        <f t="shared" si="49"/>
        <v>268.99303525365434</v>
      </c>
      <c r="E59" s="28">
        <f t="shared" si="49"/>
        <v>283.65331040412718</v>
      </c>
      <c r="F59" s="28">
        <f t="shared" si="49"/>
        <v>252.34067067927776</v>
      </c>
      <c r="G59" s="28">
        <f t="shared" si="49"/>
        <v>323.7030954428202</v>
      </c>
      <c r="H59" s="28">
        <f t="shared" si="49"/>
        <v>295.84892519346511</v>
      </c>
      <c r="I59" s="28">
        <f t="shared" si="49"/>
        <v>248.19905417024938</v>
      </c>
      <c r="J59" s="28">
        <f t="shared" si="49"/>
        <v>275.15528804815131</v>
      </c>
      <c r="K59" s="28">
        <f t="shared" si="49"/>
        <v>247.71186586414439</v>
      </c>
      <c r="L59" s="28">
        <f t="shared" si="49"/>
        <v>215.39604471195179</v>
      </c>
      <c r="M59" s="28">
        <f t="shared" si="49"/>
        <v>170.56225279449694</v>
      </c>
      <c r="N59" s="28">
        <f t="shared" si="49"/>
        <v>144.68804815133274</v>
      </c>
      <c r="O59" s="28">
        <f t="shared" si="49"/>
        <v>140.69931212381772</v>
      </c>
      <c r="P59" s="28">
        <f t="shared" si="49"/>
        <v>147.30816852966461</v>
      </c>
      <c r="Q59" s="28">
        <f t="shared" si="49"/>
        <v>192.79638865004301</v>
      </c>
      <c r="R59" s="28">
        <f t="shared" si="49"/>
        <v>183.1231298366294</v>
      </c>
      <c r="S59" s="28">
        <f t="shared" si="49"/>
        <v>267.11358555460021</v>
      </c>
      <c r="T59" s="28">
        <f t="shared" si="49"/>
        <v>270.00266552020634</v>
      </c>
      <c r="U59" s="28">
        <f t="shared" si="49"/>
        <v>275.88245915735166</v>
      </c>
      <c r="V59" s="28">
        <f t="shared" si="49"/>
        <v>301.62949269131548</v>
      </c>
      <c r="W59" s="28">
        <f t="shared" si="49"/>
        <v>349.21066208082544</v>
      </c>
      <c r="X59" s="28">
        <f t="shared" ref="X59:Y59" si="50">X60+X61</f>
        <v>273.86732588134129</v>
      </c>
      <c r="Y59" s="28">
        <f t="shared" si="50"/>
        <v>263.24978503869306</v>
      </c>
      <c r="DA59" s="173" t="s">
        <v>956</v>
      </c>
    </row>
    <row r="60" spans="1:105" ht="11.45" customHeight="1" x14ac:dyDescent="0.25">
      <c r="A60" s="128" t="str">
        <f>$A$30</f>
        <v>Intra-EEA</v>
      </c>
      <c r="B60" s="102">
        <f>MBunk_ene!B$4</f>
        <v>143.12722093952183</v>
      </c>
      <c r="C60" s="102">
        <f>MBunk_ene!C$4</f>
        <v>129.86013101416191</v>
      </c>
      <c r="D60" s="102">
        <f>MBunk_ene!D$4</f>
        <v>134.47171935339077</v>
      </c>
      <c r="E60" s="102">
        <f>MBunk_ene!E$4</f>
        <v>141.87086132689379</v>
      </c>
      <c r="F60" s="102">
        <f>MBunk_ene!F$4</f>
        <v>126.26963491402212</v>
      </c>
      <c r="G60" s="102">
        <f>MBunk_ene!G$4</f>
        <v>152.70777530733125</v>
      </c>
      <c r="H60" s="102">
        <f>MBunk_ene!H$4</f>
        <v>126.55510275097184</v>
      </c>
      <c r="I60" s="102">
        <f>MBunk_ene!I$4</f>
        <v>122.07520169014467</v>
      </c>
      <c r="J60" s="102">
        <f>MBunk_ene!J$4</f>
        <v>127.24945749456448</v>
      </c>
      <c r="K60" s="102">
        <f>MBunk_ene!K$4</f>
        <v>118.65358599581951</v>
      </c>
      <c r="L60" s="102">
        <f>MBunk_ene!L$4</f>
        <v>105.29306451486636</v>
      </c>
      <c r="M60" s="102">
        <f>MBunk_ene!M$4</f>
        <v>82.27138693957319</v>
      </c>
      <c r="N60" s="102">
        <f>MBunk_ene!N$4</f>
        <v>60.782642602599942</v>
      </c>
      <c r="O60" s="102">
        <f>MBunk_ene!O$4</f>
        <v>58.434213368046493</v>
      </c>
      <c r="P60" s="102">
        <f>MBunk_ene!P$4</f>
        <v>57.351253924699577</v>
      </c>
      <c r="Q60" s="102">
        <f>MBunk_ene!Q$4</f>
        <v>78.957428793094508</v>
      </c>
      <c r="R60" s="102">
        <f>MBunk_ene!R$4</f>
        <v>67.694286099707114</v>
      </c>
      <c r="S60" s="102">
        <f>MBunk_ene!S$4</f>
        <v>84.235777536612758</v>
      </c>
      <c r="T60" s="102">
        <f>MBunk_ene!T$4</f>
        <v>84.051561665995479</v>
      </c>
      <c r="U60" s="102">
        <f>MBunk_ene!U$4</f>
        <v>84.399683052790962</v>
      </c>
      <c r="V60" s="102">
        <f>MBunk_ene!V$4</f>
        <v>87.591085018464497</v>
      </c>
      <c r="W60" s="102">
        <f>MBunk_ene!W$4</f>
        <v>101.56039662210884</v>
      </c>
      <c r="X60" s="102">
        <f>MBunk_ene!X$4</f>
        <v>83.018779968451199</v>
      </c>
      <c r="Y60" s="102">
        <f>MBunk_ene!Y$4</f>
        <v>99.939178312796614</v>
      </c>
      <c r="DA60" s="175" t="s">
        <v>957</v>
      </c>
    </row>
    <row r="61" spans="1:105" ht="11.45" customHeight="1" x14ac:dyDescent="0.25">
      <c r="A61" s="138" t="str">
        <f>$A$31</f>
        <v>Extra-EEA</v>
      </c>
      <c r="B61" s="86">
        <f>MBunk_ene!B$10</f>
        <v>141.36693211292865</v>
      </c>
      <c r="C61" s="86">
        <f>MBunk_ene!C$10</f>
        <v>129.14434018102295</v>
      </c>
      <c r="D61" s="86">
        <f>MBunk_ene!D$10</f>
        <v>134.52131590026357</v>
      </c>
      <c r="E61" s="86">
        <f>MBunk_ene!E$10</f>
        <v>141.78244907723342</v>
      </c>
      <c r="F61" s="86">
        <f>MBunk_ene!F$10</f>
        <v>126.07103576525566</v>
      </c>
      <c r="G61" s="86">
        <f>MBunk_ene!G$10</f>
        <v>170.99532013548895</v>
      </c>
      <c r="H61" s="86">
        <f>MBunk_ene!H$10</f>
        <v>169.29382244249328</v>
      </c>
      <c r="I61" s="86">
        <f>MBunk_ene!I$10</f>
        <v>126.12385248010473</v>
      </c>
      <c r="J61" s="86">
        <f>MBunk_ene!J$10</f>
        <v>147.90583055358681</v>
      </c>
      <c r="K61" s="86">
        <f>MBunk_ene!K$10</f>
        <v>129.05827986832486</v>
      </c>
      <c r="L61" s="86">
        <f>MBunk_ene!L$10</f>
        <v>110.10298019708542</v>
      </c>
      <c r="M61" s="86">
        <f>MBunk_ene!M$10</f>
        <v>88.290865854923766</v>
      </c>
      <c r="N61" s="86">
        <f>MBunk_ene!N$10</f>
        <v>83.905405548732801</v>
      </c>
      <c r="O61" s="86">
        <f>MBunk_ene!O$10</f>
        <v>82.26509875577122</v>
      </c>
      <c r="P61" s="86">
        <f>MBunk_ene!P$10</f>
        <v>89.95691460496505</v>
      </c>
      <c r="Q61" s="86">
        <f>MBunk_ene!Q$10</f>
        <v>113.83895985694851</v>
      </c>
      <c r="R61" s="86">
        <f>MBunk_ene!R$10</f>
        <v>115.42884373692229</v>
      </c>
      <c r="S61" s="86">
        <f>MBunk_ene!S$10</f>
        <v>182.87780801798743</v>
      </c>
      <c r="T61" s="86">
        <f>MBunk_ene!T$10</f>
        <v>185.95110385421086</v>
      </c>
      <c r="U61" s="86">
        <f>MBunk_ene!U$10</f>
        <v>191.48277610456068</v>
      </c>
      <c r="V61" s="86">
        <f>MBunk_ene!V$10</f>
        <v>214.03840767285098</v>
      </c>
      <c r="W61" s="86">
        <f>MBunk_ene!W$10</f>
        <v>247.6502654587166</v>
      </c>
      <c r="X61" s="86">
        <f>MBunk_ene!X$10</f>
        <v>190.84854591289007</v>
      </c>
      <c r="Y61" s="86">
        <f>MBunk_ene!Y$10</f>
        <v>163.31060672589643</v>
      </c>
      <c r="DA61" s="178" t="s">
        <v>958</v>
      </c>
    </row>
    <row r="62" spans="1:105" ht="11.45" customHeight="1" x14ac:dyDescent="0.25">
      <c r="A62" s="106"/>
      <c r="B62" s="106"/>
      <c r="C62" s="106"/>
      <c r="D62" s="106"/>
      <c r="E62" s="106"/>
      <c r="F62" s="106"/>
      <c r="G62" s="106"/>
      <c r="H62" s="106"/>
      <c r="I62" s="106"/>
      <c r="J62" s="106"/>
      <c r="K62" s="106"/>
      <c r="L62" s="106"/>
      <c r="M62" s="106"/>
      <c r="N62" s="106"/>
      <c r="O62" s="106"/>
      <c r="P62" s="106"/>
      <c r="Q62" s="106"/>
      <c r="R62" s="106"/>
      <c r="S62" s="106"/>
      <c r="T62" s="106"/>
      <c r="U62" s="106"/>
      <c r="V62" s="106"/>
      <c r="W62" s="106"/>
      <c r="X62" s="106"/>
      <c r="Y62" s="106"/>
      <c r="DA62" s="171"/>
    </row>
    <row r="63" spans="1:105" ht="11.45" customHeight="1" x14ac:dyDescent="0.25">
      <c r="A63" s="53" t="s">
        <v>35</v>
      </c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DA63" s="172"/>
    </row>
    <row r="64" spans="1:105" ht="11.45" customHeight="1" x14ac:dyDescent="0.25">
      <c r="A64" s="27" t="s">
        <v>33</v>
      </c>
      <c r="B64" s="28">
        <f t="shared" ref="B64:Q64" si="51">B65+B69+B73</f>
        <v>19666.023741263238</v>
      </c>
      <c r="C64" s="28">
        <f t="shared" si="51"/>
        <v>19077.876075161577</v>
      </c>
      <c r="D64" s="28">
        <f t="shared" si="51"/>
        <v>18702.173765128515</v>
      </c>
      <c r="E64" s="28">
        <f t="shared" si="51"/>
        <v>19474.19981986691</v>
      </c>
      <c r="F64" s="28">
        <f t="shared" si="51"/>
        <v>21456.201537401255</v>
      </c>
      <c r="G64" s="28">
        <f t="shared" si="51"/>
        <v>21570.436646399972</v>
      </c>
      <c r="H64" s="28">
        <f t="shared" si="51"/>
        <v>23918.211590797637</v>
      </c>
      <c r="I64" s="28">
        <f t="shared" si="51"/>
        <v>26255.61478337966</v>
      </c>
      <c r="J64" s="28">
        <f t="shared" si="51"/>
        <v>27691.222131543545</v>
      </c>
      <c r="K64" s="28">
        <f t="shared" si="51"/>
        <v>28474.039717357558</v>
      </c>
      <c r="L64" s="28">
        <f t="shared" si="51"/>
        <v>29699.134498141277</v>
      </c>
      <c r="M64" s="28">
        <f t="shared" si="51"/>
        <v>29995.224277890564</v>
      </c>
      <c r="N64" s="28">
        <f t="shared" si="51"/>
        <v>30008.288940065489</v>
      </c>
      <c r="O64" s="28">
        <f t="shared" si="51"/>
        <v>28627.025577399079</v>
      </c>
      <c r="P64" s="28">
        <f t="shared" si="51"/>
        <v>28986.626349868631</v>
      </c>
      <c r="Q64" s="28">
        <f t="shared" si="51"/>
        <v>30990.970652291366</v>
      </c>
      <c r="R64" s="28">
        <f t="shared" ref="R64:V64" si="52">R65+R69+R73</f>
        <v>33602.332267501341</v>
      </c>
      <c r="S64" s="28">
        <f t="shared" si="52"/>
        <v>37422.943882695618</v>
      </c>
      <c r="T64" s="28">
        <f t="shared" si="52"/>
        <v>39112.854436671892</v>
      </c>
      <c r="U64" s="28">
        <f t="shared" si="52"/>
        <v>40262.030747650912</v>
      </c>
      <c r="V64" s="28">
        <f t="shared" si="52"/>
        <v>36906.455528948711</v>
      </c>
      <c r="W64" s="28">
        <f t="shared" ref="W64:Y64" si="53">W65+W69+W73</f>
        <v>37043.560539128623</v>
      </c>
      <c r="X64" s="28">
        <f t="shared" si="53"/>
        <v>39402.707823488628</v>
      </c>
      <c r="Y64" s="28">
        <f t="shared" si="53"/>
        <v>39977.429523895873</v>
      </c>
      <c r="DA64" s="173"/>
    </row>
    <row r="65" spans="1:105" ht="11.45" customHeight="1" x14ac:dyDescent="0.25">
      <c r="A65" s="136" t="str">
        <f>$A$5</f>
        <v>Road transport</v>
      </c>
      <c r="B65" s="137">
        <f t="shared" ref="B65:Q65" si="54">B66+B67+B68</f>
        <v>18489.28557107033</v>
      </c>
      <c r="C65" s="137">
        <f t="shared" si="54"/>
        <v>17910.09285321294</v>
      </c>
      <c r="D65" s="137">
        <f t="shared" si="54"/>
        <v>17569.252153459565</v>
      </c>
      <c r="E65" s="137">
        <f t="shared" si="54"/>
        <v>18257.774603427461</v>
      </c>
      <c r="F65" s="137">
        <f t="shared" si="54"/>
        <v>20318.536015308724</v>
      </c>
      <c r="G65" s="137">
        <f t="shared" si="54"/>
        <v>20297.458667182877</v>
      </c>
      <c r="H65" s="137">
        <f t="shared" si="54"/>
        <v>22425.568436009187</v>
      </c>
      <c r="I65" s="137">
        <f t="shared" si="54"/>
        <v>24655.10552804351</v>
      </c>
      <c r="J65" s="137">
        <f t="shared" si="54"/>
        <v>25871.140853059602</v>
      </c>
      <c r="K65" s="137">
        <f t="shared" si="54"/>
        <v>26831.863051714932</v>
      </c>
      <c r="L65" s="137">
        <f t="shared" si="54"/>
        <v>28064.049610651655</v>
      </c>
      <c r="M65" s="137">
        <f t="shared" si="54"/>
        <v>28386.525370142295</v>
      </c>
      <c r="N65" s="137">
        <f t="shared" si="54"/>
        <v>28232.942818761589</v>
      </c>
      <c r="O65" s="137">
        <f t="shared" si="54"/>
        <v>26905.899846378754</v>
      </c>
      <c r="P65" s="137">
        <f t="shared" si="54"/>
        <v>27072.348545240508</v>
      </c>
      <c r="Q65" s="137">
        <f t="shared" si="54"/>
        <v>28931.8660802341</v>
      </c>
      <c r="R65" s="137">
        <f t="shared" ref="R65:V65" si="55">R66+R67+R68</f>
        <v>31419.704677057249</v>
      </c>
      <c r="S65" s="137">
        <f t="shared" si="55"/>
        <v>34740.650394033073</v>
      </c>
      <c r="T65" s="137">
        <f t="shared" si="55"/>
        <v>35918.285289278429</v>
      </c>
      <c r="U65" s="137">
        <f t="shared" si="55"/>
        <v>36899.091013864578</v>
      </c>
      <c r="V65" s="137">
        <f t="shared" si="55"/>
        <v>35437.961240002813</v>
      </c>
      <c r="W65" s="137">
        <f t="shared" ref="W65:Y65" si="56">W66+W67+W68</f>
        <v>35249.453185270999</v>
      </c>
      <c r="X65" s="137">
        <f t="shared" si="56"/>
        <v>36361.838554790869</v>
      </c>
      <c r="Y65" s="137">
        <f t="shared" si="56"/>
        <v>36312.279997468846</v>
      </c>
      <c r="DA65" s="174" t="s">
        <v>403</v>
      </c>
    </row>
    <row r="66" spans="1:105" ht="11.45" customHeight="1" x14ac:dyDescent="0.25">
      <c r="A66" s="128" t="str">
        <f>$A$6</f>
        <v>Powered two-wheelers</v>
      </c>
      <c r="B66" s="102">
        <f>TrRoad_emi!B$19</f>
        <v>301.30108452857883</v>
      </c>
      <c r="C66" s="102">
        <f>TrRoad_emi!C$19</f>
        <v>259.35791050951184</v>
      </c>
      <c r="D66" s="102">
        <f>TrRoad_emi!D$19</f>
        <v>251.85065821156795</v>
      </c>
      <c r="E66" s="102">
        <f>TrRoad_emi!E$19</f>
        <v>219.28225904829412</v>
      </c>
      <c r="F66" s="102">
        <f>TrRoad_emi!F$19</f>
        <v>209.175350413432</v>
      </c>
      <c r="G66" s="102">
        <f>TrRoad_emi!G$19</f>
        <v>223.7983461503658</v>
      </c>
      <c r="H66" s="102">
        <f>TrRoad_emi!H$19</f>
        <v>233.56761179052745</v>
      </c>
      <c r="I66" s="102">
        <f>TrRoad_emi!I$19</f>
        <v>248.50889383227644</v>
      </c>
      <c r="J66" s="102">
        <f>TrRoad_emi!J$19</f>
        <v>254.24334191141077</v>
      </c>
      <c r="K66" s="102">
        <f>TrRoad_emi!K$19</f>
        <v>258.64023089766175</v>
      </c>
      <c r="L66" s="102">
        <f>TrRoad_emi!L$19</f>
        <v>274.53315689339081</v>
      </c>
      <c r="M66" s="102">
        <f>TrRoad_emi!M$19</f>
        <v>269.75377377065939</v>
      </c>
      <c r="N66" s="102">
        <f>TrRoad_emi!N$19</f>
        <v>269.76890983008991</v>
      </c>
      <c r="O66" s="102">
        <f>TrRoad_emi!O$19</f>
        <v>258.37473369891103</v>
      </c>
      <c r="P66" s="102">
        <f>TrRoad_emi!P$19</f>
        <v>260.17437713026925</v>
      </c>
      <c r="Q66" s="102">
        <f>TrRoad_emi!Q$19</f>
        <v>267.13951557094038</v>
      </c>
      <c r="R66" s="102">
        <f>TrRoad_emi!R$19</f>
        <v>280.84762182061809</v>
      </c>
      <c r="S66" s="102">
        <f>TrRoad_emi!S$19</f>
        <v>265.66262535867349</v>
      </c>
      <c r="T66" s="102">
        <f>TrRoad_emi!T$19</f>
        <v>253.33270609207324</v>
      </c>
      <c r="U66" s="102">
        <f>TrRoad_emi!U$19</f>
        <v>268.99152408379592</v>
      </c>
      <c r="V66" s="102">
        <f>TrRoad_emi!V$19</f>
        <v>240.661859172211</v>
      </c>
      <c r="W66" s="102">
        <f>TrRoad_emi!W$19</f>
        <v>249.62384447355043</v>
      </c>
      <c r="X66" s="102">
        <f>TrRoad_emi!X$19</f>
        <v>251.96835389522064</v>
      </c>
      <c r="Y66" s="102">
        <f>TrRoad_emi!Y$19</f>
        <v>272.24082998880323</v>
      </c>
      <c r="DA66" s="175" t="s">
        <v>404</v>
      </c>
    </row>
    <row r="67" spans="1:105" ht="11.45" customHeight="1" x14ac:dyDescent="0.25">
      <c r="A67" s="128" t="str">
        <f>$A$7</f>
        <v>Passenger cars</v>
      </c>
      <c r="B67" s="102">
        <f>TrRoad_emi!B$20</f>
        <v>15126.7046761769</v>
      </c>
      <c r="C67" s="102">
        <f>TrRoad_emi!C$20</f>
        <v>14809.833525469761</v>
      </c>
      <c r="D67" s="102">
        <f>TrRoad_emi!D$20</f>
        <v>14551.866180341091</v>
      </c>
      <c r="E67" s="102">
        <f>TrRoad_emi!E$20</f>
        <v>15382.451283198978</v>
      </c>
      <c r="F67" s="102">
        <f>TrRoad_emi!F$20</f>
        <v>17313.017708026633</v>
      </c>
      <c r="G67" s="102">
        <f>TrRoad_emi!G$20</f>
        <v>17362.592319088217</v>
      </c>
      <c r="H67" s="102">
        <f>TrRoad_emi!H$20</f>
        <v>19616.194593818032</v>
      </c>
      <c r="I67" s="102">
        <f>TrRoad_emi!I$20</f>
        <v>21795.161632479205</v>
      </c>
      <c r="J67" s="102">
        <f>TrRoad_emi!J$20</f>
        <v>23147.773898560823</v>
      </c>
      <c r="K67" s="102">
        <f>TrRoad_emi!K$20</f>
        <v>24121.839244229664</v>
      </c>
      <c r="L67" s="102">
        <f>TrRoad_emi!L$20</f>
        <v>25392.891530427827</v>
      </c>
      <c r="M67" s="102">
        <f>TrRoad_emi!M$20</f>
        <v>25692.148950428131</v>
      </c>
      <c r="N67" s="102">
        <f>TrRoad_emi!N$20</f>
        <v>25573.039401398102</v>
      </c>
      <c r="O67" s="102">
        <f>TrRoad_emi!O$20</f>
        <v>24230.23364269911</v>
      </c>
      <c r="P67" s="102">
        <f>TrRoad_emi!P$20</f>
        <v>24325.535013652359</v>
      </c>
      <c r="Q67" s="102">
        <f>TrRoad_emi!Q$20</f>
        <v>25737.229125589751</v>
      </c>
      <c r="R67" s="102">
        <f>TrRoad_emi!R$20</f>
        <v>28189.609326259022</v>
      </c>
      <c r="S67" s="102">
        <f>TrRoad_emi!S$20</f>
        <v>31594.683030774959</v>
      </c>
      <c r="T67" s="102">
        <f>TrRoad_emi!T$20</f>
        <v>32987.798085882532</v>
      </c>
      <c r="U67" s="102">
        <f>TrRoad_emi!U$20</f>
        <v>33839.593947189758</v>
      </c>
      <c r="V67" s="102">
        <f>TrRoad_emi!V$20</f>
        <v>32467.949425164283</v>
      </c>
      <c r="W67" s="102">
        <f>TrRoad_emi!W$20</f>
        <v>32298.597781517321</v>
      </c>
      <c r="X67" s="102">
        <f>TrRoad_emi!X$20</f>
        <v>33440.411829831944</v>
      </c>
      <c r="Y67" s="102">
        <f>TrRoad_emi!Y$20</f>
        <v>33460.040064294815</v>
      </c>
      <c r="DA67" s="175" t="s">
        <v>405</v>
      </c>
    </row>
    <row r="68" spans="1:105" ht="11.45" customHeight="1" x14ac:dyDescent="0.25">
      <c r="A68" s="128" t="str">
        <f>$A$8</f>
        <v>Motor coaches, buses and trolley buses</v>
      </c>
      <c r="B68" s="102">
        <f>TrRoad_emi!B$27</f>
        <v>3061.2798103648502</v>
      </c>
      <c r="C68" s="102">
        <f>TrRoad_emi!C$27</f>
        <v>2840.9014172336651</v>
      </c>
      <c r="D68" s="102">
        <f>TrRoad_emi!D$27</f>
        <v>2765.5353149069078</v>
      </c>
      <c r="E68" s="102">
        <f>TrRoad_emi!E$27</f>
        <v>2656.0410611801899</v>
      </c>
      <c r="F68" s="102">
        <f>TrRoad_emi!F$27</f>
        <v>2796.3429568686574</v>
      </c>
      <c r="G68" s="102">
        <f>TrRoad_emi!G$27</f>
        <v>2711.0680019442939</v>
      </c>
      <c r="H68" s="102">
        <f>TrRoad_emi!H$27</f>
        <v>2575.806230400628</v>
      </c>
      <c r="I68" s="102">
        <f>TrRoad_emi!I$27</f>
        <v>2611.4350017320276</v>
      </c>
      <c r="J68" s="102">
        <f>TrRoad_emi!J$27</f>
        <v>2469.1236125873688</v>
      </c>
      <c r="K68" s="102">
        <f>TrRoad_emi!K$27</f>
        <v>2451.3835765876074</v>
      </c>
      <c r="L68" s="102">
        <f>TrRoad_emi!L$27</f>
        <v>2396.6249233304375</v>
      </c>
      <c r="M68" s="102">
        <f>TrRoad_emi!M$27</f>
        <v>2424.6226459435061</v>
      </c>
      <c r="N68" s="102">
        <f>TrRoad_emi!N$27</f>
        <v>2390.1345075333957</v>
      </c>
      <c r="O68" s="102">
        <f>TrRoad_emi!O$27</f>
        <v>2417.291469980732</v>
      </c>
      <c r="P68" s="102">
        <f>TrRoad_emi!P$27</f>
        <v>2486.6391544578787</v>
      </c>
      <c r="Q68" s="102">
        <f>TrRoad_emi!Q$27</f>
        <v>2927.4974390734087</v>
      </c>
      <c r="R68" s="102">
        <f>TrRoad_emi!R$27</f>
        <v>2949.2477289776089</v>
      </c>
      <c r="S68" s="102">
        <f>TrRoad_emi!S$27</f>
        <v>2880.3047378994406</v>
      </c>
      <c r="T68" s="102">
        <f>TrRoad_emi!T$27</f>
        <v>2677.1544973038262</v>
      </c>
      <c r="U68" s="102">
        <f>TrRoad_emi!U$27</f>
        <v>2790.5055425910236</v>
      </c>
      <c r="V68" s="102">
        <f>TrRoad_emi!V$27</f>
        <v>2729.3499556663169</v>
      </c>
      <c r="W68" s="102">
        <f>TrRoad_emi!W$27</f>
        <v>2701.2315592801265</v>
      </c>
      <c r="X68" s="102">
        <f>TrRoad_emi!X$27</f>
        <v>2669.4583710637053</v>
      </c>
      <c r="Y68" s="102">
        <f>TrRoad_emi!Y$27</f>
        <v>2579.9991031852283</v>
      </c>
      <c r="DA68" s="175" t="s">
        <v>406</v>
      </c>
    </row>
    <row r="69" spans="1:105" ht="11.45" customHeight="1" x14ac:dyDescent="0.25">
      <c r="A69" s="109" t="str">
        <f>$A$9</f>
        <v>Rail, metro and tram</v>
      </c>
      <c r="B69" s="110">
        <f t="shared" ref="B69:Q69" si="57">B70+B71+B72</f>
        <v>326.76183034863556</v>
      </c>
      <c r="C69" s="110">
        <f t="shared" si="57"/>
        <v>329.30491796359291</v>
      </c>
      <c r="D69" s="110">
        <f t="shared" si="57"/>
        <v>307.72010877217122</v>
      </c>
      <c r="E69" s="110">
        <f t="shared" si="57"/>
        <v>324.72814355098245</v>
      </c>
      <c r="F69" s="110">
        <f t="shared" si="57"/>
        <v>263.87698439031004</v>
      </c>
      <c r="G69" s="110">
        <f t="shared" si="57"/>
        <v>283.23241109038366</v>
      </c>
      <c r="H69" s="110">
        <f t="shared" si="57"/>
        <v>175.25159083106439</v>
      </c>
      <c r="I69" s="110">
        <f t="shared" si="57"/>
        <v>227.74514647280381</v>
      </c>
      <c r="J69" s="110">
        <f t="shared" si="57"/>
        <v>177.63612759454682</v>
      </c>
      <c r="K69" s="110">
        <f t="shared" si="57"/>
        <v>190.84279825379647</v>
      </c>
      <c r="L69" s="110">
        <f t="shared" si="57"/>
        <v>113.75644115597392</v>
      </c>
      <c r="M69" s="110">
        <f t="shared" si="57"/>
        <v>113.48133810040491</v>
      </c>
      <c r="N69" s="110">
        <f t="shared" si="57"/>
        <v>120.28709480273486</v>
      </c>
      <c r="O69" s="110">
        <f t="shared" si="57"/>
        <v>110.43124918542949</v>
      </c>
      <c r="P69" s="110">
        <f t="shared" si="57"/>
        <v>99.594689691637882</v>
      </c>
      <c r="Q69" s="110">
        <f t="shared" si="57"/>
        <v>75.293141627253192</v>
      </c>
      <c r="R69" s="110">
        <f t="shared" ref="R69:V69" si="58">R70+R71+R72</f>
        <v>85.567731633201007</v>
      </c>
      <c r="S69" s="110">
        <f t="shared" si="58"/>
        <v>76.550155830515038</v>
      </c>
      <c r="T69" s="110">
        <f t="shared" si="58"/>
        <v>100.14887592970857</v>
      </c>
      <c r="U69" s="110">
        <f t="shared" si="58"/>
        <v>68.69399944900843</v>
      </c>
      <c r="V69" s="110">
        <f t="shared" si="58"/>
        <v>65.173048557375864</v>
      </c>
      <c r="W69" s="110">
        <f t="shared" ref="W69:Y69" si="59">W70+W71+W72</f>
        <v>47.809683354911272</v>
      </c>
      <c r="X69" s="110">
        <f t="shared" si="59"/>
        <v>73.262603039307535</v>
      </c>
      <c r="Y69" s="110">
        <f t="shared" si="59"/>
        <v>53.810586756238088</v>
      </c>
      <c r="DA69" s="176" t="s">
        <v>407</v>
      </c>
    </row>
    <row r="70" spans="1:105" ht="11.45" customHeight="1" x14ac:dyDescent="0.25">
      <c r="A70" s="128" t="str">
        <f>$A$10</f>
        <v>Metro and tram, urban light rail</v>
      </c>
      <c r="B70" s="102">
        <f>TrRail_emi!B$10</f>
        <v>0</v>
      </c>
      <c r="C70" s="102">
        <f>TrRail_emi!C$10</f>
        <v>0</v>
      </c>
      <c r="D70" s="102">
        <f>TrRail_emi!D$10</f>
        <v>0</v>
      </c>
      <c r="E70" s="102">
        <f>TrRail_emi!E$10</f>
        <v>0</v>
      </c>
      <c r="F70" s="102">
        <f>TrRail_emi!F$10</f>
        <v>0</v>
      </c>
      <c r="G70" s="102">
        <f>TrRail_emi!G$10</f>
        <v>0</v>
      </c>
      <c r="H70" s="102">
        <f>TrRail_emi!H$10</f>
        <v>0</v>
      </c>
      <c r="I70" s="102">
        <f>TrRail_emi!I$10</f>
        <v>0</v>
      </c>
      <c r="J70" s="102">
        <f>TrRail_emi!J$10</f>
        <v>0</v>
      </c>
      <c r="K70" s="102">
        <f>TrRail_emi!K$10</f>
        <v>0</v>
      </c>
      <c r="L70" s="102">
        <f>TrRail_emi!L$10</f>
        <v>0</v>
      </c>
      <c r="M70" s="102">
        <f>TrRail_emi!M$10</f>
        <v>0</v>
      </c>
      <c r="N70" s="102">
        <f>TrRail_emi!N$10</f>
        <v>0</v>
      </c>
      <c r="O70" s="102">
        <f>TrRail_emi!O$10</f>
        <v>0</v>
      </c>
      <c r="P70" s="102">
        <f>TrRail_emi!P$10</f>
        <v>0</v>
      </c>
      <c r="Q70" s="102">
        <f>TrRail_emi!Q$10</f>
        <v>0</v>
      </c>
      <c r="R70" s="102">
        <f>TrRail_emi!R$10</f>
        <v>0</v>
      </c>
      <c r="S70" s="102">
        <f>TrRail_emi!S$10</f>
        <v>0</v>
      </c>
      <c r="T70" s="102">
        <f>TrRail_emi!T$10</f>
        <v>0</v>
      </c>
      <c r="U70" s="102">
        <f>TrRail_emi!U$10</f>
        <v>0</v>
      </c>
      <c r="V70" s="102">
        <f>TrRail_emi!V$10</f>
        <v>0</v>
      </c>
      <c r="W70" s="102">
        <f>TrRail_emi!W$10</f>
        <v>0</v>
      </c>
      <c r="X70" s="102">
        <f>TrRail_emi!X$10</f>
        <v>0</v>
      </c>
      <c r="Y70" s="102">
        <f>TrRail_emi!Y$10</f>
        <v>0</v>
      </c>
      <c r="DA70" s="175" t="s">
        <v>408</v>
      </c>
    </row>
    <row r="71" spans="1:105" ht="11.45" customHeight="1" x14ac:dyDescent="0.25">
      <c r="A71" s="128" t="str">
        <f>$A$11</f>
        <v>Conventional passenger trains</v>
      </c>
      <c r="B71" s="102">
        <f>TrRail_emi!B$11</f>
        <v>326.76183034863556</v>
      </c>
      <c r="C71" s="102">
        <f>TrRail_emi!C$11</f>
        <v>329.30491796359291</v>
      </c>
      <c r="D71" s="102">
        <f>TrRail_emi!D$11</f>
        <v>307.72010877217122</v>
      </c>
      <c r="E71" s="102">
        <f>TrRail_emi!E$11</f>
        <v>324.72814355098245</v>
      </c>
      <c r="F71" s="102">
        <f>TrRail_emi!F$11</f>
        <v>263.87698439031004</v>
      </c>
      <c r="G71" s="102">
        <f>TrRail_emi!G$11</f>
        <v>283.23241109038366</v>
      </c>
      <c r="H71" s="102">
        <f>TrRail_emi!H$11</f>
        <v>175.25159083106439</v>
      </c>
      <c r="I71" s="102">
        <f>TrRail_emi!I$11</f>
        <v>227.74514647280381</v>
      </c>
      <c r="J71" s="102">
        <f>TrRail_emi!J$11</f>
        <v>177.63612759454682</v>
      </c>
      <c r="K71" s="102">
        <f>TrRail_emi!K$11</f>
        <v>190.84279825379647</v>
      </c>
      <c r="L71" s="102">
        <f>TrRail_emi!L$11</f>
        <v>113.75644115597392</v>
      </c>
      <c r="M71" s="102">
        <f>TrRail_emi!M$11</f>
        <v>113.48133810040491</v>
      </c>
      <c r="N71" s="102">
        <f>TrRail_emi!N$11</f>
        <v>120.28709480273486</v>
      </c>
      <c r="O71" s="102">
        <f>TrRail_emi!O$11</f>
        <v>110.43124918542949</v>
      </c>
      <c r="P71" s="102">
        <f>TrRail_emi!P$11</f>
        <v>99.594689691637882</v>
      </c>
      <c r="Q71" s="102">
        <f>TrRail_emi!Q$11</f>
        <v>75.293141627253192</v>
      </c>
      <c r="R71" s="102">
        <f>TrRail_emi!R$11</f>
        <v>85.567731633201007</v>
      </c>
      <c r="S71" s="102">
        <f>TrRail_emi!S$11</f>
        <v>76.550155830515038</v>
      </c>
      <c r="T71" s="102">
        <f>TrRail_emi!T$11</f>
        <v>100.14887592970857</v>
      </c>
      <c r="U71" s="102">
        <f>TrRail_emi!U$11</f>
        <v>68.69399944900843</v>
      </c>
      <c r="V71" s="102">
        <f>TrRail_emi!V$11</f>
        <v>65.173048557375864</v>
      </c>
      <c r="W71" s="102">
        <f>TrRail_emi!W$11</f>
        <v>47.809683354911272</v>
      </c>
      <c r="X71" s="102">
        <f>TrRail_emi!X$11</f>
        <v>73.262603039307535</v>
      </c>
      <c r="Y71" s="102">
        <f>TrRail_emi!Y$11</f>
        <v>53.810586756238088</v>
      </c>
      <c r="DA71" s="175" t="s">
        <v>409</v>
      </c>
    </row>
    <row r="72" spans="1:105" ht="11.45" customHeight="1" x14ac:dyDescent="0.25">
      <c r="A72" s="128" t="str">
        <f>$A$12</f>
        <v>High speed passenger trains</v>
      </c>
      <c r="B72" s="102">
        <f>TrRail_emi!B$14</f>
        <v>0</v>
      </c>
      <c r="C72" s="102">
        <f>TrRail_emi!C$14</f>
        <v>0</v>
      </c>
      <c r="D72" s="102">
        <f>TrRail_emi!D$14</f>
        <v>0</v>
      </c>
      <c r="E72" s="102">
        <f>TrRail_emi!E$14</f>
        <v>0</v>
      </c>
      <c r="F72" s="102">
        <f>TrRail_emi!F$14</f>
        <v>0</v>
      </c>
      <c r="G72" s="102">
        <f>TrRail_emi!G$14</f>
        <v>0</v>
      </c>
      <c r="H72" s="102">
        <f>TrRail_emi!H$14</f>
        <v>0</v>
      </c>
      <c r="I72" s="102">
        <f>TrRail_emi!I$14</f>
        <v>0</v>
      </c>
      <c r="J72" s="102">
        <f>TrRail_emi!J$14</f>
        <v>0</v>
      </c>
      <c r="K72" s="102">
        <f>TrRail_emi!K$14</f>
        <v>0</v>
      </c>
      <c r="L72" s="102">
        <f>TrRail_emi!L$14</f>
        <v>0</v>
      </c>
      <c r="M72" s="102">
        <f>TrRail_emi!M$14</f>
        <v>0</v>
      </c>
      <c r="N72" s="102">
        <f>TrRail_emi!N$14</f>
        <v>0</v>
      </c>
      <c r="O72" s="102">
        <f>TrRail_emi!O$14</f>
        <v>0</v>
      </c>
      <c r="P72" s="102">
        <f>TrRail_emi!P$14</f>
        <v>0</v>
      </c>
      <c r="Q72" s="102">
        <f>TrRail_emi!Q$14</f>
        <v>0</v>
      </c>
      <c r="R72" s="102">
        <f>TrRail_emi!R$14</f>
        <v>0</v>
      </c>
      <c r="S72" s="102">
        <f>TrRail_emi!S$14</f>
        <v>0</v>
      </c>
      <c r="T72" s="102">
        <f>TrRail_emi!T$14</f>
        <v>0</v>
      </c>
      <c r="U72" s="102">
        <f>TrRail_emi!U$14</f>
        <v>0</v>
      </c>
      <c r="V72" s="102">
        <f>TrRail_emi!V$14</f>
        <v>0</v>
      </c>
      <c r="W72" s="102">
        <f>TrRail_emi!W$14</f>
        <v>0</v>
      </c>
      <c r="X72" s="102">
        <f>TrRail_emi!X$14</f>
        <v>0</v>
      </c>
      <c r="Y72" s="102">
        <f>TrRail_emi!Y$14</f>
        <v>0</v>
      </c>
      <c r="DA72" s="175" t="s">
        <v>410</v>
      </c>
    </row>
    <row r="73" spans="1:105" ht="11.45" customHeight="1" x14ac:dyDescent="0.25">
      <c r="A73" s="109" t="str">
        <f>$A$13</f>
        <v>Aviation</v>
      </c>
      <c r="B73" s="110">
        <f t="shared" ref="B73:Q73" si="60">B74+B75+B76</f>
        <v>849.97633984427375</v>
      </c>
      <c r="C73" s="110">
        <f t="shared" si="60"/>
        <v>838.47830398504379</v>
      </c>
      <c r="D73" s="110">
        <f t="shared" si="60"/>
        <v>825.2015028967794</v>
      </c>
      <c r="E73" s="110">
        <f t="shared" si="60"/>
        <v>891.69707288846575</v>
      </c>
      <c r="F73" s="110">
        <f t="shared" si="60"/>
        <v>873.7885377022194</v>
      </c>
      <c r="G73" s="110">
        <f t="shared" si="60"/>
        <v>989.74556812671199</v>
      </c>
      <c r="H73" s="110">
        <f t="shared" si="60"/>
        <v>1317.3915639573852</v>
      </c>
      <c r="I73" s="110">
        <f t="shared" si="60"/>
        <v>1372.7641088633468</v>
      </c>
      <c r="J73" s="110">
        <f t="shared" si="60"/>
        <v>1642.4451508893987</v>
      </c>
      <c r="K73" s="110">
        <f t="shared" si="60"/>
        <v>1451.3338673888268</v>
      </c>
      <c r="L73" s="110">
        <f t="shared" si="60"/>
        <v>1521.3284463336479</v>
      </c>
      <c r="M73" s="110">
        <f t="shared" si="60"/>
        <v>1495.2175696478614</v>
      </c>
      <c r="N73" s="110">
        <f t="shared" si="60"/>
        <v>1655.0590265011658</v>
      </c>
      <c r="O73" s="110">
        <f t="shared" si="60"/>
        <v>1610.6944818348973</v>
      </c>
      <c r="P73" s="110">
        <f t="shared" si="60"/>
        <v>1814.6831149364862</v>
      </c>
      <c r="Q73" s="110">
        <f t="shared" si="60"/>
        <v>1983.8114304300098</v>
      </c>
      <c r="R73" s="110">
        <f t="shared" ref="R73:V73" si="61">R74+R75+R76</f>
        <v>2097.0598588108933</v>
      </c>
      <c r="S73" s="110">
        <f t="shared" si="61"/>
        <v>2605.7433328320271</v>
      </c>
      <c r="T73" s="110">
        <f t="shared" si="61"/>
        <v>3094.4202714637568</v>
      </c>
      <c r="U73" s="110">
        <f t="shared" si="61"/>
        <v>3294.2457343373235</v>
      </c>
      <c r="V73" s="110">
        <f t="shared" si="61"/>
        <v>1403.3212403885186</v>
      </c>
      <c r="W73" s="110">
        <f t="shared" ref="W73:Y73" si="62">W74+W75+W76</f>
        <v>1746.2976705027122</v>
      </c>
      <c r="X73" s="110">
        <f t="shared" si="62"/>
        <v>2967.606665658453</v>
      </c>
      <c r="Y73" s="110">
        <f t="shared" si="62"/>
        <v>3611.3389396707867</v>
      </c>
      <c r="DA73" s="176" t="s">
        <v>327</v>
      </c>
    </row>
    <row r="74" spans="1:105" ht="11.45" customHeight="1" x14ac:dyDescent="0.25">
      <c r="A74" s="128" t="str">
        <f>$A$14</f>
        <v>Domestic</v>
      </c>
      <c r="B74" s="102">
        <f>TrAvia_emi!B$7</f>
        <v>9.1647830391647265</v>
      </c>
      <c r="C74" s="102">
        <f>TrAvia_emi!C$7</f>
        <v>9.1960045563761899</v>
      </c>
      <c r="D74" s="102">
        <f>TrAvia_emi!D$7</f>
        <v>12.285051962124891</v>
      </c>
      <c r="E74" s="102">
        <f>TrAvia_emi!E$7</f>
        <v>12.285522016004364</v>
      </c>
      <c r="F74" s="102">
        <f>TrAvia_emi!F$7</f>
        <v>9.2152330835374237</v>
      </c>
      <c r="G74" s="102">
        <f>TrAvia_emi!G$7</f>
        <v>9.2325302888756369</v>
      </c>
      <c r="H74" s="102">
        <f>TrAvia_emi!H$7</f>
        <v>9.1254898601654482</v>
      </c>
      <c r="I74" s="102">
        <f>TrAvia_emi!I$7</f>
        <v>12.12008139886402</v>
      </c>
      <c r="J74" s="102">
        <f>TrAvia_emi!J$7</f>
        <v>9.0494730409641591</v>
      </c>
      <c r="K74" s="102">
        <f>TrAvia_emi!K$7</f>
        <v>11.961306240164793</v>
      </c>
      <c r="L74" s="102">
        <f>TrAvia_emi!L$7</f>
        <v>12.017395815644749</v>
      </c>
      <c r="M74" s="102">
        <f>TrAvia_emi!M$7</f>
        <v>15.06289664023693</v>
      </c>
      <c r="N74" s="102">
        <f>TrAvia_emi!N$7</f>
        <v>54.716796827001183</v>
      </c>
      <c r="O74" s="102">
        <f>TrAvia_emi!O$7</f>
        <v>48.52823949722665</v>
      </c>
      <c r="P74" s="102">
        <f>TrAvia_emi!P$7</f>
        <v>79.491189126065294</v>
      </c>
      <c r="Q74" s="102">
        <f>TrAvia_emi!Q$7</f>
        <v>55.144180713673244</v>
      </c>
      <c r="R74" s="102">
        <f>TrAvia_emi!R$7</f>
        <v>73.841741531323194</v>
      </c>
      <c r="S74" s="102">
        <f>TrAvia_emi!S$7</f>
        <v>82.486172931493073</v>
      </c>
      <c r="T74" s="102">
        <f>TrAvia_emi!T$7</f>
        <v>98.394734328707301</v>
      </c>
      <c r="U74" s="102">
        <f>TrAvia_emi!U$7</f>
        <v>101.31037165271982</v>
      </c>
      <c r="V74" s="102">
        <f>TrAvia_emi!V$7</f>
        <v>54.529292791893162</v>
      </c>
      <c r="W74" s="102">
        <f>TrAvia_emi!W$7</f>
        <v>89.989242812799318</v>
      </c>
      <c r="X74" s="102">
        <f>TrAvia_emi!X$7</f>
        <v>91.788877345237267</v>
      </c>
      <c r="Y74" s="102">
        <f>TrAvia_emi!Y$7</f>
        <v>111.87721088503507</v>
      </c>
      <c r="DA74" s="175" t="s">
        <v>328</v>
      </c>
    </row>
    <row r="75" spans="1:105" ht="11.45" customHeight="1" x14ac:dyDescent="0.25">
      <c r="A75" s="128" t="str">
        <f>$A$15</f>
        <v>International - Intra-EEAwCHUK</v>
      </c>
      <c r="B75" s="102">
        <f>TrAvia_emi!B$8</f>
        <v>556.708584177131</v>
      </c>
      <c r="C75" s="102">
        <f>TrAvia_emi!C$8</f>
        <v>549.07970811855819</v>
      </c>
      <c r="D75" s="102">
        <f>TrAvia_emi!D$8</f>
        <v>538.22750322645868</v>
      </c>
      <c r="E75" s="102">
        <f>TrAvia_emi!E$8</f>
        <v>582.24817311070842</v>
      </c>
      <c r="F75" s="102">
        <f>TrAvia_emi!F$8</f>
        <v>572.41050610858269</v>
      </c>
      <c r="G75" s="102">
        <f>TrAvia_emi!G$8</f>
        <v>672.01616929060356</v>
      </c>
      <c r="H75" s="102">
        <f>TrAvia_emi!H$8</f>
        <v>946.03642787315505</v>
      </c>
      <c r="I75" s="102">
        <f>TrAvia_emi!I$8</f>
        <v>1015.3073747306621</v>
      </c>
      <c r="J75" s="102">
        <f>TrAvia_emi!J$8</f>
        <v>1237.8797535585259</v>
      </c>
      <c r="K75" s="102">
        <f>TrAvia_emi!K$8</f>
        <v>1057.7112009714426</v>
      </c>
      <c r="L75" s="102">
        <f>TrAvia_emi!L$8</f>
        <v>1108.6681683719817</v>
      </c>
      <c r="M75" s="102">
        <f>TrAvia_emi!M$8</f>
        <v>1085.0297523663603</v>
      </c>
      <c r="N75" s="102">
        <f>TrAvia_emi!N$8</f>
        <v>1181.2438357480517</v>
      </c>
      <c r="O75" s="102">
        <f>TrAvia_emi!O$8</f>
        <v>1176.0236229763677</v>
      </c>
      <c r="P75" s="102">
        <f>TrAvia_emi!P$8</f>
        <v>1299.230303875215</v>
      </c>
      <c r="Q75" s="102">
        <f>TrAvia_emi!Q$8</f>
        <v>1470.2192021927083</v>
      </c>
      <c r="R75" s="102">
        <f>TrAvia_emi!R$8</f>
        <v>1577.2800934436862</v>
      </c>
      <c r="S75" s="102">
        <f>TrAvia_emi!S$8</f>
        <v>1992.0977820759776</v>
      </c>
      <c r="T75" s="102">
        <f>TrAvia_emi!T$8</f>
        <v>2376.4541131872124</v>
      </c>
      <c r="U75" s="102">
        <f>TrAvia_emi!U$8</f>
        <v>2538.0151562568599</v>
      </c>
      <c r="V75" s="102">
        <f>TrAvia_emi!V$8</f>
        <v>950.99016680696764</v>
      </c>
      <c r="W75" s="102">
        <f>TrAvia_emi!W$8</f>
        <v>1195.9439931678448</v>
      </c>
      <c r="X75" s="102">
        <f>TrAvia_emi!X$8</f>
        <v>2268.345125213239</v>
      </c>
      <c r="Y75" s="102">
        <f>TrAvia_emi!Y$8</f>
        <v>2775.9374179303868</v>
      </c>
      <c r="DA75" s="175" t="s">
        <v>329</v>
      </c>
    </row>
    <row r="76" spans="1:105" ht="11.45" customHeight="1" x14ac:dyDescent="0.25">
      <c r="A76" s="128" t="str">
        <f>$A$16</f>
        <v>International - Extra-EEAwCHUK</v>
      </c>
      <c r="B76" s="102">
        <f>TrAvia_emi!B$9</f>
        <v>284.10297262797803</v>
      </c>
      <c r="C76" s="102">
        <f>TrAvia_emi!C$9</f>
        <v>280.20259131010937</v>
      </c>
      <c r="D76" s="102">
        <f>TrAvia_emi!D$9</f>
        <v>274.68894770819583</v>
      </c>
      <c r="E76" s="102">
        <f>TrAvia_emi!E$9</f>
        <v>297.16337776175288</v>
      </c>
      <c r="F76" s="102">
        <f>TrAvia_emi!F$9</f>
        <v>292.16279851009932</v>
      </c>
      <c r="G76" s="102">
        <f>TrAvia_emi!G$9</f>
        <v>308.49686854723279</v>
      </c>
      <c r="H76" s="102">
        <f>TrAvia_emi!H$9</f>
        <v>362.22964622406482</v>
      </c>
      <c r="I76" s="102">
        <f>TrAvia_emi!I$9</f>
        <v>345.33665273382064</v>
      </c>
      <c r="J76" s="102">
        <f>TrAvia_emi!J$9</f>
        <v>395.5159242899087</v>
      </c>
      <c r="K76" s="102">
        <f>TrAvia_emi!K$9</f>
        <v>381.66136017721948</v>
      </c>
      <c r="L76" s="102">
        <f>TrAvia_emi!L$9</f>
        <v>400.64288214602146</v>
      </c>
      <c r="M76" s="102">
        <f>TrAvia_emi!M$9</f>
        <v>395.12492064126423</v>
      </c>
      <c r="N76" s="102">
        <f>TrAvia_emi!N$9</f>
        <v>419.09839392611298</v>
      </c>
      <c r="O76" s="102">
        <f>TrAvia_emi!O$9</f>
        <v>386.14261936130293</v>
      </c>
      <c r="P76" s="102">
        <f>TrAvia_emi!P$9</f>
        <v>435.9616219352057</v>
      </c>
      <c r="Q76" s="102">
        <f>TrAvia_emi!Q$9</f>
        <v>458.44804752362819</v>
      </c>
      <c r="R76" s="102">
        <f>TrAvia_emi!R$9</f>
        <v>445.93802383588411</v>
      </c>
      <c r="S76" s="102">
        <f>TrAvia_emi!S$9</f>
        <v>531.15937782455649</v>
      </c>
      <c r="T76" s="102">
        <f>TrAvia_emi!T$9</f>
        <v>619.57142394783693</v>
      </c>
      <c r="U76" s="102">
        <f>TrAvia_emi!U$9</f>
        <v>654.92020642774355</v>
      </c>
      <c r="V76" s="102">
        <f>TrAvia_emi!V$9</f>
        <v>397.80178078965787</v>
      </c>
      <c r="W76" s="102">
        <f>TrAvia_emi!W$9</f>
        <v>460.36443452206811</v>
      </c>
      <c r="X76" s="102">
        <f>TrAvia_emi!X$9</f>
        <v>607.47266309997678</v>
      </c>
      <c r="Y76" s="102">
        <f>TrAvia_emi!Y$9</f>
        <v>723.524310855365</v>
      </c>
      <c r="DA76" s="175" t="s">
        <v>330</v>
      </c>
    </row>
    <row r="77" spans="1:105" ht="11.45" customHeight="1" x14ac:dyDescent="0.25">
      <c r="A77" s="27" t="s">
        <v>34</v>
      </c>
      <c r="B77" s="28">
        <f t="shared" ref="B77:Y77" si="63">B78+B81+B82+B86+B92</f>
        <v>8241.7103655367646</v>
      </c>
      <c r="C77" s="28">
        <f t="shared" si="63"/>
        <v>8612.979235278428</v>
      </c>
      <c r="D77" s="28">
        <f t="shared" si="63"/>
        <v>8054.3965453514838</v>
      </c>
      <c r="E77" s="28">
        <f t="shared" si="63"/>
        <v>9699.3170983330911</v>
      </c>
      <c r="F77" s="28">
        <f t="shared" si="63"/>
        <v>11425.123623918749</v>
      </c>
      <c r="G77" s="28">
        <f t="shared" si="63"/>
        <v>13741.520614800025</v>
      </c>
      <c r="H77" s="28">
        <f t="shared" si="63"/>
        <v>15342.250464322371</v>
      </c>
      <c r="I77" s="28">
        <f t="shared" si="63"/>
        <v>17226.519220020346</v>
      </c>
      <c r="J77" s="28">
        <f t="shared" si="63"/>
        <v>17945.862307736446</v>
      </c>
      <c r="K77" s="28">
        <f t="shared" si="63"/>
        <v>17760.929346562447</v>
      </c>
      <c r="L77" s="28">
        <f t="shared" si="63"/>
        <v>19188.457925698731</v>
      </c>
      <c r="M77" s="28">
        <f t="shared" si="63"/>
        <v>19474.032926309461</v>
      </c>
      <c r="N77" s="28">
        <f t="shared" si="63"/>
        <v>17612.170705134518</v>
      </c>
      <c r="O77" s="28">
        <f t="shared" si="63"/>
        <v>15950.127510440916</v>
      </c>
      <c r="P77" s="28">
        <f t="shared" si="63"/>
        <v>16164.81550497137</v>
      </c>
      <c r="Q77" s="28">
        <f t="shared" si="63"/>
        <v>16844.480799948637</v>
      </c>
      <c r="R77" s="28">
        <f t="shared" si="63"/>
        <v>20922.195168298673</v>
      </c>
      <c r="S77" s="28">
        <f t="shared" si="63"/>
        <v>25923.056088104408</v>
      </c>
      <c r="T77" s="28">
        <f t="shared" si="63"/>
        <v>26394.542792048076</v>
      </c>
      <c r="U77" s="28">
        <f t="shared" si="63"/>
        <v>26508.395003389087</v>
      </c>
      <c r="V77" s="28">
        <f t="shared" si="63"/>
        <v>25196.311912011304</v>
      </c>
      <c r="W77" s="28">
        <f t="shared" si="63"/>
        <v>30542.850583791365</v>
      </c>
      <c r="X77" s="28">
        <f t="shared" si="63"/>
        <v>30837.744258351377</v>
      </c>
      <c r="Y77" s="28">
        <f t="shared" si="63"/>
        <v>30033.635301304119</v>
      </c>
      <c r="DA77" s="173"/>
    </row>
    <row r="78" spans="1:105" ht="11.45" customHeight="1" x14ac:dyDescent="0.25">
      <c r="A78" s="136" t="str">
        <f>$A$18</f>
        <v>Road transport</v>
      </c>
      <c r="B78" s="137">
        <f t="shared" ref="B78:Q78" si="64">B79+B80</f>
        <v>8017.6872217296732</v>
      </c>
      <c r="C78" s="137">
        <f t="shared" si="64"/>
        <v>8405.4292957470643</v>
      </c>
      <c r="D78" s="137">
        <f t="shared" si="64"/>
        <v>7853.4150523004337</v>
      </c>
      <c r="E78" s="137">
        <f t="shared" si="64"/>
        <v>9483.3894718525407</v>
      </c>
      <c r="F78" s="137">
        <f t="shared" si="64"/>
        <v>11152.577294531278</v>
      </c>
      <c r="G78" s="137">
        <f t="shared" si="64"/>
        <v>13499.71303857712</v>
      </c>
      <c r="H78" s="137">
        <f t="shared" si="64"/>
        <v>15028.581414750821</v>
      </c>
      <c r="I78" s="137">
        <f t="shared" si="64"/>
        <v>16973.270792076495</v>
      </c>
      <c r="J78" s="137">
        <f t="shared" si="64"/>
        <v>17696.781432940392</v>
      </c>
      <c r="K78" s="137">
        <f t="shared" si="64"/>
        <v>17543.037943285068</v>
      </c>
      <c r="L78" s="137">
        <f t="shared" si="64"/>
        <v>18915.059043028348</v>
      </c>
      <c r="M78" s="137">
        <f t="shared" si="64"/>
        <v>19189.250914497727</v>
      </c>
      <c r="N78" s="137">
        <f t="shared" si="64"/>
        <v>17358.935716358417</v>
      </c>
      <c r="O78" s="137">
        <f t="shared" si="64"/>
        <v>15711.612413621244</v>
      </c>
      <c r="P78" s="137">
        <f t="shared" si="64"/>
        <v>15944.405783319493</v>
      </c>
      <c r="Q78" s="137">
        <f t="shared" si="64"/>
        <v>16626.3780616859</v>
      </c>
      <c r="R78" s="137">
        <f t="shared" ref="R78:V78" si="65">R79+R80</f>
        <v>20707.038975862768</v>
      </c>
      <c r="S78" s="137">
        <f t="shared" si="65"/>
        <v>25679.584515206949</v>
      </c>
      <c r="T78" s="137">
        <f t="shared" si="65"/>
        <v>26132.407241241541</v>
      </c>
      <c r="U78" s="137">
        <f t="shared" si="65"/>
        <v>26256.653329495417</v>
      </c>
      <c r="V78" s="137">
        <f t="shared" si="65"/>
        <v>24972.509769037202</v>
      </c>
      <c r="W78" s="137">
        <f t="shared" ref="W78:Y78" si="66">W79+W80</f>
        <v>30266.202409968988</v>
      </c>
      <c r="X78" s="137">
        <f t="shared" si="66"/>
        <v>30559.446211449136</v>
      </c>
      <c r="Y78" s="137">
        <f t="shared" si="66"/>
        <v>29755.570032571144</v>
      </c>
      <c r="DA78" s="174" t="s">
        <v>411</v>
      </c>
    </row>
    <row r="79" spans="1:105" ht="11.45" customHeight="1" x14ac:dyDescent="0.25">
      <c r="A79" s="128" t="str">
        <f>$A$19</f>
        <v>Light commercial vehicles</v>
      </c>
      <c r="B79" s="102">
        <f>TrRoad_emi!B$34</f>
        <v>5767.9595350176087</v>
      </c>
      <c r="C79" s="102">
        <f>TrRoad_emi!C$34</f>
        <v>5479.029707092488</v>
      </c>
      <c r="D79" s="102">
        <f>TrRoad_emi!D$34</f>
        <v>5650.5405197442597</v>
      </c>
      <c r="E79" s="102">
        <f>TrRoad_emi!E$34</f>
        <v>5762.6368543687931</v>
      </c>
      <c r="F79" s="102">
        <f>TrRoad_emi!F$34</f>
        <v>5577.364872586355</v>
      </c>
      <c r="G79" s="102">
        <f>TrRoad_emi!G$34</f>
        <v>5654.8294927139232</v>
      </c>
      <c r="H79" s="102">
        <f>TrRoad_emi!H$34</f>
        <v>5904.3591341476658</v>
      </c>
      <c r="I79" s="102">
        <f>TrRoad_emi!I$34</f>
        <v>6098.4796070636385</v>
      </c>
      <c r="J79" s="102">
        <f>TrRoad_emi!J$34</f>
        <v>6271.5964229812234</v>
      </c>
      <c r="K79" s="102">
        <f>TrRoad_emi!K$34</f>
        <v>6503.8165661995063</v>
      </c>
      <c r="L79" s="102">
        <f>TrRoad_emi!L$34</f>
        <v>6792.2586608752108</v>
      </c>
      <c r="M79" s="102">
        <f>TrRoad_emi!M$34</f>
        <v>7099.6934056123191</v>
      </c>
      <c r="N79" s="102">
        <f>TrRoad_emi!N$34</f>
        <v>7094.2279423134696</v>
      </c>
      <c r="O79" s="102">
        <f>TrRoad_emi!O$34</f>
        <v>7247.1535160284966</v>
      </c>
      <c r="P79" s="102">
        <f>TrRoad_emi!P$34</f>
        <v>7236.7147512471411</v>
      </c>
      <c r="Q79" s="102">
        <f>TrRoad_emi!Q$34</f>
        <v>7329.3244648888467</v>
      </c>
      <c r="R79" s="102">
        <f>TrRoad_emi!R$34</f>
        <v>7853.408838017619</v>
      </c>
      <c r="S79" s="102">
        <f>TrRoad_emi!S$34</f>
        <v>8102.3666104067261</v>
      </c>
      <c r="T79" s="102">
        <f>TrRoad_emi!T$34</f>
        <v>8379.3996736305326</v>
      </c>
      <c r="U79" s="102">
        <f>TrRoad_emi!U$34</f>
        <v>8668.3707913144208</v>
      </c>
      <c r="V79" s="102">
        <f>TrRoad_emi!V$34</f>
        <v>8724.800876184443</v>
      </c>
      <c r="W79" s="102">
        <f>TrRoad_emi!W$34</f>
        <v>9029.3432148584416</v>
      </c>
      <c r="X79" s="102">
        <f>TrRoad_emi!X$34</f>
        <v>9055.5394588896161</v>
      </c>
      <c r="Y79" s="102">
        <f>TrRoad_emi!Y$34</f>
        <v>9082.1870462011302</v>
      </c>
      <c r="DA79" s="175" t="s">
        <v>412</v>
      </c>
    </row>
    <row r="80" spans="1:105" ht="11.45" customHeight="1" x14ac:dyDescent="0.25">
      <c r="A80" s="128" t="str">
        <f>$A$20</f>
        <v>Heavy goods vehicles</v>
      </c>
      <c r="B80" s="102">
        <f>TrRoad_emi!B$40</f>
        <v>2249.7276867120645</v>
      </c>
      <c r="C80" s="102">
        <f>TrRoad_emi!C$40</f>
        <v>2926.3995886545754</v>
      </c>
      <c r="D80" s="102">
        <f>TrRoad_emi!D$40</f>
        <v>2202.874532556174</v>
      </c>
      <c r="E80" s="102">
        <f>TrRoad_emi!E$40</f>
        <v>3720.7526174837485</v>
      </c>
      <c r="F80" s="102">
        <f>TrRoad_emi!F$40</f>
        <v>5575.2124219449242</v>
      </c>
      <c r="G80" s="102">
        <f>TrRoad_emi!G$40</f>
        <v>7844.8835458631956</v>
      </c>
      <c r="H80" s="102">
        <f>TrRoad_emi!H$40</f>
        <v>9124.222280603155</v>
      </c>
      <c r="I80" s="102">
        <f>TrRoad_emi!I$40</f>
        <v>10874.791185012855</v>
      </c>
      <c r="J80" s="102">
        <f>TrRoad_emi!J$40</f>
        <v>11425.185009959168</v>
      </c>
      <c r="K80" s="102">
        <f>TrRoad_emi!K$40</f>
        <v>11039.221377085563</v>
      </c>
      <c r="L80" s="102">
        <f>TrRoad_emi!L$40</f>
        <v>12122.800382153138</v>
      </c>
      <c r="M80" s="102">
        <f>TrRoad_emi!M$40</f>
        <v>12089.557508885408</v>
      </c>
      <c r="N80" s="102">
        <f>TrRoad_emi!N$40</f>
        <v>10264.707774044948</v>
      </c>
      <c r="O80" s="102">
        <f>TrRoad_emi!O$40</f>
        <v>8464.4588975927472</v>
      </c>
      <c r="P80" s="102">
        <f>TrRoad_emi!P$40</f>
        <v>8707.6910320723509</v>
      </c>
      <c r="Q80" s="102">
        <f>TrRoad_emi!Q$40</f>
        <v>9297.0535967970554</v>
      </c>
      <c r="R80" s="102">
        <f>TrRoad_emi!R$40</f>
        <v>12853.630137845148</v>
      </c>
      <c r="S80" s="102">
        <f>TrRoad_emi!S$40</f>
        <v>17577.217904800222</v>
      </c>
      <c r="T80" s="102">
        <f>TrRoad_emi!T$40</f>
        <v>17753.00756761101</v>
      </c>
      <c r="U80" s="102">
        <f>TrRoad_emi!U$40</f>
        <v>17588.282538180996</v>
      </c>
      <c r="V80" s="102">
        <f>TrRoad_emi!V$40</f>
        <v>16247.708892852759</v>
      </c>
      <c r="W80" s="102">
        <f>TrRoad_emi!W$40</f>
        <v>21236.859195110548</v>
      </c>
      <c r="X80" s="102">
        <f>TrRoad_emi!X$40</f>
        <v>21503.90675255952</v>
      </c>
      <c r="Y80" s="102">
        <f>TrRoad_emi!Y$40</f>
        <v>20673.382986370016</v>
      </c>
      <c r="DA80" s="175" t="s">
        <v>413</v>
      </c>
    </row>
    <row r="81" spans="1:105" ht="11.45" customHeight="1" x14ac:dyDescent="0.25">
      <c r="A81" s="109" t="str">
        <f>$A$21</f>
        <v>Rail transport</v>
      </c>
      <c r="B81" s="110">
        <f>TrRail_emi!B$15</f>
        <v>198.9775807313645</v>
      </c>
      <c r="C81" s="110">
        <f>TrRail_emi!C$15</f>
        <v>183.68950059640707</v>
      </c>
      <c r="D81" s="110">
        <f>TrRail_emi!D$15</f>
        <v>179.7837912278288</v>
      </c>
      <c r="E81" s="110">
        <f>TrRail_emi!E$15</f>
        <v>188.26627500901748</v>
      </c>
      <c r="F81" s="110">
        <f>TrRail_emi!F$15</f>
        <v>249.11743416968994</v>
      </c>
      <c r="G81" s="110">
        <f>TrRail_emi!G$15</f>
        <v>220.20292962961634</v>
      </c>
      <c r="H81" s="110">
        <f>TrRail_emi!H$15</f>
        <v>286.76179060893577</v>
      </c>
      <c r="I81" s="110">
        <f>TrRail_emi!I$15</f>
        <v>227.89587208719618</v>
      </c>
      <c r="J81" s="110">
        <f>TrRail_emi!J$15</f>
        <v>220.65149096545312</v>
      </c>
      <c r="K81" s="110">
        <f>TrRail_emi!K$15</f>
        <v>194.18071282620355</v>
      </c>
      <c r="L81" s="110">
        <f>TrRail_emi!L$15</f>
        <v>242.3902999240261</v>
      </c>
      <c r="M81" s="110">
        <f>TrRail_emi!M$15</f>
        <v>255.49949333959498</v>
      </c>
      <c r="N81" s="110">
        <f>TrRail_emi!N$15</f>
        <v>223.02555591726508</v>
      </c>
      <c r="O81" s="110">
        <f>TrRail_emi!O$15</f>
        <v>207.21322081457058</v>
      </c>
      <c r="P81" s="110">
        <f>TrRail_emi!P$15</f>
        <v>185.9644210283621</v>
      </c>
      <c r="Q81" s="110">
        <f>TrRail_emi!Q$15</f>
        <v>185.98333981274681</v>
      </c>
      <c r="R81" s="110">
        <f>TrRail_emi!R$15</f>
        <v>175.70874980679898</v>
      </c>
      <c r="S81" s="110">
        <f>TrRail_emi!S$15</f>
        <v>191.29022216948491</v>
      </c>
      <c r="T81" s="110">
        <f>TrRail_emi!T$15</f>
        <v>222.19643879029147</v>
      </c>
      <c r="U81" s="110">
        <f>TrRail_emi!U$15</f>
        <v>199.23867751099152</v>
      </c>
      <c r="V81" s="110">
        <f>TrRail_emi!V$15</f>
        <v>193.13386056262414</v>
      </c>
      <c r="W81" s="110">
        <f>TrRail_emi!W$15</f>
        <v>232.11945756508871</v>
      </c>
      <c r="X81" s="110">
        <f>TrRail_emi!X$15</f>
        <v>206.66653788069249</v>
      </c>
      <c r="Y81" s="110">
        <f>TrRail_emi!Y$15</f>
        <v>202.90323164376193</v>
      </c>
      <c r="DA81" s="176" t="s">
        <v>414</v>
      </c>
    </row>
    <row r="82" spans="1:105" ht="11.45" customHeight="1" x14ac:dyDescent="0.25">
      <c r="A82" s="109" t="str">
        <f>$A$22</f>
        <v>Aviation</v>
      </c>
      <c r="B82" s="110">
        <f t="shared" ref="B82:V82" si="67">B83+B84+B85</f>
        <v>5.9276741557262476</v>
      </c>
      <c r="C82" s="110">
        <f t="shared" si="67"/>
        <v>4.7425500149562279</v>
      </c>
      <c r="D82" s="110">
        <f t="shared" si="67"/>
        <v>5.266261103220824</v>
      </c>
      <c r="E82" s="110">
        <f t="shared" si="67"/>
        <v>5.3572811115344336</v>
      </c>
      <c r="F82" s="110">
        <f t="shared" si="67"/>
        <v>4.3110062977805672</v>
      </c>
      <c r="G82" s="110">
        <f t="shared" si="67"/>
        <v>5.6732058732881523</v>
      </c>
      <c r="H82" s="110">
        <f t="shared" si="67"/>
        <v>7.7893700426145962</v>
      </c>
      <c r="I82" s="110">
        <f t="shared" si="67"/>
        <v>9.4211151366533556</v>
      </c>
      <c r="J82" s="110">
        <f t="shared" si="67"/>
        <v>12.497943110601428</v>
      </c>
      <c r="K82" s="110">
        <f t="shared" si="67"/>
        <v>14.08518937117341</v>
      </c>
      <c r="L82" s="110">
        <f t="shared" si="67"/>
        <v>21.383081666352364</v>
      </c>
      <c r="M82" s="110">
        <f t="shared" si="67"/>
        <v>19.657017392138471</v>
      </c>
      <c r="N82" s="110">
        <f t="shared" si="67"/>
        <v>20.583931778834874</v>
      </c>
      <c r="O82" s="110">
        <f t="shared" si="67"/>
        <v>21.676374925102863</v>
      </c>
      <c r="P82" s="110">
        <f t="shared" si="67"/>
        <v>24.819799543513984</v>
      </c>
      <c r="Q82" s="110">
        <f t="shared" si="67"/>
        <v>25.746768809990627</v>
      </c>
      <c r="R82" s="110">
        <f t="shared" si="67"/>
        <v>33.074812989106398</v>
      </c>
      <c r="S82" s="110">
        <f t="shared" si="67"/>
        <v>37.632793847972806</v>
      </c>
      <c r="T82" s="110">
        <f t="shared" si="67"/>
        <v>33.652645856242273</v>
      </c>
      <c r="U82" s="110">
        <f t="shared" si="67"/>
        <v>46.672156302676015</v>
      </c>
      <c r="V82" s="110">
        <f t="shared" si="67"/>
        <v>27.459693131481707</v>
      </c>
      <c r="W82" s="110">
        <f t="shared" ref="W82:Y82" si="68">W83+W84+W85</f>
        <v>41.052566697288199</v>
      </c>
      <c r="X82" s="110">
        <f t="shared" si="68"/>
        <v>68.155359461547775</v>
      </c>
      <c r="Y82" s="110">
        <f t="shared" si="68"/>
        <v>71.685887529212522</v>
      </c>
      <c r="DA82" s="176" t="s">
        <v>331</v>
      </c>
    </row>
    <row r="83" spans="1:105" ht="11.45" customHeight="1" x14ac:dyDescent="0.25">
      <c r="A83" s="128" t="s">
        <v>27</v>
      </c>
      <c r="B83" s="102">
        <f>TrAvia_emi!B$11</f>
        <v>0.13830096083527332</v>
      </c>
      <c r="C83" s="102">
        <f>TrAvia_emi!C$11</f>
        <v>0.10707944362381093</v>
      </c>
      <c r="D83" s="102">
        <f>TrAvia_emi!D$11</f>
        <v>0.11889203787511123</v>
      </c>
      <c r="E83" s="102">
        <f>TrAvia_emi!E$11</f>
        <v>0.11842198399563755</v>
      </c>
      <c r="F83" s="102">
        <f>TrAvia_emi!F$11</f>
        <v>8.7850916462576326E-2</v>
      </c>
      <c r="G83" s="102">
        <f>TrAvia_emi!G$11</f>
        <v>7.0553711124363275E-2</v>
      </c>
      <c r="H83" s="102">
        <f>TrAvia_emi!H$11</f>
        <v>0.17759413983455241</v>
      </c>
      <c r="I83" s="102">
        <f>TrAvia_emi!I$11</f>
        <v>0.28386260113598155</v>
      </c>
      <c r="J83" s="102">
        <f>TrAvia_emi!J$11</f>
        <v>0.25361095903584097</v>
      </c>
      <c r="K83" s="102">
        <f>TrAvia_emi!K$11</f>
        <v>0.35872175983520682</v>
      </c>
      <c r="L83" s="102">
        <f>TrAvia_emi!L$11</f>
        <v>0.30263218435525163</v>
      </c>
      <c r="M83" s="102">
        <f>TrAvia_emi!M$11</f>
        <v>0.33707535976306813</v>
      </c>
      <c r="N83" s="102">
        <f>TrAvia_emi!N$11</f>
        <v>0.87533269299880834</v>
      </c>
      <c r="O83" s="102">
        <f>TrAvia_emi!O$11</f>
        <v>0.89210222277334206</v>
      </c>
      <c r="P83" s="102">
        <f>TrAvia_emi!P$11</f>
        <v>0.83439659393473986</v>
      </c>
      <c r="Q83" s="102">
        <f>TrAvia_emi!Q$11</f>
        <v>0.45958976632678467</v>
      </c>
      <c r="R83" s="102">
        <f>TrAvia_emi!R$11</f>
        <v>0.31231522867681988</v>
      </c>
      <c r="S83" s="102">
        <f>TrAvia_emi!S$11</f>
        <v>0.11300718850693908</v>
      </c>
      <c r="T83" s="102">
        <f>TrAvia_emi!T$11</f>
        <v>0.14040955129272559</v>
      </c>
      <c r="U83" s="102">
        <f>TrAvia_emi!U$11</f>
        <v>0.1804661872801808</v>
      </c>
      <c r="V83" s="102">
        <f>TrAvia_emi!V$11</f>
        <v>6.505208810685402E-2</v>
      </c>
      <c r="W83" s="102">
        <f>TrAvia_emi!W$11</f>
        <v>0.11702234720070737</v>
      </c>
      <c r="X83" s="102">
        <f>TrAvia_emi!X$11</f>
        <v>9.6943414762741292E-2</v>
      </c>
      <c r="Y83" s="102">
        <f>TrAvia_emi!Y$11</f>
        <v>8.6003194964924382E-2</v>
      </c>
      <c r="DA83" s="175" t="s">
        <v>332</v>
      </c>
    </row>
    <row r="84" spans="1:105" ht="11.45" customHeight="1" x14ac:dyDescent="0.25">
      <c r="A84" s="128" t="str">
        <f>$A$24</f>
        <v>International - Intra-EEAwCHUK</v>
      </c>
      <c r="B84" s="102">
        <f>TrAvia_emi!B$12</f>
        <v>4.8269716639849332</v>
      </c>
      <c r="C84" s="102">
        <f>TrAvia_emi!C$12</f>
        <v>3.7006778797084565</v>
      </c>
      <c r="D84" s="102">
        <f>TrAvia_emi!D$12</f>
        <v>4.2002947714244847</v>
      </c>
      <c r="E84" s="102">
        <f>TrAvia_emi!E$12</f>
        <v>4.2088816298734049</v>
      </c>
      <c r="F84" s="102">
        <f>TrAvia_emi!F$12</f>
        <v>3.1861601365322993</v>
      </c>
      <c r="G84" s="102">
        <f>TrAvia_emi!G$12</f>
        <v>4.5765597499271609</v>
      </c>
      <c r="H84" s="102">
        <f>TrAvia_emi!H$12</f>
        <v>5.949870207360898</v>
      </c>
      <c r="I84" s="102">
        <f>TrAvia_emi!I$12</f>
        <v>6.3831594539068348</v>
      </c>
      <c r="J84" s="102">
        <f>TrAvia_emi!J$12</f>
        <v>7.2876197827134828</v>
      </c>
      <c r="K84" s="102">
        <f>TrAvia_emi!K$12</f>
        <v>8.1887081093540885</v>
      </c>
      <c r="L84" s="102">
        <f>TrAvia_emi!L$12</f>
        <v>8.2399387176952388</v>
      </c>
      <c r="M84" s="102">
        <f>TrAvia_emi!M$12</f>
        <v>8.1016647943673572</v>
      </c>
      <c r="N84" s="102">
        <f>TrAvia_emi!N$12</f>
        <v>9.1175063080094354</v>
      </c>
      <c r="O84" s="102">
        <f>TrAvia_emi!O$12</f>
        <v>8.5586658884686937</v>
      </c>
      <c r="P84" s="102">
        <f>TrAvia_emi!P$12</f>
        <v>9.3497611208023752</v>
      </c>
      <c r="Q84" s="102">
        <f>TrAvia_emi!Q$12</f>
        <v>10.128500628067584</v>
      </c>
      <c r="R84" s="102">
        <f>TrAvia_emi!R$12</f>
        <v>9.4815950606338575</v>
      </c>
      <c r="S84" s="102">
        <f>TrAvia_emi!S$12</f>
        <v>12.977065995728472</v>
      </c>
      <c r="T84" s="102">
        <f>TrAvia_emi!T$12</f>
        <v>13.586641851230972</v>
      </c>
      <c r="U84" s="102">
        <f>TrAvia_emi!U$12</f>
        <v>14.428424979858182</v>
      </c>
      <c r="V84" s="102">
        <f>TrAvia_emi!V$12</f>
        <v>19.017749005607445</v>
      </c>
      <c r="W84" s="102">
        <f>TrAvia_emi!W$12</f>
        <v>23.848686933926469</v>
      </c>
      <c r="X84" s="102">
        <f>TrAvia_emi!X$12</f>
        <v>27.879585865364533</v>
      </c>
      <c r="Y84" s="102">
        <f>TrAvia_emi!Y$12</f>
        <v>22.97113294860392</v>
      </c>
      <c r="DA84" s="175" t="s">
        <v>333</v>
      </c>
    </row>
    <row r="85" spans="1:105" ht="11.45" customHeight="1" x14ac:dyDescent="0.25">
      <c r="A85" s="128" t="str">
        <f>$A$25</f>
        <v>International - Extra-EEAwCHUK</v>
      </c>
      <c r="B85" s="102">
        <f>TrAvia_emi!B$13</f>
        <v>0.96240153090604108</v>
      </c>
      <c r="C85" s="102">
        <f>TrAvia_emi!C$13</f>
        <v>0.93479269162396017</v>
      </c>
      <c r="D85" s="102">
        <f>TrAvia_emi!D$13</f>
        <v>0.94707429392122799</v>
      </c>
      <c r="E85" s="102">
        <f>TrAvia_emi!E$13</f>
        <v>1.029977497665391</v>
      </c>
      <c r="F85" s="102">
        <f>TrAvia_emi!F$13</f>
        <v>1.0369952447856914</v>
      </c>
      <c r="G85" s="102">
        <f>TrAvia_emi!G$13</f>
        <v>1.0260924122366277</v>
      </c>
      <c r="H85" s="102">
        <f>TrAvia_emi!H$13</f>
        <v>1.6619056954191458</v>
      </c>
      <c r="I85" s="102">
        <f>TrAvia_emi!I$13</f>
        <v>2.7540930816105393</v>
      </c>
      <c r="J85" s="102">
        <f>TrAvia_emi!J$13</f>
        <v>4.956712368852104</v>
      </c>
      <c r="K85" s="102">
        <f>TrAvia_emi!K$13</f>
        <v>5.537759501984115</v>
      </c>
      <c r="L85" s="102">
        <f>TrAvia_emi!L$13</f>
        <v>12.840510764301873</v>
      </c>
      <c r="M85" s="102">
        <f>TrAvia_emi!M$13</f>
        <v>11.218277238008046</v>
      </c>
      <c r="N85" s="102">
        <f>TrAvia_emi!N$13</f>
        <v>10.591092777826631</v>
      </c>
      <c r="O85" s="102">
        <f>TrAvia_emi!O$13</f>
        <v>12.225606813860827</v>
      </c>
      <c r="P85" s="102">
        <f>TrAvia_emi!P$13</f>
        <v>14.635641828776869</v>
      </c>
      <c r="Q85" s="102">
        <f>TrAvia_emi!Q$13</f>
        <v>15.158678415596258</v>
      </c>
      <c r="R85" s="102">
        <f>TrAvia_emi!R$13</f>
        <v>23.280902699795721</v>
      </c>
      <c r="S85" s="102">
        <f>TrAvia_emi!S$13</f>
        <v>24.542720663737391</v>
      </c>
      <c r="T85" s="102">
        <f>TrAvia_emi!T$13</f>
        <v>19.925594453718574</v>
      </c>
      <c r="U85" s="102">
        <f>TrAvia_emi!U$13</f>
        <v>32.063265135537648</v>
      </c>
      <c r="V85" s="102">
        <f>TrAvia_emi!V$13</f>
        <v>8.3768920377674085</v>
      </c>
      <c r="W85" s="102">
        <f>TrAvia_emi!W$13</f>
        <v>17.08685741616102</v>
      </c>
      <c r="X85" s="102">
        <f>TrAvia_emi!X$13</f>
        <v>40.178830181420501</v>
      </c>
      <c r="Y85" s="102">
        <f>TrAvia_emi!Y$13</f>
        <v>48.628751385643675</v>
      </c>
      <c r="DA85" s="175" t="s">
        <v>334</v>
      </c>
    </row>
    <row r="86" spans="1:105" ht="11.45" customHeight="1" x14ac:dyDescent="0.25">
      <c r="A86" s="109" t="s">
        <v>141</v>
      </c>
      <c r="B86" s="110">
        <f t="shared" ref="B86:Q86" si="69">B87+B88</f>
        <v>19.117888920000002</v>
      </c>
      <c r="C86" s="110">
        <f t="shared" si="69"/>
        <v>19.117888919999999</v>
      </c>
      <c r="D86" s="110">
        <f t="shared" si="69"/>
        <v>15.931440719999998</v>
      </c>
      <c r="E86" s="110">
        <f t="shared" si="69"/>
        <v>22.304070360000001</v>
      </c>
      <c r="F86" s="110">
        <f t="shared" si="69"/>
        <v>19.117888919999999</v>
      </c>
      <c r="G86" s="110">
        <f t="shared" si="69"/>
        <v>15.931440719999999</v>
      </c>
      <c r="H86" s="110">
        <f t="shared" si="69"/>
        <v>19.117888919999999</v>
      </c>
      <c r="I86" s="110">
        <f t="shared" si="69"/>
        <v>15.931440719999998</v>
      </c>
      <c r="J86" s="110">
        <f t="shared" si="69"/>
        <v>15.931440719999999</v>
      </c>
      <c r="K86" s="110">
        <f t="shared" si="69"/>
        <v>9.6255010800000029</v>
      </c>
      <c r="L86" s="110">
        <f t="shared" si="69"/>
        <v>9.6255010800000029</v>
      </c>
      <c r="M86" s="110">
        <f t="shared" si="69"/>
        <v>9.6255010800000012</v>
      </c>
      <c r="N86" s="110">
        <f t="shared" si="69"/>
        <v>9.6255010799999994</v>
      </c>
      <c r="O86" s="110">
        <f t="shared" si="69"/>
        <v>9.6255010800000012</v>
      </c>
      <c r="P86" s="110">
        <f t="shared" si="69"/>
        <v>9.6255010800000029</v>
      </c>
      <c r="Q86" s="110">
        <f t="shared" si="69"/>
        <v>6.3726296399999995</v>
      </c>
      <c r="R86" s="110">
        <f t="shared" ref="R86:V86" si="70">R87+R88</f>
        <v>6.3726296399999995</v>
      </c>
      <c r="S86" s="110">
        <f t="shared" si="70"/>
        <v>14.54855688</v>
      </c>
      <c r="T86" s="110">
        <f t="shared" si="70"/>
        <v>6.2864661599999998</v>
      </c>
      <c r="U86" s="110">
        <f t="shared" si="70"/>
        <v>5.8308400799999998</v>
      </c>
      <c r="V86" s="110">
        <f t="shared" si="70"/>
        <v>3.2085892799999978</v>
      </c>
      <c r="W86" s="110">
        <f t="shared" ref="W86:Y86" si="71">W87+W88</f>
        <v>3.4761495600000001</v>
      </c>
      <c r="X86" s="110">
        <f t="shared" si="71"/>
        <v>3.4761495600000005</v>
      </c>
      <c r="Y86" s="110">
        <f t="shared" si="71"/>
        <v>3.4761495600000005</v>
      </c>
      <c r="DA86" s="176" t="s">
        <v>996</v>
      </c>
    </row>
    <row r="87" spans="1:105" ht="11.45" customHeight="1" x14ac:dyDescent="0.25">
      <c r="A87" s="128" t="str">
        <f>$A$27</f>
        <v>Domestic coastal shipping</v>
      </c>
      <c r="B87" s="102">
        <f>TrNavi_emi!B$4</f>
        <v>0.75690134306984436</v>
      </c>
      <c r="C87" s="102">
        <f>TrNavi_emi!C$4</f>
        <v>0.75200956420802278</v>
      </c>
      <c r="D87" s="102">
        <f>TrNavi_emi!D$4</f>
        <v>0.80199362567698085</v>
      </c>
      <c r="E87" s="102">
        <f>TrNavi_emi!E$4</f>
        <v>0.88144414530625448</v>
      </c>
      <c r="F87" s="102">
        <f>TrNavi_emi!F$4</f>
        <v>1.0114565791415495</v>
      </c>
      <c r="G87" s="102">
        <f>TrNavi_emi!G$4</f>
        <v>3.1722400742512793</v>
      </c>
      <c r="H87" s="102">
        <f>TrNavi_emi!H$4</f>
        <v>3.4718267291224469</v>
      </c>
      <c r="I87" s="102">
        <f>TrNavi_emi!I$4</f>
        <v>2.4761834890351762</v>
      </c>
      <c r="J87" s="102">
        <f>TrNavi_emi!J$4</f>
        <v>2.9360629827906055</v>
      </c>
      <c r="K87" s="102">
        <f>TrNavi_emi!K$4</f>
        <v>2.1797598968337502</v>
      </c>
      <c r="L87" s="102">
        <f>TrNavi_emi!L$4</f>
        <v>2.6094840712362908</v>
      </c>
      <c r="M87" s="102">
        <f>TrNavi_emi!M$4</f>
        <v>3.4096303489151478</v>
      </c>
      <c r="N87" s="102">
        <f>TrNavi_emi!N$4</f>
        <v>3.2164045664705134</v>
      </c>
      <c r="O87" s="102">
        <f>TrNavi_emi!O$4</f>
        <v>3.2310143337899651</v>
      </c>
      <c r="P87" s="102">
        <f>TrNavi_emi!P$4</f>
        <v>2.2074833209326785</v>
      </c>
      <c r="Q87" s="102">
        <f>TrNavi_emi!Q$4</f>
        <v>2.421420148823755</v>
      </c>
      <c r="R87" s="102">
        <f>TrNavi_emi!R$4</f>
        <v>3.2107354133610988</v>
      </c>
      <c r="S87" s="102">
        <f>TrNavi_emi!S$4</f>
        <v>6.6233069806335658</v>
      </c>
      <c r="T87" s="102">
        <f>TrNavi_emi!T$4</f>
        <v>2.7606573911627836</v>
      </c>
      <c r="U87" s="102">
        <f>TrNavi_emi!U$4</f>
        <v>3.2948554226652669</v>
      </c>
      <c r="V87" s="102">
        <f>TrNavi_emi!V$4</f>
        <v>2.1886842277538681</v>
      </c>
      <c r="W87" s="102">
        <f>TrNavi_emi!W$4</f>
        <v>2.7940264299533601</v>
      </c>
      <c r="X87" s="102">
        <f>TrNavi_emi!X$4</f>
        <v>3.0179465556983813</v>
      </c>
      <c r="Y87" s="102">
        <f>TrNavi_emi!Y$4</f>
        <v>3.0105713574482769</v>
      </c>
      <c r="DA87" s="175" t="s">
        <v>997</v>
      </c>
    </row>
    <row r="88" spans="1:105" ht="11.45" customHeight="1" x14ac:dyDescent="0.25">
      <c r="A88" s="166" t="str">
        <f>$A$28</f>
        <v>Inland waterways</v>
      </c>
      <c r="B88" s="169">
        <f>TrNavi_emi!B$5</f>
        <v>18.360987576930157</v>
      </c>
      <c r="C88" s="169">
        <f>TrNavi_emi!C$5</f>
        <v>18.365879355791975</v>
      </c>
      <c r="D88" s="169">
        <f>TrNavi_emi!D$5</f>
        <v>15.129447094323018</v>
      </c>
      <c r="E88" s="169">
        <f>TrNavi_emi!E$5</f>
        <v>21.422626214693747</v>
      </c>
      <c r="F88" s="169">
        <f>TrNavi_emi!F$5</f>
        <v>18.106432340858451</v>
      </c>
      <c r="G88" s="169">
        <f>TrNavi_emi!G$5</f>
        <v>12.75920064574872</v>
      </c>
      <c r="H88" s="169">
        <f>TrNavi_emi!H$5</f>
        <v>15.646062190877551</v>
      </c>
      <c r="I88" s="169">
        <f>TrNavi_emi!I$5</f>
        <v>13.455257230964822</v>
      </c>
      <c r="J88" s="169">
        <f>TrNavi_emi!J$5</f>
        <v>12.995377737209393</v>
      </c>
      <c r="K88" s="169">
        <f>TrNavi_emi!K$5</f>
        <v>7.4457411831662519</v>
      </c>
      <c r="L88" s="169">
        <f>TrNavi_emi!L$5</f>
        <v>7.0160170087637113</v>
      </c>
      <c r="M88" s="169">
        <f>TrNavi_emi!M$5</f>
        <v>6.2158707310848538</v>
      </c>
      <c r="N88" s="169">
        <f>TrNavi_emi!N$5</f>
        <v>6.4090965135294864</v>
      </c>
      <c r="O88" s="169">
        <f>TrNavi_emi!O$5</f>
        <v>6.3944867462100365</v>
      </c>
      <c r="P88" s="169">
        <f>TrNavi_emi!P$5</f>
        <v>7.4180177590673235</v>
      </c>
      <c r="Q88" s="169">
        <f>TrNavi_emi!Q$5</f>
        <v>3.9512094911762441</v>
      </c>
      <c r="R88" s="169">
        <f>TrNavi_emi!R$5</f>
        <v>3.1618942266389007</v>
      </c>
      <c r="S88" s="169">
        <f>TrNavi_emi!S$5</f>
        <v>7.9252498993664346</v>
      </c>
      <c r="T88" s="169">
        <f>TrNavi_emi!T$5</f>
        <v>3.5258087688372162</v>
      </c>
      <c r="U88" s="169">
        <f>TrNavi_emi!U$5</f>
        <v>2.5359846573347324</v>
      </c>
      <c r="V88" s="169">
        <f>TrNavi_emi!V$5</f>
        <v>1.0199050522461297</v>
      </c>
      <c r="W88" s="169">
        <f>TrNavi_emi!W$5</f>
        <v>0.68212313004663983</v>
      </c>
      <c r="X88" s="169">
        <f>TrNavi_emi!X$5</f>
        <v>0.45820300430161898</v>
      </c>
      <c r="Y88" s="169">
        <f>TrNavi_emi!Y$5</f>
        <v>0.46557820255172372</v>
      </c>
      <c r="DA88" s="177" t="s">
        <v>998</v>
      </c>
    </row>
    <row r="89" spans="1:105" ht="11.45" customHeight="1" x14ac:dyDescent="0.25">
      <c r="A89" s="27" t="s">
        <v>169</v>
      </c>
      <c r="B89" s="28">
        <f t="shared" ref="B89:W89" si="72">B90+B91</f>
        <v>915.68336759999988</v>
      </c>
      <c r="C89" s="28">
        <f t="shared" si="72"/>
        <v>836.20373544000006</v>
      </c>
      <c r="D89" s="28">
        <f t="shared" si="72"/>
        <v>865.59261228000014</v>
      </c>
      <c r="E89" s="28">
        <f t="shared" si="72"/>
        <v>912.67475760000002</v>
      </c>
      <c r="F89" s="28">
        <f t="shared" si="72"/>
        <v>812.19684204000032</v>
      </c>
      <c r="G89" s="28">
        <f t="shared" si="72"/>
        <v>1032.5264075999999</v>
      </c>
      <c r="H89" s="28">
        <f t="shared" si="72"/>
        <v>946.37775276000025</v>
      </c>
      <c r="I89" s="28">
        <f t="shared" si="72"/>
        <v>797.21468784000012</v>
      </c>
      <c r="J89" s="28">
        <f t="shared" si="72"/>
        <v>884.71050120000018</v>
      </c>
      <c r="K89" s="28">
        <f t="shared" si="72"/>
        <v>793.58594831999994</v>
      </c>
      <c r="L89" s="28">
        <f t="shared" si="72"/>
        <v>690.29274383999996</v>
      </c>
      <c r="M89" s="28">
        <f t="shared" si="72"/>
        <v>543.14754227999981</v>
      </c>
      <c r="N89" s="28">
        <f t="shared" si="72"/>
        <v>459.44292203999998</v>
      </c>
      <c r="O89" s="28">
        <f t="shared" si="72"/>
        <v>445.08818844000007</v>
      </c>
      <c r="P89" s="28">
        <f t="shared" si="72"/>
        <v>466.64763012000003</v>
      </c>
      <c r="Q89" s="28">
        <f t="shared" si="72"/>
        <v>604.33913808000011</v>
      </c>
      <c r="R89" s="28">
        <f t="shared" si="72"/>
        <v>575.12064204000001</v>
      </c>
      <c r="S89" s="28">
        <f t="shared" si="72"/>
        <v>835.68602556000019</v>
      </c>
      <c r="T89" s="28">
        <f t="shared" si="72"/>
        <v>848.11308443999985</v>
      </c>
      <c r="U89" s="28">
        <f t="shared" si="72"/>
        <v>866.77951932000019</v>
      </c>
      <c r="V89" s="28">
        <f t="shared" si="72"/>
        <v>947.44063475999997</v>
      </c>
      <c r="W89" s="28">
        <f t="shared" si="72"/>
        <v>1091.8878127200001</v>
      </c>
      <c r="X89" s="28">
        <f t="shared" ref="X89:Y89" si="73">X90+X91</f>
        <v>854.86945427999979</v>
      </c>
      <c r="Y89" s="28">
        <f t="shared" si="73"/>
        <v>821.86482816000012</v>
      </c>
      <c r="DA89" s="173" t="s">
        <v>959</v>
      </c>
    </row>
    <row r="90" spans="1:105" ht="11.45" customHeight="1" x14ac:dyDescent="0.25">
      <c r="A90" s="128" t="str">
        <f>$A$30</f>
        <v>Intra-EEA</v>
      </c>
      <c r="B90" s="102">
        <f>MBunk_emi!B$4</f>
        <v>458.57132559511126</v>
      </c>
      <c r="C90" s="102">
        <f>MBunk_emi!C$4</f>
        <v>418.20246472306377</v>
      </c>
      <c r="D90" s="102">
        <f>MBunk_emi!D$4</f>
        <v>430.65158826266406</v>
      </c>
      <c r="E90" s="102">
        <f>MBunk_emi!E$4</f>
        <v>454.27142809736245</v>
      </c>
      <c r="F90" s="102">
        <f>MBunk_emi!F$4</f>
        <v>404.54634177284083</v>
      </c>
      <c r="G90" s="102">
        <f>MBunk_emi!G$4</f>
        <v>481.33004696481288</v>
      </c>
      <c r="H90" s="102">
        <f>MBunk_emi!H$4</f>
        <v>400.29991639770088</v>
      </c>
      <c r="I90" s="102">
        <f>MBunk_emi!I$4</f>
        <v>389.65501596910769</v>
      </c>
      <c r="J90" s="102">
        <f>MBunk_emi!J$4</f>
        <v>406.64143014569606</v>
      </c>
      <c r="K90" s="102">
        <f>MBunk_emi!K$4</f>
        <v>376.92025183395418</v>
      </c>
      <c r="L90" s="102">
        <f>MBunk_emi!L$4</f>
        <v>334.75950860749242</v>
      </c>
      <c r="M90" s="102">
        <f>MBunk_emi!M$4</f>
        <v>258.59328510623618</v>
      </c>
      <c r="N90" s="102">
        <f>MBunk_emi!N$4</f>
        <v>189.42618059291797</v>
      </c>
      <c r="O90" s="102">
        <f>MBunk_emi!O$4</f>
        <v>181.34081593543712</v>
      </c>
      <c r="P90" s="102">
        <f>MBunk_emi!P$4</f>
        <v>178.00278488789539</v>
      </c>
      <c r="Q90" s="102">
        <f>MBunk_emi!Q$4</f>
        <v>244.95901148735771</v>
      </c>
      <c r="R90" s="102">
        <f>MBunk_emi!R$4</f>
        <v>210.01602584831002</v>
      </c>
      <c r="S90" s="102">
        <f>MBunk_emi!S$4</f>
        <v>261.33465986220511</v>
      </c>
      <c r="T90" s="102">
        <f>MBunk_emi!T$4</f>
        <v>260.76314508194366</v>
      </c>
      <c r="U90" s="102">
        <f>MBunk_emi!U$4</f>
        <v>261.84316341702009</v>
      </c>
      <c r="V90" s="102">
        <f>MBunk_emi!V$4</f>
        <v>271.74422887368263</v>
      </c>
      <c r="W90" s="102">
        <f>MBunk_emi!W$4</f>
        <v>315.08288381588699</v>
      </c>
      <c r="X90" s="102">
        <f>MBunk_emi!X$4</f>
        <v>257.5590237271864</v>
      </c>
      <c r="Y90" s="102">
        <f>MBunk_emi!Y$4</f>
        <v>310.05318565417247</v>
      </c>
      <c r="DA90" s="175" t="s">
        <v>960</v>
      </c>
    </row>
    <row r="91" spans="1:105" ht="11.45" customHeight="1" x14ac:dyDescent="0.25">
      <c r="A91" s="138" t="str">
        <f>$A$31</f>
        <v>Extra-EEA</v>
      </c>
      <c r="B91" s="86">
        <f>MBunk_emi!B$5</f>
        <v>457.11204200488862</v>
      </c>
      <c r="C91" s="86">
        <f>MBunk_emi!C$5</f>
        <v>418.00127071693629</v>
      </c>
      <c r="D91" s="86">
        <f>MBunk_emi!D$5</f>
        <v>434.94102401733613</v>
      </c>
      <c r="E91" s="86">
        <f>MBunk_emi!E$5</f>
        <v>458.40332950263763</v>
      </c>
      <c r="F91" s="86">
        <f>MBunk_emi!F$5</f>
        <v>407.65050026715943</v>
      </c>
      <c r="G91" s="86">
        <f>MBunk_emi!G$5</f>
        <v>551.19636063518703</v>
      </c>
      <c r="H91" s="86">
        <f>MBunk_emi!H$5</f>
        <v>546.07783636229931</v>
      </c>
      <c r="I91" s="86">
        <f>MBunk_emi!I$5</f>
        <v>407.55967187089243</v>
      </c>
      <c r="J91" s="86">
        <f>MBunk_emi!J$5</f>
        <v>478.06907105430412</v>
      </c>
      <c r="K91" s="86">
        <f>MBunk_emi!K$5</f>
        <v>416.66569648604582</v>
      </c>
      <c r="L91" s="86">
        <f>MBunk_emi!L$5</f>
        <v>355.53323523250754</v>
      </c>
      <c r="M91" s="86">
        <f>MBunk_emi!M$5</f>
        <v>284.55425717376363</v>
      </c>
      <c r="N91" s="86">
        <f>MBunk_emi!N$5</f>
        <v>270.01674144708204</v>
      </c>
      <c r="O91" s="86">
        <f>MBunk_emi!O$5</f>
        <v>263.74737250456297</v>
      </c>
      <c r="P91" s="86">
        <f>MBunk_emi!P$5</f>
        <v>288.64484523210461</v>
      </c>
      <c r="Q91" s="86">
        <f>MBunk_emi!Q$5</f>
        <v>359.38012659264234</v>
      </c>
      <c r="R91" s="86">
        <f>MBunk_emi!R$5</f>
        <v>365.10461619169001</v>
      </c>
      <c r="S91" s="86">
        <f>MBunk_emi!S$5</f>
        <v>574.35136569779502</v>
      </c>
      <c r="T91" s="86">
        <f>MBunk_emi!T$5</f>
        <v>587.34993935805619</v>
      </c>
      <c r="U91" s="86">
        <f>MBunk_emi!U$5</f>
        <v>604.93635590298004</v>
      </c>
      <c r="V91" s="86">
        <f>MBunk_emi!V$5</f>
        <v>675.69640588631739</v>
      </c>
      <c r="W91" s="86">
        <f>MBunk_emi!W$5</f>
        <v>776.80492890411313</v>
      </c>
      <c r="X91" s="86">
        <f>MBunk_emi!X$5</f>
        <v>597.31043055281339</v>
      </c>
      <c r="Y91" s="86">
        <f>MBunk_emi!Y$5</f>
        <v>511.81164250582765</v>
      </c>
      <c r="DA91" s="178" t="s">
        <v>961</v>
      </c>
    </row>
    <row r="92" spans="1:105" x14ac:dyDescent="0.25">
      <c r="A92" s="106"/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X92" s="106"/>
      <c r="Y92" s="106"/>
      <c r="DA92" s="171"/>
    </row>
    <row r="93" spans="1:105" ht="11.45" customHeight="1" x14ac:dyDescent="0.25">
      <c r="A93" s="68" t="s">
        <v>36</v>
      </c>
      <c r="B93" s="69"/>
      <c r="C93" s="69"/>
      <c r="D93" s="69"/>
      <c r="E93" s="69"/>
      <c r="F93" s="69"/>
      <c r="G93" s="69"/>
      <c r="H93" s="69"/>
      <c r="I93" s="69"/>
      <c r="J93" s="69"/>
      <c r="K93" s="69"/>
      <c r="L93" s="69"/>
      <c r="M93" s="69"/>
      <c r="N93" s="69"/>
      <c r="O93" s="69"/>
      <c r="P93" s="69"/>
      <c r="Q93" s="69"/>
      <c r="R93" s="69"/>
      <c r="S93" s="69"/>
      <c r="T93" s="69"/>
      <c r="U93" s="69"/>
      <c r="V93" s="69"/>
      <c r="W93" s="69"/>
      <c r="X93" s="69"/>
      <c r="Y93" s="69"/>
      <c r="DA93" s="179"/>
    </row>
    <row r="94" spans="1:105" x14ac:dyDescent="0.25">
      <c r="A94" s="106"/>
      <c r="B94" s="106"/>
      <c r="C94" s="106"/>
      <c r="D94" s="106"/>
      <c r="E94" s="106"/>
      <c r="F94" s="106"/>
      <c r="G94" s="106"/>
      <c r="H94" s="106"/>
      <c r="I94" s="106"/>
      <c r="J94" s="106"/>
      <c r="K94" s="106"/>
      <c r="L94" s="106"/>
      <c r="M94" s="106"/>
      <c r="N94" s="106"/>
      <c r="O94" s="106"/>
      <c r="P94" s="106"/>
      <c r="Q94" s="106"/>
      <c r="R94" s="106"/>
      <c r="S94" s="106"/>
      <c r="T94" s="106"/>
      <c r="U94" s="106"/>
      <c r="V94" s="106"/>
      <c r="W94" s="106"/>
      <c r="X94" s="106"/>
      <c r="Y94" s="106"/>
      <c r="DA94" s="171"/>
    </row>
    <row r="95" spans="1:105" ht="11.45" customHeight="1" x14ac:dyDescent="0.25">
      <c r="A95" s="53" t="s">
        <v>37</v>
      </c>
      <c r="B95" s="65"/>
      <c r="C95" s="65"/>
      <c r="D95" s="65"/>
      <c r="E95" s="65"/>
      <c r="F95" s="65"/>
      <c r="G95" s="65"/>
      <c r="H95" s="65"/>
      <c r="I95" s="65"/>
      <c r="J95" s="65"/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/>
      <c r="W95" s="65"/>
      <c r="X95" s="65"/>
      <c r="Y95" s="65"/>
      <c r="DA95" s="172"/>
    </row>
    <row r="96" spans="1:105" ht="11.45" customHeight="1" x14ac:dyDescent="0.25">
      <c r="A96" s="27" t="s">
        <v>38</v>
      </c>
      <c r="B96" s="31">
        <f t="shared" ref="B96:Y96" si="74">IF(B4=0,0,B4/B$4)</f>
        <v>1</v>
      </c>
      <c r="C96" s="31">
        <f t="shared" si="74"/>
        <v>1</v>
      </c>
      <c r="D96" s="31">
        <f t="shared" si="74"/>
        <v>1</v>
      </c>
      <c r="E96" s="31">
        <f t="shared" si="74"/>
        <v>1</v>
      </c>
      <c r="F96" s="31">
        <f t="shared" si="74"/>
        <v>1</v>
      </c>
      <c r="G96" s="31">
        <f t="shared" si="74"/>
        <v>1</v>
      </c>
      <c r="H96" s="31">
        <f t="shared" si="74"/>
        <v>1</v>
      </c>
      <c r="I96" s="31">
        <f t="shared" si="74"/>
        <v>1</v>
      </c>
      <c r="J96" s="31">
        <f t="shared" si="74"/>
        <v>1</v>
      </c>
      <c r="K96" s="31">
        <f t="shared" si="74"/>
        <v>1</v>
      </c>
      <c r="L96" s="31">
        <f t="shared" si="74"/>
        <v>1</v>
      </c>
      <c r="M96" s="31">
        <f t="shared" si="74"/>
        <v>1</v>
      </c>
      <c r="N96" s="31">
        <f t="shared" si="74"/>
        <v>1</v>
      </c>
      <c r="O96" s="31">
        <f t="shared" si="74"/>
        <v>1</v>
      </c>
      <c r="P96" s="31">
        <f t="shared" si="74"/>
        <v>1</v>
      </c>
      <c r="Q96" s="31">
        <f t="shared" si="74"/>
        <v>1</v>
      </c>
      <c r="R96" s="31">
        <f t="shared" si="74"/>
        <v>1</v>
      </c>
      <c r="S96" s="31">
        <f t="shared" si="74"/>
        <v>1</v>
      </c>
      <c r="T96" s="31">
        <f t="shared" si="74"/>
        <v>1</v>
      </c>
      <c r="U96" s="31">
        <f t="shared" si="74"/>
        <v>1</v>
      </c>
      <c r="V96" s="31">
        <f t="shared" si="74"/>
        <v>1</v>
      </c>
      <c r="W96" s="31">
        <f t="shared" si="74"/>
        <v>1</v>
      </c>
      <c r="X96" s="31">
        <f t="shared" si="74"/>
        <v>1</v>
      </c>
      <c r="Y96" s="31">
        <f t="shared" si="74"/>
        <v>1</v>
      </c>
      <c r="DA96" s="173"/>
    </row>
    <row r="97" spans="1:105" ht="11.45" customHeight="1" x14ac:dyDescent="0.25">
      <c r="A97" s="136" t="str">
        <f>$A$5</f>
        <v>Road transport</v>
      </c>
      <c r="B97" s="139">
        <f t="shared" ref="B97:Y97" si="75">IF(B5=0,0,B5/B$4)</f>
        <v>0.83767074361164173</v>
      </c>
      <c r="C97" s="139">
        <f t="shared" si="75"/>
        <v>0.8423254268963275</v>
      </c>
      <c r="D97" s="139">
        <f t="shared" si="75"/>
        <v>0.84873949516702485</v>
      </c>
      <c r="E97" s="139">
        <f t="shared" si="75"/>
        <v>0.85373237572502314</v>
      </c>
      <c r="F97" s="139">
        <f t="shared" si="75"/>
        <v>0.86079383782997099</v>
      </c>
      <c r="G97" s="139">
        <f t="shared" si="75"/>
        <v>0.85906111537924479</v>
      </c>
      <c r="H97" s="139">
        <f t="shared" si="75"/>
        <v>0.85186894739000452</v>
      </c>
      <c r="I97" s="139">
        <f t="shared" si="75"/>
        <v>0.84108353520267565</v>
      </c>
      <c r="J97" s="139">
        <f t="shared" si="75"/>
        <v>0.84129074728558917</v>
      </c>
      <c r="K97" s="139">
        <f t="shared" si="75"/>
        <v>0.85840728102662167</v>
      </c>
      <c r="L97" s="139">
        <f t="shared" si="75"/>
        <v>0.8605714561899348</v>
      </c>
      <c r="M97" s="139">
        <f t="shared" si="75"/>
        <v>0.85559006388834613</v>
      </c>
      <c r="N97" s="139">
        <f t="shared" si="75"/>
        <v>0.85504208629711653</v>
      </c>
      <c r="O97" s="139">
        <f t="shared" si="75"/>
        <v>0.85800548619644512</v>
      </c>
      <c r="P97" s="139">
        <f t="shared" si="75"/>
        <v>0.85616313359678409</v>
      </c>
      <c r="Q97" s="139">
        <f t="shared" si="75"/>
        <v>0.84780186623412856</v>
      </c>
      <c r="R97" s="139">
        <f t="shared" si="75"/>
        <v>0.84139160449993322</v>
      </c>
      <c r="S97" s="139">
        <f t="shared" si="75"/>
        <v>0.82684002093431141</v>
      </c>
      <c r="T97" s="139">
        <f t="shared" si="75"/>
        <v>0.81267815967514223</v>
      </c>
      <c r="U97" s="139">
        <f t="shared" si="75"/>
        <v>0.80615796744463541</v>
      </c>
      <c r="V97" s="139">
        <f t="shared" si="75"/>
        <v>0.90218302568269593</v>
      </c>
      <c r="W97" s="139">
        <f t="shared" si="75"/>
        <v>0.87751262126901741</v>
      </c>
      <c r="X97" s="139">
        <f t="shared" si="75"/>
        <v>0.80770086222152704</v>
      </c>
      <c r="Y97" s="139">
        <f t="shared" si="75"/>
        <v>0.78469749130780853</v>
      </c>
      <c r="DA97" s="174"/>
    </row>
    <row r="98" spans="1:105" ht="11.45" customHeight="1" x14ac:dyDescent="0.25">
      <c r="A98" s="128" t="str">
        <f>$A$6</f>
        <v>Powered two-wheelers</v>
      </c>
      <c r="B98" s="140">
        <f t="shared" ref="B98:Y98" si="76">IF(B6=0,0,B6/B$4)</f>
        <v>1.0969175270521915E-2</v>
      </c>
      <c r="C98" s="140">
        <f t="shared" si="76"/>
        <v>9.9400249001298409E-3</v>
      </c>
      <c r="D98" s="140">
        <f t="shared" si="76"/>
        <v>9.5220700801006142E-3</v>
      </c>
      <c r="E98" s="140">
        <f t="shared" si="76"/>
        <v>8.6037093636521112E-3</v>
      </c>
      <c r="F98" s="140">
        <f t="shared" si="76"/>
        <v>8.0495883781207169E-3</v>
      </c>
      <c r="G98" s="140">
        <f t="shared" si="76"/>
        <v>8.7478708913520439E-3</v>
      </c>
      <c r="H98" s="140">
        <f t="shared" si="76"/>
        <v>9.0311210044393322E-3</v>
      </c>
      <c r="I98" s="140">
        <f t="shared" si="76"/>
        <v>9.4614344670933166E-3</v>
      </c>
      <c r="J98" s="140">
        <f t="shared" si="76"/>
        <v>9.1260239146151462E-3</v>
      </c>
      <c r="K98" s="140">
        <f t="shared" si="76"/>
        <v>9.9775488514805746E-3</v>
      </c>
      <c r="L98" s="140">
        <f t="shared" si="76"/>
        <v>1.0584541893686726E-2</v>
      </c>
      <c r="M98" s="140">
        <f t="shared" si="76"/>
        <v>1.0560774645254116E-2</v>
      </c>
      <c r="N98" s="140">
        <f t="shared" si="76"/>
        <v>1.0589507051573509E-2</v>
      </c>
      <c r="O98" s="140">
        <f t="shared" si="76"/>
        <v>1.0217666731165401E-2</v>
      </c>
      <c r="P98" s="140">
        <f t="shared" si="76"/>
        <v>1.0118711414729002E-2</v>
      </c>
      <c r="Q98" s="140">
        <f t="shared" si="76"/>
        <v>1.0389900353694555E-2</v>
      </c>
      <c r="R98" s="140">
        <f t="shared" si="76"/>
        <v>1.0463119852383547E-2</v>
      </c>
      <c r="S98" s="140">
        <f t="shared" si="76"/>
        <v>9.4870911051470105E-3</v>
      </c>
      <c r="T98" s="140">
        <f t="shared" si="76"/>
        <v>8.7808518535430046E-3</v>
      </c>
      <c r="U98" s="140">
        <f t="shared" si="76"/>
        <v>9.0835819675018983E-3</v>
      </c>
      <c r="V98" s="140">
        <f t="shared" si="76"/>
        <v>1.0078914427648526E-2</v>
      </c>
      <c r="W98" s="140">
        <f t="shared" si="76"/>
        <v>9.8374395716035526E-3</v>
      </c>
      <c r="X98" s="140">
        <f t="shared" si="76"/>
        <v>8.8239722232564682E-3</v>
      </c>
      <c r="Y98" s="140">
        <f t="shared" si="76"/>
        <v>8.8573218270932338E-3</v>
      </c>
      <c r="DA98" s="175"/>
    </row>
    <row r="99" spans="1:105" ht="11.45" customHeight="1" x14ac:dyDescent="0.25">
      <c r="A99" s="128" t="str">
        <f>$A$7</f>
        <v>Passenger cars</v>
      </c>
      <c r="B99" s="140">
        <f t="shared" ref="B99:Y99" si="77">IF(B7=0,0,B7/B$4)</f>
        <v>0.56816626540506965</v>
      </c>
      <c r="C99" s="140">
        <f t="shared" si="77"/>
        <v>0.5867053206398346</v>
      </c>
      <c r="D99" s="140">
        <f t="shared" si="77"/>
        <v>0.60684625307137552</v>
      </c>
      <c r="E99" s="140">
        <f t="shared" si="77"/>
        <v>0.61906003399098875</v>
      </c>
      <c r="F99" s="140">
        <f t="shared" si="77"/>
        <v>0.63255611834023051</v>
      </c>
      <c r="G99" s="140">
        <f t="shared" si="77"/>
        <v>0.64269333566007969</v>
      </c>
      <c r="H99" s="140">
        <f t="shared" si="77"/>
        <v>0.64290503464188753</v>
      </c>
      <c r="I99" s="140">
        <f t="shared" si="77"/>
        <v>0.64272508071135714</v>
      </c>
      <c r="J99" s="140">
        <f t="shared" si="77"/>
        <v>0.65198198481084935</v>
      </c>
      <c r="K99" s="140">
        <f t="shared" si="77"/>
        <v>0.68410257300807586</v>
      </c>
      <c r="L99" s="140">
        <f t="shared" si="77"/>
        <v>0.6962215491227044</v>
      </c>
      <c r="M99" s="140">
        <f t="shared" si="77"/>
        <v>0.69718796736402422</v>
      </c>
      <c r="N99" s="140">
        <f t="shared" si="77"/>
        <v>0.69892910433579691</v>
      </c>
      <c r="O99" s="140">
        <f t="shared" si="77"/>
        <v>0.70914053139337585</v>
      </c>
      <c r="P99" s="140">
        <f t="shared" si="77"/>
        <v>0.70577850286368893</v>
      </c>
      <c r="Q99" s="140">
        <f t="shared" si="77"/>
        <v>0.70526860380700673</v>
      </c>
      <c r="R99" s="140">
        <f t="shared" si="77"/>
        <v>0.70874719098590122</v>
      </c>
      <c r="S99" s="140">
        <f t="shared" si="77"/>
        <v>0.70292478878538189</v>
      </c>
      <c r="T99" s="140">
        <f t="shared" si="77"/>
        <v>0.69796866761733412</v>
      </c>
      <c r="U99" s="140">
        <f t="shared" si="77"/>
        <v>0.68949987671464463</v>
      </c>
      <c r="V99" s="140">
        <f t="shared" si="77"/>
        <v>0.82137491046951394</v>
      </c>
      <c r="W99" s="140">
        <f t="shared" si="77"/>
        <v>0.79530113130935742</v>
      </c>
      <c r="X99" s="140">
        <f t="shared" si="77"/>
        <v>0.72004750094463155</v>
      </c>
      <c r="Y99" s="140">
        <f t="shared" si="77"/>
        <v>0.69590896329593244</v>
      </c>
      <c r="DA99" s="175"/>
    </row>
    <row r="100" spans="1:105" ht="11.45" customHeight="1" x14ac:dyDescent="0.25">
      <c r="A100" s="128" t="str">
        <f>$A$8</f>
        <v>Motor coaches, buses and trolley buses</v>
      </c>
      <c r="B100" s="140">
        <f t="shared" ref="B100:Y100" si="78">IF(B8=0,0,B8/B$4)</f>
        <v>0.25853530293605015</v>
      </c>
      <c r="C100" s="140">
        <f t="shared" si="78"/>
        <v>0.24568008135636307</v>
      </c>
      <c r="D100" s="140">
        <f t="shared" si="78"/>
        <v>0.2323711720155488</v>
      </c>
      <c r="E100" s="140">
        <f t="shared" si="78"/>
        <v>0.22606863237038227</v>
      </c>
      <c r="F100" s="140">
        <f t="shared" si="78"/>
        <v>0.22018813111161975</v>
      </c>
      <c r="G100" s="140">
        <f t="shared" si="78"/>
        <v>0.20761990882781303</v>
      </c>
      <c r="H100" s="140">
        <f t="shared" si="78"/>
        <v>0.19993279174367767</v>
      </c>
      <c r="I100" s="140">
        <f t="shared" si="78"/>
        <v>0.18889702002422512</v>
      </c>
      <c r="J100" s="140">
        <f t="shared" si="78"/>
        <v>0.18018273856012465</v>
      </c>
      <c r="K100" s="140">
        <f t="shared" si="78"/>
        <v>0.16432715916706536</v>
      </c>
      <c r="L100" s="140">
        <f t="shared" si="78"/>
        <v>0.15376536517354364</v>
      </c>
      <c r="M100" s="140">
        <f t="shared" si="78"/>
        <v>0.14784132187906787</v>
      </c>
      <c r="N100" s="140">
        <f t="shared" si="78"/>
        <v>0.14552347490974615</v>
      </c>
      <c r="O100" s="140">
        <f t="shared" si="78"/>
        <v>0.13864728807190388</v>
      </c>
      <c r="P100" s="140">
        <f t="shared" si="78"/>
        <v>0.14026591931836624</v>
      </c>
      <c r="Q100" s="140">
        <f t="shared" si="78"/>
        <v>0.13214336207342728</v>
      </c>
      <c r="R100" s="140">
        <f t="shared" si="78"/>
        <v>0.12218129366164847</v>
      </c>
      <c r="S100" s="140">
        <f t="shared" si="78"/>
        <v>0.11442814104378252</v>
      </c>
      <c r="T100" s="140">
        <f t="shared" si="78"/>
        <v>0.10592864020426511</v>
      </c>
      <c r="U100" s="140">
        <f t="shared" si="78"/>
        <v>0.10757450876248889</v>
      </c>
      <c r="V100" s="140">
        <f t="shared" si="78"/>
        <v>7.0729200785533478E-2</v>
      </c>
      <c r="W100" s="140">
        <f t="shared" si="78"/>
        <v>7.2374050388056346E-2</v>
      </c>
      <c r="X100" s="140">
        <f t="shared" si="78"/>
        <v>7.8829389053639107E-2</v>
      </c>
      <c r="Y100" s="140">
        <f t="shared" si="78"/>
        <v>7.993120618478286E-2</v>
      </c>
      <c r="DA100" s="175"/>
    </row>
    <row r="101" spans="1:105" ht="11.45" customHeight="1" x14ac:dyDescent="0.25">
      <c r="A101" s="109" t="str">
        <f>$A$9</f>
        <v>Rail, metro and tram</v>
      </c>
      <c r="B101" s="124">
        <f t="shared" ref="B101:Y101" si="79">IF(B9=0,0,B9/B$4)</f>
        <v>0.12573899395497898</v>
      </c>
      <c r="C101" s="124">
        <f t="shared" si="79"/>
        <v>0.1202635040848955</v>
      </c>
      <c r="D101" s="124">
        <f t="shared" si="79"/>
        <v>0.11336585120889342</v>
      </c>
      <c r="E101" s="124">
        <f t="shared" si="79"/>
        <v>0.10575280325884279</v>
      </c>
      <c r="F101" s="124">
        <f t="shared" si="79"/>
        <v>9.9924907250067752E-2</v>
      </c>
      <c r="G101" s="124">
        <f t="shared" si="79"/>
        <v>9.5188664297336953E-2</v>
      </c>
      <c r="H101" s="124">
        <f t="shared" si="79"/>
        <v>9.4432321882711986E-2</v>
      </c>
      <c r="I101" s="124">
        <f t="shared" si="79"/>
        <v>9.6860214104245751E-2</v>
      </c>
      <c r="J101" s="124">
        <f t="shared" si="79"/>
        <v>9.3661027308140271E-2</v>
      </c>
      <c r="K101" s="124">
        <f t="shared" si="79"/>
        <v>8.5932997562604085E-2</v>
      </c>
      <c r="L101" s="124">
        <f t="shared" si="79"/>
        <v>8.2085630554634414E-2</v>
      </c>
      <c r="M101" s="124">
        <f t="shared" si="79"/>
        <v>8.3250933331021293E-2</v>
      </c>
      <c r="N101" s="124">
        <f t="shared" si="79"/>
        <v>8.2023294576065761E-2</v>
      </c>
      <c r="O101" s="124">
        <f t="shared" si="79"/>
        <v>7.6649065800697594E-2</v>
      </c>
      <c r="P101" s="124">
        <f t="shared" si="79"/>
        <v>7.2544392054849555E-2</v>
      </c>
      <c r="Q101" s="124">
        <f t="shared" si="79"/>
        <v>7.5908233931753222E-2</v>
      </c>
      <c r="R101" s="124">
        <f t="shared" si="79"/>
        <v>7.8119551310518565E-2</v>
      </c>
      <c r="S101" s="124">
        <f t="shared" si="79"/>
        <v>7.8148179041729104E-2</v>
      </c>
      <c r="T101" s="124">
        <f t="shared" si="79"/>
        <v>7.7874216081114778E-2</v>
      </c>
      <c r="U101" s="124">
        <f t="shared" si="79"/>
        <v>7.8623023103913475E-2</v>
      </c>
      <c r="V101" s="124">
        <f t="shared" si="79"/>
        <v>5.5584995080735687E-2</v>
      </c>
      <c r="W101" s="124">
        <f t="shared" si="79"/>
        <v>6.4496036240926577E-2</v>
      </c>
      <c r="X101" s="124">
        <f t="shared" si="79"/>
        <v>8.4123862536708796E-2</v>
      </c>
      <c r="Y101" s="124">
        <f t="shared" si="79"/>
        <v>8.4092600655832059E-2</v>
      </c>
      <c r="DA101" s="176"/>
    </row>
    <row r="102" spans="1:105" ht="11.45" customHeight="1" x14ac:dyDescent="0.25">
      <c r="A102" s="128" t="str">
        <f>$A$10</f>
        <v>Metro and tram, urban light rail</v>
      </c>
      <c r="B102" s="140">
        <f t="shared" ref="B102:Y102" si="80">IF(B10=0,0,B10/B$4)</f>
        <v>2.0525606820936414E-2</v>
      </c>
      <c r="C102" s="140">
        <f t="shared" si="80"/>
        <v>2.0621162063304842E-2</v>
      </c>
      <c r="D102" s="140">
        <f t="shared" si="80"/>
        <v>2.0645284898304528E-2</v>
      </c>
      <c r="E102" s="140">
        <f t="shared" si="80"/>
        <v>1.9715287706719386E-2</v>
      </c>
      <c r="F102" s="140">
        <f t="shared" si="80"/>
        <v>1.9390344227050663E-2</v>
      </c>
      <c r="G102" s="140">
        <f t="shared" si="80"/>
        <v>1.8567634122812548E-2</v>
      </c>
      <c r="H102" s="140">
        <f t="shared" si="80"/>
        <v>1.8269012797933585E-2</v>
      </c>
      <c r="I102" s="140">
        <f t="shared" si="80"/>
        <v>1.821648411135085E-2</v>
      </c>
      <c r="J102" s="140">
        <f t="shared" si="80"/>
        <v>1.7376113152548708E-2</v>
      </c>
      <c r="K102" s="140">
        <f t="shared" si="80"/>
        <v>1.6170690833752218E-2</v>
      </c>
      <c r="L102" s="140">
        <f t="shared" si="80"/>
        <v>1.6003397718301664E-2</v>
      </c>
      <c r="M102" s="140">
        <f t="shared" si="80"/>
        <v>1.6235678772522136E-2</v>
      </c>
      <c r="N102" s="140">
        <f t="shared" si="80"/>
        <v>1.6214890919424695E-2</v>
      </c>
      <c r="O102" s="140">
        <f t="shared" si="80"/>
        <v>1.5039052632873017E-2</v>
      </c>
      <c r="P102" s="140">
        <f t="shared" si="80"/>
        <v>1.5177859088823839E-2</v>
      </c>
      <c r="Q102" s="140">
        <f t="shared" si="80"/>
        <v>1.4840278393455949E-2</v>
      </c>
      <c r="R102" s="140">
        <f t="shared" si="80"/>
        <v>1.4410781365391305E-2</v>
      </c>
      <c r="S102" s="140">
        <f t="shared" si="80"/>
        <v>1.3679431007107808E-2</v>
      </c>
      <c r="T102" s="140">
        <f t="shared" si="80"/>
        <v>1.3346182969189392E-2</v>
      </c>
      <c r="U102" s="140">
        <f t="shared" si="80"/>
        <v>1.314495253140394E-2</v>
      </c>
      <c r="V102" s="140">
        <f t="shared" si="80"/>
        <v>9.567037864987301E-3</v>
      </c>
      <c r="W102" s="140">
        <f t="shared" si="80"/>
        <v>9.8662757237030236E-3</v>
      </c>
      <c r="X102" s="140">
        <f t="shared" si="80"/>
        <v>1.1829961109471234E-2</v>
      </c>
      <c r="Y102" s="140">
        <f t="shared" si="80"/>
        <v>1.1697945214770076E-2</v>
      </c>
      <c r="DA102" s="175"/>
    </row>
    <row r="103" spans="1:105" ht="11.45" customHeight="1" x14ac:dyDescent="0.25">
      <c r="A103" s="128" t="str">
        <f>$A$11</f>
        <v>Conventional passenger trains</v>
      </c>
      <c r="B103" s="140">
        <f t="shared" ref="B103:Y103" si="81">IF(B11=0,0,B11/B$4)</f>
        <v>0.10521338713404257</v>
      </c>
      <c r="C103" s="140">
        <f t="shared" si="81"/>
        <v>9.9642342021590655E-2</v>
      </c>
      <c r="D103" s="140">
        <f t="shared" si="81"/>
        <v>9.2720566310588892E-2</v>
      </c>
      <c r="E103" s="140">
        <f t="shared" si="81"/>
        <v>8.6037515552123398E-2</v>
      </c>
      <c r="F103" s="140">
        <f t="shared" si="81"/>
        <v>8.0534563023017092E-2</v>
      </c>
      <c r="G103" s="140">
        <f t="shared" si="81"/>
        <v>7.6621030174524415E-2</v>
      </c>
      <c r="H103" s="140">
        <f t="shared" si="81"/>
        <v>7.6163309084778391E-2</v>
      </c>
      <c r="I103" s="140">
        <f t="shared" si="81"/>
        <v>7.8643729992894901E-2</v>
      </c>
      <c r="J103" s="140">
        <f t="shared" si="81"/>
        <v>7.6284914155591563E-2</v>
      </c>
      <c r="K103" s="140">
        <f t="shared" si="81"/>
        <v>6.9762306728851864E-2</v>
      </c>
      <c r="L103" s="140">
        <f t="shared" si="81"/>
        <v>6.6082232836332744E-2</v>
      </c>
      <c r="M103" s="140">
        <f t="shared" si="81"/>
        <v>6.701525455849916E-2</v>
      </c>
      <c r="N103" s="140">
        <f t="shared" si="81"/>
        <v>6.5808403656641076E-2</v>
      </c>
      <c r="O103" s="140">
        <f t="shared" si="81"/>
        <v>6.1610013167824586E-2</v>
      </c>
      <c r="P103" s="140">
        <f t="shared" si="81"/>
        <v>5.7366532966025709E-2</v>
      </c>
      <c r="Q103" s="140">
        <f t="shared" si="81"/>
        <v>5.9425833396512008E-2</v>
      </c>
      <c r="R103" s="140">
        <f t="shared" si="81"/>
        <v>5.8939366963717564E-2</v>
      </c>
      <c r="S103" s="140">
        <f t="shared" si="81"/>
        <v>5.9899871752823242E-2</v>
      </c>
      <c r="T103" s="140">
        <f t="shared" si="81"/>
        <v>5.9774982153246288E-2</v>
      </c>
      <c r="U103" s="140">
        <f t="shared" si="81"/>
        <v>6.0481716166745414E-2</v>
      </c>
      <c r="V103" s="140">
        <f t="shared" si="81"/>
        <v>4.3240095340337278E-2</v>
      </c>
      <c r="W103" s="140">
        <f t="shared" si="81"/>
        <v>5.0770978099084811E-2</v>
      </c>
      <c r="X103" s="140">
        <f t="shared" si="81"/>
        <v>6.8058274349031167E-2</v>
      </c>
      <c r="Y103" s="140">
        <f t="shared" si="81"/>
        <v>6.7845393370055462E-2</v>
      </c>
      <c r="DA103" s="175"/>
    </row>
    <row r="104" spans="1:105" ht="11.45" customHeight="1" x14ac:dyDescent="0.25">
      <c r="A104" s="128" t="str">
        <f>$A$12</f>
        <v>High speed passenger trains</v>
      </c>
      <c r="B104" s="140">
        <f t="shared" ref="B104:Y104" si="82">IF(B12=0,0,B12/B$4)</f>
        <v>0</v>
      </c>
      <c r="C104" s="140">
        <f t="shared" si="82"/>
        <v>0</v>
      </c>
      <c r="D104" s="140">
        <f t="shared" si="82"/>
        <v>0</v>
      </c>
      <c r="E104" s="140">
        <f t="shared" si="82"/>
        <v>0</v>
      </c>
      <c r="F104" s="140">
        <f t="shared" si="82"/>
        <v>0</v>
      </c>
      <c r="G104" s="140">
        <f t="shared" si="82"/>
        <v>0</v>
      </c>
      <c r="H104" s="140">
        <f t="shared" si="82"/>
        <v>0</v>
      </c>
      <c r="I104" s="140">
        <f t="shared" si="82"/>
        <v>0</v>
      </c>
      <c r="J104" s="140">
        <f t="shared" si="82"/>
        <v>0</v>
      </c>
      <c r="K104" s="140">
        <f t="shared" si="82"/>
        <v>0</v>
      </c>
      <c r="L104" s="140">
        <f t="shared" si="82"/>
        <v>0</v>
      </c>
      <c r="M104" s="140">
        <f t="shared" si="82"/>
        <v>0</v>
      </c>
      <c r="N104" s="140">
        <f t="shared" si="82"/>
        <v>0</v>
      </c>
      <c r="O104" s="140">
        <f t="shared" si="82"/>
        <v>0</v>
      </c>
      <c r="P104" s="140">
        <f t="shared" si="82"/>
        <v>0</v>
      </c>
      <c r="Q104" s="140">
        <f t="shared" si="82"/>
        <v>1.6421221417852725E-3</v>
      </c>
      <c r="R104" s="140">
        <f t="shared" si="82"/>
        <v>4.769402981409686E-3</v>
      </c>
      <c r="S104" s="140">
        <f t="shared" si="82"/>
        <v>4.568876281798054E-3</v>
      </c>
      <c r="T104" s="140">
        <f t="shared" si="82"/>
        <v>4.7530509586791022E-3</v>
      </c>
      <c r="U104" s="140">
        <f t="shared" si="82"/>
        <v>4.9963544057641252E-3</v>
      </c>
      <c r="V104" s="140">
        <f t="shared" si="82"/>
        <v>2.7778618754111077E-3</v>
      </c>
      <c r="W104" s="140">
        <f t="shared" si="82"/>
        <v>3.8587824181387483E-3</v>
      </c>
      <c r="X104" s="140">
        <f t="shared" si="82"/>
        <v>4.2356270782063889E-3</v>
      </c>
      <c r="Y104" s="140">
        <f t="shared" si="82"/>
        <v>4.5492620710065202E-3</v>
      </c>
      <c r="DA104" s="175"/>
    </row>
    <row r="105" spans="1:105" ht="11.45" customHeight="1" x14ac:dyDescent="0.25">
      <c r="A105" s="109" t="str">
        <f>$A$13</f>
        <v>Aviation</v>
      </c>
      <c r="B105" s="124">
        <f t="shared" ref="B105:Y105" si="83">IF(B13=0,0,B13/B$4)</f>
        <v>3.6590262433379275E-2</v>
      </c>
      <c r="C105" s="124">
        <f t="shared" si="83"/>
        <v>3.7411069018777054E-2</v>
      </c>
      <c r="D105" s="124">
        <f t="shared" si="83"/>
        <v>3.7894653624081745E-2</v>
      </c>
      <c r="E105" s="124">
        <f t="shared" si="83"/>
        <v>4.0514821016134017E-2</v>
      </c>
      <c r="F105" s="124">
        <f t="shared" si="83"/>
        <v>3.9281254919961241E-2</v>
      </c>
      <c r="G105" s="124">
        <f t="shared" si="83"/>
        <v>4.5750220323418182E-2</v>
      </c>
      <c r="H105" s="124">
        <f t="shared" si="83"/>
        <v>5.3698730727283588E-2</v>
      </c>
      <c r="I105" s="124">
        <f t="shared" si="83"/>
        <v>6.2056250693078699E-2</v>
      </c>
      <c r="J105" s="124">
        <f t="shared" si="83"/>
        <v>6.504822540627056E-2</v>
      </c>
      <c r="K105" s="124">
        <f t="shared" si="83"/>
        <v>5.5659721410774146E-2</v>
      </c>
      <c r="L105" s="124">
        <f t="shared" si="83"/>
        <v>5.7342913255430762E-2</v>
      </c>
      <c r="M105" s="124">
        <f t="shared" si="83"/>
        <v>6.1159002780632646E-2</v>
      </c>
      <c r="N105" s="124">
        <f t="shared" si="83"/>
        <v>6.2934619126817609E-2</v>
      </c>
      <c r="O105" s="124">
        <f t="shared" si="83"/>
        <v>6.5345448002857257E-2</v>
      </c>
      <c r="P105" s="124">
        <f t="shared" si="83"/>
        <v>7.1292474348366386E-2</v>
      </c>
      <c r="Q105" s="124">
        <f t="shared" si="83"/>
        <v>7.6289899834118213E-2</v>
      </c>
      <c r="R105" s="124">
        <f t="shared" si="83"/>
        <v>8.0488844189548076E-2</v>
      </c>
      <c r="S105" s="124">
        <f t="shared" si="83"/>
        <v>9.5011800023959522E-2</v>
      </c>
      <c r="T105" s="124">
        <f t="shared" si="83"/>
        <v>0.10944762424374299</v>
      </c>
      <c r="U105" s="124">
        <f t="shared" si="83"/>
        <v>0.11521900945145115</v>
      </c>
      <c r="V105" s="124">
        <f t="shared" si="83"/>
        <v>4.2231979236568372E-2</v>
      </c>
      <c r="W105" s="124">
        <f t="shared" si="83"/>
        <v>5.7991342490056143E-2</v>
      </c>
      <c r="X105" s="124">
        <f t="shared" si="83"/>
        <v>0.10817527524176412</v>
      </c>
      <c r="Y105" s="124">
        <f t="shared" si="83"/>
        <v>0.13120990803635951</v>
      </c>
      <c r="DA105" s="176"/>
    </row>
    <row r="106" spans="1:105" ht="11.45" customHeight="1" x14ac:dyDescent="0.25">
      <c r="A106" s="128" t="str">
        <f>$A$14</f>
        <v>Domestic</v>
      </c>
      <c r="B106" s="140">
        <f t="shared" ref="B106:Y106" si="84">IF(B14=0,0,B14/B$4)</f>
        <v>1.0647165085979711E-3</v>
      </c>
      <c r="C106" s="140">
        <f t="shared" si="84"/>
        <v>1.0946425100442382E-3</v>
      </c>
      <c r="D106" s="140">
        <f t="shared" si="84"/>
        <v>1.4958845249780667E-3</v>
      </c>
      <c r="E106" s="140">
        <f t="shared" si="84"/>
        <v>1.5031500407029794E-3</v>
      </c>
      <c r="F106" s="140">
        <f t="shared" si="84"/>
        <v>1.129674907604291E-3</v>
      </c>
      <c r="G106" s="140">
        <f t="shared" si="84"/>
        <v>1.1630816544381537E-3</v>
      </c>
      <c r="H106" s="140">
        <f t="shared" si="84"/>
        <v>1.1316970691215235E-3</v>
      </c>
      <c r="I106" s="140">
        <f t="shared" si="84"/>
        <v>1.3114559660017471E-3</v>
      </c>
      <c r="J106" s="140">
        <f t="shared" si="84"/>
        <v>1.0972232561720738E-3</v>
      </c>
      <c r="K106" s="140">
        <f t="shared" si="84"/>
        <v>1.0023819107136034E-3</v>
      </c>
      <c r="L106" s="140">
        <f t="shared" si="84"/>
        <v>1.1344826508396621E-3</v>
      </c>
      <c r="M106" s="140">
        <f t="shared" si="84"/>
        <v>1.5016558465572739E-3</v>
      </c>
      <c r="N106" s="140">
        <f t="shared" si="84"/>
        <v>2.4862191501039493E-3</v>
      </c>
      <c r="O106" s="140">
        <f t="shared" si="84"/>
        <v>1.688225381018264E-3</v>
      </c>
      <c r="P106" s="140">
        <f t="shared" si="84"/>
        <v>2.0141271226336065E-3</v>
      </c>
      <c r="Q106" s="140">
        <f t="shared" si="84"/>
        <v>1.9497942073187272E-3</v>
      </c>
      <c r="R106" s="140">
        <f t="shared" si="84"/>
        <v>2.0136761084268723E-3</v>
      </c>
      <c r="S106" s="140">
        <f t="shared" si="84"/>
        <v>2.4151263336088776E-3</v>
      </c>
      <c r="T106" s="140">
        <f t="shared" si="84"/>
        <v>1.9885999719398335E-3</v>
      </c>
      <c r="U106" s="140">
        <f t="shared" si="84"/>
        <v>1.9670739523132384E-3</v>
      </c>
      <c r="V106" s="140">
        <f t="shared" si="84"/>
        <v>8.3320513293977177E-4</v>
      </c>
      <c r="W106" s="140">
        <f t="shared" si="84"/>
        <v>8.9557007392590082E-4</v>
      </c>
      <c r="X106" s="140">
        <f t="shared" si="84"/>
        <v>1.7054547854683621E-3</v>
      </c>
      <c r="Y106" s="140">
        <f t="shared" si="84"/>
        <v>1.8594794170888205E-3</v>
      </c>
      <c r="DA106" s="175"/>
    </row>
    <row r="107" spans="1:105" ht="11.45" customHeight="1" x14ac:dyDescent="0.25">
      <c r="A107" s="128" t="str">
        <f>$A$15</f>
        <v>International - Intra-EEAwCHUK</v>
      </c>
      <c r="B107" s="140">
        <f t="shared" ref="B107:Y107" si="85">IF(B15=0,0,B15/B$4)</f>
        <v>1.7457557073293026E-2</v>
      </c>
      <c r="C107" s="140">
        <f t="shared" si="85"/>
        <v>1.7888009760756416E-2</v>
      </c>
      <c r="D107" s="140">
        <f t="shared" si="85"/>
        <v>1.7934556134507691E-2</v>
      </c>
      <c r="E107" s="140">
        <f t="shared" si="85"/>
        <v>1.9058493231031495E-2</v>
      </c>
      <c r="F107" s="140">
        <f t="shared" si="85"/>
        <v>1.8460707264059188E-2</v>
      </c>
      <c r="G107" s="140">
        <f t="shared" si="85"/>
        <v>2.3073511043390237E-2</v>
      </c>
      <c r="H107" s="140">
        <f t="shared" si="85"/>
        <v>2.8922290086062185E-2</v>
      </c>
      <c r="I107" s="140">
        <f t="shared" si="85"/>
        <v>3.5285121603950136E-2</v>
      </c>
      <c r="J107" s="140">
        <f t="shared" si="85"/>
        <v>3.5044036266402658E-2</v>
      </c>
      <c r="K107" s="140">
        <f t="shared" si="85"/>
        <v>3.1328494386845991E-2</v>
      </c>
      <c r="L107" s="140">
        <f t="shared" si="85"/>
        <v>3.25624785356552E-2</v>
      </c>
      <c r="M107" s="140">
        <f t="shared" si="85"/>
        <v>3.8136962574950355E-2</v>
      </c>
      <c r="N107" s="140">
        <f t="shared" si="85"/>
        <v>3.8334189565539439E-2</v>
      </c>
      <c r="O107" s="140">
        <f t="shared" si="85"/>
        <v>4.3443606932169324E-2</v>
      </c>
      <c r="P107" s="140">
        <f t="shared" si="85"/>
        <v>4.604679707492907E-2</v>
      </c>
      <c r="Q107" s="140">
        <f t="shared" si="85"/>
        <v>5.2934489077975641E-2</v>
      </c>
      <c r="R107" s="140">
        <f t="shared" si="85"/>
        <v>5.7593333554548418E-2</v>
      </c>
      <c r="S107" s="140">
        <f t="shared" si="85"/>
        <v>6.3768318909453753E-2</v>
      </c>
      <c r="T107" s="140">
        <f t="shared" si="85"/>
        <v>6.8939097881685077E-2</v>
      </c>
      <c r="U107" s="140">
        <f t="shared" si="85"/>
        <v>6.7102852691863321E-2</v>
      </c>
      <c r="V107" s="140">
        <f t="shared" si="85"/>
        <v>2.6540811470415492E-2</v>
      </c>
      <c r="W107" s="140">
        <f t="shared" si="85"/>
        <v>3.2713308152091072E-2</v>
      </c>
      <c r="X107" s="140">
        <f t="shared" si="85"/>
        <v>6.2428976208433316E-2</v>
      </c>
      <c r="Y107" s="140">
        <f t="shared" si="85"/>
        <v>7.2809129200988768E-2</v>
      </c>
      <c r="DA107" s="175"/>
    </row>
    <row r="108" spans="1:105" ht="11.45" customHeight="1" x14ac:dyDescent="0.25">
      <c r="A108" s="128" t="str">
        <f>$A$16</f>
        <v>International - Extra-EEAwCHUK</v>
      </c>
      <c r="B108" s="140">
        <f t="shared" ref="B108:Y108" si="86">IF(B16=0,0,B16/B$4)</f>
        <v>1.8067988851488283E-2</v>
      </c>
      <c r="C108" s="140">
        <f t="shared" si="86"/>
        <v>1.8428416747976399E-2</v>
      </c>
      <c r="D108" s="140">
        <f t="shared" si="86"/>
        <v>1.8464212964595991E-2</v>
      </c>
      <c r="E108" s="140">
        <f t="shared" si="86"/>
        <v>1.9953177744399541E-2</v>
      </c>
      <c r="F108" s="140">
        <f t="shared" si="86"/>
        <v>1.9690872748297769E-2</v>
      </c>
      <c r="G108" s="140">
        <f t="shared" si="86"/>
        <v>2.1513627625589782E-2</v>
      </c>
      <c r="H108" s="140">
        <f t="shared" si="86"/>
        <v>2.3644743572099881E-2</v>
      </c>
      <c r="I108" s="140">
        <f t="shared" si="86"/>
        <v>2.5459673123126816E-2</v>
      </c>
      <c r="J108" s="140">
        <f t="shared" si="86"/>
        <v>2.8906965883695838E-2</v>
      </c>
      <c r="K108" s="140">
        <f t="shared" si="86"/>
        <v>2.3328845113214553E-2</v>
      </c>
      <c r="L108" s="140">
        <f t="shared" si="86"/>
        <v>2.3645952068935903E-2</v>
      </c>
      <c r="M108" s="140">
        <f t="shared" si="86"/>
        <v>2.1520384359125014E-2</v>
      </c>
      <c r="N108" s="140">
        <f t="shared" si="86"/>
        <v>2.2114210411174229E-2</v>
      </c>
      <c r="O108" s="140">
        <f t="shared" si="86"/>
        <v>2.0213615689669669E-2</v>
      </c>
      <c r="P108" s="140">
        <f t="shared" si="86"/>
        <v>2.3231550150803713E-2</v>
      </c>
      <c r="Q108" s="140">
        <f t="shared" si="86"/>
        <v>2.1405616548823853E-2</v>
      </c>
      <c r="R108" s="140">
        <f t="shared" si="86"/>
        <v>2.0881834526572787E-2</v>
      </c>
      <c r="S108" s="140">
        <f t="shared" si="86"/>
        <v>2.8828354780896889E-2</v>
      </c>
      <c r="T108" s="140">
        <f t="shared" si="86"/>
        <v>3.8519926390118094E-2</v>
      </c>
      <c r="U108" s="140">
        <f t="shared" si="86"/>
        <v>4.6149082807274595E-2</v>
      </c>
      <c r="V108" s="140">
        <f t="shared" si="86"/>
        <v>1.4857962633213109E-2</v>
      </c>
      <c r="W108" s="140">
        <f t="shared" si="86"/>
        <v>2.4382464264039175E-2</v>
      </c>
      <c r="X108" s="140">
        <f t="shared" si="86"/>
        <v>4.4040844247862462E-2</v>
      </c>
      <c r="Y108" s="140">
        <f t="shared" si="86"/>
        <v>5.654129941828194E-2</v>
      </c>
      <c r="DA108" s="175"/>
    </row>
    <row r="109" spans="1:105" ht="11.45" customHeight="1" x14ac:dyDescent="0.25">
      <c r="A109" s="27" t="s">
        <v>39</v>
      </c>
      <c r="B109" s="31">
        <f t="shared" ref="B109:Y109" si="87">IF(B17=0,0,B17/B$17)</f>
        <v>1</v>
      </c>
      <c r="C109" s="31">
        <f t="shared" si="87"/>
        <v>1</v>
      </c>
      <c r="D109" s="31">
        <f t="shared" si="87"/>
        <v>1</v>
      </c>
      <c r="E109" s="31">
        <f t="shared" si="87"/>
        <v>1</v>
      </c>
      <c r="F109" s="31">
        <f t="shared" si="87"/>
        <v>1</v>
      </c>
      <c r="G109" s="31">
        <f t="shared" si="87"/>
        <v>1</v>
      </c>
      <c r="H109" s="31">
        <f t="shared" si="87"/>
        <v>1</v>
      </c>
      <c r="I109" s="31">
        <f t="shared" si="87"/>
        <v>1</v>
      </c>
      <c r="J109" s="31">
        <f t="shared" si="87"/>
        <v>1</v>
      </c>
      <c r="K109" s="31">
        <f t="shared" si="87"/>
        <v>1</v>
      </c>
      <c r="L109" s="31">
        <f t="shared" si="87"/>
        <v>1</v>
      </c>
      <c r="M109" s="31">
        <f t="shared" si="87"/>
        <v>1</v>
      </c>
      <c r="N109" s="31">
        <f t="shared" si="87"/>
        <v>1</v>
      </c>
      <c r="O109" s="31">
        <f t="shared" si="87"/>
        <v>1</v>
      </c>
      <c r="P109" s="31">
        <f t="shared" si="87"/>
        <v>1</v>
      </c>
      <c r="Q109" s="31">
        <f t="shared" si="87"/>
        <v>1</v>
      </c>
      <c r="R109" s="31">
        <f t="shared" si="87"/>
        <v>1</v>
      </c>
      <c r="S109" s="31">
        <f t="shared" si="87"/>
        <v>1</v>
      </c>
      <c r="T109" s="31">
        <f t="shared" si="87"/>
        <v>1</v>
      </c>
      <c r="U109" s="31">
        <f t="shared" si="87"/>
        <v>1</v>
      </c>
      <c r="V109" s="31">
        <f t="shared" si="87"/>
        <v>1</v>
      </c>
      <c r="W109" s="31">
        <f t="shared" si="87"/>
        <v>1</v>
      </c>
      <c r="X109" s="31">
        <f t="shared" si="87"/>
        <v>1</v>
      </c>
      <c r="Y109" s="31">
        <f t="shared" si="87"/>
        <v>1</v>
      </c>
      <c r="DA109" s="173"/>
    </row>
    <row r="110" spans="1:105" ht="11.45" customHeight="1" x14ac:dyDescent="0.25">
      <c r="A110" s="136" t="str">
        <f>$A$18</f>
        <v>Road transport</v>
      </c>
      <c r="B110" s="139">
        <f t="shared" ref="B110:Y110" si="88">IF(B18=0,0,B18/B$17)</f>
        <v>0.56090970413560137</v>
      </c>
      <c r="C110" s="139">
        <f t="shared" si="88"/>
        <v>0.59763109430643435</v>
      </c>
      <c r="D110" s="139">
        <f t="shared" si="88"/>
        <v>0.61299733974263004</v>
      </c>
      <c r="E110" s="139">
        <f t="shared" si="88"/>
        <v>0.61941796422607942</v>
      </c>
      <c r="F110" s="139">
        <f t="shared" si="88"/>
        <v>0.6248684037664104</v>
      </c>
      <c r="G110" s="139">
        <f t="shared" si="88"/>
        <v>0.64370182700563017</v>
      </c>
      <c r="H110" s="139">
        <f t="shared" si="88"/>
        <v>0.63866708427469265</v>
      </c>
      <c r="I110" s="139">
        <f t="shared" si="88"/>
        <v>0.64670659588347623</v>
      </c>
      <c r="J110" s="139">
        <f t="shared" si="88"/>
        <v>0.67035474898629521</v>
      </c>
      <c r="K110" s="139">
        <f t="shared" si="88"/>
        <v>0.72027662652874913</v>
      </c>
      <c r="L110" s="139">
        <f t="shared" si="88"/>
        <v>0.71336346170119058</v>
      </c>
      <c r="M110" s="139">
        <f t="shared" si="88"/>
        <v>0.70872488718846571</v>
      </c>
      <c r="N110" s="139">
        <f t="shared" si="88"/>
        <v>0.73128429283918084</v>
      </c>
      <c r="O110" s="139">
        <f t="shared" si="88"/>
        <v>0.74287746373877028</v>
      </c>
      <c r="P110" s="139">
        <f t="shared" si="88"/>
        <v>0.74182239774110914</v>
      </c>
      <c r="Q110" s="139">
        <f t="shared" si="88"/>
        <v>0.75116345264778395</v>
      </c>
      <c r="R110" s="139">
        <f t="shared" si="88"/>
        <v>0.75909270799095174</v>
      </c>
      <c r="S110" s="139">
        <f t="shared" si="88"/>
        <v>0.76612499193811079</v>
      </c>
      <c r="T110" s="139">
        <f t="shared" si="88"/>
        <v>0.7387469417689424</v>
      </c>
      <c r="U110" s="139">
        <f t="shared" si="88"/>
        <v>0.76624901114897115</v>
      </c>
      <c r="V110" s="139">
        <f t="shared" si="88"/>
        <v>0.78060198375018852</v>
      </c>
      <c r="W110" s="139">
        <f t="shared" si="88"/>
        <v>0.78314622249715371</v>
      </c>
      <c r="X110" s="139">
        <f t="shared" si="88"/>
        <v>0.77379088106474991</v>
      </c>
      <c r="Y110" s="139">
        <f t="shared" si="88"/>
        <v>0.76432529757650092</v>
      </c>
      <c r="DA110" s="174"/>
    </row>
    <row r="111" spans="1:105" ht="11.45" customHeight="1" x14ac:dyDescent="0.25">
      <c r="A111" s="128" t="str">
        <f>$A$19</f>
        <v>Light commercial vehicles</v>
      </c>
      <c r="B111" s="140">
        <f t="shared" ref="B111:Y111" si="89">IF(B19=0,0,B19/B$17)</f>
        <v>3.0764011046811951E-2</v>
      </c>
      <c r="C111" s="140">
        <f t="shared" si="89"/>
        <v>3.113594937220944E-2</v>
      </c>
      <c r="D111" s="140">
        <f t="shared" si="89"/>
        <v>3.2315669704722473E-2</v>
      </c>
      <c r="E111" s="140">
        <f t="shared" si="89"/>
        <v>3.2539188080664007E-2</v>
      </c>
      <c r="F111" s="140">
        <f t="shared" si="89"/>
        <v>2.8833665217432931E-2</v>
      </c>
      <c r="G111" s="140">
        <f t="shared" si="89"/>
        <v>2.972359340953936E-2</v>
      </c>
      <c r="H111" s="140">
        <f t="shared" si="89"/>
        <v>2.9708380434681776E-2</v>
      </c>
      <c r="I111" s="140">
        <f t="shared" si="89"/>
        <v>3.0059197008634308E-2</v>
      </c>
      <c r="J111" s="140">
        <f t="shared" si="89"/>
        <v>3.1278360831355927E-2</v>
      </c>
      <c r="K111" s="140">
        <f t="shared" si="89"/>
        <v>3.365774117407605E-2</v>
      </c>
      <c r="L111" s="140">
        <f t="shared" si="89"/>
        <v>3.29391781957388E-2</v>
      </c>
      <c r="M111" s="140">
        <f t="shared" si="89"/>
        <v>3.1895107091140372E-2</v>
      </c>
      <c r="N111" s="140">
        <f t="shared" si="89"/>
        <v>3.2420319727784447E-2</v>
      </c>
      <c r="O111" s="140">
        <f t="shared" si="89"/>
        <v>3.0786695504684939E-2</v>
      </c>
      <c r="P111" s="140">
        <f t="shared" si="89"/>
        <v>3.1422147300451529E-2</v>
      </c>
      <c r="Q111" s="140">
        <f t="shared" si="89"/>
        <v>3.0385891059870114E-2</v>
      </c>
      <c r="R111" s="140">
        <f t="shared" si="89"/>
        <v>3.0893763885055658E-2</v>
      </c>
      <c r="S111" s="140">
        <f t="shared" si="89"/>
        <v>2.8868266347890605E-2</v>
      </c>
      <c r="T111" s="140">
        <f t="shared" si="89"/>
        <v>3.1364377891189101E-2</v>
      </c>
      <c r="U111" s="140">
        <f t="shared" si="89"/>
        <v>3.196445532790506E-2</v>
      </c>
      <c r="V111" s="140">
        <f t="shared" si="89"/>
        <v>3.2643230046567343E-2</v>
      </c>
      <c r="W111" s="140">
        <f t="shared" si="89"/>
        <v>3.1366371554393237E-2</v>
      </c>
      <c r="X111" s="140">
        <f t="shared" si="89"/>
        <v>3.0420028401215198E-2</v>
      </c>
      <c r="Y111" s="140">
        <f t="shared" si="89"/>
        <v>3.1119154512337033E-2</v>
      </c>
      <c r="DA111" s="175"/>
    </row>
    <row r="112" spans="1:105" ht="11.45" customHeight="1" x14ac:dyDescent="0.25">
      <c r="A112" s="128" t="str">
        <f>$A$20</f>
        <v>Heavy goods vehicles</v>
      </c>
      <c r="B112" s="140">
        <f t="shared" ref="B112:Y112" si="90">IF(B20=0,0,B20/B$17)</f>
        <v>0.53014569308878934</v>
      </c>
      <c r="C112" s="140">
        <f t="shared" si="90"/>
        <v>0.56649514493422493</v>
      </c>
      <c r="D112" s="140">
        <f t="shared" si="90"/>
        <v>0.5806816700379076</v>
      </c>
      <c r="E112" s="140">
        <f t="shared" si="90"/>
        <v>0.5868787761454155</v>
      </c>
      <c r="F112" s="140">
        <f t="shared" si="90"/>
        <v>0.59603473854897737</v>
      </c>
      <c r="G112" s="140">
        <f t="shared" si="90"/>
        <v>0.61397823359609083</v>
      </c>
      <c r="H112" s="140">
        <f t="shared" si="90"/>
        <v>0.60895870384001094</v>
      </c>
      <c r="I112" s="140">
        <f t="shared" si="90"/>
        <v>0.61664739887484199</v>
      </c>
      <c r="J112" s="140">
        <f t="shared" si="90"/>
        <v>0.63907638815493917</v>
      </c>
      <c r="K112" s="140">
        <f t="shared" si="90"/>
        <v>0.68661888535467308</v>
      </c>
      <c r="L112" s="140">
        <f t="shared" si="90"/>
        <v>0.68042428350545181</v>
      </c>
      <c r="M112" s="140">
        <f t="shared" si="90"/>
        <v>0.67682978009732531</v>
      </c>
      <c r="N112" s="140">
        <f t="shared" si="90"/>
        <v>0.69886397311139636</v>
      </c>
      <c r="O112" s="140">
        <f t="shared" si="90"/>
        <v>0.71209076823408546</v>
      </c>
      <c r="P112" s="140">
        <f t="shared" si="90"/>
        <v>0.71040025044065758</v>
      </c>
      <c r="Q112" s="140">
        <f t="shared" si="90"/>
        <v>0.72077756158791384</v>
      </c>
      <c r="R112" s="140">
        <f t="shared" si="90"/>
        <v>0.72819894410589614</v>
      </c>
      <c r="S112" s="140">
        <f t="shared" si="90"/>
        <v>0.73725672559022026</v>
      </c>
      <c r="T112" s="140">
        <f t="shared" si="90"/>
        <v>0.70738256387775322</v>
      </c>
      <c r="U112" s="140">
        <f t="shared" si="90"/>
        <v>0.73428455582106611</v>
      </c>
      <c r="V112" s="140">
        <f t="shared" si="90"/>
        <v>0.74795875370362119</v>
      </c>
      <c r="W112" s="140">
        <f t="shared" si="90"/>
        <v>0.75177985094276045</v>
      </c>
      <c r="X112" s="140">
        <f t="shared" si="90"/>
        <v>0.74337085266353464</v>
      </c>
      <c r="Y112" s="140">
        <f t="shared" si="90"/>
        <v>0.73320614306416387</v>
      </c>
      <c r="DA112" s="175"/>
    </row>
    <row r="113" spans="1:105" ht="11.45" customHeight="1" x14ac:dyDescent="0.25">
      <c r="A113" s="109" t="str">
        <f>$A$21</f>
        <v>Rail transport</v>
      </c>
      <c r="B113" s="124">
        <f t="shared" ref="B113:Y113" si="91">IF(B21=0,0,B21/B$17)</f>
        <v>0.42936340727955402</v>
      </c>
      <c r="C113" s="124">
        <f t="shared" si="91"/>
        <v>0.3915951112658726</v>
      </c>
      <c r="D113" s="124">
        <f t="shared" si="91"/>
        <v>0.37748856429584521</v>
      </c>
      <c r="E113" s="124">
        <f t="shared" si="91"/>
        <v>0.37332687981945734</v>
      </c>
      <c r="F113" s="124">
        <f t="shared" si="91"/>
        <v>0.37217670535875008</v>
      </c>
      <c r="G113" s="124">
        <f t="shared" si="91"/>
        <v>0.3534290527479822</v>
      </c>
      <c r="H113" s="124">
        <f t="shared" si="91"/>
        <v>0.35883010472509203</v>
      </c>
      <c r="I113" s="124">
        <f t="shared" si="91"/>
        <v>0.35092069938554304</v>
      </c>
      <c r="J113" s="124">
        <f t="shared" si="91"/>
        <v>0.32723879005971884</v>
      </c>
      <c r="K113" s="124">
        <f t="shared" si="91"/>
        <v>0.27786236688904886</v>
      </c>
      <c r="L113" s="124">
        <f t="shared" si="91"/>
        <v>0.28515677922919885</v>
      </c>
      <c r="M113" s="124">
        <f t="shared" si="91"/>
        <v>0.28962063540107164</v>
      </c>
      <c r="N113" s="124">
        <f t="shared" si="91"/>
        <v>0.26726203805974447</v>
      </c>
      <c r="O113" s="124">
        <f t="shared" si="91"/>
        <v>0.25598323221854186</v>
      </c>
      <c r="P113" s="124">
        <f t="shared" si="91"/>
        <v>0.25676538054456421</v>
      </c>
      <c r="Q113" s="124">
        <f t="shared" si="91"/>
        <v>0.24744750090311221</v>
      </c>
      <c r="R113" s="124">
        <f t="shared" si="91"/>
        <v>0.23918350670416533</v>
      </c>
      <c r="S113" s="124">
        <f t="shared" si="91"/>
        <v>0.23218857659814585</v>
      </c>
      <c r="T113" s="124">
        <f t="shared" si="91"/>
        <v>0.25944131976885604</v>
      </c>
      <c r="U113" s="124">
        <f t="shared" si="91"/>
        <v>0.23158636024532017</v>
      </c>
      <c r="V113" s="124">
        <f t="shared" si="91"/>
        <v>0.21821104412581993</v>
      </c>
      <c r="W113" s="124">
        <f t="shared" si="91"/>
        <v>0.2154421955360567</v>
      </c>
      <c r="X113" s="124">
        <f t="shared" si="91"/>
        <v>0.22411736907475224</v>
      </c>
      <c r="Y113" s="124">
        <f t="shared" si="91"/>
        <v>0.23343321510363718</v>
      </c>
      <c r="DA113" s="176"/>
    </row>
    <row r="114" spans="1:105" ht="11.45" customHeight="1" x14ac:dyDescent="0.25">
      <c r="A114" s="109" t="str">
        <f>$A$22</f>
        <v>Aviation</v>
      </c>
      <c r="B114" s="124">
        <f t="shared" ref="B114:Y114" si="92">IF(B22=0,0,B22/B$17)</f>
        <v>2.8575179213617311E-4</v>
      </c>
      <c r="C114" s="124">
        <f t="shared" si="92"/>
        <v>2.821814904741576E-4</v>
      </c>
      <c r="D114" s="124">
        <f t="shared" si="92"/>
        <v>2.7481223138192651E-4</v>
      </c>
      <c r="E114" s="124">
        <f t="shared" si="92"/>
        <v>2.6681570129675754E-4</v>
      </c>
      <c r="F114" s="124">
        <f t="shared" si="92"/>
        <v>2.1642787638124949E-4</v>
      </c>
      <c r="G114" s="124">
        <f t="shared" si="92"/>
        <v>2.2435743087089813E-4</v>
      </c>
      <c r="H114" s="124">
        <f t="shared" si="92"/>
        <v>2.7589217808044505E-4</v>
      </c>
      <c r="I114" s="124">
        <f t="shared" si="92"/>
        <v>3.7221159869373982E-4</v>
      </c>
      <c r="J114" s="124">
        <f t="shared" si="92"/>
        <v>4.1773217665046382E-4</v>
      </c>
      <c r="K114" s="124">
        <f t="shared" si="92"/>
        <v>3.9103823241915556E-4</v>
      </c>
      <c r="L114" s="124">
        <f t="shared" si="92"/>
        <v>5.5664267038476104E-4</v>
      </c>
      <c r="M114" s="124">
        <f t="shared" si="92"/>
        <v>5.1055511439952739E-4</v>
      </c>
      <c r="N114" s="124">
        <f t="shared" si="92"/>
        <v>4.8540917258254056E-4</v>
      </c>
      <c r="O114" s="124">
        <f t="shared" si="92"/>
        <v>4.7826851178913403E-4</v>
      </c>
      <c r="P114" s="124">
        <f t="shared" si="92"/>
        <v>7.1966846675640059E-4</v>
      </c>
      <c r="Q114" s="124">
        <f t="shared" si="92"/>
        <v>7.8783845958677859E-4</v>
      </c>
      <c r="R114" s="124">
        <f t="shared" si="92"/>
        <v>9.0365740801567147E-4</v>
      </c>
      <c r="S114" s="124">
        <f t="shared" si="92"/>
        <v>9.1876044526714121E-4</v>
      </c>
      <c r="T114" s="124">
        <f t="shared" si="92"/>
        <v>1.0379971449176817E-3</v>
      </c>
      <c r="U114" s="124">
        <f t="shared" si="92"/>
        <v>1.5180586990835136E-3</v>
      </c>
      <c r="V114" s="124">
        <f t="shared" si="92"/>
        <v>4.3127929715282705E-4</v>
      </c>
      <c r="W114" s="124">
        <f t="shared" si="92"/>
        <v>6.4503049860097105E-4</v>
      </c>
      <c r="X114" s="124">
        <f t="shared" si="92"/>
        <v>1.3323333741869618E-3</v>
      </c>
      <c r="Y114" s="124">
        <f t="shared" si="92"/>
        <v>1.6622893948854463E-3</v>
      </c>
      <c r="DA114" s="176"/>
    </row>
    <row r="115" spans="1:105" ht="11.45" customHeight="1" x14ac:dyDescent="0.25">
      <c r="A115" s="128" t="s">
        <v>27</v>
      </c>
      <c r="B115" s="140">
        <f t="shared" ref="B115:Q115" si="93">IF(B23=0,0,B23/B$17)</f>
        <v>7.9544289695890512E-6</v>
      </c>
      <c r="C115" s="140">
        <f t="shared" si="93"/>
        <v>6.2950918645554006E-6</v>
      </c>
      <c r="D115" s="140">
        <f t="shared" si="93"/>
        <v>7.0855016943507756E-6</v>
      </c>
      <c r="E115" s="140">
        <f t="shared" si="93"/>
        <v>7.3049538739039961E-6</v>
      </c>
      <c r="F115" s="140">
        <f t="shared" si="93"/>
        <v>4.6126315370664007E-6</v>
      </c>
      <c r="G115" s="140">
        <f t="shared" si="93"/>
        <v>3.7184787658422328E-6</v>
      </c>
      <c r="H115" s="140">
        <f t="shared" si="93"/>
        <v>8.459446467116334E-6</v>
      </c>
      <c r="I115" s="140">
        <f t="shared" si="93"/>
        <v>1.075201322213278E-5</v>
      </c>
      <c r="J115" s="140">
        <f t="shared" si="93"/>
        <v>1.1722416295799931E-5</v>
      </c>
      <c r="K115" s="140">
        <f t="shared" si="93"/>
        <v>1.2044846303483439E-5</v>
      </c>
      <c r="L115" s="140">
        <f t="shared" si="93"/>
        <v>1.0702937782684434E-5</v>
      </c>
      <c r="M115" s="140">
        <f t="shared" si="93"/>
        <v>1.2019301615589968E-5</v>
      </c>
      <c r="N115" s="140">
        <f t="shared" si="93"/>
        <v>1.3044801013271643E-5</v>
      </c>
      <c r="O115" s="140">
        <f t="shared" si="93"/>
        <v>1.0497393206951365E-5</v>
      </c>
      <c r="P115" s="140">
        <f t="shared" si="93"/>
        <v>6.878380026697681E-6</v>
      </c>
      <c r="Q115" s="140">
        <f t="shared" si="93"/>
        <v>4.5472243935817398E-6</v>
      </c>
      <c r="R115" s="140">
        <f t="shared" ref="R115:V116" si="94">IF(R23=0,0,R23/R$17)</f>
        <v>2.4677074365744221E-6</v>
      </c>
      <c r="S115" s="140">
        <f t="shared" si="94"/>
        <v>7.3141171124830762E-7</v>
      </c>
      <c r="T115" s="140">
        <f t="shared" si="94"/>
        <v>7.0298611463501754E-7</v>
      </c>
      <c r="U115" s="140">
        <f t="shared" si="94"/>
        <v>9.3546801770865371E-7</v>
      </c>
      <c r="V115" s="140">
        <f t="shared" si="94"/>
        <v>4.0683228485724559E-7</v>
      </c>
      <c r="W115" s="140">
        <f t="shared" ref="W115:Y120" si="95">IF(W23=0,0,W23/W$17)</f>
        <v>4.0311603535619857E-7</v>
      </c>
      <c r="X115" s="140">
        <f t="shared" si="95"/>
        <v>4.9443958365604808E-7</v>
      </c>
      <c r="Y115" s="140">
        <f t="shared" si="95"/>
        <v>3.8009283310251414E-7</v>
      </c>
      <c r="DA115" s="175"/>
    </row>
    <row r="116" spans="1:105" ht="11.45" customHeight="1" x14ac:dyDescent="0.25">
      <c r="A116" s="128" t="str">
        <f>$A$24</f>
        <v>International - Intra-EEAwCHUK</v>
      </c>
      <c r="B116" s="140">
        <f t="shared" ref="B116:Q116" si="96">IF(B24=0,0,B24/B$17)</f>
        <v>7.4463600510555854E-5</v>
      </c>
      <c r="C116" s="140">
        <f t="shared" si="96"/>
        <v>6.2261834731818666E-5</v>
      </c>
      <c r="D116" s="140">
        <f t="shared" si="96"/>
        <v>6.5732701163852931E-5</v>
      </c>
      <c r="E116" s="140">
        <f t="shared" si="96"/>
        <v>6.5343529308207007E-5</v>
      </c>
      <c r="F116" s="140">
        <f t="shared" si="96"/>
        <v>4.0472457023477576E-5</v>
      </c>
      <c r="G116" s="140">
        <f t="shared" si="96"/>
        <v>5.4634871765875022E-5</v>
      </c>
      <c r="H116" s="140">
        <f t="shared" si="96"/>
        <v>6.0790221548916635E-5</v>
      </c>
      <c r="I116" s="140">
        <f t="shared" si="96"/>
        <v>6.5374177909420365E-5</v>
      </c>
      <c r="J116" s="140">
        <f t="shared" si="96"/>
        <v>7.0738203777279203E-5</v>
      </c>
      <c r="K116" s="140">
        <f t="shared" si="96"/>
        <v>8.6376212748358157E-5</v>
      </c>
      <c r="L116" s="140">
        <f t="shared" si="96"/>
        <v>8.164809485113079E-5</v>
      </c>
      <c r="M116" s="140">
        <f t="shared" si="96"/>
        <v>8.7837277012793149E-5</v>
      </c>
      <c r="N116" s="140">
        <f t="shared" si="96"/>
        <v>1.0093181606243762E-4</v>
      </c>
      <c r="O116" s="140">
        <f t="shared" si="96"/>
        <v>1.001603586609397E-4</v>
      </c>
      <c r="P116" s="140">
        <f t="shared" si="96"/>
        <v>1.2255282586953021E-4</v>
      </c>
      <c r="Q116" s="140">
        <f t="shared" si="96"/>
        <v>1.3626877946871314E-4</v>
      </c>
      <c r="R116" s="140">
        <f t="shared" si="94"/>
        <v>1.3781921929185533E-4</v>
      </c>
      <c r="S116" s="140">
        <f t="shared" si="94"/>
        <v>1.3501358586992656E-4</v>
      </c>
      <c r="T116" s="140">
        <f t="shared" si="94"/>
        <v>1.5192809294737618E-4</v>
      </c>
      <c r="U116" s="140">
        <f t="shared" si="94"/>
        <v>1.6270326233139892E-4</v>
      </c>
      <c r="V116" s="140">
        <f t="shared" si="94"/>
        <v>1.4796889510230725E-4</v>
      </c>
      <c r="W116" s="140">
        <f t="shared" si="95"/>
        <v>1.8347284819060671E-4</v>
      </c>
      <c r="X116" s="140">
        <f t="shared" si="95"/>
        <v>2.2210018427646033E-4</v>
      </c>
      <c r="Y116" s="140">
        <f t="shared" si="95"/>
        <v>1.889631487318459E-4</v>
      </c>
      <c r="DA116" s="175"/>
    </row>
    <row r="117" spans="1:105" ht="11.45" customHeight="1" x14ac:dyDescent="0.25">
      <c r="A117" s="128" t="str">
        <f>$A$25</f>
        <v>International - Extra-EEAwCHUK</v>
      </c>
      <c r="B117" s="140">
        <f t="shared" ref="B117:Q117" si="97">IF(B25=0,0,B25/B$17)</f>
        <v>2.0333376265602819E-4</v>
      </c>
      <c r="C117" s="140">
        <f t="shared" si="97"/>
        <v>2.1362456387778356E-4</v>
      </c>
      <c r="D117" s="140">
        <f t="shared" si="97"/>
        <v>2.0199402852372279E-4</v>
      </c>
      <c r="E117" s="140">
        <f t="shared" si="97"/>
        <v>1.9416721811464649E-4</v>
      </c>
      <c r="F117" s="140">
        <f t="shared" si="97"/>
        <v>1.7134278782070551E-4</v>
      </c>
      <c r="G117" s="140">
        <f t="shared" si="97"/>
        <v>1.6600408033918087E-4</v>
      </c>
      <c r="H117" s="140">
        <f t="shared" si="97"/>
        <v>2.0664251006441206E-4</v>
      </c>
      <c r="I117" s="140">
        <f t="shared" si="97"/>
        <v>2.9608540756218666E-4</v>
      </c>
      <c r="J117" s="140">
        <f t="shared" si="97"/>
        <v>3.3527155657738465E-4</v>
      </c>
      <c r="K117" s="140">
        <f t="shared" si="97"/>
        <v>2.9261717336731395E-4</v>
      </c>
      <c r="L117" s="140">
        <f t="shared" si="97"/>
        <v>4.6429163775094589E-4</v>
      </c>
      <c r="M117" s="140">
        <f t="shared" si="97"/>
        <v>4.1069853577114433E-4</v>
      </c>
      <c r="N117" s="140">
        <f t="shared" si="97"/>
        <v>3.7143255550683133E-4</v>
      </c>
      <c r="O117" s="140">
        <f t="shared" si="97"/>
        <v>3.6761075992124294E-4</v>
      </c>
      <c r="P117" s="140">
        <f t="shared" si="97"/>
        <v>5.9023726086017273E-4</v>
      </c>
      <c r="Q117" s="140">
        <f t="shared" si="97"/>
        <v>6.4702245572448357E-4</v>
      </c>
      <c r="R117" s="140">
        <f t="shared" ref="R117:V120" si="98">IF(R25=0,0,R25/R$17)</f>
        <v>7.6337048128724181E-4</v>
      </c>
      <c r="S117" s="140">
        <f t="shared" si="98"/>
        <v>7.8301544768596628E-4</v>
      </c>
      <c r="T117" s="140">
        <f t="shared" si="98"/>
        <v>8.8536606585567059E-4</v>
      </c>
      <c r="U117" s="140">
        <f t="shared" si="98"/>
        <v>1.354419968734406E-3</v>
      </c>
      <c r="V117" s="140">
        <f t="shared" si="98"/>
        <v>2.8290356976566253E-4</v>
      </c>
      <c r="W117" s="140">
        <f t="shared" si="95"/>
        <v>4.6115453437500819E-4</v>
      </c>
      <c r="X117" s="140">
        <f t="shared" si="95"/>
        <v>1.1097387503268454E-3</v>
      </c>
      <c r="Y117" s="140">
        <f t="shared" si="95"/>
        <v>1.4729461533204979E-3</v>
      </c>
      <c r="DA117" s="175"/>
    </row>
    <row r="118" spans="1:105" ht="11.45" customHeight="1" x14ac:dyDescent="0.25">
      <c r="A118" s="109" t="s">
        <v>141</v>
      </c>
      <c r="B118" s="124">
        <f t="shared" ref="B118:Q118" si="99">IF(B26=0,0,B26/B$17)</f>
        <v>9.4411367927085613E-3</v>
      </c>
      <c r="C118" s="124">
        <f t="shared" si="99"/>
        <v>1.0491612937218812E-2</v>
      </c>
      <c r="D118" s="124">
        <f t="shared" si="99"/>
        <v>9.2392837301428117E-3</v>
      </c>
      <c r="E118" s="124">
        <f t="shared" si="99"/>
        <v>6.9883402531664852E-3</v>
      </c>
      <c r="F118" s="124">
        <f t="shared" si="99"/>
        <v>2.7384629984583855E-3</v>
      </c>
      <c r="G118" s="124">
        <f t="shared" si="99"/>
        <v>2.6447628155167385E-3</v>
      </c>
      <c r="H118" s="124">
        <f t="shared" si="99"/>
        <v>2.2269188221349604E-3</v>
      </c>
      <c r="I118" s="124">
        <f t="shared" si="99"/>
        <v>2.0004931322868918E-3</v>
      </c>
      <c r="J118" s="124">
        <f t="shared" si="99"/>
        <v>1.9887287773356251E-3</v>
      </c>
      <c r="K118" s="124">
        <f t="shared" si="99"/>
        <v>1.4699683497827469E-3</v>
      </c>
      <c r="L118" s="124">
        <f t="shared" si="99"/>
        <v>9.2311639922571735E-4</v>
      </c>
      <c r="M118" s="124">
        <f t="shared" si="99"/>
        <v>1.1439222960631542E-3</v>
      </c>
      <c r="N118" s="124">
        <f t="shared" si="99"/>
        <v>9.6825992849201349E-4</v>
      </c>
      <c r="O118" s="124">
        <f t="shared" si="99"/>
        <v>6.6103553089873733E-4</v>
      </c>
      <c r="P118" s="124">
        <f t="shared" si="99"/>
        <v>6.9255324757030241E-4</v>
      </c>
      <c r="Q118" s="124">
        <f t="shared" si="99"/>
        <v>6.0120798951712219E-4</v>
      </c>
      <c r="R118" s="124">
        <f t="shared" si="98"/>
        <v>8.2012789686724185E-4</v>
      </c>
      <c r="S118" s="124">
        <f t="shared" si="98"/>
        <v>7.6767101847618081E-4</v>
      </c>
      <c r="T118" s="124">
        <f t="shared" si="98"/>
        <v>7.7374131728397881E-4</v>
      </c>
      <c r="U118" s="124">
        <f t="shared" si="98"/>
        <v>6.4656990662511585E-4</v>
      </c>
      <c r="V118" s="124">
        <f t="shared" si="98"/>
        <v>7.5569282683873667E-4</v>
      </c>
      <c r="W118" s="124">
        <f t="shared" si="95"/>
        <v>7.6655146818868235E-4</v>
      </c>
      <c r="X118" s="124">
        <f t="shared" si="95"/>
        <v>7.5941648631091261E-4</v>
      </c>
      <c r="Y118" s="124">
        <f t="shared" si="95"/>
        <v>5.791979249763898E-4</v>
      </c>
      <c r="DA118" s="176"/>
    </row>
    <row r="119" spans="1:105" ht="11.45" customHeight="1" x14ac:dyDescent="0.25">
      <c r="A119" s="128" t="str">
        <f>$A$27</f>
        <v>Domestic coastal shipping</v>
      </c>
      <c r="B119" s="140">
        <f t="shared" ref="B119:Q119" si="100">IF(B27=0,0,B27/B$17)</f>
        <v>1.1440944569158338E-4</v>
      </c>
      <c r="C119" s="140">
        <f t="shared" si="100"/>
        <v>1.1475296572902236E-4</v>
      </c>
      <c r="D119" s="140">
        <f t="shared" si="100"/>
        <v>1.1799352848783866E-4</v>
      </c>
      <c r="E119" s="140">
        <f t="shared" si="100"/>
        <v>1.2139994471906584E-4</v>
      </c>
      <c r="F119" s="140">
        <f t="shared" si="100"/>
        <v>1.0708294451935145E-4</v>
      </c>
      <c r="G119" s="140">
        <f t="shared" si="100"/>
        <v>3.3204168671280456E-4</v>
      </c>
      <c r="H119" s="140">
        <f t="shared" si="100"/>
        <v>2.9297565952350255E-4</v>
      </c>
      <c r="I119" s="140">
        <f t="shared" si="100"/>
        <v>2.087943556331508E-4</v>
      </c>
      <c r="J119" s="140">
        <f t="shared" si="100"/>
        <v>2.4699319624802216E-4</v>
      </c>
      <c r="K119" s="140">
        <f t="shared" si="100"/>
        <v>1.7803146149668694E-4</v>
      </c>
      <c r="L119" s="140">
        <f t="shared" si="100"/>
        <v>1.6199574837270718E-4</v>
      </c>
      <c r="M119" s="140">
        <f t="shared" si="100"/>
        <v>2.7634289853454679E-4</v>
      </c>
      <c r="N119" s="140">
        <f t="shared" si="100"/>
        <v>2.5232579386169363E-4</v>
      </c>
      <c r="O119" s="140">
        <f t="shared" si="100"/>
        <v>2.0321288331147863E-4</v>
      </c>
      <c r="P119" s="140">
        <f t="shared" si="100"/>
        <v>1.2849293842361533E-4</v>
      </c>
      <c r="Q119" s="140">
        <f t="shared" si="100"/>
        <v>1.7089002260856201E-4</v>
      </c>
      <c r="R119" s="140">
        <f t="shared" si="98"/>
        <v>3.1012160419103543E-4</v>
      </c>
      <c r="S119" s="140">
        <f t="shared" si="98"/>
        <v>2.8038729292940317E-4</v>
      </c>
      <c r="T119" s="140">
        <f t="shared" si="98"/>
        <v>2.2766862631767246E-4</v>
      </c>
      <c r="U119" s="140">
        <f t="shared" si="98"/>
        <v>2.7745050640998219E-4</v>
      </c>
      <c r="V119" s="140">
        <f t="shared" si="98"/>
        <v>4.2685592379959202E-4</v>
      </c>
      <c r="W119" s="140">
        <f t="shared" si="95"/>
        <v>5.5264228844081865E-4</v>
      </c>
      <c r="X119" s="140">
        <f t="shared" si="95"/>
        <v>6.0825648963283466E-4</v>
      </c>
      <c r="Y119" s="140">
        <f t="shared" si="95"/>
        <v>4.6837590258127674E-4</v>
      </c>
      <c r="DA119" s="175"/>
    </row>
    <row r="120" spans="1:105" ht="11.45" customHeight="1" x14ac:dyDescent="0.25">
      <c r="A120" s="138" t="str">
        <f>$A$28</f>
        <v>Inland waterways</v>
      </c>
      <c r="B120" s="127">
        <f t="shared" ref="B120:Q120" si="101">IF(B28=0,0,B28/B$17)</f>
        <v>9.3267273470169793E-3</v>
      </c>
      <c r="C120" s="127">
        <f t="shared" si="101"/>
        <v>1.0376859971489788E-2</v>
      </c>
      <c r="D120" s="127">
        <f t="shared" si="101"/>
        <v>9.1212902016549729E-3</v>
      </c>
      <c r="E120" s="127">
        <f t="shared" si="101"/>
        <v>6.8669403084474188E-3</v>
      </c>
      <c r="F120" s="127">
        <f t="shared" si="101"/>
        <v>2.6313800539390338E-3</v>
      </c>
      <c r="G120" s="127">
        <f t="shared" si="101"/>
        <v>2.3127211288039339E-3</v>
      </c>
      <c r="H120" s="127">
        <f t="shared" si="101"/>
        <v>1.933943162611458E-3</v>
      </c>
      <c r="I120" s="127">
        <f t="shared" si="101"/>
        <v>1.7916987766537413E-3</v>
      </c>
      <c r="J120" s="127">
        <f t="shared" si="101"/>
        <v>1.7417355810876031E-3</v>
      </c>
      <c r="K120" s="127">
        <f t="shared" si="101"/>
        <v>1.29193688828606E-3</v>
      </c>
      <c r="L120" s="127">
        <f t="shared" si="101"/>
        <v>7.6112065085301005E-4</v>
      </c>
      <c r="M120" s="127">
        <f t="shared" si="101"/>
        <v>8.675793975286073E-4</v>
      </c>
      <c r="N120" s="127">
        <f t="shared" si="101"/>
        <v>7.159341346303198E-4</v>
      </c>
      <c r="O120" s="127">
        <f t="shared" si="101"/>
        <v>4.578226475872587E-4</v>
      </c>
      <c r="P120" s="127">
        <f t="shared" si="101"/>
        <v>5.6406030914668711E-4</v>
      </c>
      <c r="Q120" s="127">
        <f t="shared" si="101"/>
        <v>4.3031796690856021E-4</v>
      </c>
      <c r="R120" s="127">
        <f t="shared" si="98"/>
        <v>5.1000629267620643E-4</v>
      </c>
      <c r="S120" s="127">
        <f t="shared" si="98"/>
        <v>4.8728372554677764E-4</v>
      </c>
      <c r="T120" s="127">
        <f t="shared" si="98"/>
        <v>5.460726909663064E-4</v>
      </c>
      <c r="U120" s="127">
        <f t="shared" si="98"/>
        <v>3.6911940021513366E-4</v>
      </c>
      <c r="V120" s="127">
        <f t="shared" si="98"/>
        <v>3.2883690303914465E-4</v>
      </c>
      <c r="W120" s="127">
        <f t="shared" si="95"/>
        <v>2.1390917974786368E-4</v>
      </c>
      <c r="X120" s="127">
        <f t="shared" si="95"/>
        <v>1.5115999667807793E-4</v>
      </c>
      <c r="Y120" s="127">
        <f t="shared" si="95"/>
        <v>1.10822022395113E-4</v>
      </c>
      <c r="DA120" s="178"/>
    </row>
    <row r="121" spans="1:105" ht="11.45" customHeight="1" x14ac:dyDescent="0.25">
      <c r="A121" s="27" t="s">
        <v>171</v>
      </c>
      <c r="B121" s="31">
        <f t="shared" ref="B121:Y121" si="102">IF(B29=0,0,B29/B$29)</f>
        <v>1</v>
      </c>
      <c r="C121" s="31">
        <f t="shared" si="102"/>
        <v>1</v>
      </c>
      <c r="D121" s="31">
        <f t="shared" si="102"/>
        <v>1</v>
      </c>
      <c r="E121" s="31">
        <f t="shared" si="102"/>
        <v>1</v>
      </c>
      <c r="F121" s="31">
        <f t="shared" si="102"/>
        <v>1</v>
      </c>
      <c r="G121" s="31">
        <f t="shared" si="102"/>
        <v>1</v>
      </c>
      <c r="H121" s="31">
        <f t="shared" si="102"/>
        <v>1</v>
      </c>
      <c r="I121" s="31">
        <f t="shared" si="102"/>
        <v>1</v>
      </c>
      <c r="J121" s="31">
        <f t="shared" si="102"/>
        <v>1</v>
      </c>
      <c r="K121" s="31">
        <f t="shared" si="102"/>
        <v>1</v>
      </c>
      <c r="L121" s="31">
        <f t="shared" si="102"/>
        <v>1</v>
      </c>
      <c r="M121" s="31">
        <f t="shared" si="102"/>
        <v>1</v>
      </c>
      <c r="N121" s="31">
        <f t="shared" si="102"/>
        <v>1</v>
      </c>
      <c r="O121" s="31">
        <f t="shared" si="102"/>
        <v>1</v>
      </c>
      <c r="P121" s="31">
        <f t="shared" si="102"/>
        <v>1</v>
      </c>
      <c r="Q121" s="31">
        <f t="shared" si="102"/>
        <v>1</v>
      </c>
      <c r="R121" s="31">
        <f t="shared" si="102"/>
        <v>1</v>
      </c>
      <c r="S121" s="31">
        <f t="shared" si="102"/>
        <v>1</v>
      </c>
      <c r="T121" s="31">
        <f t="shared" si="102"/>
        <v>1</v>
      </c>
      <c r="U121" s="31">
        <f t="shared" si="102"/>
        <v>1</v>
      </c>
      <c r="V121" s="31">
        <f t="shared" si="102"/>
        <v>1</v>
      </c>
      <c r="W121" s="31">
        <f t="shared" si="102"/>
        <v>1</v>
      </c>
      <c r="X121" s="31">
        <f t="shared" si="102"/>
        <v>1</v>
      </c>
      <c r="Y121" s="31">
        <f t="shared" si="102"/>
        <v>1</v>
      </c>
      <c r="DA121" s="173"/>
    </row>
    <row r="122" spans="1:105" ht="11.45" customHeight="1" x14ac:dyDescent="0.25">
      <c r="A122" s="128" t="str">
        <f>$A$30</f>
        <v>Intra-EEA</v>
      </c>
      <c r="B122" s="140">
        <f t="shared" ref="B122:Y122" si="103">IF(B30=0,0,B30/B$29)</f>
        <v>0.27221837395248977</v>
      </c>
      <c r="C122" s="140">
        <f t="shared" si="103"/>
        <v>0.26742426329086966</v>
      </c>
      <c r="D122" s="140">
        <f t="shared" si="103"/>
        <v>0.26764332316327533</v>
      </c>
      <c r="E122" s="140">
        <f t="shared" si="103"/>
        <v>0.26828575988582748</v>
      </c>
      <c r="F122" s="140">
        <f t="shared" si="103"/>
        <v>0.26814575645959093</v>
      </c>
      <c r="G122" s="140">
        <f t="shared" si="103"/>
        <v>0.22852514839055008</v>
      </c>
      <c r="H122" s="140">
        <f t="shared" si="103"/>
        <v>0.18641224051035168</v>
      </c>
      <c r="I122" s="140">
        <f t="shared" si="103"/>
        <v>0.25872089008720306</v>
      </c>
      <c r="J122" s="140">
        <f t="shared" si="103"/>
        <v>0.22063461999855119</v>
      </c>
      <c r="K122" s="140">
        <f t="shared" si="103"/>
        <v>0.23296321252217747</v>
      </c>
      <c r="L122" s="140">
        <f t="shared" si="103"/>
        <v>0.24056107379803474</v>
      </c>
      <c r="M122" s="140">
        <f t="shared" si="103"/>
        <v>0.23327357701995607</v>
      </c>
      <c r="N122" s="140">
        <f t="shared" si="103"/>
        <v>0.1630846050869621</v>
      </c>
      <c r="O122" s="140">
        <f t="shared" si="103"/>
        <v>0.16160171769313403</v>
      </c>
      <c r="P122" s="140">
        <f t="shared" si="103"/>
        <v>0.1418082619532359</v>
      </c>
      <c r="Q122" s="140">
        <f t="shared" si="103"/>
        <v>0.1544293402090117</v>
      </c>
      <c r="R122" s="140">
        <f t="shared" si="103"/>
        <v>0.12799156150613783</v>
      </c>
      <c r="S122" s="140">
        <f t="shared" si="103"/>
        <v>9.6683141083667545E-2</v>
      </c>
      <c r="T122" s="140">
        <f t="shared" si="103"/>
        <v>9.5466042513105628E-2</v>
      </c>
      <c r="U122" s="140">
        <f t="shared" si="103"/>
        <v>9.1481898843293441E-2</v>
      </c>
      <c r="V122" s="140">
        <f t="shared" si="103"/>
        <v>0.10365931218345288</v>
      </c>
      <c r="W122" s="140">
        <f t="shared" si="103"/>
        <v>0.10011669883566213</v>
      </c>
      <c r="X122" s="140">
        <f t="shared" si="103"/>
        <v>9.5966397192695674E-2</v>
      </c>
      <c r="Y122" s="140">
        <f t="shared" si="103"/>
        <v>0.13836994582792461</v>
      </c>
      <c r="DA122" s="175"/>
    </row>
    <row r="123" spans="1:105" ht="11.45" customHeight="1" x14ac:dyDescent="0.25">
      <c r="A123" s="138" t="str">
        <f>$A$31</f>
        <v>Extra-EEA</v>
      </c>
      <c r="B123" s="127">
        <f t="shared" ref="B123:Y123" si="104">IF(B31=0,0,B31/B$29)</f>
        <v>0.72778162604751018</v>
      </c>
      <c r="C123" s="127">
        <f t="shared" si="104"/>
        <v>0.73257573670913045</v>
      </c>
      <c r="D123" s="127">
        <f t="shared" si="104"/>
        <v>0.73235667683672456</v>
      </c>
      <c r="E123" s="127">
        <f t="shared" si="104"/>
        <v>0.73171424011417252</v>
      </c>
      <c r="F123" s="127">
        <f t="shared" si="104"/>
        <v>0.73185424354040907</v>
      </c>
      <c r="G123" s="127">
        <f t="shared" si="104"/>
        <v>0.77147485160944995</v>
      </c>
      <c r="H123" s="127">
        <f t="shared" si="104"/>
        <v>0.81358775948964834</v>
      </c>
      <c r="I123" s="127">
        <f t="shared" si="104"/>
        <v>0.74127910991279689</v>
      </c>
      <c r="J123" s="127">
        <f t="shared" si="104"/>
        <v>0.77936538000144873</v>
      </c>
      <c r="K123" s="127">
        <f t="shared" si="104"/>
        <v>0.76703678747782256</v>
      </c>
      <c r="L123" s="127">
        <f t="shared" si="104"/>
        <v>0.75943892620196529</v>
      </c>
      <c r="M123" s="127">
        <f t="shared" si="104"/>
        <v>0.76672642298004401</v>
      </c>
      <c r="N123" s="127">
        <f t="shared" si="104"/>
        <v>0.8369153949130379</v>
      </c>
      <c r="O123" s="127">
        <f t="shared" si="104"/>
        <v>0.83839828230686608</v>
      </c>
      <c r="P123" s="127">
        <f t="shared" si="104"/>
        <v>0.85819173804676419</v>
      </c>
      <c r="Q123" s="127">
        <f t="shared" si="104"/>
        <v>0.84557065979098833</v>
      </c>
      <c r="R123" s="127">
        <f t="shared" si="104"/>
        <v>0.87200843849386211</v>
      </c>
      <c r="S123" s="127">
        <f t="shared" si="104"/>
        <v>0.9033168589163324</v>
      </c>
      <c r="T123" s="127">
        <f t="shared" si="104"/>
        <v>0.90453395748689436</v>
      </c>
      <c r="U123" s="127">
        <f t="shared" si="104"/>
        <v>0.9085181011567065</v>
      </c>
      <c r="V123" s="127">
        <f t="shared" si="104"/>
        <v>0.89634068781654719</v>
      </c>
      <c r="W123" s="127">
        <f t="shared" si="104"/>
        <v>0.8998833011643379</v>
      </c>
      <c r="X123" s="127">
        <f t="shared" si="104"/>
        <v>0.90403360280730438</v>
      </c>
      <c r="Y123" s="127">
        <f t="shared" si="104"/>
        <v>0.86163005417207539</v>
      </c>
      <c r="DA123" s="178"/>
    </row>
    <row r="124" spans="1:105" x14ac:dyDescent="0.25">
      <c r="A124" s="106"/>
      <c r="B124" s="106"/>
      <c r="C124" s="106"/>
      <c r="D124" s="106"/>
      <c r="E124" s="106"/>
      <c r="F124" s="106"/>
      <c r="G124" s="106"/>
      <c r="H124" s="106"/>
      <c r="I124" s="106"/>
      <c r="J124" s="106"/>
      <c r="K124" s="106"/>
      <c r="L124" s="106"/>
      <c r="M124" s="106"/>
      <c r="N124" s="106"/>
      <c r="O124" s="106"/>
      <c r="P124" s="106"/>
      <c r="Q124" s="106"/>
      <c r="R124" s="106"/>
      <c r="S124" s="106"/>
      <c r="T124" s="106"/>
      <c r="U124" s="106"/>
      <c r="V124" s="106"/>
      <c r="W124" s="106"/>
      <c r="X124" s="106"/>
      <c r="Y124" s="106"/>
      <c r="DA124" s="171"/>
    </row>
    <row r="125" spans="1:105" ht="11.45" customHeight="1" x14ac:dyDescent="0.25">
      <c r="A125" s="53" t="s">
        <v>40</v>
      </c>
      <c r="B125" s="65"/>
      <c r="C125" s="65"/>
      <c r="D125" s="65"/>
      <c r="E125" s="65"/>
      <c r="F125" s="65"/>
      <c r="G125" s="65"/>
      <c r="H125" s="65"/>
      <c r="I125" s="65"/>
      <c r="J125" s="65"/>
      <c r="K125" s="65"/>
      <c r="L125" s="65"/>
      <c r="M125" s="65"/>
      <c r="N125" s="65"/>
      <c r="O125" s="65"/>
      <c r="P125" s="65"/>
      <c r="Q125" s="65"/>
      <c r="R125" s="65"/>
      <c r="S125" s="65"/>
      <c r="T125" s="65"/>
      <c r="U125" s="65"/>
      <c r="V125" s="65"/>
      <c r="W125" s="65"/>
      <c r="X125" s="65"/>
      <c r="Y125" s="65"/>
      <c r="DA125" s="172"/>
    </row>
    <row r="126" spans="1:105" ht="11.45" customHeight="1" x14ac:dyDescent="0.25">
      <c r="A126" s="27" t="s">
        <v>33</v>
      </c>
      <c r="B126" s="31">
        <f t="shared" ref="B126:B138" si="105">IF(B34=0,0,B34/B$34)</f>
        <v>1</v>
      </c>
      <c r="C126" s="31">
        <f t="shared" ref="C126:Y126" si="106">IF(C34=0,0,C34/C$34)</f>
        <v>1</v>
      </c>
      <c r="D126" s="31">
        <f t="shared" si="106"/>
        <v>1</v>
      </c>
      <c r="E126" s="31">
        <f t="shared" si="106"/>
        <v>1</v>
      </c>
      <c r="F126" s="31">
        <f t="shared" si="106"/>
        <v>1</v>
      </c>
      <c r="G126" s="31">
        <f t="shared" si="106"/>
        <v>1</v>
      </c>
      <c r="H126" s="31">
        <f t="shared" si="106"/>
        <v>1</v>
      </c>
      <c r="I126" s="31">
        <f t="shared" si="106"/>
        <v>1</v>
      </c>
      <c r="J126" s="31">
        <f t="shared" si="106"/>
        <v>1</v>
      </c>
      <c r="K126" s="31">
        <f t="shared" si="106"/>
        <v>1</v>
      </c>
      <c r="L126" s="31">
        <f t="shared" si="106"/>
        <v>1</v>
      </c>
      <c r="M126" s="31">
        <f t="shared" si="106"/>
        <v>1</v>
      </c>
      <c r="N126" s="31">
        <f t="shared" si="106"/>
        <v>1</v>
      </c>
      <c r="O126" s="31">
        <f t="shared" si="106"/>
        <v>1</v>
      </c>
      <c r="P126" s="31">
        <f t="shared" si="106"/>
        <v>1</v>
      </c>
      <c r="Q126" s="31">
        <f t="shared" si="106"/>
        <v>1</v>
      </c>
      <c r="R126" s="31">
        <f t="shared" si="106"/>
        <v>1</v>
      </c>
      <c r="S126" s="31">
        <f t="shared" si="106"/>
        <v>1</v>
      </c>
      <c r="T126" s="31">
        <f t="shared" si="106"/>
        <v>1</v>
      </c>
      <c r="U126" s="31">
        <f t="shared" si="106"/>
        <v>1</v>
      </c>
      <c r="V126" s="31">
        <f t="shared" si="106"/>
        <v>1</v>
      </c>
      <c r="W126" s="31">
        <f t="shared" si="106"/>
        <v>1</v>
      </c>
      <c r="X126" s="31">
        <f t="shared" si="106"/>
        <v>1</v>
      </c>
      <c r="Y126" s="31">
        <f t="shared" si="106"/>
        <v>1</v>
      </c>
      <c r="DA126" s="173"/>
    </row>
    <row r="127" spans="1:105" ht="11.45" customHeight="1" x14ac:dyDescent="0.25">
      <c r="A127" s="136" t="str">
        <f>$A$5</f>
        <v>Road transport</v>
      </c>
      <c r="B127" s="139">
        <f t="shared" si="105"/>
        <v>0.91593725621150268</v>
      </c>
      <c r="C127" s="139">
        <f t="shared" ref="C127:Y127" si="107">IF(C35=0,0,C35/C$34)</f>
        <v>0.91178262661950726</v>
      </c>
      <c r="D127" s="139">
        <f t="shared" si="107"/>
        <v>0.9102250242183697</v>
      </c>
      <c r="E127" s="139">
        <f t="shared" si="107"/>
        <v>0.91009963396445581</v>
      </c>
      <c r="F127" s="139">
        <f t="shared" si="107"/>
        <v>0.92461692038611576</v>
      </c>
      <c r="G127" s="139">
        <f t="shared" si="107"/>
        <v>0.92160464599967806</v>
      </c>
      <c r="H127" s="139">
        <f t="shared" si="107"/>
        <v>0.92332812972435918</v>
      </c>
      <c r="I127" s="139">
        <f t="shared" si="107"/>
        <v>0.92531221392118934</v>
      </c>
      <c r="J127" s="139">
        <f t="shared" si="107"/>
        <v>0.92253972304994791</v>
      </c>
      <c r="K127" s="139">
        <f t="shared" si="107"/>
        <v>0.93121474860378417</v>
      </c>
      <c r="L127" s="139">
        <f t="shared" si="107"/>
        <v>0.93407519837724484</v>
      </c>
      <c r="M127" s="139">
        <f t="shared" si="107"/>
        <v>0.93610252201170174</v>
      </c>
      <c r="N127" s="139">
        <f t="shared" si="107"/>
        <v>0.93038186817465318</v>
      </c>
      <c r="O127" s="139">
        <f t="shared" si="107"/>
        <v>0.9290525837878163</v>
      </c>
      <c r="P127" s="139">
        <f t="shared" si="107"/>
        <v>0.92416600687894079</v>
      </c>
      <c r="Q127" s="139">
        <f t="shared" si="107"/>
        <v>0.92326212333090352</v>
      </c>
      <c r="R127" s="139">
        <f t="shared" si="107"/>
        <v>0.92359687370692567</v>
      </c>
      <c r="S127" s="139">
        <f t="shared" si="107"/>
        <v>0.91826533318583192</v>
      </c>
      <c r="T127" s="139">
        <f t="shared" si="107"/>
        <v>0.90952824464529147</v>
      </c>
      <c r="U127" s="139">
        <f t="shared" si="107"/>
        <v>0.90839177589533204</v>
      </c>
      <c r="V127" s="139">
        <f t="shared" si="107"/>
        <v>0.94935560123456753</v>
      </c>
      <c r="W127" s="139">
        <f t="shared" si="107"/>
        <v>0.93951344699915529</v>
      </c>
      <c r="X127" s="139">
        <f t="shared" si="107"/>
        <v>0.91317092924695498</v>
      </c>
      <c r="Y127" s="139">
        <f t="shared" si="107"/>
        <v>0.89997296354039602</v>
      </c>
      <c r="DA127" s="174"/>
    </row>
    <row r="128" spans="1:105" ht="11.45" customHeight="1" x14ac:dyDescent="0.25">
      <c r="A128" s="128" t="str">
        <f>$A$6</f>
        <v>Powered two-wheelers</v>
      </c>
      <c r="B128" s="140">
        <f t="shared" si="105"/>
        <v>1.50992926610014E-2</v>
      </c>
      <c r="C128" s="140">
        <f t="shared" ref="C128:Y128" si="108">IF(C36=0,0,C36/C$34)</f>
        <v>1.3323853261798009E-2</v>
      </c>
      <c r="D128" s="140">
        <f t="shared" si="108"/>
        <v>1.3112140914022966E-2</v>
      </c>
      <c r="E128" s="140">
        <f t="shared" si="108"/>
        <v>1.0994860425764853E-2</v>
      </c>
      <c r="F128" s="140">
        <f t="shared" si="108"/>
        <v>9.5454253765552589E-3</v>
      </c>
      <c r="G128" s="140">
        <f t="shared" si="108"/>
        <v>1.0156264274664034E-2</v>
      </c>
      <c r="H128" s="140">
        <f t="shared" si="108"/>
        <v>9.6504151062894918E-3</v>
      </c>
      <c r="I128" s="140">
        <f t="shared" si="108"/>
        <v>9.4331303937454734E-3</v>
      </c>
      <c r="J128" s="140">
        <f t="shared" si="108"/>
        <v>9.1606630937594302E-3</v>
      </c>
      <c r="K128" s="140">
        <f t="shared" si="108"/>
        <v>9.0836350103082695E-3</v>
      </c>
      <c r="L128" s="140">
        <f t="shared" si="108"/>
        <v>9.1962563592795019E-3</v>
      </c>
      <c r="M128" s="140">
        <f t="shared" si="108"/>
        <v>8.9578990714410094E-3</v>
      </c>
      <c r="N128" s="140">
        <f t="shared" si="108"/>
        <v>8.9533425784268841E-3</v>
      </c>
      <c r="O128" s="140">
        <f t="shared" si="108"/>
        <v>9.0030005625432053E-3</v>
      </c>
      <c r="P128" s="140">
        <f t="shared" si="108"/>
        <v>8.97798388540429E-3</v>
      </c>
      <c r="Q128" s="140">
        <f t="shared" si="108"/>
        <v>8.6961385494065523E-3</v>
      </c>
      <c r="R128" s="140">
        <f t="shared" si="108"/>
        <v>8.5440389861694468E-3</v>
      </c>
      <c r="S128" s="140">
        <f t="shared" si="108"/>
        <v>7.2452391033152623E-3</v>
      </c>
      <c r="T128" s="140">
        <f t="shared" si="108"/>
        <v>6.5421677969590844E-3</v>
      </c>
      <c r="U128" s="140">
        <f t="shared" si="108"/>
        <v>6.7387772361257574E-3</v>
      </c>
      <c r="V128" s="140">
        <f t="shared" si="108"/>
        <v>6.5670060130999745E-3</v>
      </c>
      <c r="W128" s="140">
        <f t="shared" si="108"/>
        <v>6.7638422913746344E-3</v>
      </c>
      <c r="X128" s="140">
        <f t="shared" si="108"/>
        <v>6.4246688913976394E-3</v>
      </c>
      <c r="Y128" s="140">
        <f t="shared" si="108"/>
        <v>6.816344934560843E-3</v>
      </c>
      <c r="DA128" s="175"/>
    </row>
    <row r="129" spans="1:105" ht="11.45" customHeight="1" x14ac:dyDescent="0.25">
      <c r="A129" s="128" t="str">
        <f>$A$7</f>
        <v>Passenger cars</v>
      </c>
      <c r="B129" s="140">
        <f t="shared" si="105"/>
        <v>0.75667051586215761</v>
      </c>
      <c r="C129" s="140">
        <f t="shared" ref="C129:Y129" si="109">IF(C37=0,0,C37/C$34)</f>
        <v>0.761253456457891</v>
      </c>
      <c r="D129" s="140">
        <f t="shared" si="109"/>
        <v>0.7617517037254935</v>
      </c>
      <c r="E129" s="140">
        <f t="shared" si="109"/>
        <v>0.77484213458764895</v>
      </c>
      <c r="F129" s="140">
        <f t="shared" si="109"/>
        <v>0.79539287202602038</v>
      </c>
      <c r="G129" s="140">
        <f t="shared" si="109"/>
        <v>0.79569879484924888</v>
      </c>
      <c r="H129" s="140">
        <f t="shared" si="109"/>
        <v>0.81377622978332054</v>
      </c>
      <c r="I129" s="140">
        <f t="shared" si="109"/>
        <v>0.82345273277688125</v>
      </c>
      <c r="J129" s="140">
        <f t="shared" si="109"/>
        <v>0.82883647302162489</v>
      </c>
      <c r="K129" s="140">
        <f t="shared" si="109"/>
        <v>0.83977372699626751</v>
      </c>
      <c r="L129" s="140">
        <f t="shared" si="109"/>
        <v>0.84678898381200407</v>
      </c>
      <c r="M129" s="140">
        <f t="shared" si="109"/>
        <v>0.8486987034666007</v>
      </c>
      <c r="N129" s="140">
        <f t="shared" si="109"/>
        <v>0.84424021817046224</v>
      </c>
      <c r="O129" s="140">
        <f t="shared" si="109"/>
        <v>0.8384444561202048</v>
      </c>
      <c r="P129" s="140">
        <f t="shared" si="109"/>
        <v>0.83232725735970114</v>
      </c>
      <c r="Q129" s="140">
        <f t="shared" si="109"/>
        <v>0.82381163331314278</v>
      </c>
      <c r="R129" s="140">
        <f t="shared" si="109"/>
        <v>0.83185183145142305</v>
      </c>
      <c r="S129" s="140">
        <f t="shared" si="109"/>
        <v>0.83764211166214386</v>
      </c>
      <c r="T129" s="140">
        <f t="shared" si="109"/>
        <v>0.83695668881372687</v>
      </c>
      <c r="U129" s="140">
        <f t="shared" si="109"/>
        <v>0.8347177213255067</v>
      </c>
      <c r="V129" s="140">
        <f t="shared" si="109"/>
        <v>0.87118675094532116</v>
      </c>
      <c r="W129" s="140">
        <f t="shared" si="109"/>
        <v>0.8622023893509676</v>
      </c>
      <c r="X129" s="140">
        <f t="shared" si="109"/>
        <v>0.84079987888292707</v>
      </c>
      <c r="Y129" s="140">
        <f t="shared" si="109"/>
        <v>0.82986054099848616</v>
      </c>
      <c r="DA129" s="175"/>
    </row>
    <row r="130" spans="1:105" ht="11.45" customHeight="1" x14ac:dyDescent="0.25">
      <c r="A130" s="128" t="str">
        <f>$A$8</f>
        <v>Motor coaches, buses and trolley buses</v>
      </c>
      <c r="B130" s="140">
        <f t="shared" si="105"/>
        <v>0.1441674476883438</v>
      </c>
      <c r="C130" s="140">
        <f t="shared" ref="C130:Y130" si="110">IF(C38=0,0,C38/C$34)</f>
        <v>0.13720531689981824</v>
      </c>
      <c r="D130" s="140">
        <f t="shared" si="110"/>
        <v>0.13536117957885327</v>
      </c>
      <c r="E130" s="140">
        <f t="shared" si="110"/>
        <v>0.12426263895104202</v>
      </c>
      <c r="F130" s="140">
        <f t="shared" si="110"/>
        <v>0.11967862298354014</v>
      </c>
      <c r="G130" s="140">
        <f t="shared" si="110"/>
        <v>0.11574958687576506</v>
      </c>
      <c r="H130" s="140">
        <f t="shared" si="110"/>
        <v>9.9901484834749144E-2</v>
      </c>
      <c r="I130" s="140">
        <f t="shared" si="110"/>
        <v>9.2426350750562644E-2</v>
      </c>
      <c r="J130" s="140">
        <f t="shared" si="110"/>
        <v>8.4542586934563693E-2</v>
      </c>
      <c r="K130" s="140">
        <f t="shared" si="110"/>
        <v>8.2357386597208246E-2</v>
      </c>
      <c r="L130" s="140">
        <f t="shared" si="110"/>
        <v>7.8089958205961263E-2</v>
      </c>
      <c r="M130" s="140">
        <f t="shared" si="110"/>
        <v>7.8445919473660017E-2</v>
      </c>
      <c r="N130" s="140">
        <f t="shared" si="110"/>
        <v>7.7188307425764241E-2</v>
      </c>
      <c r="O130" s="140">
        <f t="shared" si="110"/>
        <v>8.1605127105068398E-2</v>
      </c>
      <c r="P130" s="140">
        <f t="shared" si="110"/>
        <v>8.286076563383532E-2</v>
      </c>
      <c r="Q130" s="140">
        <f t="shared" si="110"/>
        <v>9.0754351468354283E-2</v>
      </c>
      <c r="R130" s="140">
        <f t="shared" si="110"/>
        <v>8.3201003269333065E-2</v>
      </c>
      <c r="S130" s="140">
        <f t="shared" si="110"/>
        <v>7.3377982420372759E-2</v>
      </c>
      <c r="T130" s="140">
        <f t="shared" si="110"/>
        <v>6.6029388034605646E-2</v>
      </c>
      <c r="U130" s="140">
        <f t="shared" si="110"/>
        <v>6.6935277333699542E-2</v>
      </c>
      <c r="V130" s="140">
        <f t="shared" si="110"/>
        <v>7.1601844276146465E-2</v>
      </c>
      <c r="W130" s="140">
        <f t="shared" si="110"/>
        <v>7.0547215356813131E-2</v>
      </c>
      <c r="X130" s="140">
        <f t="shared" si="110"/>
        <v>6.5946381472630253E-2</v>
      </c>
      <c r="Y130" s="140">
        <f t="shared" si="110"/>
        <v>6.3296077607348941E-2</v>
      </c>
      <c r="DA130" s="175"/>
    </row>
    <row r="131" spans="1:105" ht="11.45" customHeight="1" x14ac:dyDescent="0.25">
      <c r="A131" s="109" t="str">
        <f>$A$9</f>
        <v>Rail, metro and tram</v>
      </c>
      <c r="B131" s="124">
        <f t="shared" si="105"/>
        <v>4.2995630791384493E-2</v>
      </c>
      <c r="C131" s="124">
        <f t="shared" ref="C131:Y131" si="111">IF(C39=0,0,C39/C$34)</f>
        <v>4.6687961427925889E-2</v>
      </c>
      <c r="D131" s="124">
        <f t="shared" si="111"/>
        <v>4.8349230686033848E-2</v>
      </c>
      <c r="E131" s="124">
        <f t="shared" si="111"/>
        <v>4.7076524676384499E-2</v>
      </c>
      <c r="F131" s="124">
        <f t="shared" si="111"/>
        <v>3.7059932218406616E-2</v>
      </c>
      <c r="G131" s="124">
        <f t="shared" si="111"/>
        <v>3.5444522685069244E-2</v>
      </c>
      <c r="H131" s="124">
        <f t="shared" si="111"/>
        <v>2.4870317314879199E-2</v>
      </c>
      <c r="I131" s="124">
        <f t="shared" si="111"/>
        <v>2.528633716036998E-2</v>
      </c>
      <c r="J131" s="124">
        <f t="shared" si="111"/>
        <v>2.2087002963304642E-2</v>
      </c>
      <c r="K131" s="124">
        <f t="shared" si="111"/>
        <v>2.1499585726407217E-2</v>
      </c>
      <c r="L131" s="124">
        <f t="shared" si="111"/>
        <v>1.8684437348967572E-2</v>
      </c>
      <c r="M131" s="124">
        <f t="shared" si="111"/>
        <v>1.7870244090241107E-2</v>
      </c>
      <c r="N131" s="124">
        <f t="shared" si="111"/>
        <v>1.8503075424209522E-2</v>
      </c>
      <c r="O131" s="124">
        <f t="shared" si="111"/>
        <v>1.8891706044509186E-2</v>
      </c>
      <c r="P131" s="124">
        <f t="shared" si="111"/>
        <v>1.7650674069005549E-2</v>
      </c>
      <c r="Q131" s="124">
        <f t="shared" si="111"/>
        <v>1.6993471869328144E-2</v>
      </c>
      <c r="R131" s="124">
        <f t="shared" si="111"/>
        <v>1.7463388648573733E-2</v>
      </c>
      <c r="S131" s="124">
        <f t="shared" si="111"/>
        <v>1.5977955857701984E-2</v>
      </c>
      <c r="T131" s="124">
        <f t="shared" si="111"/>
        <v>1.6361297540976143E-2</v>
      </c>
      <c r="U131" s="124">
        <f t="shared" si="111"/>
        <v>1.5211992713249124E-2</v>
      </c>
      <c r="V131" s="124">
        <f t="shared" si="111"/>
        <v>1.5260401423443407E-2</v>
      </c>
      <c r="W131" s="124">
        <f t="shared" si="111"/>
        <v>1.6814917212002338E-2</v>
      </c>
      <c r="X131" s="124">
        <f t="shared" si="111"/>
        <v>1.7153190378194998E-2</v>
      </c>
      <c r="Y131" s="124">
        <f t="shared" si="111"/>
        <v>1.6775941394999411E-2</v>
      </c>
      <c r="DA131" s="176"/>
    </row>
    <row r="132" spans="1:105" ht="11.45" customHeight="1" x14ac:dyDescent="0.25">
      <c r="A132" s="128" t="str">
        <f>$A$10</f>
        <v>Metro and tram, urban light rail</v>
      </c>
      <c r="B132" s="140">
        <f t="shared" si="105"/>
        <v>3.8006263285175618E-3</v>
      </c>
      <c r="C132" s="140">
        <f t="shared" ref="C132:Y132" si="112">IF(C40=0,0,C40/C$34)</f>
        <v>3.8333374045266665E-3</v>
      </c>
      <c r="D132" s="140">
        <f t="shared" si="112"/>
        <v>3.8808145606970762E-3</v>
      </c>
      <c r="E132" s="140">
        <f t="shared" si="112"/>
        <v>3.5783401788271013E-3</v>
      </c>
      <c r="F132" s="140">
        <f t="shared" si="112"/>
        <v>3.1236469615059086E-3</v>
      </c>
      <c r="G132" s="140">
        <f t="shared" si="112"/>
        <v>2.9058263250323446E-3</v>
      </c>
      <c r="H132" s="140">
        <f t="shared" si="112"/>
        <v>2.6135489128517641E-3</v>
      </c>
      <c r="I132" s="140">
        <f t="shared" si="112"/>
        <v>2.3759985643775246E-3</v>
      </c>
      <c r="J132" s="140">
        <f t="shared" si="112"/>
        <v>2.2071308006203602E-3</v>
      </c>
      <c r="K132" s="140">
        <f t="shared" si="112"/>
        <v>2.0178409766936529E-3</v>
      </c>
      <c r="L132" s="140">
        <f t="shared" si="112"/>
        <v>1.9386940856642011E-3</v>
      </c>
      <c r="M132" s="140">
        <f t="shared" si="112"/>
        <v>1.90464503524296E-3</v>
      </c>
      <c r="N132" s="140">
        <f t="shared" si="112"/>
        <v>1.9277662646403674E-3</v>
      </c>
      <c r="O132" s="140">
        <f t="shared" si="112"/>
        <v>1.873324982203179E-3</v>
      </c>
      <c r="P132" s="140">
        <f t="shared" si="112"/>
        <v>1.8790956882841986E-3</v>
      </c>
      <c r="Q132" s="140">
        <f t="shared" si="112"/>
        <v>1.7215235980556128E-3</v>
      </c>
      <c r="R132" s="140">
        <f t="shared" si="112"/>
        <v>1.6354513694752364E-3</v>
      </c>
      <c r="S132" s="140">
        <f t="shared" si="112"/>
        <v>1.4329103726911396E-3</v>
      </c>
      <c r="T132" s="140">
        <f t="shared" si="112"/>
        <v>1.3574394137251607E-3</v>
      </c>
      <c r="U132" s="140">
        <f t="shared" si="112"/>
        <v>1.3239890408456747E-3</v>
      </c>
      <c r="V132" s="140">
        <f t="shared" si="112"/>
        <v>1.3929855298758288E-3</v>
      </c>
      <c r="W132" s="140">
        <f t="shared" si="112"/>
        <v>1.3299648311210347E-3</v>
      </c>
      <c r="X132" s="140">
        <f t="shared" si="112"/>
        <v>1.1796106369843672E-3</v>
      </c>
      <c r="Y132" s="140">
        <f t="shared" si="112"/>
        <v>1.1754340252359138E-3</v>
      </c>
      <c r="DA132" s="175"/>
    </row>
    <row r="133" spans="1:105" ht="11.45" customHeight="1" x14ac:dyDescent="0.25">
      <c r="A133" s="128" t="str">
        <f>$A$11</f>
        <v>Conventional passenger trains</v>
      </c>
      <c r="B133" s="140">
        <f t="shared" si="105"/>
        <v>3.9195004462866931E-2</v>
      </c>
      <c r="C133" s="140">
        <f t="shared" ref="C133:Y133" si="113">IF(C41=0,0,C41/C$34)</f>
        <v>4.2854624023399228E-2</v>
      </c>
      <c r="D133" s="140">
        <f t="shared" si="113"/>
        <v>4.4468416125336765E-2</v>
      </c>
      <c r="E133" s="140">
        <f t="shared" si="113"/>
        <v>4.34981844975574E-2</v>
      </c>
      <c r="F133" s="140">
        <f t="shared" si="113"/>
        <v>3.3936285256900706E-2</v>
      </c>
      <c r="G133" s="140">
        <f t="shared" si="113"/>
        <v>3.2538696360036895E-2</v>
      </c>
      <c r="H133" s="140">
        <f t="shared" si="113"/>
        <v>2.2256768402027435E-2</v>
      </c>
      <c r="I133" s="140">
        <f t="shared" si="113"/>
        <v>2.2910338595992456E-2</v>
      </c>
      <c r="J133" s="140">
        <f t="shared" si="113"/>
        <v>1.9879872162684283E-2</v>
      </c>
      <c r="K133" s="140">
        <f t="shared" si="113"/>
        <v>1.9481744749713564E-2</v>
      </c>
      <c r="L133" s="140">
        <f t="shared" si="113"/>
        <v>1.6745743263303369E-2</v>
      </c>
      <c r="M133" s="140">
        <f t="shared" si="113"/>
        <v>1.5965599054998145E-2</v>
      </c>
      <c r="N133" s="140">
        <f t="shared" si="113"/>
        <v>1.6575309159569156E-2</v>
      </c>
      <c r="O133" s="140">
        <f t="shared" si="113"/>
        <v>1.7018381062306007E-2</v>
      </c>
      <c r="P133" s="140">
        <f t="shared" si="113"/>
        <v>1.5771578380721352E-2</v>
      </c>
      <c r="Q133" s="140">
        <f t="shared" si="113"/>
        <v>1.4994515157449186E-2</v>
      </c>
      <c r="R133" s="140">
        <f t="shared" si="113"/>
        <v>1.5072089012059118E-2</v>
      </c>
      <c r="S133" s="140">
        <f t="shared" si="113"/>
        <v>1.390402505648305E-2</v>
      </c>
      <c r="T133" s="140">
        <f t="shared" si="113"/>
        <v>1.4380870460137722E-2</v>
      </c>
      <c r="U133" s="140">
        <f t="shared" si="113"/>
        <v>1.324061019828887E-2</v>
      </c>
      <c r="V133" s="140">
        <f t="shared" si="113"/>
        <v>1.3208650854815637E-2</v>
      </c>
      <c r="W133" s="140">
        <f t="shared" si="113"/>
        <v>1.4818514114906332E-2</v>
      </c>
      <c r="X133" s="140">
        <f t="shared" si="113"/>
        <v>1.5372710456123932E-2</v>
      </c>
      <c r="Y133" s="140">
        <f t="shared" si="113"/>
        <v>1.5015199540200143E-2</v>
      </c>
      <c r="DA133" s="175"/>
    </row>
    <row r="134" spans="1:105" ht="11.45" customHeight="1" x14ac:dyDescent="0.25">
      <c r="A134" s="128" t="str">
        <f>$A$12</f>
        <v>High speed passenger trains</v>
      </c>
      <c r="B134" s="140">
        <f t="shared" si="105"/>
        <v>0</v>
      </c>
      <c r="C134" s="140">
        <f t="shared" ref="C134:Y134" si="114">IF(C42=0,0,C42/C$34)</f>
        <v>0</v>
      </c>
      <c r="D134" s="140">
        <f t="shared" si="114"/>
        <v>0</v>
      </c>
      <c r="E134" s="140">
        <f t="shared" si="114"/>
        <v>0</v>
      </c>
      <c r="F134" s="140">
        <f t="shared" si="114"/>
        <v>0</v>
      </c>
      <c r="G134" s="140">
        <f t="shared" si="114"/>
        <v>0</v>
      </c>
      <c r="H134" s="140">
        <f t="shared" si="114"/>
        <v>0</v>
      </c>
      <c r="I134" s="140">
        <f t="shared" si="114"/>
        <v>0</v>
      </c>
      <c r="J134" s="140">
        <f t="shared" si="114"/>
        <v>0</v>
      </c>
      <c r="K134" s="140">
        <f t="shared" si="114"/>
        <v>0</v>
      </c>
      <c r="L134" s="140">
        <f t="shared" si="114"/>
        <v>0</v>
      </c>
      <c r="M134" s="140">
        <f t="shared" si="114"/>
        <v>0</v>
      </c>
      <c r="N134" s="140">
        <f t="shared" si="114"/>
        <v>0</v>
      </c>
      <c r="O134" s="140">
        <f t="shared" si="114"/>
        <v>0</v>
      </c>
      <c r="P134" s="140">
        <f t="shared" si="114"/>
        <v>0</v>
      </c>
      <c r="Q134" s="140">
        <f t="shared" si="114"/>
        <v>2.7743311382334582E-4</v>
      </c>
      <c r="R134" s="140">
        <f t="shared" si="114"/>
        <v>7.5584826703937796E-4</v>
      </c>
      <c r="S134" s="140">
        <f t="shared" si="114"/>
        <v>6.4102042852779405E-4</v>
      </c>
      <c r="T134" s="140">
        <f t="shared" si="114"/>
        <v>6.2298766711325697E-4</v>
      </c>
      <c r="U134" s="140">
        <f t="shared" si="114"/>
        <v>6.4739347411457899E-4</v>
      </c>
      <c r="V134" s="140">
        <f t="shared" si="114"/>
        <v>6.5876503875193879E-4</v>
      </c>
      <c r="W134" s="140">
        <f t="shared" si="114"/>
        <v>6.6643826597497023E-4</v>
      </c>
      <c r="X134" s="140">
        <f t="shared" si="114"/>
        <v>6.008692850867002E-4</v>
      </c>
      <c r="Y134" s="140">
        <f t="shared" si="114"/>
        <v>5.8530782956335418E-4</v>
      </c>
      <c r="DA134" s="175"/>
    </row>
    <row r="135" spans="1:105" ht="11.45" customHeight="1" x14ac:dyDescent="0.25">
      <c r="A135" s="109" t="str">
        <f>$A$13</f>
        <v>Aviation</v>
      </c>
      <c r="B135" s="124">
        <f t="shared" si="105"/>
        <v>4.1067112997112791E-2</v>
      </c>
      <c r="C135" s="124">
        <f t="shared" ref="C135:Y135" si="115">IF(C43=0,0,C43/C$34)</f>
        <v>4.1529411952566909E-2</v>
      </c>
      <c r="D135" s="124">
        <f t="shared" si="115"/>
        <v>4.1425745095596343E-2</v>
      </c>
      <c r="E135" s="124">
        <f t="shared" si="115"/>
        <v>4.2823841359159669E-2</v>
      </c>
      <c r="F135" s="124">
        <f t="shared" si="115"/>
        <v>3.8323147395477639E-2</v>
      </c>
      <c r="G135" s="124">
        <f t="shared" si="115"/>
        <v>4.2950831315252805E-2</v>
      </c>
      <c r="H135" s="124">
        <f t="shared" si="115"/>
        <v>5.1801552960761589E-2</v>
      </c>
      <c r="I135" s="124">
        <f t="shared" si="115"/>
        <v>4.9401448918440651E-2</v>
      </c>
      <c r="J135" s="124">
        <f t="shared" si="115"/>
        <v>5.5373273986747414E-2</v>
      </c>
      <c r="K135" s="124">
        <f t="shared" si="115"/>
        <v>4.7285665669808657E-2</v>
      </c>
      <c r="L135" s="124">
        <f t="shared" si="115"/>
        <v>4.724036427378768E-2</v>
      </c>
      <c r="M135" s="124">
        <f t="shared" si="115"/>
        <v>4.6027233898057185E-2</v>
      </c>
      <c r="N135" s="124">
        <f t="shared" si="115"/>
        <v>5.111505640113722E-2</v>
      </c>
      <c r="O135" s="124">
        <f t="shared" si="115"/>
        <v>5.2055710167674497E-2</v>
      </c>
      <c r="P135" s="124">
        <f t="shared" si="115"/>
        <v>5.8183319052053747E-2</v>
      </c>
      <c r="Q135" s="124">
        <f t="shared" si="115"/>
        <v>5.9744404799768329E-2</v>
      </c>
      <c r="R135" s="124">
        <f t="shared" si="115"/>
        <v>5.8939737644500723E-2</v>
      </c>
      <c r="S135" s="124">
        <f t="shared" si="115"/>
        <v>6.5756710956466111E-2</v>
      </c>
      <c r="T135" s="124">
        <f t="shared" si="115"/>
        <v>7.4110457813732392E-2</v>
      </c>
      <c r="U135" s="124">
        <f t="shared" si="115"/>
        <v>7.6396231391418906E-2</v>
      </c>
      <c r="V135" s="124">
        <f t="shared" si="115"/>
        <v>3.5383997341989104E-2</v>
      </c>
      <c r="W135" s="124">
        <f t="shared" si="115"/>
        <v>4.3671635788842353E-2</v>
      </c>
      <c r="X135" s="124">
        <f t="shared" si="115"/>
        <v>6.9675880374850008E-2</v>
      </c>
      <c r="Y135" s="124">
        <f t="shared" si="115"/>
        <v>8.3251095064604458E-2</v>
      </c>
      <c r="DA135" s="176"/>
    </row>
    <row r="136" spans="1:105" ht="11.45" customHeight="1" x14ac:dyDescent="0.25">
      <c r="A136" s="128" t="str">
        <f>$A$14</f>
        <v>Domestic</v>
      </c>
      <c r="B136" s="140">
        <f t="shared" si="105"/>
        <v>4.5468778874277937E-4</v>
      </c>
      <c r="C136" s="140">
        <f t="shared" ref="C136:Y136" si="116">IF(C44=0,0,C44/C$34)</f>
        <v>4.6769714065264171E-4</v>
      </c>
      <c r="D136" s="140">
        <f t="shared" si="116"/>
        <v>6.3320262996841459E-4</v>
      </c>
      <c r="E136" s="140">
        <f t="shared" si="116"/>
        <v>6.058015281437477E-4</v>
      </c>
      <c r="F136" s="140">
        <f t="shared" si="116"/>
        <v>4.1501873190200316E-4</v>
      </c>
      <c r="G136" s="140">
        <f t="shared" si="116"/>
        <v>4.1142402924154985E-4</v>
      </c>
      <c r="H136" s="140">
        <f t="shared" si="116"/>
        <v>3.6849643598344445E-4</v>
      </c>
      <c r="I136" s="140">
        <f t="shared" si="116"/>
        <v>4.4789487640899378E-4</v>
      </c>
      <c r="J136" s="140">
        <f t="shared" si="116"/>
        <v>3.133275073993515E-4</v>
      </c>
      <c r="K136" s="140">
        <f t="shared" si="116"/>
        <v>4.0019761527057643E-4</v>
      </c>
      <c r="L136" s="140">
        <f t="shared" si="116"/>
        <v>3.8321134801382436E-4</v>
      </c>
      <c r="M136" s="140">
        <f t="shared" si="116"/>
        <v>4.7613608212581857E-4</v>
      </c>
      <c r="N136" s="140">
        <f t="shared" si="116"/>
        <v>1.7021637558477111E-3</v>
      </c>
      <c r="O136" s="140">
        <f t="shared" si="116"/>
        <v>1.5786648944753933E-3</v>
      </c>
      <c r="P136" s="140">
        <f t="shared" si="116"/>
        <v>2.561367106591844E-3</v>
      </c>
      <c r="Q136" s="140">
        <f t="shared" si="116"/>
        <v>1.6704287872582907E-3</v>
      </c>
      <c r="R136" s="140">
        <f t="shared" si="116"/>
        <v>2.0844160659074752E-3</v>
      </c>
      <c r="S136" s="140">
        <f t="shared" si="116"/>
        <v>2.0883679171769002E-3</v>
      </c>
      <c r="T136" s="140">
        <f t="shared" si="116"/>
        <v>2.3642602885472282E-3</v>
      </c>
      <c r="U136" s="140">
        <f t="shared" si="116"/>
        <v>2.3569660467688981E-3</v>
      </c>
      <c r="V136" s="140">
        <f t="shared" si="116"/>
        <v>1.3822087907569096E-3</v>
      </c>
      <c r="W136" s="140">
        <f t="shared" si="116"/>
        <v>2.2579839419296691E-3</v>
      </c>
      <c r="X136" s="140">
        <f t="shared" si="116"/>
        <v>2.162516263793283E-3</v>
      </c>
      <c r="Y136" s="140">
        <f t="shared" si="116"/>
        <v>2.582966208517245E-3</v>
      </c>
      <c r="DA136" s="175"/>
    </row>
    <row r="137" spans="1:105" ht="11.45" customHeight="1" x14ac:dyDescent="0.25">
      <c r="A137" s="128" t="str">
        <f>$A$15</f>
        <v>International - Intra-EEAwCHUK</v>
      </c>
      <c r="B137" s="140">
        <f t="shared" si="105"/>
        <v>2.6889837032760818E-2</v>
      </c>
      <c r="C137" s="140">
        <f t="shared" ref="C137:Y137" si="117">IF(C45=0,0,C45/C$34)</f>
        <v>2.718755048709769E-2</v>
      </c>
      <c r="D137" s="140">
        <f t="shared" si="117"/>
        <v>2.7008517611238618E-2</v>
      </c>
      <c r="E137" s="140">
        <f t="shared" si="117"/>
        <v>2.7952073792454783E-2</v>
      </c>
      <c r="F137" s="140">
        <f t="shared" si="117"/>
        <v>2.5097942531913931E-2</v>
      </c>
      <c r="G137" s="140">
        <f t="shared" si="117"/>
        <v>2.915531810905507E-2</v>
      </c>
      <c r="H137" s="140">
        <f t="shared" si="117"/>
        <v>3.7192392306645831E-2</v>
      </c>
      <c r="I137" s="140">
        <f t="shared" si="117"/>
        <v>3.6528954991093848E-2</v>
      </c>
      <c r="J137" s="140">
        <f t="shared" si="117"/>
        <v>4.1727545813382186E-2</v>
      </c>
      <c r="K137" s="140">
        <f t="shared" si="117"/>
        <v>3.4453404255878242E-2</v>
      </c>
      <c r="L137" s="140">
        <f t="shared" si="117"/>
        <v>3.4419037673854153E-2</v>
      </c>
      <c r="M137" s="140">
        <f t="shared" si="117"/>
        <v>3.3391305168673592E-2</v>
      </c>
      <c r="N137" s="140">
        <f t="shared" si="117"/>
        <v>3.6472620519182659E-2</v>
      </c>
      <c r="O137" s="140">
        <f t="shared" si="117"/>
        <v>3.7999923471972126E-2</v>
      </c>
      <c r="P137" s="140">
        <f t="shared" si="117"/>
        <v>4.1647107996127516E-2</v>
      </c>
      <c r="Q137" s="140">
        <f t="shared" si="117"/>
        <v>4.4269676220109341E-2</v>
      </c>
      <c r="R137" s="140">
        <f t="shared" si="117"/>
        <v>4.4323825575877225E-2</v>
      </c>
      <c r="S137" s="140">
        <f t="shared" si="117"/>
        <v>5.026580999061557E-2</v>
      </c>
      <c r="T137" s="140">
        <f t="shared" si="117"/>
        <v>5.6909243296140472E-2</v>
      </c>
      <c r="U137" s="140">
        <f t="shared" si="117"/>
        <v>5.8852671995479715E-2</v>
      </c>
      <c r="V137" s="140">
        <f t="shared" si="117"/>
        <v>2.3973576224034426E-2</v>
      </c>
      <c r="W137" s="140">
        <f t="shared" si="117"/>
        <v>2.9902889663212015E-2</v>
      </c>
      <c r="X137" s="140">
        <f t="shared" si="117"/>
        <v>5.3252195250481055E-2</v>
      </c>
      <c r="Y137" s="140">
        <f t="shared" si="117"/>
        <v>6.3989748904538499E-2</v>
      </c>
      <c r="DA137" s="175"/>
    </row>
    <row r="138" spans="1:105" ht="11.45" customHeight="1" x14ac:dyDescent="0.25">
      <c r="A138" s="128" t="str">
        <f>$A$16</f>
        <v>International - Extra-EEAwCHUK</v>
      </c>
      <c r="B138" s="140">
        <f t="shared" si="105"/>
        <v>1.3722588175609198E-2</v>
      </c>
      <c r="C138" s="140">
        <f t="shared" ref="C138:Y138" si="118">IF(C46=0,0,C46/C$34)</f>
        <v>1.3874164324816574E-2</v>
      </c>
      <c r="D138" s="140">
        <f t="shared" si="118"/>
        <v>1.3784024854389315E-2</v>
      </c>
      <c r="E138" s="140">
        <f t="shared" si="118"/>
        <v>1.4265966038561138E-2</v>
      </c>
      <c r="F138" s="140">
        <f t="shared" si="118"/>
        <v>1.2810186131661704E-2</v>
      </c>
      <c r="G138" s="140">
        <f t="shared" si="118"/>
        <v>1.3384089176956179E-2</v>
      </c>
      <c r="H138" s="140">
        <f t="shared" si="118"/>
        <v>1.4240664218132309E-2</v>
      </c>
      <c r="I138" s="140">
        <f t="shared" si="118"/>
        <v>1.2424599050937809E-2</v>
      </c>
      <c r="J138" s="140">
        <f t="shared" si="118"/>
        <v>1.3332400665965877E-2</v>
      </c>
      <c r="K138" s="140">
        <f t="shared" si="118"/>
        <v>1.243206379865984E-2</v>
      </c>
      <c r="L138" s="140">
        <f t="shared" si="118"/>
        <v>1.24381152519197E-2</v>
      </c>
      <c r="M138" s="140">
        <f t="shared" si="118"/>
        <v>1.2159792647257773E-2</v>
      </c>
      <c r="N138" s="140">
        <f t="shared" si="118"/>
        <v>1.2940272126106848E-2</v>
      </c>
      <c r="O138" s="140">
        <f t="shared" si="118"/>
        <v>1.2477121801226978E-2</v>
      </c>
      <c r="P138" s="140">
        <f t="shared" si="118"/>
        <v>1.3974843949334386E-2</v>
      </c>
      <c r="Q138" s="140">
        <f t="shared" si="118"/>
        <v>1.3804299792400694E-2</v>
      </c>
      <c r="R138" s="140">
        <f t="shared" si="118"/>
        <v>1.2531496002716023E-2</v>
      </c>
      <c r="S138" s="140">
        <f t="shared" si="118"/>
        <v>1.3402533048673634E-2</v>
      </c>
      <c r="T138" s="140">
        <f t="shared" si="118"/>
        <v>1.4836954229044685E-2</v>
      </c>
      <c r="U138" s="140">
        <f t="shared" si="118"/>
        <v>1.51865933491703E-2</v>
      </c>
      <c r="V138" s="140">
        <f t="shared" si="118"/>
        <v>1.0028212327197771E-2</v>
      </c>
      <c r="W138" s="140">
        <f t="shared" si="118"/>
        <v>1.1510762183700665E-2</v>
      </c>
      <c r="X138" s="140">
        <f t="shared" si="118"/>
        <v>1.4261168860575674E-2</v>
      </c>
      <c r="Y138" s="140">
        <f t="shared" si="118"/>
        <v>1.6678379951548715E-2</v>
      </c>
      <c r="DA138" s="175"/>
    </row>
    <row r="139" spans="1:105" ht="11.45" customHeight="1" x14ac:dyDescent="0.25">
      <c r="A139" s="27" t="s">
        <v>34</v>
      </c>
      <c r="B139" s="31">
        <f t="shared" ref="B139:B150" si="119">IF(B47=0,0,B47/B$47)</f>
        <v>1</v>
      </c>
      <c r="C139" s="31">
        <f t="shared" ref="C139:Y139" si="120">IF(C47=0,0,C47/C$47)</f>
        <v>1</v>
      </c>
      <c r="D139" s="31">
        <f t="shared" si="120"/>
        <v>1</v>
      </c>
      <c r="E139" s="31">
        <f t="shared" si="120"/>
        <v>1</v>
      </c>
      <c r="F139" s="31">
        <f t="shared" si="120"/>
        <v>1</v>
      </c>
      <c r="G139" s="31">
        <f t="shared" si="120"/>
        <v>1</v>
      </c>
      <c r="H139" s="31">
        <f t="shared" si="120"/>
        <v>1</v>
      </c>
      <c r="I139" s="31">
        <f t="shared" si="120"/>
        <v>1</v>
      </c>
      <c r="J139" s="31">
        <f t="shared" si="120"/>
        <v>1</v>
      </c>
      <c r="K139" s="31">
        <f t="shared" si="120"/>
        <v>1</v>
      </c>
      <c r="L139" s="31">
        <f t="shared" si="120"/>
        <v>1</v>
      </c>
      <c r="M139" s="31">
        <f t="shared" si="120"/>
        <v>1</v>
      </c>
      <c r="N139" s="31">
        <f t="shared" si="120"/>
        <v>1</v>
      </c>
      <c r="O139" s="31">
        <f t="shared" si="120"/>
        <v>1</v>
      </c>
      <c r="P139" s="31">
        <f t="shared" si="120"/>
        <v>1</v>
      </c>
      <c r="Q139" s="31">
        <f t="shared" si="120"/>
        <v>1</v>
      </c>
      <c r="R139" s="31">
        <f t="shared" si="120"/>
        <v>1</v>
      </c>
      <c r="S139" s="31">
        <f t="shared" si="120"/>
        <v>1</v>
      </c>
      <c r="T139" s="31">
        <f t="shared" si="120"/>
        <v>1</v>
      </c>
      <c r="U139" s="31">
        <f t="shared" si="120"/>
        <v>1</v>
      </c>
      <c r="V139" s="31">
        <f t="shared" si="120"/>
        <v>1</v>
      </c>
      <c r="W139" s="31">
        <f t="shared" si="120"/>
        <v>1</v>
      </c>
      <c r="X139" s="31">
        <f t="shared" si="120"/>
        <v>1</v>
      </c>
      <c r="Y139" s="31">
        <f t="shared" si="120"/>
        <v>1</v>
      </c>
      <c r="DA139" s="173"/>
    </row>
    <row r="140" spans="1:105" ht="11.45" customHeight="1" x14ac:dyDescent="0.25">
      <c r="A140" s="136" t="str">
        <f>$A$18</f>
        <v>Road transport</v>
      </c>
      <c r="B140" s="139">
        <f t="shared" si="119"/>
        <v>0.91330334356686038</v>
      </c>
      <c r="C140" s="139">
        <f t="shared" ref="C140:Y140" si="121">IF(C48=0,0,C48/C$47)</f>
        <v>0.92463376539118158</v>
      </c>
      <c r="D140" s="139">
        <f t="shared" si="121"/>
        <v>0.92422129991513702</v>
      </c>
      <c r="E140" s="139">
        <f t="shared" si="121"/>
        <v>0.93317927580931725</v>
      </c>
      <c r="F140" s="139">
        <f t="shared" si="121"/>
        <v>0.94196981822186798</v>
      </c>
      <c r="G140" s="139">
        <f t="shared" si="121"/>
        <v>0.95611622659602313</v>
      </c>
      <c r="H140" s="139">
        <f t="shared" si="121"/>
        <v>0.95833944910664393</v>
      </c>
      <c r="I140" s="139">
        <f t="shared" si="121"/>
        <v>0.96496171930670305</v>
      </c>
      <c r="J140" s="139">
        <f t="shared" si="121"/>
        <v>0.96873869133700263</v>
      </c>
      <c r="K140" s="139">
        <f t="shared" si="121"/>
        <v>0.97425372132536525</v>
      </c>
      <c r="L140" s="139">
        <f t="shared" si="121"/>
        <v>0.97333038753759582</v>
      </c>
      <c r="M140" s="139">
        <f t="shared" si="121"/>
        <v>0.9722806061314343</v>
      </c>
      <c r="N140" s="139">
        <f t="shared" si="121"/>
        <v>0.97272843730862379</v>
      </c>
      <c r="O140" s="139">
        <f t="shared" si="121"/>
        <v>0.97074949713119885</v>
      </c>
      <c r="P140" s="139">
        <f t="shared" si="121"/>
        <v>0.97295073365533946</v>
      </c>
      <c r="Q140" s="139">
        <f t="shared" si="121"/>
        <v>0.9745510370004874</v>
      </c>
      <c r="R140" s="139">
        <f t="shared" si="121"/>
        <v>0.97934504271411393</v>
      </c>
      <c r="S140" s="139">
        <f t="shared" si="121"/>
        <v>0.98204987537376698</v>
      </c>
      <c r="T140" s="139">
        <f t="shared" si="121"/>
        <v>0.98174056588282732</v>
      </c>
      <c r="U140" s="139">
        <f t="shared" si="121"/>
        <v>0.98289757754335905</v>
      </c>
      <c r="V140" s="139">
        <f t="shared" si="121"/>
        <v>0.98381321107322095</v>
      </c>
      <c r="W140" s="139">
        <f t="shared" si="121"/>
        <v>0.98495277799528391</v>
      </c>
      <c r="X140" s="139">
        <f t="shared" si="121"/>
        <v>0.9852791511828084</v>
      </c>
      <c r="Y140" s="139">
        <f t="shared" si="121"/>
        <v>0.98550053062731124</v>
      </c>
      <c r="DA140" s="174"/>
    </row>
    <row r="141" spans="1:105" ht="11.45" customHeight="1" x14ac:dyDescent="0.25">
      <c r="A141" s="128" t="str">
        <f>$A$19</f>
        <v>Light commercial vehicles</v>
      </c>
      <c r="B141" s="140">
        <f t="shared" si="119"/>
        <v>0.66422118896099047</v>
      </c>
      <c r="C141" s="140">
        <f t="shared" ref="C141:Y141" si="122">IF(C49=0,0,C49/C$47)</f>
        <v>0.61113040607505176</v>
      </c>
      <c r="D141" s="140">
        <f t="shared" si="122"/>
        <v>0.6718101457851744</v>
      </c>
      <c r="E141" s="140">
        <f t="shared" si="122"/>
        <v>0.57565914211054259</v>
      </c>
      <c r="F141" s="140">
        <f t="shared" si="122"/>
        <v>0.479405719600842</v>
      </c>
      <c r="G141" s="140">
        <f t="shared" si="122"/>
        <v>0.40810231587601276</v>
      </c>
      <c r="H141" s="140">
        <f t="shared" si="122"/>
        <v>0.38357038549600864</v>
      </c>
      <c r="I141" s="140">
        <f t="shared" si="122"/>
        <v>0.35337762140912576</v>
      </c>
      <c r="J141" s="140">
        <f t="shared" si="122"/>
        <v>0.34790866420207628</v>
      </c>
      <c r="K141" s="140">
        <f t="shared" si="122"/>
        <v>0.36519744269179927</v>
      </c>
      <c r="L141" s="140">
        <f t="shared" si="122"/>
        <v>0.3521623167590503</v>
      </c>
      <c r="M141" s="140">
        <f t="shared" si="122"/>
        <v>0.36205443466863696</v>
      </c>
      <c r="N141" s="140">
        <f t="shared" si="122"/>
        <v>0.39985092390332205</v>
      </c>
      <c r="O141" s="140">
        <f t="shared" si="122"/>
        <v>0.45017358594360024</v>
      </c>
      <c r="P141" s="140">
        <f t="shared" si="122"/>
        <v>0.44411346525438689</v>
      </c>
      <c r="Q141" s="140">
        <f t="shared" si="122"/>
        <v>0.43253801346877313</v>
      </c>
      <c r="R141" s="140">
        <f t="shared" si="122"/>
        <v>0.37506507243295029</v>
      </c>
      <c r="S141" s="140">
        <f t="shared" si="122"/>
        <v>0.31288883671704015</v>
      </c>
      <c r="T141" s="140">
        <f t="shared" si="122"/>
        <v>0.3170297241249751</v>
      </c>
      <c r="U141" s="140">
        <f t="shared" si="122"/>
        <v>0.32655096172641107</v>
      </c>
      <c r="V141" s="140">
        <f t="shared" si="122"/>
        <v>0.34563441510709747</v>
      </c>
      <c r="W141" s="140">
        <f t="shared" si="122"/>
        <v>0.29560291394622445</v>
      </c>
      <c r="X141" s="140">
        <f t="shared" si="122"/>
        <v>0.29368989089582498</v>
      </c>
      <c r="Y141" s="140">
        <f t="shared" si="122"/>
        <v>0.3023691208967369</v>
      </c>
      <c r="DA141" s="175"/>
    </row>
    <row r="142" spans="1:105" ht="11.45" customHeight="1" x14ac:dyDescent="0.25">
      <c r="A142" s="128" t="str">
        <f>$A$20</f>
        <v>Heavy goods vehicles</v>
      </c>
      <c r="B142" s="140">
        <f t="shared" si="119"/>
        <v>0.24908215460586991</v>
      </c>
      <c r="C142" s="140">
        <f t="shared" ref="C142:Y142" si="123">IF(C50=0,0,C50/C$47)</f>
        <v>0.31350335931612983</v>
      </c>
      <c r="D142" s="140">
        <f t="shared" si="123"/>
        <v>0.25241115412996257</v>
      </c>
      <c r="E142" s="140">
        <f t="shared" si="123"/>
        <v>0.35752013369877472</v>
      </c>
      <c r="F142" s="140">
        <f t="shared" si="123"/>
        <v>0.46256409862102604</v>
      </c>
      <c r="G142" s="140">
        <f t="shared" si="123"/>
        <v>0.54801391072001038</v>
      </c>
      <c r="H142" s="140">
        <f t="shared" si="123"/>
        <v>0.5747690636106354</v>
      </c>
      <c r="I142" s="140">
        <f t="shared" si="123"/>
        <v>0.61158409789757728</v>
      </c>
      <c r="J142" s="140">
        <f t="shared" si="123"/>
        <v>0.62083002713492641</v>
      </c>
      <c r="K142" s="140">
        <f t="shared" si="123"/>
        <v>0.60905627863356604</v>
      </c>
      <c r="L142" s="140">
        <f t="shared" si="123"/>
        <v>0.62116807077854563</v>
      </c>
      <c r="M142" s="140">
        <f t="shared" si="123"/>
        <v>0.61022617146279734</v>
      </c>
      <c r="N142" s="140">
        <f t="shared" si="123"/>
        <v>0.5728775134053018</v>
      </c>
      <c r="O142" s="140">
        <f t="shared" si="123"/>
        <v>0.52057591118759872</v>
      </c>
      <c r="P142" s="140">
        <f t="shared" si="123"/>
        <v>0.52883726840095258</v>
      </c>
      <c r="Q142" s="140">
        <f t="shared" si="123"/>
        <v>0.54201302353171432</v>
      </c>
      <c r="R142" s="140">
        <f t="shared" si="123"/>
        <v>0.60427997028116354</v>
      </c>
      <c r="S142" s="140">
        <f t="shared" si="123"/>
        <v>0.66916103865672671</v>
      </c>
      <c r="T142" s="140">
        <f t="shared" si="123"/>
        <v>0.66471084175785233</v>
      </c>
      <c r="U142" s="140">
        <f t="shared" si="123"/>
        <v>0.65634661581694786</v>
      </c>
      <c r="V142" s="140">
        <f t="shared" si="123"/>
        <v>0.63817879596612359</v>
      </c>
      <c r="W142" s="140">
        <f t="shared" si="123"/>
        <v>0.68934986404905951</v>
      </c>
      <c r="X142" s="140">
        <f t="shared" si="123"/>
        <v>0.69158926028698353</v>
      </c>
      <c r="Y142" s="140">
        <f t="shared" si="123"/>
        <v>0.68313140973057429</v>
      </c>
      <c r="DA142" s="175"/>
    </row>
    <row r="143" spans="1:105" ht="11.45" customHeight="1" x14ac:dyDescent="0.25">
      <c r="A143" s="109" t="str">
        <f>$A$21</f>
        <v>Rail transport</v>
      </c>
      <c r="B143" s="124">
        <f t="shared" si="119"/>
        <v>8.3903187768501933E-2</v>
      </c>
      <c r="C143" s="124">
        <f t="shared" ref="C143:Y143" si="124">IF(C51=0,0,C51/C$47)</f>
        <v>7.2794213959713583E-2</v>
      </c>
      <c r="D143" s="124">
        <f t="shared" si="124"/>
        <v>7.3330967072740671E-2</v>
      </c>
      <c r="E143" s="124">
        <f t="shared" si="124"/>
        <v>6.4146727558634889E-2</v>
      </c>
      <c r="F143" s="124">
        <f t="shared" si="124"/>
        <v>5.6075185661789234E-2</v>
      </c>
      <c r="G143" s="124">
        <f t="shared" si="124"/>
        <v>4.2366560587718032E-2</v>
      </c>
      <c r="H143" s="124">
        <f t="shared" si="124"/>
        <v>3.9959522340074952E-2</v>
      </c>
      <c r="I143" s="124">
        <f t="shared" si="124"/>
        <v>3.3600375223994859E-2</v>
      </c>
      <c r="J143" s="124">
        <f t="shared" si="124"/>
        <v>2.9750697865899619E-2</v>
      </c>
      <c r="K143" s="124">
        <f t="shared" si="124"/>
        <v>2.4481432306670516E-2</v>
      </c>
      <c r="L143" s="124">
        <f t="shared" si="124"/>
        <v>2.5156523709004282E-2</v>
      </c>
      <c r="M143" s="124">
        <f t="shared" si="124"/>
        <v>2.6315655391549491E-2</v>
      </c>
      <c r="N143" s="124">
        <f t="shared" si="124"/>
        <v>2.5662174753447151E-2</v>
      </c>
      <c r="O143" s="124">
        <f t="shared" si="124"/>
        <v>2.7410075976833499E-2</v>
      </c>
      <c r="P143" s="124">
        <f t="shared" si="124"/>
        <v>2.5038060813780023E-2</v>
      </c>
      <c r="Q143" s="124">
        <f t="shared" si="124"/>
        <v>2.3624089524162575E-2</v>
      </c>
      <c r="R143" s="124">
        <f t="shared" si="124"/>
        <v>1.8799278347323835E-2</v>
      </c>
      <c r="S143" s="124">
        <f t="shared" si="124"/>
        <v>1.5980881534204953E-2</v>
      </c>
      <c r="T143" s="124">
        <f t="shared" si="124"/>
        <v>1.6801638276307741E-2</v>
      </c>
      <c r="U143" s="124">
        <f t="shared" si="124"/>
        <v>1.5201283321244525E-2</v>
      </c>
      <c r="V143" s="124">
        <f t="shared" si="124"/>
        <v>1.5021108558829469E-2</v>
      </c>
      <c r="W143" s="124">
        <f t="shared" si="124"/>
        <v>1.3646037521346792E-2</v>
      </c>
      <c r="X143" s="124">
        <f t="shared" si="124"/>
        <v>1.2492870353147851E-2</v>
      </c>
      <c r="Y143" s="124">
        <f t="shared" si="124"/>
        <v>1.2113944000919107E-2</v>
      </c>
      <c r="DA143" s="176"/>
    </row>
    <row r="144" spans="1:105" ht="11.45" customHeight="1" x14ac:dyDescent="0.25">
      <c r="A144" s="109" t="str">
        <f>$A$22</f>
        <v>Aviation</v>
      </c>
      <c r="B144" s="124">
        <f t="shared" si="119"/>
        <v>6.7680139337843214E-4</v>
      </c>
      <c r="C144" s="124">
        <f t="shared" ref="C144:Y144" si="125">IF(C52=0,0,C52/C$47)</f>
        <v>5.2393315528167334E-4</v>
      </c>
      <c r="D144" s="124">
        <f t="shared" si="125"/>
        <v>6.2226665911027765E-4</v>
      </c>
      <c r="E144" s="124">
        <f t="shared" si="125"/>
        <v>5.3084038466307871E-4</v>
      </c>
      <c r="F144" s="124">
        <f t="shared" si="125"/>
        <v>3.6882353913147807E-4</v>
      </c>
      <c r="G144" s="124">
        <f t="shared" si="125"/>
        <v>4.0742614065366673E-4</v>
      </c>
      <c r="H144" s="124">
        <f t="shared" si="125"/>
        <v>5.032607269830089E-4</v>
      </c>
      <c r="I144" s="124">
        <f t="shared" si="125"/>
        <v>5.4476669898593957E-4</v>
      </c>
      <c r="J144" s="124">
        <f t="shared" si="125"/>
        <v>6.7552639218834156E-4</v>
      </c>
      <c r="K144" s="124">
        <f t="shared" si="125"/>
        <v>7.6075026610557045E-4</v>
      </c>
      <c r="L144" s="124">
        <f t="shared" si="125"/>
        <v>1.0532331721715023E-3</v>
      </c>
      <c r="M144" s="124">
        <f t="shared" si="125"/>
        <v>9.5174305764961437E-4</v>
      </c>
      <c r="N144" s="124">
        <f t="shared" si="125"/>
        <v>1.107178796730319E-3</v>
      </c>
      <c r="O144" s="124">
        <f t="shared" si="125"/>
        <v>1.2863361213839939E-3</v>
      </c>
      <c r="P144" s="124">
        <f t="shared" si="125"/>
        <v>1.4613817965323786E-3</v>
      </c>
      <c r="Q144" s="124">
        <f t="shared" si="125"/>
        <v>1.4715089708825675E-3</v>
      </c>
      <c r="R144" s="124">
        <f t="shared" si="125"/>
        <v>1.5634079052000208E-3</v>
      </c>
      <c r="S144" s="124">
        <f t="shared" si="125"/>
        <v>1.4320621014372312E-3</v>
      </c>
      <c r="T144" s="124">
        <f t="shared" si="125"/>
        <v>1.2341070756708829E-3</v>
      </c>
      <c r="U144" s="124">
        <f t="shared" si="125"/>
        <v>1.6955970979599443E-3</v>
      </c>
      <c r="V144" s="124">
        <f t="shared" si="125"/>
        <v>1.0469777350381819E-3</v>
      </c>
      <c r="W144" s="124">
        <f t="shared" si="125"/>
        <v>1.2948026378629828E-3</v>
      </c>
      <c r="X144" s="124">
        <f t="shared" si="125"/>
        <v>2.122917919113372E-3</v>
      </c>
      <c r="Y144" s="124">
        <f t="shared" si="125"/>
        <v>2.2783264525222551E-3</v>
      </c>
      <c r="DA144" s="176"/>
    </row>
    <row r="145" spans="1:105" ht="11.45" customHeight="1" x14ac:dyDescent="0.25">
      <c r="A145" s="128" t="s">
        <v>27</v>
      </c>
      <c r="B145" s="140">
        <f t="shared" si="119"/>
        <v>1.6209067321266891E-5</v>
      </c>
      <c r="C145" s="140">
        <f t="shared" ref="C145:Y145" si="126">IF(C53=0,0,C53/C$47)</f>
        <v>1.2143247469472852E-5</v>
      </c>
      <c r="D145" s="140">
        <f t="shared" si="126"/>
        <v>1.4420878561544222E-5</v>
      </c>
      <c r="E145" s="140">
        <f t="shared" si="126"/>
        <v>1.2045427247267693E-5</v>
      </c>
      <c r="F145" s="140">
        <f t="shared" si="126"/>
        <v>7.7157290395668815E-6</v>
      </c>
      <c r="G145" s="140">
        <f t="shared" si="126"/>
        <v>5.2026484962546915E-6</v>
      </c>
      <c r="H145" s="140">
        <f t="shared" si="126"/>
        <v>1.177827006966813E-5</v>
      </c>
      <c r="I145" s="140">
        <f t="shared" si="126"/>
        <v>1.6845823115176555E-5</v>
      </c>
      <c r="J145" s="140">
        <f t="shared" si="126"/>
        <v>1.4072248827302646E-5</v>
      </c>
      <c r="K145" s="140">
        <f t="shared" si="126"/>
        <v>1.9886936246283601E-5</v>
      </c>
      <c r="L145" s="140">
        <f t="shared" si="126"/>
        <v>1.5305002161581383E-5</v>
      </c>
      <c r="M145" s="140">
        <f t="shared" si="126"/>
        <v>1.6755518097193475E-5</v>
      </c>
      <c r="N145" s="140">
        <f t="shared" si="126"/>
        <v>4.7421686363802042E-5</v>
      </c>
      <c r="O145" s="140">
        <f t="shared" si="126"/>
        <v>5.3283193598181389E-5</v>
      </c>
      <c r="P145" s="140">
        <f t="shared" si="126"/>
        <v>4.9376022598965359E-5</v>
      </c>
      <c r="Q145" s="140">
        <f t="shared" si="126"/>
        <v>2.6422136544919715E-5</v>
      </c>
      <c r="R145" s="140">
        <f t="shared" si="126"/>
        <v>1.4828719180704536E-5</v>
      </c>
      <c r="S145" s="140">
        <f t="shared" si="126"/>
        <v>4.3148021098395601E-6</v>
      </c>
      <c r="T145" s="140">
        <f t="shared" si="126"/>
        <v>5.166473270471856E-6</v>
      </c>
      <c r="U145" s="140">
        <f t="shared" si="126"/>
        <v>6.5778286602988647E-6</v>
      </c>
      <c r="V145" s="140">
        <f t="shared" si="126"/>
        <v>2.4939303791665573E-6</v>
      </c>
      <c r="W145" s="140">
        <f t="shared" si="126"/>
        <v>3.7038691604204322E-6</v>
      </c>
      <c r="X145" s="140">
        <f t="shared" si="126"/>
        <v>3.0303322578462283E-6</v>
      </c>
      <c r="Y145" s="140">
        <f t="shared" si="126"/>
        <v>2.7376152911979702E-6</v>
      </c>
      <c r="DA145" s="175"/>
    </row>
    <row r="146" spans="1:105" ht="11.45" customHeight="1" x14ac:dyDescent="0.25">
      <c r="A146" s="128" t="str">
        <f>$A$24</f>
        <v>International - Intra-EEAwCHUK</v>
      </c>
      <c r="B146" s="140">
        <f t="shared" si="119"/>
        <v>5.5077818133019525E-4</v>
      </c>
      <c r="C146" s="140">
        <f t="shared" ref="C146:Y146" si="127">IF(C54=0,0,C54/C$47)</f>
        <v>4.085819469142351E-4</v>
      </c>
      <c r="D146" s="140">
        <f t="shared" si="127"/>
        <v>4.9600707108026344E-4</v>
      </c>
      <c r="E146" s="140">
        <f t="shared" si="127"/>
        <v>4.1679810675958903E-4</v>
      </c>
      <c r="F146" s="140">
        <f t="shared" si="127"/>
        <v>2.7243783513034107E-4</v>
      </c>
      <c r="G146" s="140">
        <f t="shared" si="127"/>
        <v>3.2855865247429948E-4</v>
      </c>
      <c r="H146" s="140">
        <f t="shared" si="127"/>
        <v>3.841753705283413E-4</v>
      </c>
      <c r="I146" s="140">
        <f t="shared" si="127"/>
        <v>3.6879829211576359E-4</v>
      </c>
      <c r="J146" s="140">
        <f t="shared" si="127"/>
        <v>3.9368633918505366E-4</v>
      </c>
      <c r="K146" s="140">
        <f t="shared" si="127"/>
        <v>4.4197194274007154E-4</v>
      </c>
      <c r="L146" s="140">
        <f t="shared" si="127"/>
        <v>4.0570598466390355E-4</v>
      </c>
      <c r="M146" s="140">
        <f t="shared" si="127"/>
        <v>3.9207962527373365E-4</v>
      </c>
      <c r="N146" s="140">
        <f t="shared" si="127"/>
        <v>4.9026022076163603E-4</v>
      </c>
      <c r="O146" s="140">
        <f t="shared" si="127"/>
        <v>5.0775353955657358E-4</v>
      </c>
      <c r="P146" s="140">
        <f t="shared" si="127"/>
        <v>5.5041462989900215E-4</v>
      </c>
      <c r="Q146" s="140">
        <f t="shared" si="127"/>
        <v>5.7881359102681393E-4</v>
      </c>
      <c r="R146" s="140">
        <f t="shared" si="127"/>
        <v>4.4816487645503092E-4</v>
      </c>
      <c r="S146" s="140">
        <f t="shared" si="127"/>
        <v>4.9381866418262907E-4</v>
      </c>
      <c r="T146" s="140">
        <f t="shared" si="127"/>
        <v>4.9824116986142036E-4</v>
      </c>
      <c r="U146" s="140">
        <f t="shared" si="127"/>
        <v>5.2417728321205235E-4</v>
      </c>
      <c r="V146" s="140">
        <f t="shared" si="127"/>
        <v>7.2509549608538993E-4</v>
      </c>
      <c r="W146" s="140">
        <f t="shared" si="127"/>
        <v>7.5218275033148651E-4</v>
      </c>
      <c r="X146" s="140">
        <f t="shared" si="127"/>
        <v>8.6839499705710407E-4</v>
      </c>
      <c r="Y146" s="140">
        <f t="shared" si="127"/>
        <v>7.3006896872025403E-4</v>
      </c>
      <c r="DA146" s="175"/>
    </row>
    <row r="147" spans="1:105" ht="11.45" customHeight="1" x14ac:dyDescent="0.25">
      <c r="A147" s="128" t="str">
        <f>$A$25</f>
        <v>International - Extra-EEAwCHUK</v>
      </c>
      <c r="B147" s="140">
        <f t="shared" si="119"/>
        <v>1.0981414472697006E-4</v>
      </c>
      <c r="C147" s="140">
        <f t="shared" ref="C147:Y147" si="128">IF(C55=0,0,C55/C$47)</f>
        <v>1.0320796089796541E-4</v>
      </c>
      <c r="D147" s="140">
        <f t="shared" si="128"/>
        <v>1.1183870946847007E-4</v>
      </c>
      <c r="E147" s="140">
        <f t="shared" si="128"/>
        <v>1.0199685065622203E-4</v>
      </c>
      <c r="F147" s="140">
        <f t="shared" si="128"/>
        <v>8.8669974961570137E-5</v>
      </c>
      <c r="G147" s="140">
        <f t="shared" si="128"/>
        <v>7.3664839683112516E-5</v>
      </c>
      <c r="H147" s="140">
        <f t="shared" si="128"/>
        <v>1.0730708638499956E-4</v>
      </c>
      <c r="I147" s="140">
        <f t="shared" si="128"/>
        <v>1.5912258375499954E-4</v>
      </c>
      <c r="J147" s="140">
        <f t="shared" si="128"/>
        <v>2.6776780417598527E-4</v>
      </c>
      <c r="K147" s="140">
        <f t="shared" si="128"/>
        <v>2.9889138711921529E-4</v>
      </c>
      <c r="L147" s="140">
        <f t="shared" si="128"/>
        <v>6.3222218534601739E-4</v>
      </c>
      <c r="M147" s="140">
        <f t="shared" si="128"/>
        <v>5.4290791427868718E-4</v>
      </c>
      <c r="N147" s="140">
        <f t="shared" si="128"/>
        <v>5.6949688960488082E-4</v>
      </c>
      <c r="O147" s="140">
        <f t="shared" si="128"/>
        <v>7.252993882292389E-4</v>
      </c>
      <c r="P147" s="140">
        <f t="shared" si="128"/>
        <v>8.6159114403441101E-4</v>
      </c>
      <c r="Q147" s="140">
        <f t="shared" si="128"/>
        <v>8.6627324331083392E-4</v>
      </c>
      <c r="R147" s="140">
        <f t="shared" si="128"/>
        <v>1.1004143095642855E-3</v>
      </c>
      <c r="S147" s="140">
        <f t="shared" si="128"/>
        <v>9.3392863514476262E-4</v>
      </c>
      <c r="T147" s="140">
        <f t="shared" si="128"/>
        <v>7.3069943253899065E-4</v>
      </c>
      <c r="U147" s="140">
        <f t="shared" si="128"/>
        <v>1.1648419860875931E-3</v>
      </c>
      <c r="V147" s="140">
        <f t="shared" si="128"/>
        <v>3.1938830857362551E-4</v>
      </c>
      <c r="W147" s="140">
        <f t="shared" si="128"/>
        <v>5.3891601837107589E-4</v>
      </c>
      <c r="X147" s="140">
        <f t="shared" si="128"/>
        <v>1.2514925897984218E-3</v>
      </c>
      <c r="Y147" s="140">
        <f t="shared" si="128"/>
        <v>1.545519868510803E-3</v>
      </c>
      <c r="DA147" s="175"/>
    </row>
    <row r="148" spans="1:105" ht="11.45" customHeight="1" x14ac:dyDescent="0.25">
      <c r="A148" s="109" t="s">
        <v>141</v>
      </c>
      <c r="B148" s="124">
        <f t="shared" si="119"/>
        <v>2.1166672712592842E-3</v>
      </c>
      <c r="C148" s="124">
        <f t="shared" ref="C148:Y148" si="129">IF(C56=0,0,C56/C$47)</f>
        <v>2.04808749382314E-3</v>
      </c>
      <c r="D148" s="124">
        <f t="shared" si="129"/>
        <v>1.8254663530119764E-3</v>
      </c>
      <c r="E148" s="124">
        <f t="shared" si="129"/>
        <v>2.1431562473849175E-3</v>
      </c>
      <c r="F148" s="124">
        <f t="shared" si="129"/>
        <v>1.586172577211276E-3</v>
      </c>
      <c r="G148" s="124">
        <f t="shared" si="129"/>
        <v>1.1097866756052083E-3</v>
      </c>
      <c r="H148" s="124">
        <f t="shared" si="129"/>
        <v>1.1977678262979853E-3</v>
      </c>
      <c r="I148" s="124">
        <f t="shared" si="129"/>
        <v>8.9313877031607376E-4</v>
      </c>
      <c r="J148" s="124">
        <f t="shared" si="129"/>
        <v>8.3508440490949096E-4</v>
      </c>
      <c r="K148" s="124">
        <f t="shared" si="129"/>
        <v>5.0409610185867665E-4</v>
      </c>
      <c r="L148" s="124">
        <f t="shared" si="129"/>
        <v>4.5985558122831218E-4</v>
      </c>
      <c r="M148" s="124">
        <f t="shared" si="129"/>
        <v>4.5199541936661355E-4</v>
      </c>
      <c r="N148" s="124">
        <f t="shared" si="129"/>
        <v>5.0220914119878139E-4</v>
      </c>
      <c r="O148" s="124">
        <f t="shared" si="129"/>
        <v>5.5409077058375179E-4</v>
      </c>
      <c r="P148" s="124">
        <f t="shared" si="129"/>
        <v>5.4982373434815277E-4</v>
      </c>
      <c r="Q148" s="124">
        <f t="shared" si="129"/>
        <v>3.5336450446732376E-4</v>
      </c>
      <c r="R148" s="124">
        <f t="shared" si="129"/>
        <v>2.9227103336225229E-4</v>
      </c>
      <c r="S148" s="124">
        <f t="shared" si="129"/>
        <v>5.3718099059095611E-4</v>
      </c>
      <c r="T148" s="124">
        <f t="shared" si="129"/>
        <v>2.2368876519406817E-4</v>
      </c>
      <c r="U148" s="124">
        <f t="shared" si="129"/>
        <v>2.0554203743656109E-4</v>
      </c>
      <c r="V148" s="124">
        <f t="shared" si="129"/>
        <v>1.1870263291146128E-4</v>
      </c>
      <c r="W148" s="124">
        <f t="shared" si="129"/>
        <v>1.0638184550620822E-4</v>
      </c>
      <c r="X148" s="124">
        <f t="shared" si="129"/>
        <v>1.0506054493034287E-4</v>
      </c>
      <c r="Y148" s="124">
        <f t="shared" si="129"/>
        <v>1.0719891924731864E-4</v>
      </c>
      <c r="DA148" s="176"/>
    </row>
    <row r="149" spans="1:105" ht="11.45" customHeight="1" x14ac:dyDescent="0.25">
      <c r="A149" s="128" t="str">
        <f>$A$27</f>
        <v>Domestic coastal shipping</v>
      </c>
      <c r="B149" s="140">
        <f t="shared" si="119"/>
        <v>8.3801527833551965E-5</v>
      </c>
      <c r="C149" s="140">
        <f t="shared" ref="C149:Y149" si="130">IF(C57=0,0,C57/C$47)</f>
        <v>8.0562314706128187E-5</v>
      </c>
      <c r="D149" s="140">
        <f t="shared" si="130"/>
        <v>9.1894537646273244E-5</v>
      </c>
      <c r="E149" s="140">
        <f t="shared" si="130"/>
        <v>8.4696313105333941E-5</v>
      </c>
      <c r="F149" s="140">
        <f t="shared" si="130"/>
        <v>8.3918506671303144E-5</v>
      </c>
      <c r="G149" s="140">
        <f t="shared" si="130"/>
        <v>2.2097874436461802E-4</v>
      </c>
      <c r="H149" s="140">
        <f t="shared" si="130"/>
        <v>2.1751577132943391E-4</v>
      </c>
      <c r="I149" s="140">
        <f t="shared" si="130"/>
        <v>1.3881829743731065E-4</v>
      </c>
      <c r="J149" s="140">
        <f t="shared" si="130"/>
        <v>1.5390073326403326E-4</v>
      </c>
      <c r="K149" s="140">
        <f t="shared" si="130"/>
        <v>1.1415597565771238E-4</v>
      </c>
      <c r="L149" s="140">
        <f t="shared" si="130"/>
        <v>1.2466736061956648E-4</v>
      </c>
      <c r="M149" s="140">
        <f t="shared" si="130"/>
        <v>1.601098256219857E-4</v>
      </c>
      <c r="N149" s="140">
        <f t="shared" si="130"/>
        <v>1.678154479075696E-4</v>
      </c>
      <c r="O149" s="140">
        <f t="shared" si="130"/>
        <v>1.8599293762448254E-4</v>
      </c>
      <c r="P149" s="140">
        <f t="shared" si="130"/>
        <v>1.2609491318310329E-4</v>
      </c>
      <c r="Q149" s="140">
        <f t="shared" si="130"/>
        <v>1.3426857974384017E-4</v>
      </c>
      <c r="R149" s="140">
        <f t="shared" si="130"/>
        <v>1.4725553031131848E-4</v>
      </c>
      <c r="S149" s="140">
        <f t="shared" si="130"/>
        <v>2.4455446916084317E-4</v>
      </c>
      <c r="T149" s="140">
        <f t="shared" si="130"/>
        <v>9.8231347665932679E-5</v>
      </c>
      <c r="U149" s="140">
        <f t="shared" si="130"/>
        <v>1.1614643642113413E-4</v>
      </c>
      <c r="V149" s="140">
        <f t="shared" si="130"/>
        <v>8.0970968165228264E-5</v>
      </c>
      <c r="W149" s="140">
        <f t="shared" si="130"/>
        <v>8.5506587930457415E-5</v>
      </c>
      <c r="X149" s="140">
        <f t="shared" si="130"/>
        <v>9.121215996020702E-5</v>
      </c>
      <c r="Y149" s="140">
        <f t="shared" si="130"/>
        <v>9.284122856767656E-5</v>
      </c>
      <c r="DA149" s="175"/>
    </row>
    <row r="150" spans="1:105" ht="11.45" customHeight="1" x14ac:dyDescent="0.25">
      <c r="A150" s="138" t="str">
        <f>$A$28</f>
        <v>Inland waterways</v>
      </c>
      <c r="B150" s="127">
        <f t="shared" si="119"/>
        <v>2.032865743425732E-3</v>
      </c>
      <c r="C150" s="127">
        <f t="shared" ref="C150:Y150" si="131">IF(C58=0,0,C58/C$47)</f>
        <v>1.9675251791170115E-3</v>
      </c>
      <c r="D150" s="127">
        <f t="shared" si="131"/>
        <v>1.7335718153657031E-3</v>
      </c>
      <c r="E150" s="127">
        <f t="shared" si="131"/>
        <v>2.0584599342795837E-3</v>
      </c>
      <c r="F150" s="127">
        <f t="shared" si="131"/>
        <v>1.5022540705399729E-3</v>
      </c>
      <c r="G150" s="127">
        <f t="shared" si="131"/>
        <v>8.888079312405902E-4</v>
      </c>
      <c r="H150" s="127">
        <f t="shared" si="131"/>
        <v>9.8025205496855145E-4</v>
      </c>
      <c r="I150" s="127">
        <f t="shared" si="131"/>
        <v>7.5432047287876311E-4</v>
      </c>
      <c r="J150" s="127">
        <f t="shared" si="131"/>
        <v>6.8118367164545759E-4</v>
      </c>
      <c r="K150" s="127">
        <f t="shared" si="131"/>
        <v>3.899401262009642E-4</v>
      </c>
      <c r="L150" s="127">
        <f t="shared" si="131"/>
        <v>3.3518822060874573E-4</v>
      </c>
      <c r="M150" s="127">
        <f t="shared" si="131"/>
        <v>2.9188559374462787E-4</v>
      </c>
      <c r="N150" s="127">
        <f t="shared" si="131"/>
        <v>3.3439369329121171E-4</v>
      </c>
      <c r="O150" s="127">
        <f t="shared" si="131"/>
        <v>3.6809783295926933E-4</v>
      </c>
      <c r="P150" s="127">
        <f t="shared" si="131"/>
        <v>4.2372882116504948E-4</v>
      </c>
      <c r="Q150" s="127">
        <f t="shared" si="131"/>
        <v>2.1909592472348354E-4</v>
      </c>
      <c r="R150" s="127">
        <f t="shared" si="131"/>
        <v>1.4501550305093377E-4</v>
      </c>
      <c r="S150" s="127">
        <f t="shared" si="131"/>
        <v>2.9262652143011289E-4</v>
      </c>
      <c r="T150" s="127">
        <f t="shared" si="131"/>
        <v>1.2545741752813551E-4</v>
      </c>
      <c r="U150" s="127">
        <f t="shared" si="131"/>
        <v>8.9395601015426955E-5</v>
      </c>
      <c r="V150" s="127">
        <f t="shared" si="131"/>
        <v>3.7731664746233002E-5</v>
      </c>
      <c r="W150" s="127">
        <f t="shared" si="131"/>
        <v>2.08752575757508E-5</v>
      </c>
      <c r="X150" s="127">
        <f t="shared" si="131"/>
        <v>1.3848384970135843E-5</v>
      </c>
      <c r="Y150" s="127">
        <f t="shared" si="131"/>
        <v>1.43576906796421E-5</v>
      </c>
      <c r="DA150" s="178"/>
    </row>
    <row r="151" spans="1:105" ht="11.45" customHeight="1" x14ac:dyDescent="0.25">
      <c r="A151" s="27" t="s">
        <v>169</v>
      </c>
      <c r="B151" s="31">
        <f t="shared" ref="B151:Y151" si="132">IF(B59=0,0,B59/B$59)</f>
        <v>1</v>
      </c>
      <c r="C151" s="31">
        <f t="shared" si="132"/>
        <v>1</v>
      </c>
      <c r="D151" s="31">
        <f t="shared" si="132"/>
        <v>1</v>
      </c>
      <c r="E151" s="31">
        <f t="shared" si="132"/>
        <v>1</v>
      </c>
      <c r="F151" s="31">
        <f t="shared" si="132"/>
        <v>1</v>
      </c>
      <c r="G151" s="31">
        <f t="shared" si="132"/>
        <v>1</v>
      </c>
      <c r="H151" s="31">
        <f t="shared" si="132"/>
        <v>1</v>
      </c>
      <c r="I151" s="31">
        <f t="shared" si="132"/>
        <v>1</v>
      </c>
      <c r="J151" s="31">
        <f t="shared" si="132"/>
        <v>1</v>
      </c>
      <c r="K151" s="31">
        <f t="shared" si="132"/>
        <v>1</v>
      </c>
      <c r="L151" s="31">
        <f t="shared" si="132"/>
        <v>1</v>
      </c>
      <c r="M151" s="31">
        <f t="shared" si="132"/>
        <v>1</v>
      </c>
      <c r="N151" s="31">
        <f t="shared" si="132"/>
        <v>1</v>
      </c>
      <c r="O151" s="31">
        <f t="shared" si="132"/>
        <v>1</v>
      </c>
      <c r="P151" s="31">
        <f t="shared" si="132"/>
        <v>1</v>
      </c>
      <c r="Q151" s="31">
        <f t="shared" si="132"/>
        <v>1</v>
      </c>
      <c r="R151" s="31">
        <f t="shared" si="132"/>
        <v>1</v>
      </c>
      <c r="S151" s="31">
        <f t="shared" si="132"/>
        <v>1</v>
      </c>
      <c r="T151" s="31">
        <f t="shared" si="132"/>
        <v>1</v>
      </c>
      <c r="U151" s="31">
        <f t="shared" si="132"/>
        <v>1</v>
      </c>
      <c r="V151" s="31">
        <f t="shared" si="132"/>
        <v>1</v>
      </c>
      <c r="W151" s="31">
        <f t="shared" si="132"/>
        <v>1</v>
      </c>
      <c r="X151" s="31">
        <f t="shared" si="132"/>
        <v>1</v>
      </c>
      <c r="Y151" s="31">
        <f t="shared" si="132"/>
        <v>1</v>
      </c>
      <c r="DA151" s="173"/>
    </row>
    <row r="152" spans="1:105" ht="11.45" customHeight="1" x14ac:dyDescent="0.25">
      <c r="A152" s="128" t="str">
        <f>$A$30</f>
        <v>Intra-EEA</v>
      </c>
      <c r="B152" s="140">
        <f t="shared" ref="B152:Y152" si="133">IF(B60=0,0,B60/B$59)</f>
        <v>0.50309371705482586</v>
      </c>
      <c r="C152" s="140">
        <f t="shared" si="133"/>
        <v>0.50138181173057728</v>
      </c>
      <c r="D152" s="140">
        <f t="shared" si="133"/>
        <v>0.49990781072300622</v>
      </c>
      <c r="E152" s="140">
        <f t="shared" si="133"/>
        <v>0.50015584561578785</v>
      </c>
      <c r="F152" s="140">
        <f t="shared" si="133"/>
        <v>0.50039351395126253</v>
      </c>
      <c r="G152" s="140">
        <f t="shared" si="133"/>
        <v>0.47175259506996581</v>
      </c>
      <c r="H152" s="140">
        <f t="shared" si="133"/>
        <v>0.42776935109097791</v>
      </c>
      <c r="I152" s="140">
        <f t="shared" si="133"/>
        <v>0.49184394395962744</v>
      </c>
      <c r="J152" s="140">
        <f t="shared" si="133"/>
        <v>0.46246415395911356</v>
      </c>
      <c r="K152" s="140">
        <f t="shared" si="133"/>
        <v>0.47899839429126956</v>
      </c>
      <c r="L152" s="140">
        <f t="shared" si="133"/>
        <v>0.48883471679191848</v>
      </c>
      <c r="M152" s="140">
        <f t="shared" si="133"/>
        <v>0.4823540120491866</v>
      </c>
      <c r="N152" s="140">
        <f t="shared" si="133"/>
        <v>0.42009442645204464</v>
      </c>
      <c r="O152" s="140">
        <f t="shared" si="133"/>
        <v>0.41531271536440362</v>
      </c>
      <c r="P152" s="140">
        <f t="shared" si="133"/>
        <v>0.38932840247179029</v>
      </c>
      <c r="Q152" s="140">
        <f t="shared" si="133"/>
        <v>0.40953790341174467</v>
      </c>
      <c r="R152" s="140">
        <f t="shared" si="133"/>
        <v>0.36966540578516527</v>
      </c>
      <c r="S152" s="140">
        <f t="shared" si="133"/>
        <v>0.31535564678118655</v>
      </c>
      <c r="T152" s="140">
        <f t="shared" si="133"/>
        <v>0.31129900700815588</v>
      </c>
      <c r="U152" s="140">
        <f t="shared" si="133"/>
        <v>0.30592623869810065</v>
      </c>
      <c r="V152" s="140">
        <f t="shared" si="133"/>
        <v>0.29039297263979524</v>
      </c>
      <c r="W152" s="140">
        <f t="shared" si="133"/>
        <v>0.29082845299437765</v>
      </c>
      <c r="X152" s="140">
        <f t="shared" si="133"/>
        <v>0.30313502971296696</v>
      </c>
      <c r="Y152" s="140">
        <f t="shared" si="133"/>
        <v>0.37963631498543227</v>
      </c>
      <c r="DA152" s="175"/>
    </row>
    <row r="153" spans="1:105" ht="11.45" customHeight="1" x14ac:dyDescent="0.25">
      <c r="A153" s="138" t="str">
        <f>$A$31</f>
        <v>Extra-EEA</v>
      </c>
      <c r="B153" s="127">
        <f t="shared" ref="B153:Y153" si="134">IF(B61=0,0,B61/B$59)</f>
        <v>0.49690628294517419</v>
      </c>
      <c r="C153" s="127">
        <f t="shared" si="134"/>
        <v>0.49861818826942272</v>
      </c>
      <c r="D153" s="127">
        <f t="shared" si="134"/>
        <v>0.50009218927699384</v>
      </c>
      <c r="E153" s="127">
        <f t="shared" si="134"/>
        <v>0.49984415438421226</v>
      </c>
      <c r="F153" s="127">
        <f t="shared" si="134"/>
        <v>0.49960648604873753</v>
      </c>
      <c r="G153" s="127">
        <f t="shared" si="134"/>
        <v>0.52824740493003419</v>
      </c>
      <c r="H153" s="127">
        <f t="shared" si="134"/>
        <v>0.57223064890902209</v>
      </c>
      <c r="I153" s="127">
        <f t="shared" si="134"/>
        <v>0.50815605604037262</v>
      </c>
      <c r="J153" s="127">
        <f t="shared" si="134"/>
        <v>0.53753584604088644</v>
      </c>
      <c r="K153" s="127">
        <f t="shared" si="134"/>
        <v>0.52100160570873033</v>
      </c>
      <c r="L153" s="127">
        <f t="shared" si="134"/>
        <v>0.51116528320808152</v>
      </c>
      <c r="M153" s="127">
        <f t="shared" si="134"/>
        <v>0.51764598795081351</v>
      </c>
      <c r="N153" s="127">
        <f t="shared" si="134"/>
        <v>0.57990557354795547</v>
      </c>
      <c r="O153" s="127">
        <f t="shared" si="134"/>
        <v>0.58468728463559627</v>
      </c>
      <c r="P153" s="127">
        <f t="shared" si="134"/>
        <v>0.61067159752820976</v>
      </c>
      <c r="Q153" s="127">
        <f t="shared" si="134"/>
        <v>0.59046209658825533</v>
      </c>
      <c r="R153" s="127">
        <f t="shared" si="134"/>
        <v>0.63033459421483473</v>
      </c>
      <c r="S153" s="127">
        <f t="shared" si="134"/>
        <v>0.68464435321881334</v>
      </c>
      <c r="T153" s="127">
        <f t="shared" si="134"/>
        <v>0.68870099299184417</v>
      </c>
      <c r="U153" s="127">
        <f t="shared" si="134"/>
        <v>0.69407376130189935</v>
      </c>
      <c r="V153" s="127">
        <f t="shared" si="134"/>
        <v>0.70960702736020476</v>
      </c>
      <c r="W153" s="127">
        <f t="shared" si="134"/>
        <v>0.70917154700562235</v>
      </c>
      <c r="X153" s="127">
        <f t="shared" si="134"/>
        <v>0.69686497028703298</v>
      </c>
      <c r="Y153" s="127">
        <f t="shared" si="134"/>
        <v>0.62036368501456773</v>
      </c>
      <c r="DA153" s="178"/>
    </row>
    <row r="154" spans="1:105" x14ac:dyDescent="0.25">
      <c r="A154" s="106"/>
      <c r="B154" s="106"/>
      <c r="C154" s="106"/>
      <c r="D154" s="106"/>
      <c r="E154" s="106"/>
      <c r="F154" s="106"/>
      <c r="G154" s="106"/>
      <c r="H154" s="106"/>
      <c r="I154" s="106"/>
      <c r="J154" s="106"/>
      <c r="K154" s="106"/>
      <c r="L154" s="106"/>
      <c r="M154" s="106"/>
      <c r="N154" s="106"/>
      <c r="O154" s="106"/>
      <c r="P154" s="106"/>
      <c r="Q154" s="106"/>
      <c r="R154" s="106"/>
      <c r="S154" s="106"/>
      <c r="T154" s="106"/>
      <c r="U154" s="106"/>
      <c r="V154" s="106"/>
      <c r="W154" s="106"/>
      <c r="X154" s="106"/>
      <c r="Y154" s="106"/>
      <c r="DA154" s="171"/>
    </row>
    <row r="155" spans="1:105" ht="11.45" customHeight="1" x14ac:dyDescent="0.25">
      <c r="A155" s="53" t="s">
        <v>41</v>
      </c>
      <c r="B155" s="65"/>
      <c r="C155" s="65"/>
      <c r="D155" s="65"/>
      <c r="E155" s="65"/>
      <c r="F155" s="65"/>
      <c r="G155" s="65"/>
      <c r="H155" s="65"/>
      <c r="I155" s="65"/>
      <c r="J155" s="65"/>
      <c r="K155" s="65"/>
      <c r="L155" s="65"/>
      <c r="M155" s="65"/>
      <c r="N155" s="65"/>
      <c r="O155" s="65"/>
      <c r="P155" s="65"/>
      <c r="Q155" s="65"/>
      <c r="R155" s="65"/>
      <c r="S155" s="65"/>
      <c r="T155" s="65"/>
      <c r="U155" s="65"/>
      <c r="V155" s="65"/>
      <c r="W155" s="65"/>
      <c r="X155" s="65"/>
      <c r="Y155" s="65"/>
      <c r="DA155" s="172"/>
    </row>
    <row r="156" spans="1:105" ht="11.45" customHeight="1" x14ac:dyDescent="0.25">
      <c r="A156" s="27" t="s">
        <v>33</v>
      </c>
      <c r="B156" s="31">
        <f t="shared" ref="B156:B168" si="135">IF(B64=0,0,B64/B$64)</f>
        <v>1</v>
      </c>
      <c r="C156" s="31">
        <f t="shared" ref="C156:W156" si="136">IF(C64=0,0,C64/C$64)</f>
        <v>1</v>
      </c>
      <c r="D156" s="31">
        <f t="shared" si="136"/>
        <v>1</v>
      </c>
      <c r="E156" s="31">
        <f t="shared" si="136"/>
        <v>1</v>
      </c>
      <c r="F156" s="31">
        <f t="shared" si="136"/>
        <v>1</v>
      </c>
      <c r="G156" s="31">
        <f t="shared" si="136"/>
        <v>1</v>
      </c>
      <c r="H156" s="31">
        <f t="shared" si="136"/>
        <v>1</v>
      </c>
      <c r="I156" s="31">
        <f t="shared" si="136"/>
        <v>1</v>
      </c>
      <c r="J156" s="31">
        <f t="shared" si="136"/>
        <v>1</v>
      </c>
      <c r="K156" s="31">
        <f t="shared" si="136"/>
        <v>1</v>
      </c>
      <c r="L156" s="31">
        <f t="shared" si="136"/>
        <v>1</v>
      </c>
      <c r="M156" s="31">
        <f t="shared" si="136"/>
        <v>1</v>
      </c>
      <c r="N156" s="31">
        <f t="shared" si="136"/>
        <v>1</v>
      </c>
      <c r="O156" s="31">
        <f t="shared" si="136"/>
        <v>1</v>
      </c>
      <c r="P156" s="31">
        <f t="shared" si="136"/>
        <v>1</v>
      </c>
      <c r="Q156" s="31">
        <f t="shared" si="136"/>
        <v>1</v>
      </c>
      <c r="R156" s="31">
        <f t="shared" si="136"/>
        <v>1</v>
      </c>
      <c r="S156" s="31">
        <f t="shared" si="136"/>
        <v>1</v>
      </c>
      <c r="T156" s="31">
        <f t="shared" si="136"/>
        <v>1</v>
      </c>
      <c r="U156" s="31">
        <f t="shared" si="136"/>
        <v>1</v>
      </c>
      <c r="V156" s="31">
        <f t="shared" si="136"/>
        <v>1</v>
      </c>
      <c r="W156" s="31">
        <f t="shared" si="136"/>
        <v>1</v>
      </c>
      <c r="X156" s="31">
        <f t="shared" ref="X156:Y156" si="137">IF(X64=0,0,X64/X$64)</f>
        <v>1</v>
      </c>
      <c r="Y156" s="31">
        <f t="shared" si="137"/>
        <v>1</v>
      </c>
      <c r="DA156" s="173"/>
    </row>
    <row r="157" spans="1:105" ht="11.45" customHeight="1" x14ac:dyDescent="0.25">
      <c r="A157" s="136" t="str">
        <f>$A$5</f>
        <v>Road transport</v>
      </c>
      <c r="B157" s="139">
        <f t="shared" si="135"/>
        <v>0.94016389964363378</v>
      </c>
      <c r="C157" s="139">
        <f t="shared" ref="C157:W157" si="138">IF(C65=0,0,C65/C$64)</f>
        <v>0.93878861476257147</v>
      </c>
      <c r="D157" s="139">
        <f t="shared" si="138"/>
        <v>0.93942299831577014</v>
      </c>
      <c r="E157" s="139">
        <f t="shared" si="138"/>
        <v>0.93753657517684019</v>
      </c>
      <c r="F157" s="139">
        <f t="shared" si="138"/>
        <v>0.94697731002808605</v>
      </c>
      <c r="G157" s="139">
        <f t="shared" si="138"/>
        <v>0.94098506209750044</v>
      </c>
      <c r="H157" s="139">
        <f t="shared" si="138"/>
        <v>0.93759386444416548</v>
      </c>
      <c r="I157" s="139">
        <f t="shared" si="138"/>
        <v>0.93904125770654945</v>
      </c>
      <c r="J157" s="139">
        <f t="shared" si="138"/>
        <v>0.93427226614131065</v>
      </c>
      <c r="K157" s="139">
        <f t="shared" si="138"/>
        <v>0.94232723273749008</v>
      </c>
      <c r="L157" s="139">
        <f t="shared" si="138"/>
        <v>0.94494503240180439</v>
      </c>
      <c r="M157" s="139">
        <f t="shared" si="138"/>
        <v>0.94636816538377955</v>
      </c>
      <c r="N157" s="139">
        <f t="shared" si="138"/>
        <v>0.94083814225963569</v>
      </c>
      <c r="O157" s="139">
        <f t="shared" si="138"/>
        <v>0.93987759132128812</v>
      </c>
      <c r="P157" s="139">
        <f t="shared" si="138"/>
        <v>0.93395996548467608</v>
      </c>
      <c r="Q157" s="139">
        <f t="shared" si="138"/>
        <v>0.93355791933206123</v>
      </c>
      <c r="R157" s="139">
        <f t="shared" si="138"/>
        <v>0.93504535420135015</v>
      </c>
      <c r="S157" s="139">
        <f t="shared" si="138"/>
        <v>0.92832489349126701</v>
      </c>
      <c r="T157" s="139">
        <f t="shared" si="138"/>
        <v>0.91832431579326868</v>
      </c>
      <c r="U157" s="139">
        <f t="shared" si="138"/>
        <v>0.91647366833371802</v>
      </c>
      <c r="V157" s="139">
        <f t="shared" si="138"/>
        <v>0.96021036786385405</v>
      </c>
      <c r="W157" s="139">
        <f t="shared" si="138"/>
        <v>0.95156763205949024</v>
      </c>
      <c r="X157" s="139">
        <f t="shared" ref="X157:Y157" si="139">IF(X65=0,0,X65/X$64)</f>
        <v>0.92282588084250783</v>
      </c>
      <c r="Y157" s="139">
        <f t="shared" si="139"/>
        <v>0.90831953004291477</v>
      </c>
      <c r="DA157" s="174"/>
    </row>
    <row r="158" spans="1:105" ht="11.45" customHeight="1" x14ac:dyDescent="0.25">
      <c r="A158" s="128" t="str">
        <f>$A$6</f>
        <v>Powered two-wheelers</v>
      </c>
      <c r="B158" s="140">
        <f t="shared" si="135"/>
        <v>1.5320894985822125E-2</v>
      </c>
      <c r="C158" s="140">
        <f t="shared" ref="C158:W158" si="140">IF(C66=0,0,C66/C$64)</f>
        <v>1.3594695210709678E-2</v>
      </c>
      <c r="D158" s="140">
        <f t="shared" si="140"/>
        <v>1.3466384248934782E-2</v>
      </c>
      <c r="E158" s="140">
        <f t="shared" si="140"/>
        <v>1.1260142192060179E-2</v>
      </c>
      <c r="F158" s="140">
        <f t="shared" si="140"/>
        <v>9.748946012126572E-3</v>
      </c>
      <c r="G158" s="140">
        <f t="shared" si="140"/>
        <v>1.0375234855883965E-2</v>
      </c>
      <c r="H158" s="140">
        <f t="shared" si="140"/>
        <v>9.7652623777436161E-3</v>
      </c>
      <c r="I158" s="140">
        <f t="shared" si="140"/>
        <v>9.4649809529345937E-3</v>
      </c>
      <c r="J158" s="140">
        <f t="shared" si="140"/>
        <v>9.1813694861014386E-3</v>
      </c>
      <c r="K158" s="140">
        <f t="shared" si="140"/>
        <v>9.0833697453893986E-3</v>
      </c>
      <c r="L158" s="140">
        <f t="shared" si="140"/>
        <v>9.2438100144154878E-3</v>
      </c>
      <c r="M158" s="140">
        <f t="shared" si="140"/>
        <v>8.9932240969938168E-3</v>
      </c>
      <c r="N158" s="140">
        <f t="shared" si="140"/>
        <v>8.9898131269293621E-3</v>
      </c>
      <c r="O158" s="140">
        <f t="shared" si="140"/>
        <v>9.0255528993168199E-3</v>
      </c>
      <c r="P158" s="140">
        <f t="shared" si="140"/>
        <v>8.9756694687392752E-3</v>
      </c>
      <c r="Q158" s="140">
        <f t="shared" si="140"/>
        <v>8.6199144443766876E-3</v>
      </c>
      <c r="R158" s="140">
        <f t="shared" si="140"/>
        <v>8.3579800230783752E-3</v>
      </c>
      <c r="S158" s="140">
        <f t="shared" si="140"/>
        <v>7.0989237562765865E-3</v>
      </c>
      <c r="T158" s="140">
        <f t="shared" si="140"/>
        <v>6.4769679876534548E-3</v>
      </c>
      <c r="U158" s="140">
        <f t="shared" si="140"/>
        <v>6.6810222705790921E-3</v>
      </c>
      <c r="V158" s="140">
        <f t="shared" si="140"/>
        <v>6.5208608012611909E-3</v>
      </c>
      <c r="W158" s="140">
        <f t="shared" si="140"/>
        <v>6.7386568904432408E-3</v>
      </c>
      <c r="X158" s="140">
        <f t="shared" ref="X158:Y158" si="141">IF(X66=0,0,X66/X$64)</f>
        <v>6.3946964006625449E-3</v>
      </c>
      <c r="Y158" s="140">
        <f t="shared" si="141"/>
        <v>6.8098632961400285E-3</v>
      </c>
      <c r="DA158" s="175"/>
    </row>
    <row r="159" spans="1:105" ht="11.45" customHeight="1" x14ac:dyDescent="0.25">
      <c r="A159" s="128" t="str">
        <f>$A$7</f>
        <v>Passenger cars</v>
      </c>
      <c r="B159" s="140">
        <f t="shared" si="135"/>
        <v>0.76917962040481314</v>
      </c>
      <c r="C159" s="140">
        <f t="shared" ref="C159:W159" si="142">IF(C67=0,0,C67/C$64)</f>
        <v>0.77628313902045998</v>
      </c>
      <c r="D159" s="140">
        <f t="shared" si="142"/>
        <v>0.77808421433202823</v>
      </c>
      <c r="E159" s="140">
        <f t="shared" si="142"/>
        <v>0.78988874641752049</v>
      </c>
      <c r="F159" s="140">
        <f t="shared" si="142"/>
        <v>0.80690040489447978</v>
      </c>
      <c r="G159" s="140">
        <f t="shared" si="142"/>
        <v>0.80492539876266112</v>
      </c>
      <c r="H159" s="140">
        <f t="shared" si="142"/>
        <v>0.82013634336127472</v>
      </c>
      <c r="I159" s="140">
        <f t="shared" si="142"/>
        <v>0.83011431315925566</v>
      </c>
      <c r="J159" s="140">
        <f t="shared" si="142"/>
        <v>0.83592460414352021</v>
      </c>
      <c r="K159" s="140">
        <f t="shared" si="142"/>
        <v>0.84715198418175885</v>
      </c>
      <c r="L159" s="140">
        <f t="shared" si="142"/>
        <v>0.85500442890068207</v>
      </c>
      <c r="M159" s="140">
        <f t="shared" si="142"/>
        <v>0.85654131845801118</v>
      </c>
      <c r="N159" s="140">
        <f t="shared" si="142"/>
        <v>0.85219918578077691</v>
      </c>
      <c r="O159" s="140">
        <f t="shared" si="142"/>
        <v>0.84641115009268653</v>
      </c>
      <c r="P159" s="140">
        <f t="shared" si="142"/>
        <v>0.83919855729477133</v>
      </c>
      <c r="Q159" s="140">
        <f t="shared" si="142"/>
        <v>0.83047508948180782</v>
      </c>
      <c r="R159" s="140">
        <f t="shared" si="142"/>
        <v>0.83891823644404406</v>
      </c>
      <c r="S159" s="140">
        <f t="shared" si="142"/>
        <v>0.84425969078783114</v>
      </c>
      <c r="T159" s="140">
        <f t="shared" si="142"/>
        <v>0.84340042579335361</v>
      </c>
      <c r="U159" s="140">
        <f t="shared" si="142"/>
        <v>0.84048403219611889</v>
      </c>
      <c r="V159" s="140">
        <f t="shared" si="142"/>
        <v>0.87973632145999636</v>
      </c>
      <c r="W159" s="140">
        <f t="shared" si="142"/>
        <v>0.87190856687225682</v>
      </c>
      <c r="X159" s="140">
        <f t="shared" ref="X159:Y159" si="143">IF(X67=0,0,X67/X$64)</f>
        <v>0.84868308999559527</v>
      </c>
      <c r="Y159" s="140">
        <f t="shared" si="143"/>
        <v>0.83697327373923847</v>
      </c>
      <c r="DA159" s="175"/>
    </row>
    <row r="160" spans="1:105" ht="11.45" customHeight="1" x14ac:dyDescent="0.25">
      <c r="A160" s="128" t="str">
        <f>$A$8</f>
        <v>Motor coaches, buses and trolley buses</v>
      </c>
      <c r="B160" s="140">
        <f t="shared" si="135"/>
        <v>0.15566338425299847</v>
      </c>
      <c r="C160" s="140">
        <f t="shared" ref="C160:W160" si="144">IF(C68=0,0,C68/C$64)</f>
        <v>0.14891078053140172</v>
      </c>
      <c r="D160" s="140">
        <f t="shared" si="144"/>
        <v>0.1478723997348072</v>
      </c>
      <c r="E160" s="140">
        <f t="shared" si="144"/>
        <v>0.13638768656725953</v>
      </c>
      <c r="F160" s="140">
        <f t="shared" si="144"/>
        <v>0.13032795912147954</v>
      </c>
      <c r="G160" s="140">
        <f t="shared" si="144"/>
        <v>0.12568442847895531</v>
      </c>
      <c r="H160" s="140">
        <f t="shared" si="144"/>
        <v>0.10769225870514713</v>
      </c>
      <c r="I160" s="140">
        <f t="shared" si="144"/>
        <v>9.9461963594359215E-2</v>
      </c>
      <c r="J160" s="140">
        <f t="shared" si="144"/>
        <v>8.9166292511689033E-2</v>
      </c>
      <c r="K160" s="140">
        <f t="shared" si="144"/>
        <v>8.6091878810341846E-2</v>
      </c>
      <c r="L160" s="140">
        <f t="shared" si="144"/>
        <v>8.0696793486706844E-2</v>
      </c>
      <c r="M160" s="140">
        <f t="shared" si="144"/>
        <v>8.0833622828774515E-2</v>
      </c>
      <c r="N160" s="140">
        <f t="shared" si="144"/>
        <v>7.9649143351929463E-2</v>
      </c>
      <c r="O160" s="140">
        <f t="shared" si="144"/>
        <v>8.4440888329284688E-2</v>
      </c>
      <c r="P160" s="140">
        <f t="shared" si="144"/>
        <v>8.5785738721165405E-2</v>
      </c>
      <c r="Q160" s="140">
        <f t="shared" si="144"/>
        <v>9.4462915405876757E-2</v>
      </c>
      <c r="R160" s="140">
        <f t="shared" si="144"/>
        <v>8.7769137734227703E-2</v>
      </c>
      <c r="S160" s="140">
        <f t="shared" si="144"/>
        <v>7.6966278947159322E-2</v>
      </c>
      <c r="T160" s="140">
        <f t="shared" si="144"/>
        <v>6.8446922012261727E-2</v>
      </c>
      <c r="U160" s="140">
        <f t="shared" si="144"/>
        <v>6.9308613867020002E-2</v>
      </c>
      <c r="V160" s="140">
        <f t="shared" si="144"/>
        <v>7.3953185602596477E-2</v>
      </c>
      <c r="W160" s="140">
        <f t="shared" si="144"/>
        <v>7.2920408296790237E-2</v>
      </c>
      <c r="X160" s="140">
        <f t="shared" ref="X160:Y160" si="145">IF(X68=0,0,X68/X$64)</f>
        <v>6.7748094446250101E-2</v>
      </c>
      <c r="Y160" s="140">
        <f t="shared" si="145"/>
        <v>6.4536393007536288E-2</v>
      </c>
      <c r="DA160" s="175"/>
    </row>
    <row r="161" spans="1:105" ht="11.45" customHeight="1" x14ac:dyDescent="0.25">
      <c r="A161" s="109" t="str">
        <f>$A$9</f>
        <v>Rail, metro and tram</v>
      </c>
      <c r="B161" s="124">
        <f t="shared" si="135"/>
        <v>1.6615551503836746E-2</v>
      </c>
      <c r="C161" s="124">
        <f t="shared" ref="C161:W161" si="146">IF(C69=0,0,C69/C$64)</f>
        <v>1.7261089057619527E-2</v>
      </c>
      <c r="D161" s="124">
        <f t="shared" si="146"/>
        <v>1.645370814305749E-2</v>
      </c>
      <c r="E161" s="124">
        <f t="shared" si="146"/>
        <v>1.6674787490868096E-2</v>
      </c>
      <c r="F161" s="124">
        <f t="shared" si="146"/>
        <v>1.2298401650000089E-2</v>
      </c>
      <c r="G161" s="124">
        <f t="shared" si="146"/>
        <v>1.3130583109343506E-2</v>
      </c>
      <c r="H161" s="124">
        <f t="shared" si="146"/>
        <v>7.3271193444283773E-3</v>
      </c>
      <c r="I161" s="124">
        <f t="shared" si="146"/>
        <v>8.6741502094619064E-3</v>
      </c>
      <c r="J161" s="124">
        <f t="shared" si="146"/>
        <v>6.4148894097454251E-3</v>
      </c>
      <c r="K161" s="124">
        <f t="shared" si="146"/>
        <v>6.7023436136271226E-3</v>
      </c>
      <c r="L161" s="124">
        <f t="shared" si="146"/>
        <v>3.8302948243523183E-3</v>
      </c>
      <c r="M161" s="124">
        <f t="shared" si="146"/>
        <v>3.7833135384839193E-3</v>
      </c>
      <c r="N161" s="124">
        <f t="shared" si="146"/>
        <v>4.0084622966334426E-3</v>
      </c>
      <c r="O161" s="124">
        <f t="shared" si="146"/>
        <v>3.8575872609208314E-3</v>
      </c>
      <c r="P161" s="124">
        <f t="shared" si="146"/>
        <v>3.4358841380687012E-3</v>
      </c>
      <c r="Q161" s="124">
        <f t="shared" si="146"/>
        <v>2.4295186643883411E-3</v>
      </c>
      <c r="R161" s="124">
        <f t="shared" si="146"/>
        <v>2.5464819213146779E-3</v>
      </c>
      <c r="S161" s="124">
        <f t="shared" si="146"/>
        <v>2.0455407268457002E-3</v>
      </c>
      <c r="T161" s="124">
        <f t="shared" si="146"/>
        <v>2.5605105373186416E-3</v>
      </c>
      <c r="U161" s="124">
        <f t="shared" si="146"/>
        <v>1.7061732399828438E-3</v>
      </c>
      <c r="V161" s="124">
        <f t="shared" si="146"/>
        <v>1.7658983400954172E-3</v>
      </c>
      <c r="W161" s="124">
        <f t="shared" si="146"/>
        <v>1.2906341253133735E-3</v>
      </c>
      <c r="X161" s="124">
        <f t="shared" ref="X161:Y161" si="147">IF(X69=0,0,X69/X$64)</f>
        <v>1.8593291447760462E-3</v>
      </c>
      <c r="Y161" s="124">
        <f t="shared" si="147"/>
        <v>1.3460241790701842E-3</v>
      </c>
      <c r="DA161" s="176"/>
    </row>
    <row r="162" spans="1:105" ht="11.45" customHeight="1" x14ac:dyDescent="0.25">
      <c r="A162" s="128" t="str">
        <f>$A$10</f>
        <v>Metro and tram, urban light rail</v>
      </c>
      <c r="B162" s="140">
        <f t="shared" si="135"/>
        <v>0</v>
      </c>
      <c r="C162" s="140">
        <f t="shared" ref="C162:W162" si="148">IF(C70=0,0,C70/C$64)</f>
        <v>0</v>
      </c>
      <c r="D162" s="140">
        <f t="shared" si="148"/>
        <v>0</v>
      </c>
      <c r="E162" s="140">
        <f t="shared" si="148"/>
        <v>0</v>
      </c>
      <c r="F162" s="140">
        <f t="shared" si="148"/>
        <v>0</v>
      </c>
      <c r="G162" s="140">
        <f t="shared" si="148"/>
        <v>0</v>
      </c>
      <c r="H162" s="140">
        <f t="shared" si="148"/>
        <v>0</v>
      </c>
      <c r="I162" s="140">
        <f t="shared" si="148"/>
        <v>0</v>
      </c>
      <c r="J162" s="140">
        <f t="shared" si="148"/>
        <v>0</v>
      </c>
      <c r="K162" s="140">
        <f t="shared" si="148"/>
        <v>0</v>
      </c>
      <c r="L162" s="140">
        <f t="shared" si="148"/>
        <v>0</v>
      </c>
      <c r="M162" s="140">
        <f t="shared" si="148"/>
        <v>0</v>
      </c>
      <c r="N162" s="140">
        <f t="shared" si="148"/>
        <v>0</v>
      </c>
      <c r="O162" s="140">
        <f t="shared" si="148"/>
        <v>0</v>
      </c>
      <c r="P162" s="140">
        <f t="shared" si="148"/>
        <v>0</v>
      </c>
      <c r="Q162" s="140">
        <f t="shared" si="148"/>
        <v>0</v>
      </c>
      <c r="R162" s="140">
        <f t="shared" si="148"/>
        <v>0</v>
      </c>
      <c r="S162" s="140">
        <f t="shared" si="148"/>
        <v>0</v>
      </c>
      <c r="T162" s="140">
        <f t="shared" si="148"/>
        <v>0</v>
      </c>
      <c r="U162" s="140">
        <f t="shared" si="148"/>
        <v>0</v>
      </c>
      <c r="V162" s="140">
        <f t="shared" si="148"/>
        <v>0</v>
      </c>
      <c r="W162" s="140">
        <f t="shared" si="148"/>
        <v>0</v>
      </c>
      <c r="X162" s="140">
        <f t="shared" ref="X162:Y162" si="149">IF(X70=0,0,X70/X$64)</f>
        <v>0</v>
      </c>
      <c r="Y162" s="140">
        <f t="shared" si="149"/>
        <v>0</v>
      </c>
      <c r="DA162" s="175"/>
    </row>
    <row r="163" spans="1:105" ht="11.45" customHeight="1" x14ac:dyDescent="0.25">
      <c r="A163" s="128" t="str">
        <f>$A$11</f>
        <v>Conventional passenger trains</v>
      </c>
      <c r="B163" s="140">
        <f t="shared" si="135"/>
        <v>1.6615551503836746E-2</v>
      </c>
      <c r="C163" s="140">
        <f t="shared" ref="C163:W163" si="150">IF(C71=0,0,C71/C$64)</f>
        <v>1.7261089057619527E-2</v>
      </c>
      <c r="D163" s="140">
        <f t="shared" si="150"/>
        <v>1.645370814305749E-2</v>
      </c>
      <c r="E163" s="140">
        <f t="shared" si="150"/>
        <v>1.6674787490868096E-2</v>
      </c>
      <c r="F163" s="140">
        <f t="shared" si="150"/>
        <v>1.2298401650000089E-2</v>
      </c>
      <c r="G163" s="140">
        <f t="shared" si="150"/>
        <v>1.3130583109343506E-2</v>
      </c>
      <c r="H163" s="140">
        <f t="shared" si="150"/>
        <v>7.3271193444283773E-3</v>
      </c>
      <c r="I163" s="140">
        <f t="shared" si="150"/>
        <v>8.6741502094619064E-3</v>
      </c>
      <c r="J163" s="140">
        <f t="shared" si="150"/>
        <v>6.4148894097454251E-3</v>
      </c>
      <c r="K163" s="140">
        <f t="shared" si="150"/>
        <v>6.7023436136271226E-3</v>
      </c>
      <c r="L163" s="140">
        <f t="shared" si="150"/>
        <v>3.8302948243523183E-3</v>
      </c>
      <c r="M163" s="140">
        <f t="shared" si="150"/>
        <v>3.7833135384839193E-3</v>
      </c>
      <c r="N163" s="140">
        <f t="shared" si="150"/>
        <v>4.0084622966334426E-3</v>
      </c>
      <c r="O163" s="140">
        <f t="shared" si="150"/>
        <v>3.8575872609208314E-3</v>
      </c>
      <c r="P163" s="140">
        <f t="shared" si="150"/>
        <v>3.4358841380687012E-3</v>
      </c>
      <c r="Q163" s="140">
        <f t="shared" si="150"/>
        <v>2.4295186643883411E-3</v>
      </c>
      <c r="R163" s="140">
        <f t="shared" si="150"/>
        <v>2.5464819213146779E-3</v>
      </c>
      <c r="S163" s="140">
        <f t="shared" si="150"/>
        <v>2.0455407268457002E-3</v>
      </c>
      <c r="T163" s="140">
        <f t="shared" si="150"/>
        <v>2.5605105373186416E-3</v>
      </c>
      <c r="U163" s="140">
        <f t="shared" si="150"/>
        <v>1.7061732399828438E-3</v>
      </c>
      <c r="V163" s="140">
        <f t="shared" si="150"/>
        <v>1.7658983400954172E-3</v>
      </c>
      <c r="W163" s="140">
        <f t="shared" si="150"/>
        <v>1.2906341253133735E-3</v>
      </c>
      <c r="X163" s="140">
        <f t="shared" ref="X163:Y163" si="151">IF(X71=0,0,X71/X$64)</f>
        <v>1.8593291447760462E-3</v>
      </c>
      <c r="Y163" s="140">
        <f t="shared" si="151"/>
        <v>1.3460241790701842E-3</v>
      </c>
      <c r="DA163" s="175"/>
    </row>
    <row r="164" spans="1:105" ht="11.45" customHeight="1" x14ac:dyDescent="0.25">
      <c r="A164" s="128" t="str">
        <f>$A$12</f>
        <v>High speed passenger trains</v>
      </c>
      <c r="B164" s="140">
        <f t="shared" si="135"/>
        <v>0</v>
      </c>
      <c r="C164" s="140">
        <f t="shared" ref="C164:W164" si="152">IF(C72=0,0,C72/C$64)</f>
        <v>0</v>
      </c>
      <c r="D164" s="140">
        <f t="shared" si="152"/>
        <v>0</v>
      </c>
      <c r="E164" s="140">
        <f t="shared" si="152"/>
        <v>0</v>
      </c>
      <c r="F164" s="140">
        <f t="shared" si="152"/>
        <v>0</v>
      </c>
      <c r="G164" s="140">
        <f t="shared" si="152"/>
        <v>0</v>
      </c>
      <c r="H164" s="140">
        <f t="shared" si="152"/>
        <v>0</v>
      </c>
      <c r="I164" s="140">
        <f t="shared" si="152"/>
        <v>0</v>
      </c>
      <c r="J164" s="140">
        <f t="shared" si="152"/>
        <v>0</v>
      </c>
      <c r="K164" s="140">
        <f t="shared" si="152"/>
        <v>0</v>
      </c>
      <c r="L164" s="140">
        <f t="shared" si="152"/>
        <v>0</v>
      </c>
      <c r="M164" s="140">
        <f t="shared" si="152"/>
        <v>0</v>
      </c>
      <c r="N164" s="140">
        <f t="shared" si="152"/>
        <v>0</v>
      </c>
      <c r="O164" s="140">
        <f t="shared" si="152"/>
        <v>0</v>
      </c>
      <c r="P164" s="140">
        <f t="shared" si="152"/>
        <v>0</v>
      </c>
      <c r="Q164" s="140">
        <f t="shared" si="152"/>
        <v>0</v>
      </c>
      <c r="R164" s="140">
        <f t="shared" si="152"/>
        <v>0</v>
      </c>
      <c r="S164" s="140">
        <f t="shared" si="152"/>
        <v>0</v>
      </c>
      <c r="T164" s="140">
        <f t="shared" si="152"/>
        <v>0</v>
      </c>
      <c r="U164" s="140">
        <f t="shared" si="152"/>
        <v>0</v>
      </c>
      <c r="V164" s="140">
        <f t="shared" si="152"/>
        <v>0</v>
      </c>
      <c r="W164" s="140">
        <f t="shared" si="152"/>
        <v>0</v>
      </c>
      <c r="X164" s="140">
        <f t="shared" ref="X164:Y164" si="153">IF(X72=0,0,X72/X$64)</f>
        <v>0</v>
      </c>
      <c r="Y164" s="140">
        <f t="shared" si="153"/>
        <v>0</v>
      </c>
      <c r="DA164" s="175"/>
    </row>
    <row r="165" spans="1:105" ht="11.45" customHeight="1" x14ac:dyDescent="0.25">
      <c r="A165" s="109" t="str">
        <f>$A$13</f>
        <v>Aviation</v>
      </c>
      <c r="B165" s="124">
        <f t="shared" si="135"/>
        <v>4.3220548852529551E-2</v>
      </c>
      <c r="C165" s="124">
        <f t="shared" ref="C165:W165" si="154">IF(C73=0,0,C73/C$64)</f>
        <v>4.3950296179809022E-2</v>
      </c>
      <c r="D165" s="124">
        <f t="shared" si="154"/>
        <v>4.4123293541172427E-2</v>
      </c>
      <c r="E165" s="124">
        <f t="shared" si="154"/>
        <v>4.5788637332291673E-2</v>
      </c>
      <c r="F165" s="124">
        <f t="shared" si="154"/>
        <v>4.0724288321913826E-2</v>
      </c>
      <c r="G165" s="124">
        <f t="shared" si="154"/>
        <v>4.5884354793156071E-2</v>
      </c>
      <c r="H165" s="124">
        <f t="shared" si="154"/>
        <v>5.5079016211406137E-2</v>
      </c>
      <c r="I165" s="124">
        <f t="shared" si="154"/>
        <v>5.2284592083988619E-2</v>
      </c>
      <c r="J165" s="124">
        <f t="shared" si="154"/>
        <v>5.9312844448944031E-2</v>
      </c>
      <c r="K165" s="124">
        <f t="shared" si="154"/>
        <v>5.0970423648882691E-2</v>
      </c>
      <c r="L165" s="124">
        <f t="shared" si="154"/>
        <v>5.1224672773843308E-2</v>
      </c>
      <c r="M165" s="124">
        <f t="shared" si="154"/>
        <v>4.9848521077736505E-2</v>
      </c>
      <c r="N165" s="124">
        <f t="shared" si="154"/>
        <v>5.5153395443730817E-2</v>
      </c>
      <c r="O165" s="124">
        <f t="shared" si="154"/>
        <v>5.62648214177911E-2</v>
      </c>
      <c r="P165" s="124">
        <f t="shared" si="154"/>
        <v>6.260415037725528E-2</v>
      </c>
      <c r="Q165" s="124">
        <f t="shared" si="154"/>
        <v>6.4012562003550336E-2</v>
      </c>
      <c r="R165" s="124">
        <f t="shared" si="154"/>
        <v>6.2408163877335235E-2</v>
      </c>
      <c r="S165" s="124">
        <f t="shared" si="154"/>
        <v>6.9629565781887184E-2</v>
      </c>
      <c r="T165" s="124">
        <f t="shared" si="154"/>
        <v>7.9115173669412731E-2</v>
      </c>
      <c r="U165" s="124">
        <f t="shared" si="154"/>
        <v>8.1820158426299111E-2</v>
      </c>
      <c r="V165" s="124">
        <f t="shared" si="154"/>
        <v>3.802373379605041E-2</v>
      </c>
      <c r="W165" s="124">
        <f t="shared" si="154"/>
        <v>4.7141733815196332E-2</v>
      </c>
      <c r="X165" s="124">
        <f t="shared" ref="X165:Y165" si="155">IF(X73=0,0,X73/X$64)</f>
        <v>7.5314790012716126E-2</v>
      </c>
      <c r="Y165" s="124">
        <f t="shared" si="155"/>
        <v>9.0334445778014971E-2</v>
      </c>
      <c r="DA165" s="176"/>
    </row>
    <row r="166" spans="1:105" ht="11.45" customHeight="1" x14ac:dyDescent="0.25">
      <c r="A166" s="128" t="str">
        <f>$A$14</f>
        <v>Domestic</v>
      </c>
      <c r="B166" s="140">
        <f t="shared" si="135"/>
        <v>4.6602115200009573E-4</v>
      </c>
      <c r="C166" s="140">
        <f t="shared" ref="C166:W166" si="156">IF(C74=0,0,C74/C$64)</f>
        <v>4.8202454613639718E-4</v>
      </c>
      <c r="D166" s="140">
        <f t="shared" si="156"/>
        <v>6.5687829213902462E-4</v>
      </c>
      <c r="E166" s="140">
        <f t="shared" si="156"/>
        <v>6.3086145411074079E-4</v>
      </c>
      <c r="F166" s="140">
        <f t="shared" si="156"/>
        <v>4.294904234318429E-4</v>
      </c>
      <c r="G166" s="140">
        <f t="shared" si="156"/>
        <v>4.2801777452272915E-4</v>
      </c>
      <c r="H166" s="140">
        <f t="shared" si="156"/>
        <v>3.8152893771022648E-4</v>
      </c>
      <c r="I166" s="140">
        <f t="shared" si="156"/>
        <v>4.6161864800576977E-4</v>
      </c>
      <c r="J166" s="140">
        <f t="shared" si="156"/>
        <v>3.2679933727647754E-4</v>
      </c>
      <c r="K166" s="140">
        <f t="shared" si="156"/>
        <v>4.2007759906555414E-4</v>
      </c>
      <c r="L166" s="140">
        <f t="shared" si="156"/>
        <v>4.046379134852182E-4</v>
      </c>
      <c r="M166" s="140">
        <f t="shared" si="156"/>
        <v>5.0217649652114019E-4</v>
      </c>
      <c r="N166" s="140">
        <f t="shared" si="156"/>
        <v>1.8233894287103519E-3</v>
      </c>
      <c r="O166" s="140">
        <f t="shared" si="156"/>
        <v>1.6951897208468455E-3</v>
      </c>
      <c r="P166" s="140">
        <f t="shared" si="156"/>
        <v>2.7423401456453229E-3</v>
      </c>
      <c r="Q166" s="140">
        <f t="shared" si="156"/>
        <v>1.7793628128777591E-3</v>
      </c>
      <c r="R166" s="140">
        <f t="shared" si="156"/>
        <v>2.1975183431758275E-3</v>
      </c>
      <c r="S166" s="140">
        <f t="shared" si="156"/>
        <v>2.2041604527439306E-3</v>
      </c>
      <c r="T166" s="140">
        <f t="shared" si="156"/>
        <v>2.5156623249785932E-3</v>
      </c>
      <c r="U166" s="140">
        <f t="shared" si="156"/>
        <v>2.5162757509103232E-3</v>
      </c>
      <c r="V166" s="140">
        <f t="shared" si="156"/>
        <v>1.4775001286460967E-3</v>
      </c>
      <c r="W166" s="140">
        <f t="shared" si="156"/>
        <v>2.4292816754951209E-3</v>
      </c>
      <c r="X166" s="140">
        <f t="shared" ref="X166:Y166" si="157">IF(X74=0,0,X74/X$64)</f>
        <v>2.329506838880762E-3</v>
      </c>
      <c r="Y166" s="140">
        <f t="shared" si="157"/>
        <v>2.7985093643442542E-3</v>
      </c>
      <c r="DA166" s="175"/>
    </row>
    <row r="167" spans="1:105" ht="11.45" customHeight="1" x14ac:dyDescent="0.25">
      <c r="A167" s="128" t="str">
        <f>$A$15</f>
        <v>International - Intra-EEAwCHUK</v>
      </c>
      <c r="B167" s="140">
        <f t="shared" si="135"/>
        <v>2.8308141569515419E-2</v>
      </c>
      <c r="C167" s="140">
        <f t="shared" ref="C167:W167" si="158">IF(C75=0,0,C75/C$64)</f>
        <v>2.878096628552022E-2</v>
      </c>
      <c r="D167" s="140">
        <f t="shared" si="158"/>
        <v>2.8778874048856328E-2</v>
      </c>
      <c r="E167" s="140">
        <f t="shared" si="158"/>
        <v>2.9898438883055871E-2</v>
      </c>
      <c r="F167" s="140">
        <f t="shared" si="158"/>
        <v>2.6678091418501481E-2</v>
      </c>
      <c r="G167" s="140">
        <f t="shared" si="158"/>
        <v>3.1154500036639759E-2</v>
      </c>
      <c r="H167" s="140">
        <f t="shared" si="158"/>
        <v>3.9552975116130165E-2</v>
      </c>
      <c r="I167" s="140">
        <f t="shared" si="158"/>
        <v>3.867010477977352E-2</v>
      </c>
      <c r="J167" s="140">
        <f t="shared" si="158"/>
        <v>4.4702965715205316E-2</v>
      </c>
      <c r="K167" s="140">
        <f t="shared" si="158"/>
        <v>3.7146509995442265E-2</v>
      </c>
      <c r="L167" s="140">
        <f t="shared" si="158"/>
        <v>3.7329982408792678E-2</v>
      </c>
      <c r="M167" s="140">
        <f t="shared" si="158"/>
        <v>3.6173416885105079E-2</v>
      </c>
      <c r="N167" s="140">
        <f t="shared" si="158"/>
        <v>3.9363918352936046E-2</v>
      </c>
      <c r="O167" s="140">
        <f t="shared" si="158"/>
        <v>4.1080887701614159E-2</v>
      </c>
      <c r="P167" s="140">
        <f t="shared" si="158"/>
        <v>4.4821714958943583E-2</v>
      </c>
      <c r="Q167" s="140">
        <f t="shared" si="158"/>
        <v>4.7440243762871794E-2</v>
      </c>
      <c r="R167" s="140">
        <f t="shared" si="158"/>
        <v>4.6939601718335493E-2</v>
      </c>
      <c r="S167" s="140">
        <f t="shared" si="158"/>
        <v>5.3231990201527794E-2</v>
      </c>
      <c r="T167" s="140">
        <f t="shared" si="158"/>
        <v>6.0758902601572046E-2</v>
      </c>
      <c r="U167" s="140">
        <f t="shared" si="158"/>
        <v>6.303743524921282E-2</v>
      </c>
      <c r="V167" s="140">
        <f t="shared" si="158"/>
        <v>2.5767583290707212E-2</v>
      </c>
      <c r="W167" s="140">
        <f t="shared" si="158"/>
        <v>3.2284801346365855E-2</v>
      </c>
      <c r="X167" s="140">
        <f t="shared" ref="X167:Y167" si="159">IF(X75=0,0,X75/X$64)</f>
        <v>5.7568254836055703E-2</v>
      </c>
      <c r="Y167" s="140">
        <f t="shared" si="159"/>
        <v>6.9437616449829875E-2</v>
      </c>
      <c r="DA167" s="175"/>
    </row>
    <row r="168" spans="1:105" ht="11.45" customHeight="1" x14ac:dyDescent="0.25">
      <c r="A168" s="128" t="str">
        <f>$A$16</f>
        <v>International - Extra-EEAwCHUK</v>
      </c>
      <c r="B168" s="140">
        <f t="shared" si="135"/>
        <v>1.4446386131014037E-2</v>
      </c>
      <c r="C168" s="140">
        <f t="shared" ref="C168:W168" si="160">IF(C76=0,0,C76/C$64)</f>
        <v>1.46873053481524E-2</v>
      </c>
      <c r="D168" s="140">
        <f t="shared" si="160"/>
        <v>1.4687541200177073E-2</v>
      </c>
      <c r="E168" s="140">
        <f t="shared" si="160"/>
        <v>1.5259336995125059E-2</v>
      </c>
      <c r="F168" s="140">
        <f t="shared" si="160"/>
        <v>1.3616706479980504E-2</v>
      </c>
      <c r="G168" s="140">
        <f t="shared" si="160"/>
        <v>1.4301836981993584E-2</v>
      </c>
      <c r="H168" s="140">
        <f t="shared" si="160"/>
        <v>1.5144512157565749E-2</v>
      </c>
      <c r="I168" s="140">
        <f t="shared" si="160"/>
        <v>1.315286865620933E-2</v>
      </c>
      <c r="J168" s="140">
        <f t="shared" si="160"/>
        <v>1.4283079396462237E-2</v>
      </c>
      <c r="K168" s="140">
        <f t="shared" si="160"/>
        <v>1.3403836054374877E-2</v>
      </c>
      <c r="L168" s="140">
        <f t="shared" si="160"/>
        <v>1.3490052451565406E-2</v>
      </c>
      <c r="M168" s="140">
        <f t="shared" si="160"/>
        <v>1.3172927696110285E-2</v>
      </c>
      <c r="N168" s="140">
        <f t="shared" si="160"/>
        <v>1.3966087662084419E-2</v>
      </c>
      <c r="O168" s="140">
        <f t="shared" si="160"/>
        <v>1.3488743995330097E-2</v>
      </c>
      <c r="P168" s="140">
        <f t="shared" si="160"/>
        <v>1.5040095272666372E-2</v>
      </c>
      <c r="Q168" s="140">
        <f t="shared" si="160"/>
        <v>1.4792955427800779E-2</v>
      </c>
      <c r="R168" s="140">
        <f t="shared" si="160"/>
        <v>1.3271043815823917E-2</v>
      </c>
      <c r="S168" s="140">
        <f t="shared" si="160"/>
        <v>1.4193415127615462E-2</v>
      </c>
      <c r="T168" s="140">
        <f t="shared" si="160"/>
        <v>1.5840608742862087E-2</v>
      </c>
      <c r="U168" s="140">
        <f t="shared" si="160"/>
        <v>1.6266447426175959E-2</v>
      </c>
      <c r="V168" s="140">
        <f t="shared" si="160"/>
        <v>1.0778650376697101E-2</v>
      </c>
      <c r="W168" s="140">
        <f t="shared" si="160"/>
        <v>1.2427650793335356E-2</v>
      </c>
      <c r="X168" s="140">
        <f t="shared" ref="X168:Y168" si="161">IF(X76=0,0,X76/X$64)</f>
        <v>1.5417028337779668E-2</v>
      </c>
      <c r="Y168" s="140">
        <f t="shared" si="161"/>
        <v>1.8098319963840842E-2</v>
      </c>
      <c r="DA168" s="175"/>
    </row>
    <row r="169" spans="1:105" ht="11.45" customHeight="1" x14ac:dyDescent="0.25">
      <c r="A169" s="27" t="s">
        <v>34</v>
      </c>
      <c r="B169" s="31">
        <f t="shared" ref="B169:B180" si="162">IF(B77=0,0,B77/B$77)</f>
        <v>1</v>
      </c>
      <c r="C169" s="31">
        <f t="shared" ref="C169:W169" si="163">IF(C77=0,0,C77/C$77)</f>
        <v>1</v>
      </c>
      <c r="D169" s="31">
        <f t="shared" si="163"/>
        <v>1</v>
      </c>
      <c r="E169" s="31">
        <f t="shared" si="163"/>
        <v>1</v>
      </c>
      <c r="F169" s="31">
        <f t="shared" si="163"/>
        <v>1</v>
      </c>
      <c r="G169" s="31">
        <f t="shared" si="163"/>
        <v>1</v>
      </c>
      <c r="H169" s="31">
        <f t="shared" si="163"/>
        <v>1</v>
      </c>
      <c r="I169" s="31">
        <f t="shared" si="163"/>
        <v>1</v>
      </c>
      <c r="J169" s="31">
        <f t="shared" si="163"/>
        <v>1</v>
      </c>
      <c r="K169" s="31">
        <f t="shared" si="163"/>
        <v>1</v>
      </c>
      <c r="L169" s="31">
        <f t="shared" si="163"/>
        <v>1</v>
      </c>
      <c r="M169" s="31">
        <f t="shared" si="163"/>
        <v>1</v>
      </c>
      <c r="N169" s="31">
        <f t="shared" si="163"/>
        <v>1</v>
      </c>
      <c r="O169" s="31">
        <f t="shared" si="163"/>
        <v>1</v>
      </c>
      <c r="P169" s="31">
        <f t="shared" si="163"/>
        <v>1</v>
      </c>
      <c r="Q169" s="31">
        <f t="shared" si="163"/>
        <v>1</v>
      </c>
      <c r="R169" s="31">
        <f t="shared" si="163"/>
        <v>1</v>
      </c>
      <c r="S169" s="31">
        <f t="shared" si="163"/>
        <v>1</v>
      </c>
      <c r="T169" s="31">
        <f t="shared" si="163"/>
        <v>1</v>
      </c>
      <c r="U169" s="31">
        <f t="shared" si="163"/>
        <v>1</v>
      </c>
      <c r="V169" s="31">
        <f t="shared" si="163"/>
        <v>1</v>
      </c>
      <c r="W169" s="31">
        <f t="shared" si="163"/>
        <v>1</v>
      </c>
      <c r="X169" s="31">
        <f t="shared" ref="X169:Y169" si="164">IF(X77=0,0,X77/X$77)</f>
        <v>1</v>
      </c>
      <c r="Y169" s="31">
        <f t="shared" si="164"/>
        <v>1</v>
      </c>
      <c r="DA169" s="173"/>
    </row>
    <row r="170" spans="1:105" ht="11.45" customHeight="1" x14ac:dyDescent="0.25">
      <c r="A170" s="136" t="str">
        <f>$A$18</f>
        <v>Road transport</v>
      </c>
      <c r="B170" s="139">
        <f t="shared" si="162"/>
        <v>0.97281836732047045</v>
      </c>
      <c r="C170" s="139">
        <f t="shared" ref="C170:W170" si="165">IF(C78=0,0,C78/C$77)</f>
        <v>0.97590265413839072</v>
      </c>
      <c r="D170" s="139">
        <f t="shared" si="165"/>
        <v>0.97504698310799653</v>
      </c>
      <c r="E170" s="139">
        <f t="shared" si="165"/>
        <v>0.97773785264555801</v>
      </c>
      <c r="F170" s="139">
        <f t="shared" si="165"/>
        <v>0.97614499953270617</v>
      </c>
      <c r="G170" s="139">
        <f t="shared" si="165"/>
        <v>0.9824031427815586</v>
      </c>
      <c r="H170" s="139">
        <f t="shared" si="165"/>
        <v>0.97955521256148359</v>
      </c>
      <c r="I170" s="139">
        <f t="shared" si="165"/>
        <v>0.98529892053587187</v>
      </c>
      <c r="J170" s="139">
        <f t="shared" si="165"/>
        <v>0.98612042873589445</v>
      </c>
      <c r="K170" s="139">
        <f t="shared" si="165"/>
        <v>0.98773198186729172</v>
      </c>
      <c r="L170" s="139">
        <f t="shared" si="165"/>
        <v>0.98575190962561798</v>
      </c>
      <c r="M170" s="139">
        <f t="shared" si="165"/>
        <v>0.9853763207195263</v>
      </c>
      <c r="N170" s="139">
        <f t="shared" si="165"/>
        <v>0.98562159128390259</v>
      </c>
      <c r="O170" s="139">
        <f t="shared" si="165"/>
        <v>0.98504619498097801</v>
      </c>
      <c r="P170" s="139">
        <f t="shared" si="165"/>
        <v>0.98636484767895483</v>
      </c>
      <c r="Q170" s="139">
        <f t="shared" si="165"/>
        <v>0.98705197620199725</v>
      </c>
      <c r="R170" s="139">
        <f t="shared" si="165"/>
        <v>0.98971636624621928</v>
      </c>
      <c r="S170" s="139">
        <f t="shared" si="165"/>
        <v>0.99060791397164072</v>
      </c>
      <c r="T170" s="139">
        <f t="shared" si="165"/>
        <v>0.99006857012558258</v>
      </c>
      <c r="U170" s="139">
        <f t="shared" si="165"/>
        <v>0.9905033226696115</v>
      </c>
      <c r="V170" s="139">
        <f t="shared" si="165"/>
        <v>0.99111766262635392</v>
      </c>
      <c r="W170" s="139">
        <f t="shared" si="165"/>
        <v>0.99094229357985364</v>
      </c>
      <c r="X170" s="139">
        <f t="shared" ref="X170:Y170" si="166">IF(X78=0,0,X78/X$77)</f>
        <v>0.99097540842901077</v>
      </c>
      <c r="Y170" s="139">
        <f t="shared" si="166"/>
        <v>0.99074153808077636</v>
      </c>
      <c r="DA170" s="174"/>
    </row>
    <row r="171" spans="1:105" ht="11.45" customHeight="1" x14ac:dyDescent="0.25">
      <c r="A171" s="128" t="str">
        <f>$A$19</f>
        <v>Light commercial vehicles</v>
      </c>
      <c r="B171" s="140">
        <f t="shared" si="162"/>
        <v>0.69984982233016801</v>
      </c>
      <c r="C171" s="140">
        <f t="shared" ref="C171:W171" si="167">IF(C79=0,0,C79/C$77)</f>
        <v>0.63613641196888016</v>
      </c>
      <c r="D171" s="140">
        <f t="shared" si="167"/>
        <v>0.70154734596540491</v>
      </c>
      <c r="E171" s="140">
        <f t="shared" si="167"/>
        <v>0.59412810159172447</v>
      </c>
      <c r="F171" s="140">
        <f t="shared" si="167"/>
        <v>0.48816669789988254</v>
      </c>
      <c r="G171" s="140">
        <f t="shared" si="167"/>
        <v>0.41151410031168634</v>
      </c>
      <c r="H171" s="140">
        <f t="shared" si="167"/>
        <v>0.3848430937741471</v>
      </c>
      <c r="I171" s="140">
        <f t="shared" si="167"/>
        <v>0.35401693918386584</v>
      </c>
      <c r="J171" s="140">
        <f t="shared" si="167"/>
        <v>0.34947311616659088</v>
      </c>
      <c r="K171" s="140">
        <f t="shared" si="167"/>
        <v>0.36618672589102397</v>
      </c>
      <c r="L171" s="140">
        <f t="shared" si="167"/>
        <v>0.35397626464701315</v>
      </c>
      <c r="M171" s="140">
        <f t="shared" si="167"/>
        <v>0.36457232215216284</v>
      </c>
      <c r="N171" s="140">
        <f t="shared" si="167"/>
        <v>0.40280258811284814</v>
      </c>
      <c r="O171" s="140">
        <f t="shared" si="167"/>
        <v>0.45436335924490429</v>
      </c>
      <c r="P171" s="140">
        <f t="shared" si="167"/>
        <v>0.4476831021685056</v>
      </c>
      <c r="Q171" s="140">
        <f t="shared" si="167"/>
        <v>0.43511726790125793</v>
      </c>
      <c r="R171" s="140">
        <f t="shared" si="167"/>
        <v>0.37536256472347179</v>
      </c>
      <c r="S171" s="140">
        <f t="shared" si="167"/>
        <v>0.3125544527955848</v>
      </c>
      <c r="T171" s="140">
        <f t="shared" si="167"/>
        <v>0.31746712718793552</v>
      </c>
      <c r="U171" s="140">
        <f t="shared" si="167"/>
        <v>0.32700473907251543</v>
      </c>
      <c r="V171" s="140">
        <f t="shared" si="167"/>
        <v>0.3462729349697109</v>
      </c>
      <c r="W171" s="140">
        <f t="shared" si="167"/>
        <v>0.29562870008113057</v>
      </c>
      <c r="X171" s="140">
        <f t="shared" ref="X171:Y171" si="168">IF(X79=0,0,X79/X$77)</f>
        <v>0.29365116277716147</v>
      </c>
      <c r="Y171" s="140">
        <f t="shared" si="168"/>
        <v>0.30240052378230631</v>
      </c>
      <c r="DA171" s="175"/>
    </row>
    <row r="172" spans="1:105" ht="11.45" customHeight="1" x14ac:dyDescent="0.25">
      <c r="A172" s="128" t="str">
        <f>$A$20</f>
        <v>Heavy goods vehicles</v>
      </c>
      <c r="B172" s="140">
        <f t="shared" si="162"/>
        <v>0.27296854499030249</v>
      </c>
      <c r="C172" s="140">
        <f t="shared" ref="C172:W172" si="169">IF(C80=0,0,C80/C$77)</f>
        <v>0.33976624216951046</v>
      </c>
      <c r="D172" s="140">
        <f t="shared" si="169"/>
        <v>0.27349963714259157</v>
      </c>
      <c r="E172" s="140">
        <f t="shared" si="169"/>
        <v>0.3836097510538336</v>
      </c>
      <c r="F172" s="140">
        <f t="shared" si="169"/>
        <v>0.4879783016328238</v>
      </c>
      <c r="G172" s="140">
        <f t="shared" si="169"/>
        <v>0.57088904246987215</v>
      </c>
      <c r="H172" s="140">
        <f t="shared" si="169"/>
        <v>0.59471211878733654</v>
      </c>
      <c r="I172" s="140">
        <f t="shared" si="169"/>
        <v>0.63128198135200586</v>
      </c>
      <c r="J172" s="140">
        <f t="shared" si="169"/>
        <v>0.63664731256930351</v>
      </c>
      <c r="K172" s="140">
        <f t="shared" si="169"/>
        <v>0.62154525597626786</v>
      </c>
      <c r="L172" s="140">
        <f t="shared" si="169"/>
        <v>0.63177564497860483</v>
      </c>
      <c r="M172" s="140">
        <f t="shared" si="169"/>
        <v>0.62080399856736346</v>
      </c>
      <c r="N172" s="140">
        <f t="shared" si="169"/>
        <v>0.58281900317105451</v>
      </c>
      <c r="O172" s="140">
        <f t="shared" si="169"/>
        <v>0.53068283573607378</v>
      </c>
      <c r="P172" s="140">
        <f t="shared" si="169"/>
        <v>0.53868174551044923</v>
      </c>
      <c r="Q172" s="140">
        <f t="shared" si="169"/>
        <v>0.55193470830073932</v>
      </c>
      <c r="R172" s="140">
        <f t="shared" si="169"/>
        <v>0.61435380152274743</v>
      </c>
      <c r="S172" s="140">
        <f t="shared" si="169"/>
        <v>0.67805346117605592</v>
      </c>
      <c r="T172" s="140">
        <f t="shared" si="169"/>
        <v>0.67260144293764712</v>
      </c>
      <c r="U172" s="140">
        <f t="shared" si="169"/>
        <v>0.66349858359709601</v>
      </c>
      <c r="V172" s="140">
        <f t="shared" si="169"/>
        <v>0.64484472765664302</v>
      </c>
      <c r="W172" s="140">
        <f t="shared" si="169"/>
        <v>0.69531359349872313</v>
      </c>
      <c r="X172" s="140">
        <f t="shared" ref="X172:Y172" si="170">IF(X80=0,0,X80/X$77)</f>
        <v>0.69732424565184925</v>
      </c>
      <c r="Y172" s="140">
        <f t="shared" si="170"/>
        <v>0.68834101429847017</v>
      </c>
      <c r="DA172" s="175"/>
    </row>
    <row r="173" spans="1:105" ht="11.45" customHeight="1" x14ac:dyDescent="0.25">
      <c r="A173" s="109" t="str">
        <f>$A$21</f>
        <v>Rail transport</v>
      </c>
      <c r="B173" s="124">
        <f t="shared" si="162"/>
        <v>2.4142753373547546E-2</v>
      </c>
      <c r="C173" s="124">
        <f t="shared" ref="C173:W173" si="171">IF(C81=0,0,C81/C$77)</f>
        <v>2.1327057174830053E-2</v>
      </c>
      <c r="D173" s="124">
        <f t="shared" si="171"/>
        <v>2.2321199386636764E-2</v>
      </c>
      <c r="E173" s="124">
        <f t="shared" si="171"/>
        <v>1.9410260856547581E-2</v>
      </c>
      <c r="F173" s="124">
        <f t="shared" si="171"/>
        <v>2.1804353490596555E-2</v>
      </c>
      <c r="G173" s="124">
        <f t="shared" si="171"/>
        <v>1.602464063492735E-2</v>
      </c>
      <c r="H173" s="124">
        <f t="shared" si="171"/>
        <v>1.8690986128520444E-2</v>
      </c>
      <c r="I173" s="124">
        <f t="shared" si="171"/>
        <v>1.3229362773550897E-2</v>
      </c>
      <c r="J173" s="124">
        <f t="shared" si="171"/>
        <v>1.229539640847074E-2</v>
      </c>
      <c r="K173" s="124">
        <f t="shared" si="171"/>
        <v>1.0933026590964194E-2</v>
      </c>
      <c r="L173" s="124">
        <f t="shared" si="171"/>
        <v>1.2632088564000625E-2</v>
      </c>
      <c r="M173" s="124">
        <f t="shared" si="171"/>
        <v>1.3120009312216711E-2</v>
      </c>
      <c r="N173" s="124">
        <f t="shared" si="171"/>
        <v>1.2663149798579109E-2</v>
      </c>
      <c r="O173" s="124">
        <f t="shared" si="171"/>
        <v>1.2991320644861885E-2</v>
      </c>
      <c r="P173" s="124">
        <f t="shared" si="171"/>
        <v>1.1504271172855027E-2</v>
      </c>
      <c r="Q173" s="124">
        <f t="shared" si="171"/>
        <v>1.1041203467269464E-2</v>
      </c>
      <c r="R173" s="124">
        <f t="shared" si="171"/>
        <v>8.3981985825766995E-3</v>
      </c>
      <c r="S173" s="124">
        <f t="shared" si="171"/>
        <v>7.3791539670071665E-3</v>
      </c>
      <c r="T173" s="124">
        <f t="shared" si="171"/>
        <v>8.418271933743551E-3</v>
      </c>
      <c r="U173" s="124">
        <f t="shared" si="171"/>
        <v>7.5160596288654574E-3</v>
      </c>
      <c r="V173" s="124">
        <f t="shared" si="171"/>
        <v>7.6651639032359938E-3</v>
      </c>
      <c r="W173" s="124">
        <f t="shared" si="171"/>
        <v>7.5997967815181937E-3</v>
      </c>
      <c r="X173" s="124">
        <f t="shared" ref="X173:Y173" si="172">IF(X81=0,0,X81/X$77)</f>
        <v>6.7017397948854101E-3</v>
      </c>
      <c r="Y173" s="124">
        <f t="shared" si="172"/>
        <v>6.7558665345767007E-3</v>
      </c>
      <c r="DA173" s="176"/>
    </row>
    <row r="174" spans="1:105" ht="11.45" customHeight="1" x14ac:dyDescent="0.25">
      <c r="A174" s="109" t="str">
        <f>$A$22</f>
        <v>Aviation</v>
      </c>
      <c r="B174" s="124">
        <f t="shared" si="162"/>
        <v>7.192286422140231E-4</v>
      </c>
      <c r="C174" s="124">
        <f t="shared" ref="C174:W174" si="173">IF(C82=0,0,C82/C$77)</f>
        <v>5.5062828847083798E-4</v>
      </c>
      <c r="D174" s="124">
        <f t="shared" si="173"/>
        <v>6.5383682980696986E-4</v>
      </c>
      <c r="E174" s="124">
        <f t="shared" si="173"/>
        <v>5.5233590748931464E-4</v>
      </c>
      <c r="F174" s="124">
        <f t="shared" si="173"/>
        <v>3.7732688412713363E-4</v>
      </c>
      <c r="G174" s="124">
        <f t="shared" si="173"/>
        <v>4.1285138903608248E-4</v>
      </c>
      <c r="H174" s="124">
        <f t="shared" si="173"/>
        <v>5.0770713597254739E-4</v>
      </c>
      <c r="I174" s="124">
        <f t="shared" si="173"/>
        <v>5.4689603954955152E-4</v>
      </c>
      <c r="J174" s="124">
        <f t="shared" si="173"/>
        <v>6.964247744848446E-4</v>
      </c>
      <c r="K174" s="124">
        <f t="shared" si="173"/>
        <v>7.930434886786788E-4</v>
      </c>
      <c r="L174" s="124">
        <f t="shared" si="173"/>
        <v>1.1143720745643878E-3</v>
      </c>
      <c r="M174" s="124">
        <f t="shared" si="173"/>
        <v>1.0093963313362686E-3</v>
      </c>
      <c r="N174" s="124">
        <f t="shared" si="173"/>
        <v>1.1687333789487965E-3</v>
      </c>
      <c r="O174" s="124">
        <f t="shared" si="173"/>
        <v>1.3590095070345712E-3</v>
      </c>
      <c r="P174" s="124">
        <f t="shared" si="173"/>
        <v>1.5354211457520711E-3</v>
      </c>
      <c r="Q174" s="124">
        <f t="shared" si="173"/>
        <v>1.5284988071623518E-3</v>
      </c>
      <c r="R174" s="124">
        <f t="shared" si="173"/>
        <v>1.5808481243508035E-3</v>
      </c>
      <c r="S174" s="124">
        <f t="shared" si="173"/>
        <v>1.4517113152118578E-3</v>
      </c>
      <c r="T174" s="124">
        <f t="shared" si="173"/>
        <v>1.2749849891842361E-3</v>
      </c>
      <c r="U174" s="124">
        <f t="shared" si="173"/>
        <v>1.76065568272651E-3</v>
      </c>
      <c r="V174" s="124">
        <f t="shared" si="173"/>
        <v>1.0898298619009964E-3</v>
      </c>
      <c r="W174" s="124">
        <f t="shared" si="173"/>
        <v>1.3440974209222693E-3</v>
      </c>
      <c r="X174" s="124">
        <f t="shared" ref="X174:Y174" si="174">IF(X82=0,0,X82/X$77)</f>
        <v>2.210127916314442E-3</v>
      </c>
      <c r="Y174" s="124">
        <f t="shared" si="174"/>
        <v>2.3868534997526516E-3</v>
      </c>
      <c r="DA174" s="176"/>
    </row>
    <row r="175" spans="1:105" ht="11.45" customHeight="1" x14ac:dyDescent="0.25">
      <c r="A175" s="128" t="s">
        <v>27</v>
      </c>
      <c r="B175" s="140">
        <f t="shared" si="162"/>
        <v>1.6780614059623786E-5</v>
      </c>
      <c r="C175" s="140">
        <f t="shared" ref="C175:W175" si="175">IF(C83=0,0,C83/C$77)</f>
        <v>1.2432335049087045E-5</v>
      </c>
      <c r="D175" s="140">
        <f t="shared" si="175"/>
        <v>1.4761135388066856E-5</v>
      </c>
      <c r="E175" s="140">
        <f t="shared" si="175"/>
        <v>1.2209311521116199E-5</v>
      </c>
      <c r="F175" s="140">
        <f t="shared" si="175"/>
        <v>7.6892749132848319E-6</v>
      </c>
      <c r="G175" s="140">
        <f t="shared" si="175"/>
        <v>5.1343452520367243E-6</v>
      </c>
      <c r="H175" s="140">
        <f t="shared" si="175"/>
        <v>1.1575494758577864E-5</v>
      </c>
      <c r="I175" s="140">
        <f t="shared" si="175"/>
        <v>1.6478233211854061E-5</v>
      </c>
      <c r="J175" s="140">
        <f t="shared" si="175"/>
        <v>1.4132001833453804E-5</v>
      </c>
      <c r="K175" s="140">
        <f t="shared" si="175"/>
        <v>2.0197240405364032E-5</v>
      </c>
      <c r="L175" s="140">
        <f t="shared" si="175"/>
        <v>1.5771574012205649E-5</v>
      </c>
      <c r="M175" s="140">
        <f t="shared" si="175"/>
        <v>1.7308965278973036E-5</v>
      </c>
      <c r="N175" s="140">
        <f t="shared" si="175"/>
        <v>4.970044338393907E-5</v>
      </c>
      <c r="O175" s="140">
        <f t="shared" si="175"/>
        <v>5.5930726709825611E-5</v>
      </c>
      <c r="P175" s="140">
        <f t="shared" si="175"/>
        <v>5.1618070968897066E-5</v>
      </c>
      <c r="Q175" s="140">
        <f t="shared" si="175"/>
        <v>2.7284293994278891E-5</v>
      </c>
      <c r="R175" s="140">
        <f t="shared" si="175"/>
        <v>1.4927459865685612E-5</v>
      </c>
      <c r="S175" s="140">
        <f t="shared" si="175"/>
        <v>4.3593312502531642E-6</v>
      </c>
      <c r="T175" s="140">
        <f t="shared" si="175"/>
        <v>5.3196432459147193E-6</v>
      </c>
      <c r="U175" s="140">
        <f t="shared" si="175"/>
        <v>6.8078881145806177E-6</v>
      </c>
      <c r="V175" s="140">
        <f t="shared" si="175"/>
        <v>2.5818099225801026E-6</v>
      </c>
      <c r="W175" s="140">
        <f t="shared" si="175"/>
        <v>3.8314153709938711E-6</v>
      </c>
      <c r="X175" s="140">
        <f t="shared" ref="X175:Y175" si="176">IF(X83=0,0,X83/X$77)</f>
        <v>3.1436610262596426E-6</v>
      </c>
      <c r="Y175" s="140">
        <f t="shared" si="176"/>
        <v>2.863562605795841E-6</v>
      </c>
      <c r="DA175" s="175"/>
    </row>
    <row r="176" spans="1:105" ht="11.45" customHeight="1" x14ac:dyDescent="0.25">
      <c r="A176" s="128" t="str">
        <f>$A$24</f>
        <v>International - Intra-EEAwCHUK</v>
      </c>
      <c r="B176" s="140">
        <f t="shared" si="162"/>
        <v>5.856759640777018E-4</v>
      </c>
      <c r="C176" s="140">
        <f t="shared" ref="C176:W176" si="177">IF(C84=0,0,C84/C$77)</f>
        <v>4.296629283106389E-4</v>
      </c>
      <c r="D176" s="140">
        <f t="shared" si="177"/>
        <v>5.2149093327775672E-4</v>
      </c>
      <c r="E176" s="140">
        <f t="shared" si="177"/>
        <v>4.3393587272208436E-4</v>
      </c>
      <c r="F176" s="140">
        <f t="shared" si="177"/>
        <v>2.7887314320713366E-4</v>
      </c>
      <c r="G176" s="140">
        <f t="shared" si="177"/>
        <v>3.3304609280271867E-4</v>
      </c>
      <c r="H176" s="140">
        <f t="shared" si="177"/>
        <v>3.8780948213542861E-4</v>
      </c>
      <c r="I176" s="140">
        <f t="shared" si="177"/>
        <v>3.7054261353555647E-4</v>
      </c>
      <c r="J176" s="140">
        <f t="shared" si="177"/>
        <v>4.0608913953228069E-4</v>
      </c>
      <c r="K176" s="140">
        <f t="shared" si="177"/>
        <v>4.6105178110733146E-4</v>
      </c>
      <c r="L176" s="140">
        <f t="shared" si="177"/>
        <v>4.2942162156030516E-4</v>
      </c>
      <c r="M176" s="140">
        <f t="shared" si="177"/>
        <v>4.1602398563381243E-4</v>
      </c>
      <c r="N176" s="140">
        <f t="shared" si="177"/>
        <v>5.1768214495850797E-4</v>
      </c>
      <c r="O176" s="140">
        <f t="shared" si="177"/>
        <v>5.3658918293074528E-4</v>
      </c>
      <c r="P176" s="140">
        <f t="shared" si="177"/>
        <v>5.7840196926014565E-4</v>
      </c>
      <c r="Q176" s="140">
        <f t="shared" si="177"/>
        <v>6.012949136490137E-4</v>
      </c>
      <c r="R176" s="140">
        <f t="shared" si="177"/>
        <v>4.5318356818506206E-4</v>
      </c>
      <c r="S176" s="140">
        <f t="shared" si="177"/>
        <v>5.0059938734165681E-4</v>
      </c>
      <c r="T176" s="140">
        <f t="shared" si="177"/>
        <v>5.147519302862954E-4</v>
      </c>
      <c r="U176" s="140">
        <f t="shared" si="177"/>
        <v>5.4429643809115991E-4</v>
      </c>
      <c r="V176" s="140">
        <f t="shared" si="177"/>
        <v>7.547830441224819E-4</v>
      </c>
      <c r="W176" s="140">
        <f t="shared" si="177"/>
        <v>7.808271486808311E-4</v>
      </c>
      <c r="X176" s="140">
        <f t="shared" ref="X176:Y176" si="178">IF(X84=0,0,X84/X$77)</f>
        <v>9.0407345076202431E-4</v>
      </c>
      <c r="Y176" s="140">
        <f t="shared" si="178"/>
        <v>7.6484690308557042E-4</v>
      </c>
      <c r="DA176" s="175"/>
    </row>
    <row r="177" spans="1:105" ht="11.45" customHeight="1" x14ac:dyDescent="0.25">
      <c r="A177" s="128" t="str">
        <f>$A$25</f>
        <v>International - Extra-EEAwCHUK</v>
      </c>
      <c r="B177" s="140">
        <f t="shared" si="162"/>
        <v>1.1677206407669751E-4</v>
      </c>
      <c r="C177" s="140">
        <f t="shared" ref="C177:W177" si="179">IF(C85=0,0,C85/C$77)</f>
        <v>1.0853302511111204E-4</v>
      </c>
      <c r="D177" s="140">
        <f t="shared" si="179"/>
        <v>1.1758476114114628E-4</v>
      </c>
      <c r="E177" s="140">
        <f t="shared" si="179"/>
        <v>1.0619072324611402E-4</v>
      </c>
      <c r="F177" s="140">
        <f t="shared" si="179"/>
        <v>9.0764466006715137E-5</v>
      </c>
      <c r="G177" s="140">
        <f t="shared" si="179"/>
        <v>7.467095098132704E-5</v>
      </c>
      <c r="H177" s="140">
        <f t="shared" si="179"/>
        <v>1.0832215907854089E-4</v>
      </c>
      <c r="I177" s="140">
        <f t="shared" si="179"/>
        <v>1.5987519280214095E-4</v>
      </c>
      <c r="J177" s="140">
        <f t="shared" si="179"/>
        <v>2.7620363311911013E-4</v>
      </c>
      <c r="K177" s="140">
        <f t="shared" si="179"/>
        <v>3.1179446716598336E-4</v>
      </c>
      <c r="L177" s="140">
        <f t="shared" si="179"/>
        <v>6.6917887899187699E-4</v>
      </c>
      <c r="M177" s="140">
        <f t="shared" si="179"/>
        <v>5.7606338042348322E-4</v>
      </c>
      <c r="N177" s="140">
        <f t="shared" si="179"/>
        <v>6.0135079060634955E-4</v>
      </c>
      <c r="O177" s="140">
        <f t="shared" si="179"/>
        <v>7.6648959739400034E-4</v>
      </c>
      <c r="P177" s="140">
        <f t="shared" si="179"/>
        <v>9.0540110552302848E-4</v>
      </c>
      <c r="Q177" s="140">
        <f t="shared" si="179"/>
        <v>8.9991959951905918E-4</v>
      </c>
      <c r="R177" s="140">
        <f t="shared" si="179"/>
        <v>1.1127370963000557E-3</v>
      </c>
      <c r="S177" s="140">
        <f t="shared" si="179"/>
        <v>9.4675259661994771E-4</v>
      </c>
      <c r="T177" s="140">
        <f t="shared" si="179"/>
        <v>7.5491341565202589E-4</v>
      </c>
      <c r="U177" s="140">
        <f t="shared" si="179"/>
        <v>1.2095513565207692E-3</v>
      </c>
      <c r="V177" s="140">
        <f t="shared" si="179"/>
        <v>3.3246500785593427E-4</v>
      </c>
      <c r="W177" s="140">
        <f t="shared" si="179"/>
        <v>5.5943885687044417E-4</v>
      </c>
      <c r="X177" s="140">
        <f t="shared" ref="X177:Y177" si="180">IF(X85=0,0,X85/X$77)</f>
        <v>1.3029108045261579E-3</v>
      </c>
      <c r="Y177" s="140">
        <f t="shared" si="180"/>
        <v>1.6191430340612852E-3</v>
      </c>
      <c r="DA177" s="175"/>
    </row>
    <row r="178" spans="1:105" ht="11.45" customHeight="1" x14ac:dyDescent="0.25">
      <c r="A178" s="109" t="s">
        <v>141</v>
      </c>
      <c r="B178" s="124">
        <f t="shared" si="162"/>
        <v>2.3196506637678835E-3</v>
      </c>
      <c r="C178" s="124">
        <f t="shared" ref="C178:W178" si="181">IF(C86=0,0,C86/C$77)</f>
        <v>2.2196603983083889E-3</v>
      </c>
      <c r="D178" s="124">
        <f t="shared" si="181"/>
        <v>1.9779806755596944E-3</v>
      </c>
      <c r="E178" s="124">
        <f t="shared" si="181"/>
        <v>2.299550590405292E-3</v>
      </c>
      <c r="F178" s="124">
        <f t="shared" si="181"/>
        <v>1.6733200925700511E-3</v>
      </c>
      <c r="G178" s="124">
        <f t="shared" si="181"/>
        <v>1.1593651944779215E-3</v>
      </c>
      <c r="H178" s="124">
        <f t="shared" si="181"/>
        <v>1.2460941740234058E-3</v>
      </c>
      <c r="I178" s="124">
        <f t="shared" si="181"/>
        <v>9.2482065102767646E-4</v>
      </c>
      <c r="J178" s="124">
        <f t="shared" si="181"/>
        <v>8.8775008115001355E-4</v>
      </c>
      <c r="K178" s="124">
        <f t="shared" si="181"/>
        <v>5.4194805306530757E-4</v>
      </c>
      <c r="L178" s="124">
        <f t="shared" si="181"/>
        <v>5.016297358167983E-4</v>
      </c>
      <c r="M178" s="124">
        <f t="shared" si="181"/>
        <v>4.9427363692067748E-4</v>
      </c>
      <c r="N178" s="124">
        <f t="shared" si="181"/>
        <v>5.4652553856940833E-4</v>
      </c>
      <c r="O178" s="124">
        <f t="shared" si="181"/>
        <v>6.0347486712561827E-4</v>
      </c>
      <c r="P178" s="124">
        <f t="shared" si="181"/>
        <v>5.9546000243799568E-4</v>
      </c>
      <c r="Q178" s="124">
        <f t="shared" si="181"/>
        <v>3.7832152357105786E-4</v>
      </c>
      <c r="R178" s="124">
        <f t="shared" si="181"/>
        <v>3.0458704685327727E-4</v>
      </c>
      <c r="S178" s="124">
        <f t="shared" si="181"/>
        <v>5.6122074614019192E-4</v>
      </c>
      <c r="T178" s="124">
        <f t="shared" si="181"/>
        <v>2.3817295148957583E-4</v>
      </c>
      <c r="U178" s="124">
        <f t="shared" si="181"/>
        <v>2.1996201879648049E-4</v>
      </c>
      <c r="V178" s="124">
        <f t="shared" si="181"/>
        <v>1.2734360850924517E-4</v>
      </c>
      <c r="W178" s="124">
        <f t="shared" si="181"/>
        <v>1.1381221770585947E-4</v>
      </c>
      <c r="X178" s="124">
        <f t="shared" ref="X178:Y178" si="182">IF(X86=0,0,X86/X$77)</f>
        <v>1.127238597894073E-4</v>
      </c>
      <c r="Y178" s="124">
        <f t="shared" si="182"/>
        <v>1.1574188489426918E-4</v>
      </c>
      <c r="DA178" s="176"/>
    </row>
    <row r="179" spans="1:105" ht="11.45" customHeight="1" x14ac:dyDescent="0.25">
      <c r="A179" s="128" t="str">
        <f>$A$27</f>
        <v>Domestic coastal shipping</v>
      </c>
      <c r="B179" s="140">
        <f t="shared" si="162"/>
        <v>9.1837896443786154E-5</v>
      </c>
      <c r="C179" s="140">
        <f t="shared" ref="C179:W179" si="183">IF(C87=0,0,C87/C$77)</f>
        <v>8.7311201346895257E-5</v>
      </c>
      <c r="D179" s="140">
        <f t="shared" si="183"/>
        <v>9.9572155550230968E-5</v>
      </c>
      <c r="E179" s="140">
        <f t="shared" si="183"/>
        <v>9.087692838269387E-5</v>
      </c>
      <c r="F179" s="140">
        <f t="shared" si="183"/>
        <v>8.8529158408758284E-5</v>
      </c>
      <c r="G179" s="140">
        <f t="shared" si="183"/>
        <v>2.3085073065601508E-4</v>
      </c>
      <c r="H179" s="140">
        <f t="shared" si="183"/>
        <v>2.2629188183285136E-4</v>
      </c>
      <c r="I179" s="140">
        <f t="shared" si="183"/>
        <v>1.4374253193050171E-4</v>
      </c>
      <c r="J179" s="140">
        <f t="shared" si="183"/>
        <v>1.6360668172099322E-4</v>
      </c>
      <c r="K179" s="140">
        <f t="shared" si="183"/>
        <v>1.2272780631581272E-4</v>
      </c>
      <c r="L179" s="140">
        <f t="shared" si="183"/>
        <v>1.3599238048939093E-4</v>
      </c>
      <c r="M179" s="140">
        <f t="shared" si="183"/>
        <v>1.7508599075586082E-4</v>
      </c>
      <c r="N179" s="140">
        <f t="shared" si="183"/>
        <v>1.8262397181585501E-4</v>
      </c>
      <c r="O179" s="140">
        <f t="shared" si="183"/>
        <v>2.0256981216450781E-4</v>
      </c>
      <c r="P179" s="140">
        <f t="shared" si="183"/>
        <v>1.3656099695377182E-4</v>
      </c>
      <c r="Q179" s="140">
        <f t="shared" si="183"/>
        <v>1.437515455407292E-4</v>
      </c>
      <c r="R179" s="140">
        <f t="shared" si="183"/>
        <v>1.5346073332811691E-4</v>
      </c>
      <c r="S179" s="140">
        <f t="shared" si="183"/>
        <v>2.5549869421734089E-4</v>
      </c>
      <c r="T179" s="140">
        <f t="shared" si="183"/>
        <v>1.045919761866264E-4</v>
      </c>
      <c r="U179" s="140">
        <f t="shared" si="183"/>
        <v>1.2429479122534658E-4</v>
      </c>
      <c r="V179" s="140">
        <f t="shared" si="183"/>
        <v>8.686526168579867E-5</v>
      </c>
      <c r="W179" s="140">
        <f t="shared" si="183"/>
        <v>9.1478901823135924E-5</v>
      </c>
      <c r="X179" s="140">
        <f t="shared" ref="X179:Y179" si="184">IF(X87=0,0,X87/X$77)</f>
        <v>9.7865347426670833E-5</v>
      </c>
      <c r="Y179" s="140">
        <f t="shared" si="184"/>
        <v>1.0023999183733686E-4</v>
      </c>
      <c r="DA179" s="175"/>
    </row>
    <row r="180" spans="1:105" ht="11.45" customHeight="1" x14ac:dyDescent="0.25">
      <c r="A180" s="138" t="str">
        <f>$A$28</f>
        <v>Inland waterways</v>
      </c>
      <c r="B180" s="127">
        <f t="shared" si="162"/>
        <v>2.2278127673240971E-3</v>
      </c>
      <c r="C180" s="127">
        <f t="shared" ref="C180:W180" si="185">IF(C88=0,0,C88/C$77)</f>
        <v>2.1323491969614935E-3</v>
      </c>
      <c r="D180" s="127">
        <f t="shared" si="185"/>
        <v>1.8784085200094637E-3</v>
      </c>
      <c r="E180" s="127">
        <f t="shared" si="185"/>
        <v>2.2086736620225977E-3</v>
      </c>
      <c r="F180" s="127">
        <f t="shared" si="185"/>
        <v>1.584790934161293E-3</v>
      </c>
      <c r="G180" s="127">
        <f t="shared" si="185"/>
        <v>9.2851446382190652E-4</v>
      </c>
      <c r="H180" s="127">
        <f t="shared" si="185"/>
        <v>1.0198022921905543E-3</v>
      </c>
      <c r="I180" s="127">
        <f t="shared" si="185"/>
        <v>7.8107811909717477E-4</v>
      </c>
      <c r="J180" s="127">
        <f t="shared" si="185"/>
        <v>7.2414339942902025E-4</v>
      </c>
      <c r="K180" s="127">
        <f t="shared" si="185"/>
        <v>4.1922024674949479E-4</v>
      </c>
      <c r="L180" s="127">
        <f t="shared" si="185"/>
        <v>3.6563735532740729E-4</v>
      </c>
      <c r="M180" s="127">
        <f t="shared" si="185"/>
        <v>3.1918764616481666E-4</v>
      </c>
      <c r="N180" s="127">
        <f t="shared" si="185"/>
        <v>3.639015667535534E-4</v>
      </c>
      <c r="O180" s="127">
        <f t="shared" si="185"/>
        <v>4.0090505496111054E-4</v>
      </c>
      <c r="P180" s="127">
        <f t="shared" si="185"/>
        <v>4.5889900548422389E-4</v>
      </c>
      <c r="Q180" s="127">
        <f t="shared" si="185"/>
        <v>2.3456997803032864E-4</v>
      </c>
      <c r="R180" s="127">
        <f t="shared" si="185"/>
        <v>1.5112631352516039E-4</v>
      </c>
      <c r="S180" s="127">
        <f t="shared" si="185"/>
        <v>3.0572205192285103E-4</v>
      </c>
      <c r="T180" s="127">
        <f t="shared" si="185"/>
        <v>1.3358097530294944E-4</v>
      </c>
      <c r="U180" s="127">
        <f t="shared" si="185"/>
        <v>9.5667227571133898E-5</v>
      </c>
      <c r="V180" s="127">
        <f t="shared" si="185"/>
        <v>4.0478346823446489E-5</v>
      </c>
      <c r="W180" s="127">
        <f t="shared" si="185"/>
        <v>2.2333315882723547E-5</v>
      </c>
      <c r="X180" s="127">
        <f t="shared" ref="X180:Y180" si="186">IF(X88=0,0,X88/X$77)</f>
        <v>1.4858512362736452E-5</v>
      </c>
      <c r="Y180" s="127">
        <f t="shared" si="186"/>
        <v>1.5501893056932319E-5</v>
      </c>
      <c r="DA180" s="178"/>
    </row>
    <row r="181" spans="1:105" ht="11.45" customHeight="1" x14ac:dyDescent="0.25">
      <c r="A181" s="27" t="s">
        <v>169</v>
      </c>
      <c r="B181" s="31">
        <f>IF(B89=0,0,B89/B$89)</f>
        <v>1</v>
      </c>
      <c r="C181" s="31">
        <f t="shared" ref="C181:W181" si="187">IF(C89=0,0,C89/C$89)</f>
        <v>1</v>
      </c>
      <c r="D181" s="31">
        <f t="shared" si="187"/>
        <v>1</v>
      </c>
      <c r="E181" s="31">
        <f t="shared" si="187"/>
        <v>1</v>
      </c>
      <c r="F181" s="31">
        <f t="shared" si="187"/>
        <v>1</v>
      </c>
      <c r="G181" s="31">
        <f t="shared" si="187"/>
        <v>1</v>
      </c>
      <c r="H181" s="31">
        <f t="shared" si="187"/>
        <v>1</v>
      </c>
      <c r="I181" s="31">
        <f t="shared" si="187"/>
        <v>1</v>
      </c>
      <c r="J181" s="31">
        <f t="shared" si="187"/>
        <v>1</v>
      </c>
      <c r="K181" s="31">
        <f t="shared" si="187"/>
        <v>1</v>
      </c>
      <c r="L181" s="31">
        <f t="shared" si="187"/>
        <v>1</v>
      </c>
      <c r="M181" s="31">
        <f t="shared" si="187"/>
        <v>1</v>
      </c>
      <c r="N181" s="31">
        <f t="shared" si="187"/>
        <v>1</v>
      </c>
      <c r="O181" s="31">
        <f t="shared" si="187"/>
        <v>1</v>
      </c>
      <c r="P181" s="31">
        <f t="shared" si="187"/>
        <v>1</v>
      </c>
      <c r="Q181" s="31">
        <f t="shared" si="187"/>
        <v>1</v>
      </c>
      <c r="R181" s="31">
        <f t="shared" si="187"/>
        <v>1</v>
      </c>
      <c r="S181" s="31">
        <f t="shared" si="187"/>
        <v>1</v>
      </c>
      <c r="T181" s="31">
        <f t="shared" si="187"/>
        <v>1</v>
      </c>
      <c r="U181" s="31">
        <f t="shared" si="187"/>
        <v>1</v>
      </c>
      <c r="V181" s="31">
        <f t="shared" si="187"/>
        <v>1</v>
      </c>
      <c r="W181" s="31">
        <f t="shared" si="187"/>
        <v>1</v>
      </c>
      <c r="X181" s="31">
        <f t="shared" ref="X181:Y181" si="188">IF(X89=0,0,X89/X$89)</f>
        <v>1</v>
      </c>
      <c r="Y181" s="31">
        <f t="shared" si="188"/>
        <v>1</v>
      </c>
      <c r="DA181" s="173"/>
    </row>
    <row r="182" spans="1:105" ht="11.45" customHeight="1" x14ac:dyDescent="0.25">
      <c r="A182" s="128" t="str">
        <f>$A$30</f>
        <v>Intra-EEA</v>
      </c>
      <c r="B182" s="140">
        <f>IF(B90=0,0,B90/B$89)</f>
        <v>0.50079682761632305</v>
      </c>
      <c r="C182" s="140">
        <f t="shared" ref="C182:W182" si="189">IF(C90=0,0,C90/C$89)</f>
        <v>0.50012030202545177</v>
      </c>
      <c r="D182" s="140">
        <f t="shared" si="189"/>
        <v>0.49752225487266261</v>
      </c>
      <c r="E182" s="140">
        <f t="shared" si="189"/>
        <v>0.49773637795344505</v>
      </c>
      <c r="F182" s="140">
        <f t="shared" si="189"/>
        <v>0.49808903560464363</v>
      </c>
      <c r="G182" s="140">
        <f t="shared" si="189"/>
        <v>0.46616729937553314</v>
      </c>
      <c r="H182" s="140">
        <f t="shared" si="189"/>
        <v>0.42298111428578378</v>
      </c>
      <c r="I182" s="140">
        <f t="shared" si="189"/>
        <v>0.48877049295824176</v>
      </c>
      <c r="J182" s="140">
        <f t="shared" si="189"/>
        <v>0.45963219560990554</v>
      </c>
      <c r="K182" s="140">
        <f t="shared" si="189"/>
        <v>0.47495832383610648</v>
      </c>
      <c r="L182" s="140">
        <f t="shared" si="189"/>
        <v>0.48495295886390616</v>
      </c>
      <c r="M182" s="140">
        <f t="shared" si="189"/>
        <v>0.4761013628465024</v>
      </c>
      <c r="N182" s="140">
        <f t="shared" si="189"/>
        <v>0.41229535053415439</v>
      </c>
      <c r="O182" s="140">
        <f t="shared" si="189"/>
        <v>0.40742670923491087</v>
      </c>
      <c r="P182" s="140">
        <f t="shared" si="189"/>
        <v>0.38145009938681435</v>
      </c>
      <c r="Q182" s="140">
        <f t="shared" si="189"/>
        <v>0.40533368774625178</v>
      </c>
      <c r="R182" s="140">
        <f t="shared" si="189"/>
        <v>0.36516864549212835</v>
      </c>
      <c r="S182" s="140">
        <f t="shared" si="189"/>
        <v>0.31271871476740631</v>
      </c>
      <c r="T182" s="140">
        <f t="shared" si="189"/>
        <v>0.30746270735125236</v>
      </c>
      <c r="U182" s="140">
        <f t="shared" si="189"/>
        <v>0.30208739083087643</v>
      </c>
      <c r="V182" s="140">
        <f t="shared" si="189"/>
        <v>0.28681926751275477</v>
      </c>
      <c r="W182" s="140">
        <f t="shared" si="189"/>
        <v>0.28856708550577598</v>
      </c>
      <c r="X182" s="140">
        <f t="shared" ref="X182:Y182" si="190">IF(X90=0,0,X90/X$89)</f>
        <v>0.30128462590128618</v>
      </c>
      <c r="Y182" s="140">
        <f t="shared" si="190"/>
        <v>0.3772556934311484</v>
      </c>
      <c r="DA182" s="175"/>
    </row>
    <row r="183" spans="1:105" ht="11.45" customHeight="1" x14ac:dyDescent="0.25">
      <c r="A183" s="138" t="str">
        <f>$A$31</f>
        <v>Extra-EEA</v>
      </c>
      <c r="B183" s="127">
        <f>IF(B91=0,0,B91/B$89)</f>
        <v>0.49920317238367701</v>
      </c>
      <c r="C183" s="127">
        <f t="shared" ref="C183:W183" si="191">IF(C91=0,0,C91/C$89)</f>
        <v>0.49987969797454829</v>
      </c>
      <c r="D183" s="127">
        <f t="shared" si="191"/>
        <v>0.50247774512733745</v>
      </c>
      <c r="E183" s="127">
        <f t="shared" si="191"/>
        <v>0.50226362204655506</v>
      </c>
      <c r="F183" s="127">
        <f t="shared" si="191"/>
        <v>0.50191096439535632</v>
      </c>
      <c r="G183" s="127">
        <f t="shared" si="191"/>
        <v>0.53383270062446697</v>
      </c>
      <c r="H183" s="127">
        <f t="shared" si="191"/>
        <v>0.57701888571421622</v>
      </c>
      <c r="I183" s="127">
        <f t="shared" si="191"/>
        <v>0.51122950704175818</v>
      </c>
      <c r="J183" s="127">
        <f t="shared" si="191"/>
        <v>0.54036780439009446</v>
      </c>
      <c r="K183" s="127">
        <f t="shared" si="191"/>
        <v>0.52504167616389363</v>
      </c>
      <c r="L183" s="127">
        <f t="shared" si="191"/>
        <v>0.51504704113609379</v>
      </c>
      <c r="M183" s="127">
        <f t="shared" si="191"/>
        <v>0.5238986371534976</v>
      </c>
      <c r="N183" s="127">
        <f t="shared" si="191"/>
        <v>0.58770464946584566</v>
      </c>
      <c r="O183" s="127">
        <f t="shared" si="191"/>
        <v>0.59257329076508924</v>
      </c>
      <c r="P183" s="127">
        <f t="shared" si="191"/>
        <v>0.6185499006131856</v>
      </c>
      <c r="Q183" s="127">
        <f t="shared" si="191"/>
        <v>0.59466631225374811</v>
      </c>
      <c r="R183" s="127">
        <f t="shared" si="191"/>
        <v>0.63483135450787165</v>
      </c>
      <c r="S183" s="127">
        <f t="shared" si="191"/>
        <v>0.68728128523259358</v>
      </c>
      <c r="T183" s="127">
        <f t="shared" si="191"/>
        <v>0.69253729264874764</v>
      </c>
      <c r="U183" s="127">
        <f t="shared" si="191"/>
        <v>0.69791260916912357</v>
      </c>
      <c r="V183" s="127">
        <f t="shared" si="191"/>
        <v>0.71318073248724523</v>
      </c>
      <c r="W183" s="127">
        <f t="shared" si="191"/>
        <v>0.71143291449422408</v>
      </c>
      <c r="X183" s="127">
        <f t="shared" ref="X183:Y183" si="192">IF(X91=0,0,X91/X$89)</f>
        <v>0.69871537409871387</v>
      </c>
      <c r="Y183" s="127">
        <f t="shared" si="192"/>
        <v>0.6227443065688516</v>
      </c>
      <c r="DA183" s="178"/>
    </row>
    <row r="184" spans="1:105" x14ac:dyDescent="0.25">
      <c r="A184" s="106"/>
      <c r="B184" s="106"/>
      <c r="C184" s="106"/>
      <c r="D184" s="106"/>
      <c r="E184" s="106"/>
      <c r="F184" s="106"/>
      <c r="G184" s="106"/>
      <c r="H184" s="106"/>
      <c r="I184" s="106"/>
      <c r="J184" s="106"/>
      <c r="K184" s="106"/>
      <c r="L184" s="106"/>
      <c r="M184" s="106"/>
      <c r="N184" s="106"/>
      <c r="O184" s="106"/>
      <c r="P184" s="106"/>
      <c r="Q184" s="106"/>
      <c r="R184" s="106"/>
      <c r="S184" s="106"/>
      <c r="T184" s="106"/>
      <c r="U184" s="106"/>
      <c r="V184" s="106"/>
      <c r="W184" s="106"/>
      <c r="X184" s="106"/>
      <c r="Y184" s="106"/>
      <c r="DA184" s="171"/>
    </row>
    <row r="185" spans="1:105" ht="11.45" customHeight="1" x14ac:dyDescent="0.25">
      <c r="A185" s="53" t="s">
        <v>42</v>
      </c>
      <c r="B185" s="59"/>
      <c r="C185" s="59"/>
      <c r="D185" s="59"/>
      <c r="E185" s="59"/>
      <c r="F185" s="59"/>
      <c r="G185" s="59"/>
      <c r="H185" s="59"/>
      <c r="I185" s="59"/>
      <c r="J185" s="59"/>
      <c r="K185" s="59"/>
      <c r="L185" s="59"/>
      <c r="M185" s="59"/>
      <c r="N185" s="59"/>
      <c r="O185" s="59"/>
      <c r="P185" s="59"/>
      <c r="Q185" s="59"/>
      <c r="R185" s="59"/>
      <c r="S185" s="59"/>
      <c r="T185" s="59"/>
      <c r="U185" s="59"/>
      <c r="V185" s="59"/>
      <c r="W185" s="59"/>
      <c r="X185" s="59"/>
      <c r="Y185" s="59"/>
      <c r="DA185" s="172"/>
    </row>
    <row r="186" spans="1:105" ht="11.45" customHeight="1" x14ac:dyDescent="0.25">
      <c r="A186" s="27" t="s">
        <v>155</v>
      </c>
      <c r="B186" s="32">
        <f t="shared" ref="B186:Y186" si="193">IF(B34=0,0,B34/B4*1000)</f>
        <v>30.03494143749095</v>
      </c>
      <c r="C186" s="32">
        <f t="shared" si="193"/>
        <v>29.751878377744184</v>
      </c>
      <c r="D186" s="32">
        <f t="shared" si="193"/>
        <v>29.582368118413726</v>
      </c>
      <c r="E186" s="32">
        <f t="shared" si="193"/>
        <v>30.316118772666364</v>
      </c>
      <c r="F186" s="32">
        <f t="shared" si="193"/>
        <v>32.646105144058374</v>
      </c>
      <c r="G186" s="32">
        <f t="shared" si="193"/>
        <v>32.311321882956484</v>
      </c>
      <c r="H186" s="32">
        <f t="shared" si="193"/>
        <v>34.689473516693653</v>
      </c>
      <c r="I186" s="32">
        <f t="shared" si="193"/>
        <v>36.564186399878423</v>
      </c>
      <c r="J186" s="32">
        <f t="shared" si="193"/>
        <v>37.225395073687125</v>
      </c>
      <c r="K186" s="32">
        <f t="shared" si="193"/>
        <v>38.174089273315964</v>
      </c>
      <c r="L186" s="32">
        <f t="shared" si="193"/>
        <v>39.456105655641963</v>
      </c>
      <c r="M186" s="32">
        <f t="shared" si="193"/>
        <v>39.796842000380543</v>
      </c>
      <c r="N186" s="32">
        <f t="shared" si="193"/>
        <v>39.718143003781357</v>
      </c>
      <c r="O186" s="32">
        <f t="shared" si="193"/>
        <v>37.708720548005608</v>
      </c>
      <c r="P186" s="32">
        <f t="shared" si="193"/>
        <v>37.1211863379595</v>
      </c>
      <c r="Q186" s="32">
        <f t="shared" si="193"/>
        <v>38.792986526104016</v>
      </c>
      <c r="R186" s="32">
        <f t="shared" si="193"/>
        <v>39.275735494819116</v>
      </c>
      <c r="S186" s="32">
        <f t="shared" si="193"/>
        <v>41.770985049776158</v>
      </c>
      <c r="T186" s="32">
        <f t="shared" si="193"/>
        <v>42.537980124914554</v>
      </c>
      <c r="U186" s="32">
        <f t="shared" si="193"/>
        <v>42.529126825060274</v>
      </c>
      <c r="V186" s="32">
        <f t="shared" si="193"/>
        <v>48.291877783151172</v>
      </c>
      <c r="W186" s="32">
        <f t="shared" si="193"/>
        <v>45.59898448813783</v>
      </c>
      <c r="X186" s="32">
        <f t="shared" si="193"/>
        <v>42.933203011604903</v>
      </c>
      <c r="Y186" s="32">
        <f t="shared" si="193"/>
        <v>40.450760033585688</v>
      </c>
      <c r="DA186" s="173" t="s">
        <v>415</v>
      </c>
    </row>
    <row r="187" spans="1:105" ht="11.45" customHeight="1" x14ac:dyDescent="0.25">
      <c r="A187" s="136" t="str">
        <f>$A$5</f>
        <v>Road transport</v>
      </c>
      <c r="B187" s="141">
        <f t="shared" ref="B187:Y187" si="194">IF(B35=0,0,B35/B5*1000)</f>
        <v>32.841211252189545</v>
      </c>
      <c r="C187" s="141">
        <f t="shared" si="194"/>
        <v>32.205184537855004</v>
      </c>
      <c r="D187" s="141">
        <f t="shared" si="194"/>
        <v>31.72541385236341</v>
      </c>
      <c r="E187" s="141">
        <f t="shared" si="194"/>
        <v>32.317725534065083</v>
      </c>
      <c r="F187" s="141">
        <f t="shared" si="194"/>
        <v>35.066632536538826</v>
      </c>
      <c r="G187" s="141">
        <f t="shared" si="194"/>
        <v>34.66373210545995</v>
      </c>
      <c r="H187" s="141">
        <f t="shared" si="194"/>
        <v>37.599406342285064</v>
      </c>
      <c r="I187" s="141">
        <f t="shared" si="194"/>
        <v>40.225835903143377</v>
      </c>
      <c r="J187" s="141">
        <f t="shared" si="194"/>
        <v>40.820496091877658</v>
      </c>
      <c r="K187" s="141">
        <f t="shared" si="194"/>
        <v>41.411898211435229</v>
      </c>
      <c r="L187" s="141">
        <f t="shared" si="194"/>
        <v>42.826158655851494</v>
      </c>
      <c r="M187" s="141">
        <f t="shared" si="194"/>
        <v>43.541791492238573</v>
      </c>
      <c r="N187" s="141">
        <f t="shared" si="194"/>
        <v>43.217802585971668</v>
      </c>
      <c r="O187" s="141">
        <f t="shared" si="194"/>
        <v>40.831189100854118</v>
      </c>
      <c r="P187" s="141">
        <f t="shared" si="194"/>
        <v>40.069628324732136</v>
      </c>
      <c r="Q187" s="141">
        <f t="shared" si="194"/>
        <v>42.245831882312658</v>
      </c>
      <c r="R187" s="141">
        <f t="shared" si="194"/>
        <v>43.11303597700438</v>
      </c>
      <c r="S187" s="141">
        <f t="shared" si="194"/>
        <v>46.389684259466172</v>
      </c>
      <c r="T187" s="141">
        <f t="shared" si="194"/>
        <v>47.607400215154627</v>
      </c>
      <c r="U187" s="141">
        <f t="shared" si="194"/>
        <v>47.922504774534168</v>
      </c>
      <c r="V187" s="141">
        <f t="shared" si="194"/>
        <v>50.816922245768509</v>
      </c>
      <c r="W187" s="141">
        <f t="shared" si="194"/>
        <v>48.820789647625759</v>
      </c>
      <c r="X187" s="141">
        <f t="shared" si="194"/>
        <v>48.539446623622169</v>
      </c>
      <c r="Y187" s="141">
        <f t="shared" si="194"/>
        <v>46.393152505450423</v>
      </c>
      <c r="DA187" s="174" t="s">
        <v>416</v>
      </c>
    </row>
    <row r="188" spans="1:105" ht="11.45" customHeight="1" x14ac:dyDescent="0.25">
      <c r="A188" s="128" t="str">
        <f>$A$6</f>
        <v>Powered two-wheelers</v>
      </c>
      <c r="B188" s="97">
        <f t="shared" ref="B188:Y188" si="195">IF(B36=0,0,B36/B6*1000)</f>
        <v>41.343707219215219</v>
      </c>
      <c r="C188" s="97">
        <f t="shared" si="195"/>
        <v>39.880147761274358</v>
      </c>
      <c r="D188" s="97">
        <f t="shared" si="195"/>
        <v>40.735698863396998</v>
      </c>
      <c r="E188" s="97">
        <f t="shared" si="195"/>
        <v>38.741603239708652</v>
      </c>
      <c r="F188" s="97">
        <f t="shared" si="195"/>
        <v>38.712657821708149</v>
      </c>
      <c r="G188" s="97">
        <f t="shared" si="195"/>
        <v>37.51339362260768</v>
      </c>
      <c r="H188" s="97">
        <f t="shared" si="195"/>
        <v>37.068246465767807</v>
      </c>
      <c r="I188" s="97">
        <f t="shared" si="195"/>
        <v>36.454803893730357</v>
      </c>
      <c r="J188" s="97">
        <f t="shared" si="195"/>
        <v>37.366689589320508</v>
      </c>
      <c r="K188" s="97">
        <f t="shared" si="195"/>
        <v>34.753976048763754</v>
      </c>
      <c r="L188" s="97">
        <f t="shared" si="195"/>
        <v>34.280979393593462</v>
      </c>
      <c r="M188" s="97">
        <f t="shared" si="195"/>
        <v>33.75662354102959</v>
      </c>
      <c r="N188" s="97">
        <f t="shared" si="195"/>
        <v>33.58136872282104</v>
      </c>
      <c r="O188" s="97">
        <f t="shared" si="195"/>
        <v>33.225944947977133</v>
      </c>
      <c r="P188" s="97">
        <f t="shared" si="195"/>
        <v>32.936349213811035</v>
      </c>
      <c r="Q188" s="97">
        <f t="shared" si="195"/>
        <v>32.468952934308341</v>
      </c>
      <c r="R188" s="97">
        <f t="shared" si="195"/>
        <v>32.072022495448003</v>
      </c>
      <c r="S188" s="97">
        <f t="shared" si="195"/>
        <v>31.90027068491462</v>
      </c>
      <c r="T188" s="97">
        <f t="shared" si="195"/>
        <v>31.692893623824602</v>
      </c>
      <c r="U188" s="97">
        <f t="shared" si="195"/>
        <v>31.550803718881241</v>
      </c>
      <c r="V188" s="97">
        <f t="shared" si="195"/>
        <v>31.465000924691047</v>
      </c>
      <c r="W188" s="97">
        <f t="shared" si="195"/>
        <v>31.352094971428407</v>
      </c>
      <c r="X188" s="97">
        <f t="shared" si="195"/>
        <v>31.259347470489022</v>
      </c>
      <c r="Y188" s="97">
        <f t="shared" si="195"/>
        <v>31.129763447305486</v>
      </c>
      <c r="DA188" s="175" t="s">
        <v>417</v>
      </c>
    </row>
    <row r="189" spans="1:105" ht="11.45" customHeight="1" x14ac:dyDescent="0.25">
      <c r="A189" s="128" t="str">
        <f>$A$7</f>
        <v>Passenger cars</v>
      </c>
      <c r="B189" s="97">
        <f t="shared" ref="B189:Y189" si="196">IF(B37=0,0,B37/B7*1000)</f>
        <v>39.999831062115682</v>
      </c>
      <c r="C189" s="97">
        <f t="shared" si="196"/>
        <v>38.603229686877341</v>
      </c>
      <c r="D189" s="97">
        <f t="shared" si="196"/>
        <v>37.133654859669932</v>
      </c>
      <c r="E189" s="97">
        <f t="shared" si="196"/>
        <v>37.944956696344306</v>
      </c>
      <c r="F189" s="97">
        <f t="shared" si="196"/>
        <v>41.050080108512269</v>
      </c>
      <c r="G189" s="97">
        <f t="shared" si="196"/>
        <v>40.003650972744317</v>
      </c>
      <c r="H189" s="97">
        <f t="shared" si="196"/>
        <v>43.909236124286615</v>
      </c>
      <c r="I189" s="97">
        <f t="shared" si="196"/>
        <v>46.845657834636178</v>
      </c>
      <c r="J189" s="97">
        <f t="shared" si="196"/>
        <v>47.323033271636469</v>
      </c>
      <c r="K189" s="97">
        <f t="shared" si="196"/>
        <v>46.860804926927734</v>
      </c>
      <c r="L189" s="97">
        <f t="shared" si="196"/>
        <v>47.98902828477614</v>
      </c>
      <c r="M189" s="97">
        <f t="shared" si="196"/>
        <v>48.445368808484957</v>
      </c>
      <c r="N189" s="97">
        <f t="shared" si="196"/>
        <v>47.975758208986925</v>
      </c>
      <c r="O189" s="97">
        <f t="shared" si="196"/>
        <v>44.584488251910244</v>
      </c>
      <c r="P189" s="97">
        <f t="shared" si="196"/>
        <v>43.777155423759837</v>
      </c>
      <c r="Q189" s="97">
        <f t="shared" si="196"/>
        <v>45.313393249970424</v>
      </c>
      <c r="R189" s="97">
        <f t="shared" si="196"/>
        <v>46.097667713531528</v>
      </c>
      <c r="S189" s="97">
        <f t="shared" si="196"/>
        <v>49.7765005325275</v>
      </c>
      <c r="T189" s="97">
        <f t="shared" si="196"/>
        <v>51.008660769414199</v>
      </c>
      <c r="U189" s="97">
        <f t="shared" si="196"/>
        <v>51.486326585769199</v>
      </c>
      <c r="V189" s="97">
        <f t="shared" si="196"/>
        <v>51.220512784963525</v>
      </c>
      <c r="W189" s="97">
        <f t="shared" si="196"/>
        <v>49.434801271968922</v>
      </c>
      <c r="X189" s="97">
        <f t="shared" si="196"/>
        <v>50.133125724144854</v>
      </c>
      <c r="Y189" s="97">
        <f t="shared" si="196"/>
        <v>48.236897892916637</v>
      </c>
      <c r="DA189" s="175" t="s">
        <v>418</v>
      </c>
    </row>
    <row r="190" spans="1:105" ht="11.45" customHeight="1" x14ac:dyDescent="0.25">
      <c r="A190" s="128" t="str">
        <f>$A$8</f>
        <v>Motor coaches, buses and trolley buses</v>
      </c>
      <c r="B190" s="97">
        <f t="shared" ref="B190:Y190" si="197">IF(B38=0,0,B38/B8*1000)</f>
        <v>16.748431642942805</v>
      </c>
      <c r="C190" s="97">
        <f t="shared" si="197"/>
        <v>16.615575339467849</v>
      </c>
      <c r="D190" s="97">
        <f t="shared" si="197"/>
        <v>17.232362381751905</v>
      </c>
      <c r="E190" s="97">
        <f t="shared" si="197"/>
        <v>16.663793123111279</v>
      </c>
      <c r="F190" s="97">
        <f t="shared" si="197"/>
        <v>17.744103143489511</v>
      </c>
      <c r="G190" s="97">
        <f t="shared" si="197"/>
        <v>18.01379347711698</v>
      </c>
      <c r="H190" s="97">
        <f t="shared" si="197"/>
        <v>17.333474325194036</v>
      </c>
      <c r="I190" s="97">
        <f t="shared" si="197"/>
        <v>17.890670359282066</v>
      </c>
      <c r="J190" s="97">
        <f t="shared" si="197"/>
        <v>17.46633015093461</v>
      </c>
      <c r="K190" s="97">
        <f t="shared" si="197"/>
        <v>19.132067055832916</v>
      </c>
      <c r="L190" s="97">
        <f t="shared" si="197"/>
        <v>20.037839068255931</v>
      </c>
      <c r="M190" s="97">
        <f t="shared" si="197"/>
        <v>21.116558098834464</v>
      </c>
      <c r="N190" s="97">
        <f t="shared" si="197"/>
        <v>21.067228050029321</v>
      </c>
      <c r="O190" s="97">
        <f t="shared" si="197"/>
        <v>22.194627648927558</v>
      </c>
      <c r="P190" s="97">
        <f t="shared" si="197"/>
        <v>21.928989851185037</v>
      </c>
      <c r="Q190" s="97">
        <f t="shared" si="197"/>
        <v>26.642521262179539</v>
      </c>
      <c r="R190" s="97">
        <f t="shared" si="197"/>
        <v>26.745342919344377</v>
      </c>
      <c r="S190" s="97">
        <f t="shared" si="197"/>
        <v>26.785986198022481</v>
      </c>
      <c r="T190" s="97">
        <f t="shared" si="197"/>
        <v>26.515556042823953</v>
      </c>
      <c r="U190" s="97">
        <f t="shared" si="197"/>
        <v>26.462578649377299</v>
      </c>
      <c r="V190" s="97">
        <f t="shared" si="197"/>
        <v>48.887693829832195</v>
      </c>
      <c r="W190" s="97">
        <f t="shared" si="197"/>
        <v>44.447994294755027</v>
      </c>
      <c r="X190" s="97">
        <f t="shared" si="197"/>
        <v>35.916672926624315</v>
      </c>
      <c r="Y190" s="97">
        <f t="shared" si="197"/>
        <v>32.032225817324488</v>
      </c>
      <c r="DA190" s="175" t="s">
        <v>419</v>
      </c>
    </row>
    <row r="191" spans="1:105" ht="11.45" customHeight="1" x14ac:dyDescent="0.25">
      <c r="A191" s="109" t="str">
        <f>$A$9</f>
        <v>Rail, metro and tram</v>
      </c>
      <c r="B191" s="130">
        <f t="shared" ref="B191:Y191" si="198">IF(B39=0,0,B39/B9*1000)</f>
        <v>10.270252785302171</v>
      </c>
      <c r="C191" s="130">
        <f t="shared" si="198"/>
        <v>11.550092113796319</v>
      </c>
      <c r="D191" s="130">
        <f t="shared" si="198"/>
        <v>12.616539505894471</v>
      </c>
      <c r="E191" s="130">
        <f t="shared" si="198"/>
        <v>13.495410707935957</v>
      </c>
      <c r="F191" s="130">
        <f t="shared" si="198"/>
        <v>12.107716455578284</v>
      </c>
      <c r="G191" s="130">
        <f t="shared" si="198"/>
        <v>12.031468136664103</v>
      </c>
      <c r="H191" s="130">
        <f t="shared" si="198"/>
        <v>9.1360478768892115</v>
      </c>
      <c r="I191" s="130">
        <f t="shared" si="198"/>
        <v>9.5454501505320604</v>
      </c>
      <c r="J191" s="130">
        <f t="shared" si="198"/>
        <v>8.7784368262129338</v>
      </c>
      <c r="K191" s="130">
        <f t="shared" si="198"/>
        <v>9.5507794227853022</v>
      </c>
      <c r="L191" s="130">
        <f t="shared" si="198"/>
        <v>8.9810497790647172</v>
      </c>
      <c r="M191" s="130">
        <f t="shared" si="198"/>
        <v>8.5425982882351281</v>
      </c>
      <c r="N191" s="130">
        <f t="shared" si="198"/>
        <v>8.9597449054789724</v>
      </c>
      <c r="O191" s="130">
        <f t="shared" si="198"/>
        <v>9.2940736650306555</v>
      </c>
      <c r="P191" s="130">
        <f t="shared" si="198"/>
        <v>9.0319036736947069</v>
      </c>
      <c r="Q191" s="130">
        <f t="shared" si="198"/>
        <v>8.6845325087034126</v>
      </c>
      <c r="R191" s="130">
        <f t="shared" si="198"/>
        <v>8.779971491109368</v>
      </c>
      <c r="S191" s="130">
        <f t="shared" si="198"/>
        <v>8.5403775678723211</v>
      </c>
      <c r="T191" s="130">
        <f t="shared" si="198"/>
        <v>8.9371885155276356</v>
      </c>
      <c r="U191" s="130">
        <f t="shared" si="198"/>
        <v>8.2285409772225151</v>
      </c>
      <c r="V191" s="130">
        <f t="shared" si="198"/>
        <v>13.25813629006084</v>
      </c>
      <c r="W191" s="130">
        <f t="shared" si="198"/>
        <v>11.888221258361181</v>
      </c>
      <c r="X191" s="130">
        <f t="shared" si="198"/>
        <v>8.7542509651455394</v>
      </c>
      <c r="Y191" s="130">
        <f t="shared" si="198"/>
        <v>8.0696705110113047</v>
      </c>
      <c r="DA191" s="176" t="s">
        <v>420</v>
      </c>
    </row>
    <row r="192" spans="1:105" ht="11.45" customHeight="1" x14ac:dyDescent="0.25">
      <c r="A192" s="128" t="str">
        <f>$A$10</f>
        <v>Metro and tram, urban light rail</v>
      </c>
      <c r="B192" s="97">
        <f t="shared" ref="B192:Y192" si="199">IF(B40=0,0,B40/B10*1000)</f>
        <v>5.5614233575971523</v>
      </c>
      <c r="C192" s="97">
        <f t="shared" si="199"/>
        <v>5.5306770729125887</v>
      </c>
      <c r="D192" s="97">
        <f t="shared" si="199"/>
        <v>5.5607701951969224</v>
      </c>
      <c r="E192" s="97">
        <f t="shared" si="199"/>
        <v>5.5023993301073588</v>
      </c>
      <c r="F192" s="97">
        <f t="shared" si="199"/>
        <v>5.2590560509998285</v>
      </c>
      <c r="G192" s="97">
        <f t="shared" si="199"/>
        <v>5.0567072306068468</v>
      </c>
      <c r="H192" s="97">
        <f t="shared" si="199"/>
        <v>4.9626455900895552</v>
      </c>
      <c r="I192" s="97">
        <f t="shared" si="199"/>
        <v>4.7691120779783107</v>
      </c>
      <c r="J192" s="97">
        <f t="shared" si="199"/>
        <v>4.7284059047661628</v>
      </c>
      <c r="K192" s="97">
        <f t="shared" si="199"/>
        <v>4.7635096345345724</v>
      </c>
      <c r="L192" s="97">
        <f t="shared" si="199"/>
        <v>4.7798173878073591</v>
      </c>
      <c r="M192" s="97">
        <f t="shared" si="199"/>
        <v>4.6686595981843455</v>
      </c>
      <c r="N192" s="97">
        <f t="shared" si="199"/>
        <v>4.7220358470082227</v>
      </c>
      <c r="O192" s="97">
        <f t="shared" si="199"/>
        <v>4.6971501446233237</v>
      </c>
      <c r="P192" s="97">
        <f t="shared" si="199"/>
        <v>4.5957905382727713</v>
      </c>
      <c r="Q192" s="97">
        <f t="shared" si="199"/>
        <v>4.5001205484925748</v>
      </c>
      <c r="R192" s="97">
        <f t="shared" si="199"/>
        <v>4.4573263429290044</v>
      </c>
      <c r="S192" s="97">
        <f t="shared" si="199"/>
        <v>4.375480071082686</v>
      </c>
      <c r="T192" s="97">
        <f t="shared" si="199"/>
        <v>4.3265352299694779</v>
      </c>
      <c r="U192" s="97">
        <f t="shared" si="199"/>
        <v>4.2836288452615392</v>
      </c>
      <c r="V192" s="97">
        <f t="shared" si="199"/>
        <v>7.0314226735373007</v>
      </c>
      <c r="W192" s="97">
        <f t="shared" si="199"/>
        <v>6.1467008831267016</v>
      </c>
      <c r="X192" s="97">
        <f t="shared" si="199"/>
        <v>4.2810337653394095</v>
      </c>
      <c r="Y192" s="97">
        <f t="shared" si="199"/>
        <v>4.0645770532499625</v>
      </c>
      <c r="DA192" s="175" t="s">
        <v>421</v>
      </c>
    </row>
    <row r="193" spans="1:105" ht="11.45" customHeight="1" x14ac:dyDescent="0.25">
      <c r="A193" s="128" t="str">
        <f>$A$11</f>
        <v>Conventional passenger trains</v>
      </c>
      <c r="B193" s="97">
        <f t="shared" ref="B193:Y193" si="200">IF(B41=0,0,B41/B11*1000)</f>
        <v>11.188877154811287</v>
      </c>
      <c r="C193" s="97">
        <f t="shared" si="200"/>
        <v>12.795820893008093</v>
      </c>
      <c r="D193" s="97">
        <f t="shared" si="200"/>
        <v>14.187586506493181</v>
      </c>
      <c r="E193" s="97">
        <f t="shared" si="200"/>
        <v>15.32698985042647</v>
      </c>
      <c r="F193" s="97">
        <f t="shared" si="200"/>
        <v>13.756671609168603</v>
      </c>
      <c r="G193" s="97">
        <f t="shared" si="200"/>
        <v>13.721667397921573</v>
      </c>
      <c r="H193" s="97">
        <f t="shared" si="200"/>
        <v>10.137106532358082</v>
      </c>
      <c r="I193" s="97">
        <f t="shared" si="200"/>
        <v>10.65180772814157</v>
      </c>
      <c r="J193" s="97">
        <f t="shared" si="200"/>
        <v>9.7009494401597092</v>
      </c>
      <c r="K193" s="97">
        <f t="shared" si="200"/>
        <v>10.660454020909633</v>
      </c>
      <c r="L193" s="97">
        <f t="shared" si="200"/>
        <v>9.9984789726396812</v>
      </c>
      <c r="M193" s="97">
        <f t="shared" si="200"/>
        <v>9.4811312322711245</v>
      </c>
      <c r="N193" s="97">
        <f t="shared" si="200"/>
        <v>10.003897115732848</v>
      </c>
      <c r="O193" s="97">
        <f t="shared" si="200"/>
        <v>10.416186309031875</v>
      </c>
      <c r="P193" s="97">
        <f t="shared" si="200"/>
        <v>10.205596706728272</v>
      </c>
      <c r="Q193" s="97">
        <f t="shared" si="200"/>
        <v>9.788369657135183</v>
      </c>
      <c r="R193" s="97">
        <f t="shared" si="200"/>
        <v>10.043667108885172</v>
      </c>
      <c r="S193" s="97">
        <f t="shared" si="200"/>
        <v>9.6959276501070732</v>
      </c>
      <c r="T193" s="97">
        <f t="shared" si="200"/>
        <v>10.233933324212408</v>
      </c>
      <c r="U193" s="97">
        <f t="shared" si="200"/>
        <v>9.3104433216104514</v>
      </c>
      <c r="V193" s="97">
        <f t="shared" si="200"/>
        <v>14.751830395850751</v>
      </c>
      <c r="W193" s="97">
        <f t="shared" si="200"/>
        <v>13.308965487017977</v>
      </c>
      <c r="X193" s="97">
        <f t="shared" si="200"/>
        <v>9.6975673445176831</v>
      </c>
      <c r="Y193" s="97">
        <f t="shared" si="200"/>
        <v>8.9523577546993245</v>
      </c>
      <c r="DA193" s="175" t="s">
        <v>422</v>
      </c>
    </row>
    <row r="194" spans="1:105" ht="11.45" customHeight="1" x14ac:dyDescent="0.25">
      <c r="A194" s="128" t="str">
        <f>$A$12</f>
        <v>High speed passenger trains</v>
      </c>
      <c r="B194" s="97">
        <f t="shared" ref="B194:Y194" si="201">IF(B42=0,0,B42/B12*1000)</f>
        <v>0</v>
      </c>
      <c r="C194" s="97">
        <f t="shared" si="201"/>
        <v>0</v>
      </c>
      <c r="D194" s="97">
        <f t="shared" si="201"/>
        <v>0</v>
      </c>
      <c r="E194" s="97">
        <f t="shared" si="201"/>
        <v>0</v>
      </c>
      <c r="F194" s="97">
        <f t="shared" si="201"/>
        <v>0</v>
      </c>
      <c r="G194" s="97">
        <f t="shared" si="201"/>
        <v>0</v>
      </c>
      <c r="H194" s="97">
        <f t="shared" si="201"/>
        <v>0</v>
      </c>
      <c r="I194" s="97">
        <f t="shared" si="201"/>
        <v>0</v>
      </c>
      <c r="J194" s="97">
        <f t="shared" si="201"/>
        <v>0</v>
      </c>
      <c r="K194" s="97">
        <f t="shared" si="201"/>
        <v>0</v>
      </c>
      <c r="L194" s="97">
        <f t="shared" si="201"/>
        <v>0</v>
      </c>
      <c r="M194" s="97">
        <f t="shared" si="201"/>
        <v>0</v>
      </c>
      <c r="N194" s="97">
        <f t="shared" si="201"/>
        <v>0</v>
      </c>
      <c r="O194" s="97">
        <f t="shared" si="201"/>
        <v>0</v>
      </c>
      <c r="P194" s="97">
        <f t="shared" si="201"/>
        <v>0</v>
      </c>
      <c r="Q194" s="97">
        <f t="shared" si="201"/>
        <v>6.5539942325748495</v>
      </c>
      <c r="R194" s="97">
        <f t="shared" si="201"/>
        <v>6.2243632434015073</v>
      </c>
      <c r="S194" s="97">
        <f t="shared" si="201"/>
        <v>5.8605339880418112</v>
      </c>
      <c r="T194" s="97">
        <f t="shared" si="201"/>
        <v>5.5755002906796678</v>
      </c>
      <c r="U194" s="97">
        <f t="shared" si="201"/>
        <v>5.5106337401869094</v>
      </c>
      <c r="V194" s="97">
        <f t="shared" si="201"/>
        <v>11.452333545026724</v>
      </c>
      <c r="W194" s="97">
        <f t="shared" si="201"/>
        <v>7.8752582704966247</v>
      </c>
      <c r="X194" s="97">
        <f t="shared" si="201"/>
        <v>6.0905368966026288</v>
      </c>
      <c r="Y194" s="97">
        <f t="shared" si="201"/>
        <v>5.2043927542314101</v>
      </c>
      <c r="DA194" s="175" t="s">
        <v>423</v>
      </c>
    </row>
    <row r="195" spans="1:105" ht="11.45" customHeight="1" x14ac:dyDescent="0.25">
      <c r="A195" s="109" t="str">
        <f>$A$13</f>
        <v>Aviation</v>
      </c>
      <c r="B195" s="130">
        <f t="shared" ref="B195:Y195" si="202">IF(B43=0,0,B43/B13*1000)</f>
        <v>33.709742752484317</v>
      </c>
      <c r="C195" s="130">
        <f t="shared" si="202"/>
        <v>33.027070487931134</v>
      </c>
      <c r="D195" s="130">
        <f t="shared" si="202"/>
        <v>32.338905988013195</v>
      </c>
      <c r="E195" s="130">
        <f t="shared" si="202"/>
        <v>32.043894762094844</v>
      </c>
      <c r="F195" s="130">
        <f t="shared" si="202"/>
        <v>31.849835293532024</v>
      </c>
      <c r="G195" s="130">
        <f t="shared" si="202"/>
        <v>30.334239397254397</v>
      </c>
      <c r="H195" s="130">
        <f t="shared" si="202"/>
        <v>33.463893377333171</v>
      </c>
      <c r="I195" s="130">
        <f t="shared" si="202"/>
        <v>29.107845970452743</v>
      </c>
      <c r="J195" s="130">
        <f t="shared" si="202"/>
        <v>31.688673869364145</v>
      </c>
      <c r="K195" s="130">
        <f t="shared" si="202"/>
        <v>32.43076280072853</v>
      </c>
      <c r="L195" s="130">
        <f t="shared" si="202"/>
        <v>32.504815297661125</v>
      </c>
      <c r="M195" s="130">
        <f t="shared" si="202"/>
        <v>29.950432019398487</v>
      </c>
      <c r="N195" s="130">
        <f t="shared" si="202"/>
        <v>32.258797271748548</v>
      </c>
      <c r="O195" s="130">
        <f t="shared" si="202"/>
        <v>30.039647559765466</v>
      </c>
      <c r="P195" s="130">
        <f t="shared" si="202"/>
        <v>30.295397207541683</v>
      </c>
      <c r="Q195" s="130">
        <f t="shared" si="202"/>
        <v>30.379695024465295</v>
      </c>
      <c r="R195" s="130">
        <f t="shared" si="202"/>
        <v>28.760526619166509</v>
      </c>
      <c r="S195" s="130">
        <f t="shared" si="202"/>
        <v>28.909278527428651</v>
      </c>
      <c r="T195" s="130">
        <f t="shared" si="202"/>
        <v>28.803815553895799</v>
      </c>
      <c r="U195" s="130">
        <f t="shared" si="202"/>
        <v>28.199036159665443</v>
      </c>
      <c r="V195" s="130">
        <f t="shared" si="202"/>
        <v>40.461273802651448</v>
      </c>
      <c r="W195" s="130">
        <f t="shared" si="202"/>
        <v>34.339302340663906</v>
      </c>
      <c r="X195" s="130">
        <f t="shared" si="202"/>
        <v>27.653349718409732</v>
      </c>
      <c r="Y195" s="130">
        <f t="shared" si="202"/>
        <v>25.665516571037905</v>
      </c>
      <c r="DA195" s="176" t="s">
        <v>297</v>
      </c>
    </row>
    <row r="196" spans="1:105" ht="11.45" customHeight="1" x14ac:dyDescent="0.25">
      <c r="A196" s="128" t="str">
        <f>$A$14</f>
        <v>Domestic</v>
      </c>
      <c r="B196" s="97">
        <f t="shared" ref="B196:Y196" si="203">IF(B44=0,0,B44/B14*1000)</f>
        <v>12.826438772152292</v>
      </c>
      <c r="C196" s="97">
        <f t="shared" si="203"/>
        <v>12.711792497217894</v>
      </c>
      <c r="D196" s="97">
        <f t="shared" si="203"/>
        <v>12.522111821130046</v>
      </c>
      <c r="E196" s="97">
        <f t="shared" si="203"/>
        <v>12.218042499123779</v>
      </c>
      <c r="F196" s="97">
        <f t="shared" si="203"/>
        <v>11.993490399073735</v>
      </c>
      <c r="G196" s="97">
        <f t="shared" si="203"/>
        <v>11.429682678322653</v>
      </c>
      <c r="H196" s="97">
        <f t="shared" si="203"/>
        <v>11.295379042526299</v>
      </c>
      <c r="I196" s="97">
        <f t="shared" si="203"/>
        <v>12.487580348196865</v>
      </c>
      <c r="J196" s="97">
        <f t="shared" si="203"/>
        <v>10.630234261608926</v>
      </c>
      <c r="K196" s="97">
        <f t="shared" si="203"/>
        <v>15.240877083896295</v>
      </c>
      <c r="L196" s="97">
        <f t="shared" si="203"/>
        <v>13.327685024080083</v>
      </c>
      <c r="M196" s="97">
        <f t="shared" si="203"/>
        <v>12.618545370754299</v>
      </c>
      <c r="N196" s="97">
        <f t="shared" si="203"/>
        <v>27.19260828949303</v>
      </c>
      <c r="O196" s="97">
        <f t="shared" si="203"/>
        <v>35.261543875625073</v>
      </c>
      <c r="P196" s="97">
        <f t="shared" si="203"/>
        <v>47.207042979189531</v>
      </c>
      <c r="Q196" s="97">
        <f t="shared" si="203"/>
        <v>33.234749182088592</v>
      </c>
      <c r="R196" s="97">
        <f t="shared" si="203"/>
        <v>40.655482638511167</v>
      </c>
      <c r="S196" s="97">
        <f t="shared" si="203"/>
        <v>36.119512189856167</v>
      </c>
      <c r="T196" s="97">
        <f t="shared" si="203"/>
        <v>50.573699378182226</v>
      </c>
      <c r="U196" s="97">
        <f t="shared" si="203"/>
        <v>50.958789733103615</v>
      </c>
      <c r="V196" s="97">
        <f t="shared" si="203"/>
        <v>80.111674010600254</v>
      </c>
      <c r="W196" s="97">
        <f t="shared" si="203"/>
        <v>114.96785984726229</v>
      </c>
      <c r="X196" s="97">
        <f t="shared" si="203"/>
        <v>54.43929124385263</v>
      </c>
      <c r="Y196" s="97">
        <f t="shared" si="203"/>
        <v>56.189353490757654</v>
      </c>
      <c r="DA196" s="175" t="s">
        <v>298</v>
      </c>
    </row>
    <row r="197" spans="1:105" ht="11.45" customHeight="1" x14ac:dyDescent="0.25">
      <c r="A197" s="128" t="str">
        <f>$A$15</f>
        <v>International - Intra-EEAwCHUK</v>
      </c>
      <c r="B197" s="97">
        <f t="shared" ref="B197:Y197" si="204">IF(B45=0,0,B45/B15*1000)</f>
        <v>46.262754699979453</v>
      </c>
      <c r="C197" s="97">
        <f t="shared" si="204"/>
        <v>45.219155529279277</v>
      </c>
      <c r="D197" s="97">
        <f t="shared" si="204"/>
        <v>44.549522403346231</v>
      </c>
      <c r="E197" s="97">
        <f t="shared" si="204"/>
        <v>44.463031718301821</v>
      </c>
      <c r="F197" s="97">
        <f t="shared" si="204"/>
        <v>44.383460453412567</v>
      </c>
      <c r="G197" s="97">
        <f t="shared" si="204"/>
        <v>40.828067572816678</v>
      </c>
      <c r="H197" s="97">
        <f t="shared" si="204"/>
        <v>44.608656648721549</v>
      </c>
      <c r="I197" s="97">
        <f t="shared" si="204"/>
        <v>37.853108011893596</v>
      </c>
      <c r="J197" s="97">
        <f t="shared" si="204"/>
        <v>44.32492782938165</v>
      </c>
      <c r="K197" s="97">
        <f t="shared" si="204"/>
        <v>41.98182375421684</v>
      </c>
      <c r="L197" s="97">
        <f t="shared" si="204"/>
        <v>41.705706939294735</v>
      </c>
      <c r="M197" s="97">
        <f t="shared" si="204"/>
        <v>34.844633821389827</v>
      </c>
      <c r="N197" s="97">
        <f t="shared" si="204"/>
        <v>37.789366983404022</v>
      </c>
      <c r="O197" s="97">
        <f t="shared" si="204"/>
        <v>32.983644688791586</v>
      </c>
      <c r="P197" s="97">
        <f t="shared" si="204"/>
        <v>33.574323396384763</v>
      </c>
      <c r="Q197" s="97">
        <f t="shared" si="204"/>
        <v>32.442987228835364</v>
      </c>
      <c r="R197" s="97">
        <f t="shared" si="204"/>
        <v>30.226603358318179</v>
      </c>
      <c r="S197" s="97">
        <f t="shared" si="204"/>
        <v>32.926262343754765</v>
      </c>
      <c r="T197" s="97">
        <f t="shared" si="204"/>
        <v>35.115113696581759</v>
      </c>
      <c r="U197" s="97">
        <f t="shared" si="204"/>
        <v>37.300243594456454</v>
      </c>
      <c r="V197" s="97">
        <f t="shared" si="204"/>
        <v>43.620708972166369</v>
      </c>
      <c r="W197" s="97">
        <f t="shared" si="204"/>
        <v>41.681550382000808</v>
      </c>
      <c r="X197" s="97">
        <f t="shared" si="204"/>
        <v>36.622213727632442</v>
      </c>
      <c r="Y197" s="97">
        <f t="shared" si="204"/>
        <v>35.550953650352653</v>
      </c>
      <c r="DA197" s="175" t="s">
        <v>299</v>
      </c>
    </row>
    <row r="198" spans="1:105" ht="11.45" customHeight="1" x14ac:dyDescent="0.25">
      <c r="A198" s="128" t="str">
        <f>$A$16</f>
        <v>International - Extra-EEAwCHUK</v>
      </c>
      <c r="B198" s="97">
        <f t="shared" ref="B198:Y198" si="205">IF(B46=0,0,B46/B16*1000)</f>
        <v>22.811455974043184</v>
      </c>
      <c r="C198" s="97">
        <f t="shared" si="205"/>
        <v>22.399235660334583</v>
      </c>
      <c r="D198" s="97">
        <f t="shared" si="205"/>
        <v>22.084022653864089</v>
      </c>
      <c r="E198" s="97">
        <f t="shared" si="205"/>
        <v>21.6751800826931</v>
      </c>
      <c r="F198" s="97">
        <f t="shared" si="205"/>
        <v>21.238402620083921</v>
      </c>
      <c r="G198" s="97">
        <f t="shared" si="205"/>
        <v>20.101566366819071</v>
      </c>
      <c r="H198" s="97">
        <f t="shared" si="205"/>
        <v>20.892641222717039</v>
      </c>
      <c r="I198" s="97">
        <f t="shared" si="205"/>
        <v>17.843723029954141</v>
      </c>
      <c r="J198" s="97">
        <f t="shared" si="205"/>
        <v>17.169006393410363</v>
      </c>
      <c r="K198" s="97">
        <f t="shared" si="205"/>
        <v>20.343172197271535</v>
      </c>
      <c r="L198" s="97">
        <f t="shared" si="205"/>
        <v>20.754486353777008</v>
      </c>
      <c r="M198" s="97">
        <f t="shared" si="205"/>
        <v>22.486649804426733</v>
      </c>
      <c r="N198" s="97">
        <f t="shared" si="205"/>
        <v>23.241326244813774</v>
      </c>
      <c r="O198" s="97">
        <f t="shared" si="205"/>
        <v>23.276206813724446</v>
      </c>
      <c r="P198" s="97">
        <f t="shared" si="205"/>
        <v>22.330097773058014</v>
      </c>
      <c r="Q198" s="97">
        <f t="shared" si="205"/>
        <v>25.01726659577692</v>
      </c>
      <c r="R198" s="97">
        <f t="shared" si="205"/>
        <v>23.569946487734992</v>
      </c>
      <c r="S198" s="97">
        <f t="shared" si="205"/>
        <v>19.419665529309128</v>
      </c>
      <c r="T198" s="97">
        <f t="shared" si="205"/>
        <v>16.384612413778676</v>
      </c>
      <c r="U198" s="97">
        <f t="shared" si="205"/>
        <v>13.995349751255945</v>
      </c>
      <c r="V198" s="97">
        <f t="shared" si="205"/>
        <v>32.594051825515763</v>
      </c>
      <c r="W198" s="97">
        <f t="shared" si="205"/>
        <v>21.526908050690164</v>
      </c>
      <c r="X198" s="97">
        <f t="shared" si="205"/>
        <v>13.902495929187161</v>
      </c>
      <c r="Y198" s="97">
        <f t="shared" si="205"/>
        <v>11.93204174842368</v>
      </c>
      <c r="DA198" s="175" t="s">
        <v>300</v>
      </c>
    </row>
    <row r="199" spans="1:105" ht="11.45" customHeight="1" x14ac:dyDescent="0.25">
      <c r="A199" s="27" t="s">
        <v>156</v>
      </c>
      <c r="B199" s="32">
        <f t="shared" ref="B199:Y199" si="206">IF(B47=0,0,B47/B17*1000)</f>
        <v>23.148251099029295</v>
      </c>
      <c r="C199" s="32">
        <f t="shared" si="206"/>
        <v>24.700735608416544</v>
      </c>
      <c r="D199" s="32">
        <f t="shared" si="206"/>
        <v>22.787604794210711</v>
      </c>
      <c r="E199" s="32">
        <f t="shared" si="206"/>
        <v>26.416583916444552</v>
      </c>
      <c r="F199" s="32">
        <f t="shared" si="206"/>
        <v>27.629366512953318</v>
      </c>
      <c r="G199" s="32">
        <f t="shared" si="206"/>
        <v>32.725827556046369</v>
      </c>
      <c r="H199" s="32">
        <f t="shared" si="206"/>
        <v>34.428074241405263</v>
      </c>
      <c r="I199" s="32">
        <f t="shared" si="206"/>
        <v>37.189549236958108</v>
      </c>
      <c r="J199" s="32">
        <f t="shared" si="206"/>
        <v>38.665774155912047</v>
      </c>
      <c r="K199" s="32">
        <f t="shared" si="206"/>
        <v>39.364026342326326</v>
      </c>
      <c r="L199" s="32">
        <f t="shared" si="206"/>
        <v>39.501320580409519</v>
      </c>
      <c r="M199" s="32">
        <f t="shared" si="206"/>
        <v>36.988970525091901</v>
      </c>
      <c r="N199" s="32">
        <f t="shared" si="206"/>
        <v>33.762926543008497</v>
      </c>
      <c r="O199" s="32">
        <f t="shared" si="206"/>
        <v>28.170716146168072</v>
      </c>
      <c r="P199" s="32">
        <f t="shared" si="206"/>
        <v>28.935586951411185</v>
      </c>
      <c r="Q199" s="32">
        <f t="shared" si="206"/>
        <v>28.42510912074264</v>
      </c>
      <c r="R199" s="32">
        <f t="shared" si="206"/>
        <v>33.188242886781069</v>
      </c>
      <c r="S199" s="32">
        <f t="shared" si="206"/>
        <v>36.989880109008389</v>
      </c>
      <c r="T199" s="32">
        <f t="shared" si="206"/>
        <v>39.573314956352043</v>
      </c>
      <c r="U199" s="32">
        <f t="shared" si="206"/>
        <v>38.795170833125674</v>
      </c>
      <c r="V199" s="32">
        <f t="shared" si="206"/>
        <v>37.208586909180163</v>
      </c>
      <c r="W199" s="32">
        <f t="shared" si="206"/>
        <v>41.722101228540403</v>
      </c>
      <c r="X199" s="32">
        <f t="shared" si="206"/>
        <v>40.302804078521412</v>
      </c>
      <c r="Y199" s="32">
        <f t="shared" si="206"/>
        <v>39.942541636586398</v>
      </c>
      <c r="DA199" s="173" t="s">
        <v>424</v>
      </c>
    </row>
    <row r="200" spans="1:105" ht="11.45" customHeight="1" x14ac:dyDescent="0.25">
      <c r="A200" s="136" t="str">
        <f>$A$18</f>
        <v>Road transport</v>
      </c>
      <c r="B200" s="141">
        <f t="shared" ref="B200:Y200" si="207">IF(B48=0,0,B48/B18*1000)</f>
        <v>37.691227252074292</v>
      </c>
      <c r="C200" s="141">
        <f t="shared" si="207"/>
        <v>38.216107547161023</v>
      </c>
      <c r="D200" s="141">
        <f t="shared" si="207"/>
        <v>34.357065454313897</v>
      </c>
      <c r="E200" s="141">
        <f t="shared" si="207"/>
        <v>39.797697309770541</v>
      </c>
      <c r="F200" s="141">
        <f t="shared" si="207"/>
        <v>41.650416623595369</v>
      </c>
      <c r="G200" s="141">
        <f t="shared" si="207"/>
        <v>48.608988575770397</v>
      </c>
      <c r="H200" s="141">
        <f t="shared" si="207"/>
        <v>51.660375984117934</v>
      </c>
      <c r="I200" s="141">
        <f t="shared" si="207"/>
        <v>55.491147918340424</v>
      </c>
      <c r="J200" s="141">
        <f t="shared" si="207"/>
        <v>55.876431862342358</v>
      </c>
      <c r="K200" s="141">
        <f t="shared" si="207"/>
        <v>53.244194991006559</v>
      </c>
      <c r="L200" s="141">
        <f t="shared" si="207"/>
        <v>53.896558673033923</v>
      </c>
      <c r="M200" s="141">
        <f t="shared" si="207"/>
        <v>50.744173560749502</v>
      </c>
      <c r="N200" s="141">
        <f t="shared" si="207"/>
        <v>44.910247761015349</v>
      </c>
      <c r="O200" s="141">
        <f t="shared" si="207"/>
        <v>36.811869881053155</v>
      </c>
      <c r="P200" s="141">
        <f t="shared" si="207"/>
        <v>37.950998296695467</v>
      </c>
      <c r="Q200" s="141">
        <f t="shared" si="207"/>
        <v>36.878417703664454</v>
      </c>
      <c r="R200" s="141">
        <f t="shared" si="207"/>
        <v>42.817880879904884</v>
      </c>
      <c r="S200" s="141">
        <f t="shared" si="207"/>
        <v>47.415118333689286</v>
      </c>
      <c r="T200" s="141">
        <f t="shared" si="207"/>
        <v>52.59003648269551</v>
      </c>
      <c r="U200" s="141">
        <f t="shared" si="207"/>
        <v>49.76408305582347</v>
      </c>
      <c r="V200" s="141">
        <f t="shared" si="207"/>
        <v>46.894960720894673</v>
      </c>
      <c r="W200" s="141">
        <f t="shared" si="207"/>
        <v>52.473341923066826</v>
      </c>
      <c r="X200" s="141">
        <f t="shared" si="207"/>
        <v>51.318144946515282</v>
      </c>
      <c r="Y200" s="141">
        <f t="shared" si="207"/>
        <v>51.500841464061978</v>
      </c>
      <c r="DA200" s="174" t="s">
        <v>425</v>
      </c>
    </row>
    <row r="201" spans="1:105" ht="11.45" customHeight="1" x14ac:dyDescent="0.25">
      <c r="A201" s="128" t="str">
        <f>$A$19</f>
        <v>Light commercial vehicles</v>
      </c>
      <c r="B201" s="97">
        <f t="shared" ref="B201:Y201" si="208">IF(B49=0,0,B49/B19*1000)</f>
        <v>499.79044813007721</v>
      </c>
      <c r="C201" s="97">
        <f t="shared" si="208"/>
        <v>484.82127210155176</v>
      </c>
      <c r="D201" s="97">
        <f t="shared" si="208"/>
        <v>473.73129626511974</v>
      </c>
      <c r="E201" s="97">
        <f t="shared" si="208"/>
        <v>467.3425777291647</v>
      </c>
      <c r="F201" s="97">
        <f t="shared" si="208"/>
        <v>459.3823308751401</v>
      </c>
      <c r="G201" s="97">
        <f t="shared" si="208"/>
        <v>449.32272590888385</v>
      </c>
      <c r="H201" s="97">
        <f t="shared" si="208"/>
        <v>444.50722373424037</v>
      </c>
      <c r="I201" s="97">
        <f t="shared" si="208"/>
        <v>437.20244578918334</v>
      </c>
      <c r="J201" s="97">
        <f t="shared" si="208"/>
        <v>430.07873428702845</v>
      </c>
      <c r="K201" s="97">
        <f t="shared" si="208"/>
        <v>427.11249337619358</v>
      </c>
      <c r="L201" s="97">
        <f t="shared" si="208"/>
        <v>422.32008606816299</v>
      </c>
      <c r="M201" s="97">
        <f t="shared" si="208"/>
        <v>419.87696652559538</v>
      </c>
      <c r="N201" s="97">
        <f t="shared" si="208"/>
        <v>416.40975429160335</v>
      </c>
      <c r="O201" s="97">
        <f t="shared" si="208"/>
        <v>411.92184150422804</v>
      </c>
      <c r="P201" s="97">
        <f t="shared" si="208"/>
        <v>408.9689882516775</v>
      </c>
      <c r="Q201" s="97">
        <f t="shared" si="208"/>
        <v>404.6266146184123</v>
      </c>
      <c r="R201" s="97">
        <f t="shared" si="208"/>
        <v>402.92114514004817</v>
      </c>
      <c r="S201" s="97">
        <f t="shared" si="208"/>
        <v>400.91498457634623</v>
      </c>
      <c r="T201" s="97">
        <f t="shared" si="208"/>
        <v>400.00529157147565</v>
      </c>
      <c r="U201" s="97">
        <f t="shared" si="208"/>
        <v>396.33399712079182</v>
      </c>
      <c r="V201" s="97">
        <f t="shared" si="208"/>
        <v>393.97351778515144</v>
      </c>
      <c r="W201" s="97">
        <f t="shared" si="208"/>
        <v>393.1973667317119</v>
      </c>
      <c r="X201" s="97">
        <f t="shared" si="208"/>
        <v>389.10305988221648</v>
      </c>
      <c r="Y201" s="97">
        <f t="shared" si="208"/>
        <v>388.10152108239055</v>
      </c>
      <c r="DA201" s="175" t="s">
        <v>426</v>
      </c>
    </row>
    <row r="202" spans="1:105" ht="11.45" customHeight="1" x14ac:dyDescent="0.25">
      <c r="A202" s="128" t="str">
        <f>$A$20</f>
        <v>Heavy goods vehicles</v>
      </c>
      <c r="B202" s="97">
        <f t="shared" ref="B202:Y202" si="209">IF(B50=0,0,B50/B20*1000)</f>
        <v>10.875908894987944</v>
      </c>
      <c r="C202" s="97">
        <f t="shared" si="209"/>
        <v>13.669602749582706</v>
      </c>
      <c r="D202" s="97">
        <f t="shared" si="209"/>
        <v>9.9053335463279009</v>
      </c>
      <c r="E202" s="97">
        <f t="shared" si="209"/>
        <v>16.092694092130593</v>
      </c>
      <c r="F202" s="97">
        <f t="shared" si="209"/>
        <v>21.442295540772452</v>
      </c>
      <c r="G202" s="97">
        <f t="shared" si="209"/>
        <v>29.209844517608381</v>
      </c>
      <c r="H202" s="97">
        <f t="shared" si="209"/>
        <v>32.495129585747421</v>
      </c>
      <c r="I202" s="97">
        <f t="shared" si="209"/>
        <v>36.88418529422664</v>
      </c>
      <c r="J202" s="97">
        <f t="shared" si="209"/>
        <v>37.561822128512148</v>
      </c>
      <c r="K202" s="97">
        <f t="shared" si="209"/>
        <v>34.917343387236848</v>
      </c>
      <c r="L202" s="97">
        <f t="shared" si="209"/>
        <v>36.061263086800516</v>
      </c>
      <c r="M202" s="97">
        <f t="shared" si="209"/>
        <v>33.349061364633485</v>
      </c>
      <c r="N202" s="97">
        <f t="shared" si="209"/>
        <v>27.676375013484236</v>
      </c>
      <c r="O202" s="97">
        <f t="shared" si="209"/>
        <v>20.594279382341075</v>
      </c>
      <c r="P202" s="97">
        <f t="shared" si="209"/>
        <v>21.540275011826999</v>
      </c>
      <c r="Q202" s="97">
        <f t="shared" si="209"/>
        <v>21.375220539344511</v>
      </c>
      <c r="R202" s="97">
        <f t="shared" si="209"/>
        <v>27.540537634165627</v>
      </c>
      <c r="S202" s="97">
        <f t="shared" si="209"/>
        <v>33.573361536602022</v>
      </c>
      <c r="T202" s="97">
        <f t="shared" si="209"/>
        <v>37.186118006057121</v>
      </c>
      <c r="U202" s="97">
        <f t="shared" si="209"/>
        <v>34.677399768935572</v>
      </c>
      <c r="V202" s="97">
        <f t="shared" si="209"/>
        <v>31.747380555038887</v>
      </c>
      <c r="W202" s="97">
        <f t="shared" si="209"/>
        <v>38.257376509450047</v>
      </c>
      <c r="X202" s="97">
        <f t="shared" si="209"/>
        <v>37.495398642932457</v>
      </c>
      <c r="Y202" s="97">
        <f t="shared" si="209"/>
        <v>37.214642886639851</v>
      </c>
      <c r="DA202" s="175" t="s">
        <v>427</v>
      </c>
    </row>
    <row r="203" spans="1:105" ht="11.45" customHeight="1" x14ac:dyDescent="0.25">
      <c r="A203" s="109" t="str">
        <f>$A$21</f>
        <v>Rail transport</v>
      </c>
      <c r="B203" s="130">
        <f t="shared" ref="B203:Y203" si="210">IF(B51=0,0,B51/B21*1000)</f>
        <v>4.523468990476248</v>
      </c>
      <c r="C203" s="130">
        <f t="shared" si="210"/>
        <v>4.591657508258816</v>
      </c>
      <c r="D203" s="130">
        <f t="shared" si="210"/>
        <v>4.4267224358120387</v>
      </c>
      <c r="E203" s="130">
        <f t="shared" si="210"/>
        <v>4.5390179575000635</v>
      </c>
      <c r="F203" s="130">
        <f t="shared" si="210"/>
        <v>4.1628662799786218</v>
      </c>
      <c r="G203" s="130">
        <f t="shared" si="210"/>
        <v>3.9229393994531097</v>
      </c>
      <c r="H203" s="130">
        <f t="shared" si="210"/>
        <v>3.833929716764346</v>
      </c>
      <c r="I203" s="130">
        <f t="shared" si="210"/>
        <v>3.5608694812275967</v>
      </c>
      <c r="J203" s="130">
        <f t="shared" si="210"/>
        <v>3.515273248790955</v>
      </c>
      <c r="K203" s="130">
        <f t="shared" si="210"/>
        <v>3.4682197413313611</v>
      </c>
      <c r="L203" s="130">
        <f t="shared" si="210"/>
        <v>3.4848054828089405</v>
      </c>
      <c r="M203" s="130">
        <f t="shared" si="210"/>
        <v>3.3609103863698602</v>
      </c>
      <c r="N203" s="130">
        <f t="shared" si="210"/>
        <v>3.2418750056107832</v>
      </c>
      <c r="O203" s="130">
        <f t="shared" si="210"/>
        <v>3.0164533168682537</v>
      </c>
      <c r="P203" s="130">
        <f t="shared" si="210"/>
        <v>2.8216069636619499</v>
      </c>
      <c r="Q203" s="130">
        <f t="shared" si="210"/>
        <v>2.7137769431967156</v>
      </c>
      <c r="R203" s="130">
        <f t="shared" si="210"/>
        <v>2.608520229862163</v>
      </c>
      <c r="S203" s="130">
        <f t="shared" si="210"/>
        <v>2.5459085914015112</v>
      </c>
      <c r="T203" s="130">
        <f t="shared" si="210"/>
        <v>2.5628011909722099</v>
      </c>
      <c r="U203" s="130">
        <f t="shared" si="210"/>
        <v>2.5465074139328228</v>
      </c>
      <c r="V203" s="130">
        <f t="shared" si="210"/>
        <v>2.561347091860152</v>
      </c>
      <c r="W203" s="130">
        <f t="shared" si="210"/>
        <v>2.642664114230147</v>
      </c>
      <c r="X203" s="130">
        <f t="shared" si="210"/>
        <v>2.2465804783445833</v>
      </c>
      <c r="Y203" s="130">
        <f t="shared" si="210"/>
        <v>2.0728057591340106</v>
      </c>
      <c r="DA203" s="176" t="s">
        <v>428</v>
      </c>
    </row>
    <row r="204" spans="1:105" ht="11.45" customHeight="1" x14ac:dyDescent="0.25">
      <c r="A204" s="109" t="str">
        <f>$A$22</f>
        <v>Aviation</v>
      </c>
      <c r="B204" s="130">
        <f t="shared" ref="B204:Y204" si="211">IF(B52=0,0,B52/B22*1000)</f>
        <v>54.826492883834504</v>
      </c>
      <c r="C204" s="130">
        <f t="shared" si="211"/>
        <v>45.862449458857249</v>
      </c>
      <c r="D204" s="130">
        <f t="shared" si="211"/>
        <v>51.598746653717591</v>
      </c>
      <c r="E204" s="130">
        <f t="shared" si="211"/>
        <v>52.556837920468894</v>
      </c>
      <c r="F204" s="130">
        <f t="shared" si="211"/>
        <v>47.084326250641169</v>
      </c>
      <c r="G204" s="130">
        <f t="shared" si="211"/>
        <v>59.429088526734816</v>
      </c>
      <c r="H204" s="130">
        <f t="shared" si="211"/>
        <v>62.80097461227259</v>
      </c>
      <c r="I204" s="130">
        <f t="shared" si="211"/>
        <v>54.430404763561931</v>
      </c>
      <c r="J204" s="130">
        <f t="shared" si="211"/>
        <v>62.527505365161538</v>
      </c>
      <c r="K204" s="130">
        <f t="shared" si="211"/>
        <v>76.58124201730736</v>
      </c>
      <c r="L204" s="130">
        <f t="shared" si="211"/>
        <v>74.741128183922157</v>
      </c>
      <c r="M204" s="130">
        <f t="shared" si="211"/>
        <v>68.952391062160743</v>
      </c>
      <c r="N204" s="130">
        <f t="shared" si="211"/>
        <v>77.010486194769655</v>
      </c>
      <c r="O204" s="130">
        <f t="shared" si="211"/>
        <v>75.767082404220645</v>
      </c>
      <c r="P204" s="130">
        <f t="shared" si="211"/>
        <v>58.757527939716475</v>
      </c>
      <c r="Q204" s="130">
        <f t="shared" si="211"/>
        <v>53.091852219841336</v>
      </c>
      <c r="R204" s="130">
        <f t="shared" si="211"/>
        <v>57.41861996442799</v>
      </c>
      <c r="S204" s="130">
        <f t="shared" si="211"/>
        <v>57.655731386450334</v>
      </c>
      <c r="T204" s="130">
        <f t="shared" si="211"/>
        <v>47.049944438199297</v>
      </c>
      <c r="U204" s="130">
        <f t="shared" si="211"/>
        <v>43.332302709520803</v>
      </c>
      <c r="V204" s="130">
        <f t="shared" si="211"/>
        <v>90.327920452764644</v>
      </c>
      <c r="W204" s="130">
        <f t="shared" si="211"/>
        <v>83.750903011672222</v>
      </c>
      <c r="X204" s="130">
        <f t="shared" si="211"/>
        <v>64.217820124051258</v>
      </c>
      <c r="Y204" s="130">
        <f t="shared" si="211"/>
        <v>54.745069944862166</v>
      </c>
      <c r="DA204" s="176" t="s">
        <v>301</v>
      </c>
    </row>
    <row r="205" spans="1:105" ht="11.45" customHeight="1" x14ac:dyDescent="0.25">
      <c r="A205" s="128" t="s">
        <v>27</v>
      </c>
      <c r="B205" s="97">
        <f t="shared" ref="B205:Y205" si="212">IF(B53=0,0,B53/B23*1000)</f>
        <v>47.170144062917018</v>
      </c>
      <c r="C205" s="97">
        <f t="shared" si="212"/>
        <v>47.647778876727536</v>
      </c>
      <c r="D205" s="97">
        <f t="shared" si="212"/>
        <v>46.378830409112737</v>
      </c>
      <c r="E205" s="97">
        <f t="shared" si="212"/>
        <v>43.559349611172728</v>
      </c>
      <c r="F205" s="97">
        <f t="shared" si="212"/>
        <v>46.216721157053875</v>
      </c>
      <c r="G205" s="97">
        <f t="shared" si="212"/>
        <v>45.787804165285053</v>
      </c>
      <c r="H205" s="97">
        <f t="shared" si="212"/>
        <v>47.934951532601204</v>
      </c>
      <c r="I205" s="97">
        <f t="shared" si="212"/>
        <v>58.267094286057301</v>
      </c>
      <c r="J205" s="97">
        <f t="shared" si="212"/>
        <v>46.416573280820536</v>
      </c>
      <c r="K205" s="97">
        <f t="shared" si="212"/>
        <v>64.992932457799213</v>
      </c>
      <c r="L205" s="97">
        <f t="shared" si="212"/>
        <v>56.486154469343603</v>
      </c>
      <c r="M205" s="97">
        <f t="shared" si="212"/>
        <v>51.564507227761425</v>
      </c>
      <c r="N205" s="97">
        <f t="shared" si="212"/>
        <v>122.73816301357907</v>
      </c>
      <c r="O205" s="97">
        <f t="shared" si="212"/>
        <v>142.99033032521919</v>
      </c>
      <c r="P205" s="97">
        <f t="shared" si="212"/>
        <v>207.71230866596042</v>
      </c>
      <c r="Q205" s="97">
        <f t="shared" si="212"/>
        <v>165.16715461691106</v>
      </c>
      <c r="R205" s="97">
        <f t="shared" si="212"/>
        <v>199.43171811009341</v>
      </c>
      <c r="S205" s="97">
        <f t="shared" si="212"/>
        <v>218.21364121264077</v>
      </c>
      <c r="T205" s="97">
        <f t="shared" si="212"/>
        <v>290.83714413350452</v>
      </c>
      <c r="U205" s="97">
        <f t="shared" si="212"/>
        <v>272.79178096583684</v>
      </c>
      <c r="V205" s="97">
        <f t="shared" si="212"/>
        <v>228.09307105807687</v>
      </c>
      <c r="W205" s="97">
        <f t="shared" si="212"/>
        <v>383.3467054015419</v>
      </c>
      <c r="X205" s="97">
        <f t="shared" si="212"/>
        <v>247.00871717778784</v>
      </c>
      <c r="Y205" s="97">
        <f t="shared" si="212"/>
        <v>287.68580523100434</v>
      </c>
      <c r="DA205" s="175" t="s">
        <v>302</v>
      </c>
    </row>
    <row r="206" spans="1:105" ht="11.45" customHeight="1" x14ac:dyDescent="0.25">
      <c r="A206" s="128" t="str">
        <f>$A$24</f>
        <v>International - Intra-EEAwCHUK</v>
      </c>
      <c r="B206" s="97">
        <f t="shared" ref="B206:Y206" si="213">IF(B54=0,0,B54/B24*1000)</f>
        <v>171.21857597378317</v>
      </c>
      <c r="C206" s="97">
        <f t="shared" si="213"/>
        <v>162.09407719144821</v>
      </c>
      <c r="D206" s="97">
        <f t="shared" si="213"/>
        <v>171.95114320247276</v>
      </c>
      <c r="E206" s="97">
        <f t="shared" si="213"/>
        <v>168.4999613580257</v>
      </c>
      <c r="F206" s="97">
        <f t="shared" si="213"/>
        <v>185.98536764015233</v>
      </c>
      <c r="G206" s="97">
        <f t="shared" si="213"/>
        <v>196.80386272338285</v>
      </c>
      <c r="H206" s="97">
        <f t="shared" si="213"/>
        <v>217.57476517215989</v>
      </c>
      <c r="I206" s="97">
        <f t="shared" si="213"/>
        <v>209.79907788896057</v>
      </c>
      <c r="J206" s="97">
        <f t="shared" si="213"/>
        <v>215.19046662712083</v>
      </c>
      <c r="K206" s="97">
        <f t="shared" si="213"/>
        <v>201.4188240375243</v>
      </c>
      <c r="L206" s="97">
        <f t="shared" si="213"/>
        <v>196.28041769767773</v>
      </c>
      <c r="M206" s="97">
        <f t="shared" si="213"/>
        <v>165.10782433097242</v>
      </c>
      <c r="N206" s="97">
        <f t="shared" si="213"/>
        <v>163.99803814383566</v>
      </c>
      <c r="O206" s="97">
        <f t="shared" si="213"/>
        <v>142.80880206790346</v>
      </c>
      <c r="P206" s="97">
        <f t="shared" si="213"/>
        <v>129.95677798345361</v>
      </c>
      <c r="Q206" s="97">
        <f t="shared" si="213"/>
        <v>120.73814376009442</v>
      </c>
      <c r="R206" s="97">
        <f t="shared" si="213"/>
        <v>107.92257313267766</v>
      </c>
      <c r="S206" s="97">
        <f t="shared" si="213"/>
        <v>135.29226015301938</v>
      </c>
      <c r="T206" s="97">
        <f t="shared" si="213"/>
        <v>129.77886022683603</v>
      </c>
      <c r="U206" s="97">
        <f t="shared" si="213"/>
        <v>124.98549173301279</v>
      </c>
      <c r="V206" s="97">
        <f t="shared" si="213"/>
        <v>182.33412343110513</v>
      </c>
      <c r="W206" s="97">
        <f t="shared" si="213"/>
        <v>171.04789706588809</v>
      </c>
      <c r="X206" s="97">
        <f t="shared" si="213"/>
        <v>157.5809292692696</v>
      </c>
      <c r="Y206" s="97">
        <f t="shared" si="213"/>
        <v>154.32009032655358</v>
      </c>
      <c r="DA206" s="175" t="s">
        <v>303</v>
      </c>
    </row>
    <row r="207" spans="1:105" ht="11.45" customHeight="1" x14ac:dyDescent="0.25">
      <c r="A207" s="128" t="str">
        <f>$A$25</f>
        <v>International - Extra-EEAwCHUK</v>
      </c>
      <c r="B207" s="97">
        <f t="shared" ref="B207:Y207" si="214">IF(B55=0,0,B55/B25*1000)</f>
        <v>12.501639487512255</v>
      </c>
      <c r="C207" s="97">
        <f t="shared" si="214"/>
        <v>11.933611512405097</v>
      </c>
      <c r="D207" s="97">
        <f t="shared" si="214"/>
        <v>12.616889373849681</v>
      </c>
      <c r="E207" s="97">
        <f t="shared" si="214"/>
        <v>13.876741865777943</v>
      </c>
      <c r="F207" s="97">
        <f t="shared" si="214"/>
        <v>14.298210435744782</v>
      </c>
      <c r="G207" s="97">
        <f t="shared" si="214"/>
        <v>14.522190270791494</v>
      </c>
      <c r="H207" s="97">
        <f t="shared" si="214"/>
        <v>17.878104246508073</v>
      </c>
      <c r="I207" s="97">
        <f t="shared" si="214"/>
        <v>19.986453273708381</v>
      </c>
      <c r="J207" s="97">
        <f t="shared" si="214"/>
        <v>30.880786751450628</v>
      </c>
      <c r="K207" s="97">
        <f t="shared" si="214"/>
        <v>40.20805853826721</v>
      </c>
      <c r="L207" s="97">
        <f t="shared" si="214"/>
        <v>53.78863022899499</v>
      </c>
      <c r="M207" s="97">
        <f t="shared" si="214"/>
        <v>48.896217273790477</v>
      </c>
      <c r="N207" s="97">
        <f t="shared" si="214"/>
        <v>51.766818403853613</v>
      </c>
      <c r="O207" s="97">
        <f t="shared" si="214"/>
        <v>55.581080355680143</v>
      </c>
      <c r="P207" s="97">
        <f t="shared" si="214"/>
        <v>42.238345692444526</v>
      </c>
      <c r="Q207" s="97">
        <f t="shared" si="214"/>
        <v>38.057274908516462</v>
      </c>
      <c r="R207" s="97">
        <f t="shared" si="214"/>
        <v>47.841537336268715</v>
      </c>
      <c r="S207" s="97">
        <f t="shared" si="214"/>
        <v>44.119063482677909</v>
      </c>
      <c r="T207" s="97">
        <f t="shared" si="214"/>
        <v>32.660161595810486</v>
      </c>
      <c r="U207" s="97">
        <f t="shared" si="214"/>
        <v>33.365015938219031</v>
      </c>
      <c r="V207" s="97">
        <f t="shared" si="214"/>
        <v>42.007202833041873</v>
      </c>
      <c r="W207" s="97">
        <f t="shared" si="214"/>
        <v>48.757427274640065</v>
      </c>
      <c r="X207" s="97">
        <f t="shared" si="214"/>
        <v>45.450932156340151</v>
      </c>
      <c r="Y207" s="97">
        <f t="shared" si="214"/>
        <v>41.910555629613739</v>
      </c>
      <c r="DA207" s="175" t="s">
        <v>304</v>
      </c>
    </row>
    <row r="208" spans="1:105" ht="11.45" customHeight="1" x14ac:dyDescent="0.25">
      <c r="A208" s="109" t="s">
        <v>141</v>
      </c>
      <c r="B208" s="130">
        <f t="shared" ref="B208:Y208" si="215">IF(B56=0,0,B56/B26*1000)</f>
        <v>5.1897506162655969</v>
      </c>
      <c r="C208" s="130">
        <f t="shared" si="215"/>
        <v>4.8218770546104777</v>
      </c>
      <c r="D208" s="130">
        <f t="shared" si="215"/>
        <v>4.5022976923908233</v>
      </c>
      <c r="E208" s="130">
        <f t="shared" si="215"/>
        <v>8.1013323341609382</v>
      </c>
      <c r="F208" s="130">
        <f t="shared" si="215"/>
        <v>16.003482067582176</v>
      </c>
      <c r="G208" s="130">
        <f t="shared" si="215"/>
        <v>13.732304143408795</v>
      </c>
      <c r="H208" s="130">
        <f t="shared" si="215"/>
        <v>18.517441784527932</v>
      </c>
      <c r="I208" s="130">
        <f t="shared" si="215"/>
        <v>16.603620246441515</v>
      </c>
      <c r="J208" s="130">
        <f t="shared" si="215"/>
        <v>16.236092809303855</v>
      </c>
      <c r="K208" s="130">
        <f t="shared" si="215"/>
        <v>13.499101688523892</v>
      </c>
      <c r="L208" s="130">
        <f t="shared" si="215"/>
        <v>19.677803091816255</v>
      </c>
      <c r="M208" s="130">
        <f t="shared" si="215"/>
        <v>14.615367933614614</v>
      </c>
      <c r="N208" s="130">
        <f t="shared" si="215"/>
        <v>17.511878623263399</v>
      </c>
      <c r="O208" s="130">
        <f t="shared" si="215"/>
        <v>23.613154040455864</v>
      </c>
      <c r="P208" s="130">
        <f t="shared" si="215"/>
        <v>22.972201096444326</v>
      </c>
      <c r="Q208" s="130">
        <f t="shared" si="215"/>
        <v>16.707071053643684</v>
      </c>
      <c r="R208" s="130">
        <f t="shared" si="215"/>
        <v>11.8273772676789</v>
      </c>
      <c r="S208" s="130">
        <f t="shared" si="215"/>
        <v>25.883822575769624</v>
      </c>
      <c r="T208" s="130">
        <f t="shared" si="215"/>
        <v>11.440653044476667</v>
      </c>
      <c r="U208" s="130">
        <f t="shared" si="215"/>
        <v>12.332832651247228</v>
      </c>
      <c r="V208" s="130">
        <f t="shared" si="215"/>
        <v>5.8446462321351946</v>
      </c>
      <c r="W208" s="130">
        <f t="shared" si="215"/>
        <v>5.7901841054154231</v>
      </c>
      <c r="X208" s="130">
        <f t="shared" si="215"/>
        <v>5.5756421345016287</v>
      </c>
      <c r="Y208" s="130">
        <f t="shared" si="215"/>
        <v>7.3926323123613233</v>
      </c>
      <c r="DA208" s="176" t="s">
        <v>429</v>
      </c>
    </row>
    <row r="209" spans="1:105" ht="11.45" customHeight="1" x14ac:dyDescent="0.25">
      <c r="A209" s="128" t="str">
        <f>$A$27</f>
        <v>Domestic coastal shipping</v>
      </c>
      <c r="B209" s="97">
        <f t="shared" ref="B209:Y209" si="216">IF(B57=0,0,B57/B27*1000)</f>
        <v>16.955407807871762</v>
      </c>
      <c r="C209" s="97">
        <f t="shared" si="216"/>
        <v>17.34115038261568</v>
      </c>
      <c r="D209" s="97">
        <f t="shared" si="216"/>
        <v>17.747214050352117</v>
      </c>
      <c r="E209" s="97">
        <f t="shared" si="216"/>
        <v>18.429886996555901</v>
      </c>
      <c r="F209" s="97">
        <f t="shared" si="216"/>
        <v>21.652516079459744</v>
      </c>
      <c r="G209" s="97">
        <f t="shared" si="216"/>
        <v>21.779531218569932</v>
      </c>
      <c r="H209" s="97">
        <f t="shared" si="216"/>
        <v>25.560652841215095</v>
      </c>
      <c r="I209" s="97">
        <f t="shared" si="216"/>
        <v>24.725715845528743</v>
      </c>
      <c r="J209" s="97">
        <f t="shared" si="216"/>
        <v>24.092530017875028</v>
      </c>
      <c r="K209" s="97">
        <f t="shared" si="216"/>
        <v>25.240700689342916</v>
      </c>
      <c r="L209" s="97">
        <f t="shared" si="216"/>
        <v>30.399102613588674</v>
      </c>
      <c r="M209" s="97">
        <f t="shared" si="216"/>
        <v>21.430974532420855</v>
      </c>
      <c r="N209" s="97">
        <f t="shared" si="216"/>
        <v>22.454861049960641</v>
      </c>
      <c r="O209" s="97">
        <f t="shared" si="216"/>
        <v>25.783573194915057</v>
      </c>
      <c r="P209" s="97">
        <f t="shared" si="216"/>
        <v>28.39557075511442</v>
      </c>
      <c r="Q209" s="97">
        <f t="shared" si="216"/>
        <v>22.333656303902735</v>
      </c>
      <c r="R209" s="97">
        <f t="shared" si="216"/>
        <v>15.758825700460701</v>
      </c>
      <c r="S209" s="97">
        <f t="shared" si="216"/>
        <v>32.262662119497051</v>
      </c>
      <c r="T209" s="97">
        <f t="shared" si="216"/>
        <v>17.074553146144765</v>
      </c>
      <c r="U209" s="97">
        <f t="shared" si="216"/>
        <v>16.240449155851866</v>
      </c>
      <c r="V209" s="97">
        <f t="shared" si="216"/>
        <v>7.0581550778966511</v>
      </c>
      <c r="W209" s="97">
        <f t="shared" si="216"/>
        <v>6.4553773606553682</v>
      </c>
      <c r="X209" s="97">
        <f t="shared" si="216"/>
        <v>6.0436770920011185</v>
      </c>
      <c r="Y209" s="97">
        <f t="shared" si="216"/>
        <v>7.9173898939276786</v>
      </c>
      <c r="DA209" s="175" t="s">
        <v>430</v>
      </c>
    </row>
    <row r="210" spans="1:105" ht="11.45" customHeight="1" x14ac:dyDescent="0.25">
      <c r="A210" s="138" t="str">
        <f>$A$28</f>
        <v>Inland waterways</v>
      </c>
      <c r="B210" s="98">
        <f t="shared" ref="B210:Y210" si="217">IF(B58=0,0,B58/B28*1000)</f>
        <v>5.045423215302236</v>
      </c>
      <c r="C210" s="98">
        <f t="shared" si="217"/>
        <v>4.6834321158613825</v>
      </c>
      <c r="D210" s="98">
        <f t="shared" si="217"/>
        <v>4.3309607015648339</v>
      </c>
      <c r="E210" s="98">
        <f t="shared" si="217"/>
        <v>7.918734858615661</v>
      </c>
      <c r="F210" s="98">
        <f t="shared" si="217"/>
        <v>15.773596918617745</v>
      </c>
      <c r="G210" s="98">
        <f t="shared" si="217"/>
        <v>12.576948740581074</v>
      </c>
      <c r="H210" s="98">
        <f t="shared" si="217"/>
        <v>17.450456236871112</v>
      </c>
      <c r="I210" s="98">
        <f t="shared" si="217"/>
        <v>15.657117553522612</v>
      </c>
      <c r="J210" s="98">
        <f t="shared" si="217"/>
        <v>15.121981942914378</v>
      </c>
      <c r="K210" s="98">
        <f t="shared" si="217"/>
        <v>11.88108609551994</v>
      </c>
      <c r="L210" s="98">
        <f t="shared" si="217"/>
        <v>17.395898195909172</v>
      </c>
      <c r="M210" s="98">
        <f t="shared" si="217"/>
        <v>12.444449066533981</v>
      </c>
      <c r="N210" s="98">
        <f t="shared" si="217"/>
        <v>15.769760313029725</v>
      </c>
      <c r="O210" s="98">
        <f t="shared" si="217"/>
        <v>22.649774144995256</v>
      </c>
      <c r="P210" s="98">
        <f t="shared" si="217"/>
        <v>21.736757488199274</v>
      </c>
      <c r="Q210" s="98">
        <f t="shared" si="217"/>
        <v>14.472613386134555</v>
      </c>
      <c r="R210" s="98">
        <f t="shared" si="217"/>
        <v>9.4367654021451379</v>
      </c>
      <c r="S210" s="98">
        <f t="shared" si="217"/>
        <v>22.213382834138919</v>
      </c>
      <c r="T210" s="98">
        <f t="shared" si="217"/>
        <v>9.0917674140892029</v>
      </c>
      <c r="U210" s="98">
        <f t="shared" si="217"/>
        <v>9.3956524937516441</v>
      </c>
      <c r="V210" s="98">
        <f t="shared" si="217"/>
        <v>4.269417191205986</v>
      </c>
      <c r="W210" s="98">
        <f t="shared" si="217"/>
        <v>4.0716326937157916</v>
      </c>
      <c r="X210" s="98">
        <f t="shared" si="217"/>
        <v>3.6923045681454978</v>
      </c>
      <c r="Y210" s="98">
        <f t="shared" si="217"/>
        <v>5.1748077266826913</v>
      </c>
      <c r="DA210" s="178" t="s">
        <v>431</v>
      </c>
    </row>
    <row r="211" spans="1:105" ht="11.45" customHeight="1" x14ac:dyDescent="0.25">
      <c r="A211" s="27" t="s">
        <v>172</v>
      </c>
      <c r="B211" s="32">
        <f t="shared" ref="B211:Y211" si="218">IF(B59=0,0,B59/B29*1000)</f>
        <v>5.18068729017949</v>
      </c>
      <c r="C211" s="32">
        <f t="shared" si="218"/>
        <v>5.2346765569161997</v>
      </c>
      <c r="D211" s="32">
        <f t="shared" si="218"/>
        <v>5.2220436724553672</v>
      </c>
      <c r="E211" s="32">
        <f t="shared" si="218"/>
        <v>5.216619545276048</v>
      </c>
      <c r="F211" s="32">
        <f t="shared" si="218"/>
        <v>5.2192828901518427</v>
      </c>
      <c r="G211" s="32">
        <f t="shared" si="218"/>
        <v>2.669384545953903</v>
      </c>
      <c r="H211" s="32">
        <f t="shared" si="218"/>
        <v>2.5403664977712048</v>
      </c>
      <c r="I211" s="32">
        <f t="shared" si="218"/>
        <v>2.8058594385459577</v>
      </c>
      <c r="J211" s="32">
        <f t="shared" si="218"/>
        <v>3.3170548073930552</v>
      </c>
      <c r="K211" s="32">
        <f t="shared" si="218"/>
        <v>2.9744551922829516</v>
      </c>
      <c r="L211" s="32">
        <f t="shared" si="218"/>
        <v>1.9543985511593833</v>
      </c>
      <c r="M211" s="32">
        <f t="shared" si="218"/>
        <v>1.6723116418119184</v>
      </c>
      <c r="N211" s="32">
        <f t="shared" si="218"/>
        <v>1.1643918331585403</v>
      </c>
      <c r="O211" s="32">
        <f t="shared" si="218"/>
        <v>0.99234822343503615</v>
      </c>
      <c r="P211" s="32">
        <f t="shared" si="218"/>
        <v>0.87402379083663639</v>
      </c>
      <c r="Q211" s="32">
        <f t="shared" si="218"/>
        <v>1.120738279975811</v>
      </c>
      <c r="R211" s="32">
        <f t="shared" si="218"/>
        <v>0.90804616206536271</v>
      </c>
      <c r="S211" s="32">
        <f t="shared" si="218"/>
        <v>1.1019254129983234</v>
      </c>
      <c r="T211" s="32">
        <f t="shared" si="218"/>
        <v>0.97883817201210188</v>
      </c>
      <c r="U211" s="32">
        <f t="shared" si="218"/>
        <v>0.97115453788717543</v>
      </c>
      <c r="V211" s="32">
        <f t="shared" si="218"/>
        <v>1.1301189190574712</v>
      </c>
      <c r="W211" s="32">
        <f t="shared" si="218"/>
        <v>1.20850607330596</v>
      </c>
      <c r="X211" s="32">
        <f t="shared" si="218"/>
        <v>0.72332557135476072</v>
      </c>
      <c r="Y211" s="32">
        <f t="shared" si="218"/>
        <v>0.71458519759795491</v>
      </c>
      <c r="DA211" s="173" t="s">
        <v>432</v>
      </c>
    </row>
    <row r="212" spans="1:105" ht="11.45" customHeight="1" x14ac:dyDescent="0.25">
      <c r="A212" s="128" t="str">
        <f>$A$30</f>
        <v>Intra-EEA</v>
      </c>
      <c r="B212" s="97">
        <f t="shared" ref="B212:Y212" si="219">IF(B60=0,0,B60/B30*1000)</f>
        <v>9.5745602615714045</v>
      </c>
      <c r="C212" s="97">
        <f t="shared" si="219"/>
        <v>9.8142613674345398</v>
      </c>
      <c r="D212" s="97">
        <f t="shared" si="219"/>
        <v>9.7538036403939508</v>
      </c>
      <c r="E212" s="97">
        <f t="shared" si="219"/>
        <v>9.7251630538785747</v>
      </c>
      <c r="F212" s="97">
        <f t="shared" si="219"/>
        <v>9.739834559352273</v>
      </c>
      <c r="G212" s="97">
        <f t="shared" si="219"/>
        <v>5.5105054986827433</v>
      </c>
      <c r="H212" s="97">
        <f t="shared" si="219"/>
        <v>5.8295041425914471</v>
      </c>
      <c r="I212" s="97">
        <f t="shared" si="219"/>
        <v>5.3341072380573484</v>
      </c>
      <c r="J212" s="97">
        <f t="shared" si="219"/>
        <v>6.9527572107546529</v>
      </c>
      <c r="K212" s="97">
        <f t="shared" si="219"/>
        <v>6.1158122158846435</v>
      </c>
      <c r="L212" s="97">
        <f t="shared" si="219"/>
        <v>3.9714565917536149</v>
      </c>
      <c r="M212" s="97">
        <f t="shared" si="219"/>
        <v>3.4579408440911172</v>
      </c>
      <c r="N212" s="97">
        <f t="shared" si="219"/>
        <v>2.9993911384544756</v>
      </c>
      <c r="O212" s="97">
        <f t="shared" si="219"/>
        <v>2.5503122191092724</v>
      </c>
      <c r="P212" s="97">
        <f t="shared" si="219"/>
        <v>2.3995942233674699</v>
      </c>
      <c r="Q212" s="97">
        <f t="shared" si="219"/>
        <v>2.9721347305723618</v>
      </c>
      <c r="R212" s="97">
        <f t="shared" si="219"/>
        <v>2.6226201869992583</v>
      </c>
      <c r="S212" s="97">
        <f t="shared" si="219"/>
        <v>3.5941985068523437</v>
      </c>
      <c r="T212" s="97">
        <f t="shared" si="219"/>
        <v>3.191829711881216</v>
      </c>
      <c r="U212" s="97">
        <f t="shared" si="219"/>
        <v>3.2476550960025929</v>
      </c>
      <c r="V212" s="97">
        <f t="shared" si="219"/>
        <v>3.1659344966593199</v>
      </c>
      <c r="W212" s="97">
        <f t="shared" si="219"/>
        <v>3.5105827081934056</v>
      </c>
      <c r="X212" s="97">
        <f t="shared" si="219"/>
        <v>2.2848134865842731</v>
      </c>
      <c r="Y212" s="97">
        <f t="shared" si="219"/>
        <v>1.9605593507754102</v>
      </c>
      <c r="DA212" s="175" t="s">
        <v>433</v>
      </c>
    </row>
    <row r="213" spans="1:105" ht="11.45" customHeight="1" x14ac:dyDescent="0.25">
      <c r="A213" s="138" t="str">
        <f>$A$31</f>
        <v>Extra-EEA</v>
      </c>
      <c r="B213" s="98">
        <f t="shared" ref="B213:Y213" si="220">IF(B61=0,0,B61/B31*1000)</f>
        <v>3.5372094764815403</v>
      </c>
      <c r="C213" s="98">
        <f t="shared" si="220"/>
        <v>3.5629148089330163</v>
      </c>
      <c r="D213" s="98">
        <f t="shared" si="220"/>
        <v>3.5658898665854584</v>
      </c>
      <c r="E213" s="98">
        <f t="shared" si="220"/>
        <v>3.5635452235367193</v>
      </c>
      <c r="F213" s="98">
        <f t="shared" si="220"/>
        <v>3.5629875859278037</v>
      </c>
      <c r="G213" s="98">
        <f t="shared" si="220"/>
        <v>1.8277918667325932</v>
      </c>
      <c r="H213" s="98">
        <f t="shared" si="220"/>
        <v>1.786747099536288</v>
      </c>
      <c r="I213" s="98">
        <f t="shared" si="220"/>
        <v>1.9234515677406572</v>
      </c>
      <c r="J213" s="98">
        <f t="shared" si="220"/>
        <v>2.2878048063319172</v>
      </c>
      <c r="K213" s="98">
        <f t="shared" si="220"/>
        <v>2.0203671539455268</v>
      </c>
      <c r="L213" s="98">
        <f t="shared" si="220"/>
        <v>1.315472060276208</v>
      </c>
      <c r="M213" s="98">
        <f t="shared" si="220"/>
        <v>1.1290407973978336</v>
      </c>
      <c r="N213" s="98">
        <f t="shared" si="220"/>
        <v>0.80681669610405593</v>
      </c>
      <c r="O213" s="98">
        <f t="shared" si="220"/>
        <v>0.69204982932064596</v>
      </c>
      <c r="P213" s="98">
        <f t="shared" si="220"/>
        <v>0.62193736080780859</v>
      </c>
      <c r="Q213" s="98">
        <f t="shared" si="220"/>
        <v>0.78261167988587421</v>
      </c>
      <c r="R213" s="98">
        <f t="shared" si="220"/>
        <v>0.6563845988490824</v>
      </c>
      <c r="S213" s="98">
        <f t="shared" si="220"/>
        <v>0.83517428489341183</v>
      </c>
      <c r="T213" s="98">
        <f t="shared" si="220"/>
        <v>0.745275304993537</v>
      </c>
      <c r="U213" s="98">
        <f t="shared" si="220"/>
        <v>0.74192565019735934</v>
      </c>
      <c r="V213" s="98">
        <f t="shared" si="220"/>
        <v>0.8946824992061857</v>
      </c>
      <c r="W213" s="98">
        <f t="shared" si="220"/>
        <v>0.95238807127899394</v>
      </c>
      <c r="X213" s="98">
        <f t="shared" si="220"/>
        <v>0.55756804971045681</v>
      </c>
      <c r="Y213" s="98">
        <f t="shared" si="220"/>
        <v>0.51449308701829322</v>
      </c>
      <c r="DA213" s="178" t="s">
        <v>434</v>
      </c>
    </row>
    <row r="214" spans="1:105" x14ac:dyDescent="0.25">
      <c r="A214" s="106"/>
      <c r="B214" s="106"/>
      <c r="C214" s="106"/>
      <c r="D214" s="106"/>
      <c r="E214" s="106"/>
      <c r="F214" s="106"/>
      <c r="G214" s="106"/>
      <c r="H214" s="106"/>
      <c r="I214" s="106"/>
      <c r="J214" s="106"/>
      <c r="K214" s="106"/>
      <c r="L214" s="106"/>
      <c r="M214" s="106"/>
      <c r="N214" s="106"/>
      <c r="O214" s="106"/>
      <c r="P214" s="106"/>
      <c r="Q214" s="106"/>
      <c r="R214" s="106"/>
      <c r="S214" s="106"/>
      <c r="T214" s="106"/>
      <c r="U214" s="106"/>
      <c r="V214" s="106"/>
      <c r="W214" s="106"/>
      <c r="X214" s="106"/>
      <c r="Y214" s="106"/>
      <c r="DA214" s="171"/>
    </row>
    <row r="215" spans="1:105" ht="11.45" customHeight="1" x14ac:dyDescent="0.25">
      <c r="A215" s="53" t="s">
        <v>43</v>
      </c>
      <c r="B215" s="59"/>
      <c r="C215" s="59"/>
      <c r="D215" s="59"/>
      <c r="E215" s="59"/>
      <c r="F215" s="59"/>
      <c r="G215" s="59"/>
      <c r="H215" s="59"/>
      <c r="I215" s="59"/>
      <c r="J215" s="59"/>
      <c r="K215" s="59"/>
      <c r="L215" s="59"/>
      <c r="M215" s="59"/>
      <c r="N215" s="59"/>
      <c r="O215" s="59"/>
      <c r="P215" s="59"/>
      <c r="Q215" s="59"/>
      <c r="R215" s="59"/>
      <c r="S215" s="59"/>
      <c r="T215" s="59"/>
      <c r="U215" s="59"/>
      <c r="V215" s="59"/>
      <c r="W215" s="59"/>
      <c r="X215" s="59"/>
      <c r="Y215" s="59"/>
      <c r="DA215" s="172"/>
    </row>
    <row r="216" spans="1:105" ht="11.45" customHeight="1" x14ac:dyDescent="0.25">
      <c r="A216" s="27" t="s">
        <v>160</v>
      </c>
      <c r="B216" s="32">
        <f t="shared" ref="B216:Y216" si="221">IF(B4=0,0,B64/B4*1000)</f>
        <v>85.884483200929822</v>
      </c>
      <c r="C216" s="32">
        <f t="shared" si="221"/>
        <v>84.603865455817854</v>
      </c>
      <c r="D216" s="32">
        <f t="shared" si="221"/>
        <v>83.573962250795432</v>
      </c>
      <c r="E216" s="32">
        <f t="shared" si="221"/>
        <v>85.319878290404219</v>
      </c>
      <c r="F216" s="32">
        <f t="shared" si="221"/>
        <v>92.45402969226312</v>
      </c>
      <c r="G216" s="32">
        <f t="shared" si="221"/>
        <v>91.025448981741448</v>
      </c>
      <c r="H216" s="32">
        <f t="shared" si="221"/>
        <v>98.193733405834934</v>
      </c>
      <c r="I216" s="32">
        <f t="shared" si="221"/>
        <v>103.97499772504001</v>
      </c>
      <c r="J216" s="32">
        <f t="shared" si="221"/>
        <v>104.60126284566557</v>
      </c>
      <c r="K216" s="32">
        <f t="shared" si="221"/>
        <v>106.58446598550242</v>
      </c>
      <c r="L216" s="32">
        <f t="shared" si="221"/>
        <v>109.51314775647198</v>
      </c>
      <c r="M216" s="32">
        <f t="shared" si="221"/>
        <v>110.58687300006108</v>
      </c>
      <c r="N216" s="32">
        <f t="shared" si="221"/>
        <v>110.78186870935419</v>
      </c>
      <c r="O216" s="32">
        <f t="shared" si="221"/>
        <v>105.00157306538122</v>
      </c>
      <c r="P216" s="32">
        <f t="shared" si="221"/>
        <v>103.83154892748101</v>
      </c>
      <c r="Q216" s="32">
        <f t="shared" si="221"/>
        <v>108.97421649581418</v>
      </c>
      <c r="R216" s="32">
        <f t="shared" si="221"/>
        <v>111.6434553350701</v>
      </c>
      <c r="S216" s="32">
        <f t="shared" si="221"/>
        <v>118.73666715326917</v>
      </c>
      <c r="T216" s="32">
        <f t="shared" si="221"/>
        <v>119.93896146896743</v>
      </c>
      <c r="U216" s="32">
        <f t="shared" si="221"/>
        <v>119.52666352408575</v>
      </c>
      <c r="V216" s="32">
        <f t="shared" si="221"/>
        <v>135.25202608235108</v>
      </c>
      <c r="W216" s="32">
        <f t="shared" si="221"/>
        <v>127.1395891787315</v>
      </c>
      <c r="X216" s="32">
        <f t="shared" si="221"/>
        <v>119.55241848984467</v>
      </c>
      <c r="Y216" s="32">
        <f t="shared" si="221"/>
        <v>112.21558822076618</v>
      </c>
      <c r="DA216" s="173" t="s">
        <v>435</v>
      </c>
    </row>
    <row r="217" spans="1:105" ht="11.45" customHeight="1" x14ac:dyDescent="0.25">
      <c r="A217" s="136" t="str">
        <f>$A$5</f>
        <v>Road transport</v>
      </c>
      <c r="B217" s="141">
        <f t="shared" ref="B217:Y217" si="222">IF(B5=0,0,B65/B5*1000)</f>
        <v>96.392874241886275</v>
      </c>
      <c r="C217" s="141">
        <f t="shared" si="222"/>
        <v>94.29270816088254</v>
      </c>
      <c r="D217" s="141">
        <f t="shared" si="222"/>
        <v>92.503415530722833</v>
      </c>
      <c r="E217" s="141">
        <f t="shared" si="222"/>
        <v>93.69506037411233</v>
      </c>
      <c r="F217" s="141">
        <f t="shared" si="222"/>
        <v>101.71061233425077</v>
      </c>
      <c r="G217" s="141">
        <f t="shared" si="222"/>
        <v>99.706046786582604</v>
      </c>
      <c r="H217" s="141">
        <f t="shared" si="222"/>
        <v>108.07512382069156</v>
      </c>
      <c r="I217" s="141">
        <f t="shared" si="222"/>
        <v>116.08456062599025</v>
      </c>
      <c r="J217" s="141">
        <f t="shared" si="222"/>
        <v>116.16205122352099</v>
      </c>
      <c r="K217" s="141">
        <f t="shared" si="222"/>
        <v>117.0044186540477</v>
      </c>
      <c r="L217" s="141">
        <f t="shared" si="222"/>
        <v>120.25021770222796</v>
      </c>
      <c r="M217" s="141">
        <f t="shared" si="222"/>
        <v>122.32013967176499</v>
      </c>
      <c r="N217" s="141">
        <f t="shared" si="222"/>
        <v>121.89786821363761</v>
      </c>
      <c r="O217" s="141">
        <f t="shared" si="222"/>
        <v>115.02097266898063</v>
      </c>
      <c r="P217" s="141">
        <f t="shared" si="222"/>
        <v>113.26639287204046</v>
      </c>
      <c r="Q217" s="141">
        <f t="shared" si="222"/>
        <v>119.99707344897389</v>
      </c>
      <c r="R217" s="141">
        <f t="shared" si="222"/>
        <v>124.07028270752316</v>
      </c>
      <c r="S217" s="141">
        <f t="shared" si="222"/>
        <v>133.31019435176032</v>
      </c>
      <c r="T217" s="141">
        <f t="shared" si="222"/>
        <v>135.53073060554863</v>
      </c>
      <c r="U217" s="141">
        <f t="shared" si="222"/>
        <v>135.88284704403418</v>
      </c>
      <c r="V217" s="141">
        <f t="shared" si="222"/>
        <v>143.95127598481577</v>
      </c>
      <c r="W217" s="141">
        <f t="shared" si="222"/>
        <v>137.86914841277564</v>
      </c>
      <c r="X217" s="141">
        <f t="shared" si="222"/>
        <v>136.59273013068054</v>
      </c>
      <c r="Y217" s="141">
        <f t="shared" si="222"/>
        <v>129.89414581445763</v>
      </c>
      <c r="DA217" s="174" t="s">
        <v>436</v>
      </c>
    </row>
    <row r="218" spans="1:105" ht="11.45" customHeight="1" x14ac:dyDescent="0.25">
      <c r="A218" s="128" t="str">
        <f>$A$6</f>
        <v>Powered two-wheelers</v>
      </c>
      <c r="B218" s="97">
        <f t="shared" ref="B218:Y218" si="223">IF(B6=0,0,B66/B6*1000)</f>
        <v>119.95679853608929</v>
      </c>
      <c r="C218" s="97">
        <f t="shared" si="223"/>
        <v>115.71035043430413</v>
      </c>
      <c r="D218" s="97">
        <f t="shared" si="223"/>
        <v>118.19269123288051</v>
      </c>
      <c r="E218" s="97">
        <f t="shared" si="223"/>
        <v>111.66276320512701</v>
      </c>
      <c r="F218" s="97">
        <f t="shared" si="223"/>
        <v>111.97210363244031</v>
      </c>
      <c r="G218" s="97">
        <f t="shared" si="223"/>
        <v>107.95888768562817</v>
      </c>
      <c r="H218" s="97">
        <f t="shared" si="223"/>
        <v>106.17591881305059</v>
      </c>
      <c r="I218" s="97">
        <f t="shared" si="223"/>
        <v>104.01397129279671</v>
      </c>
      <c r="J218" s="97">
        <f t="shared" si="223"/>
        <v>105.2356263674519</v>
      </c>
      <c r="K218" s="97">
        <f t="shared" si="223"/>
        <v>97.032460384048562</v>
      </c>
      <c r="L218" s="97">
        <f t="shared" si="223"/>
        <v>95.641241927083101</v>
      </c>
      <c r="M218" s="97">
        <f t="shared" si="223"/>
        <v>94.172308801445269</v>
      </c>
      <c r="N218" s="97">
        <f t="shared" si="223"/>
        <v>94.046709889213773</v>
      </c>
      <c r="O218" s="97">
        <f t="shared" si="223"/>
        <v>92.750847835197177</v>
      </c>
      <c r="P218" s="97">
        <f t="shared" si="223"/>
        <v>92.102405672299639</v>
      </c>
      <c r="Q218" s="97">
        <f t="shared" si="223"/>
        <v>90.40976244809481</v>
      </c>
      <c r="R218" s="97">
        <f t="shared" si="223"/>
        <v>89.181217702040485</v>
      </c>
      <c r="S218" s="97">
        <f t="shared" si="223"/>
        <v>88.847312400968761</v>
      </c>
      <c r="T218" s="97">
        <f t="shared" si="223"/>
        <v>88.469869081489406</v>
      </c>
      <c r="U218" s="97">
        <f t="shared" si="223"/>
        <v>87.912489124820979</v>
      </c>
      <c r="V218" s="97">
        <f t="shared" si="223"/>
        <v>87.50541950749809</v>
      </c>
      <c r="W218" s="97">
        <f t="shared" si="223"/>
        <v>87.090757959057768</v>
      </c>
      <c r="X218" s="97">
        <f t="shared" si="223"/>
        <v>86.639146278429052</v>
      </c>
      <c r="Y218" s="97">
        <f t="shared" si="223"/>
        <v>86.275832627179412</v>
      </c>
      <c r="DA218" s="175" t="s">
        <v>437</v>
      </c>
    </row>
    <row r="219" spans="1:105" ht="11.45" customHeight="1" x14ac:dyDescent="0.25">
      <c r="A219" s="128" t="str">
        <f>$A$7</f>
        <v>Passenger cars</v>
      </c>
      <c r="B219" s="97">
        <f t="shared" ref="B219:Y219" si="224">IF(B7=0,0,B67/B7*1000)</f>
        <v>116.26982841027595</v>
      </c>
      <c r="C219" s="97">
        <f t="shared" si="224"/>
        <v>111.9412964888115</v>
      </c>
      <c r="D219" s="97">
        <f t="shared" si="224"/>
        <v>107.15659926613469</v>
      </c>
      <c r="E219" s="97">
        <f t="shared" si="224"/>
        <v>108.86377412030417</v>
      </c>
      <c r="F219" s="97">
        <f t="shared" si="224"/>
        <v>117.93608792933674</v>
      </c>
      <c r="G219" s="97">
        <f t="shared" si="224"/>
        <v>114.00257596249649</v>
      </c>
      <c r="H219" s="97">
        <f t="shared" si="224"/>
        <v>125.26305615464899</v>
      </c>
      <c r="I219" s="97">
        <f t="shared" si="224"/>
        <v>134.28935078545413</v>
      </c>
      <c r="J219" s="97">
        <f t="shared" si="224"/>
        <v>134.11224738447754</v>
      </c>
      <c r="K219" s="97">
        <f t="shared" si="224"/>
        <v>131.98787054043962</v>
      </c>
      <c r="L219" s="97">
        <f t="shared" si="224"/>
        <v>134.48912414823275</v>
      </c>
      <c r="M219" s="97">
        <f t="shared" si="224"/>
        <v>135.8632541547629</v>
      </c>
      <c r="N219" s="97">
        <f t="shared" si="224"/>
        <v>135.07552873063165</v>
      </c>
      <c r="O219" s="97">
        <f t="shared" si="224"/>
        <v>125.32706605442911</v>
      </c>
      <c r="P219" s="97">
        <f t="shared" si="224"/>
        <v>123.45981877894128</v>
      </c>
      <c r="Q219" s="97">
        <f t="shared" si="224"/>
        <v>128.32043239562122</v>
      </c>
      <c r="R219" s="97">
        <f t="shared" si="224"/>
        <v>132.14829187531771</v>
      </c>
      <c r="S219" s="97">
        <f t="shared" si="224"/>
        <v>142.61067968482683</v>
      </c>
      <c r="T219" s="97">
        <f t="shared" si="224"/>
        <v>144.92996013339601</v>
      </c>
      <c r="U219" s="97">
        <f t="shared" si="224"/>
        <v>145.70017414992037</v>
      </c>
      <c r="V219" s="97">
        <f t="shared" si="224"/>
        <v>144.86213101844592</v>
      </c>
      <c r="W219" s="97">
        <f t="shared" si="224"/>
        <v>139.38631875331143</v>
      </c>
      <c r="X219" s="97">
        <f t="shared" si="224"/>
        <v>140.91030912168929</v>
      </c>
      <c r="Y219" s="97">
        <f t="shared" si="224"/>
        <v>134.9622625822816</v>
      </c>
      <c r="DA219" s="175" t="s">
        <v>438</v>
      </c>
    </row>
    <row r="220" spans="1:105" ht="11.45" customHeight="1" x14ac:dyDescent="0.25">
      <c r="A220" s="128" t="str">
        <f>$A$8</f>
        <v>Motor coaches, buses and trolley buses</v>
      </c>
      <c r="B220" s="97">
        <f t="shared" ref="B220:Y220" si="225">IF(B8=0,0,B68/B8*1000)</f>
        <v>51.710807607514361</v>
      </c>
      <c r="C220" s="97">
        <f t="shared" si="225"/>
        <v>51.27980897533692</v>
      </c>
      <c r="D220" s="97">
        <f t="shared" si="225"/>
        <v>53.183371440517455</v>
      </c>
      <c r="E220" s="97">
        <f t="shared" si="225"/>
        <v>51.473663976360271</v>
      </c>
      <c r="F220" s="97">
        <f t="shared" si="225"/>
        <v>54.722954146157683</v>
      </c>
      <c r="G220" s="97">
        <f t="shared" si="225"/>
        <v>55.10300816959947</v>
      </c>
      <c r="H220" s="97">
        <f t="shared" si="225"/>
        <v>52.891298365515972</v>
      </c>
      <c r="I220" s="97">
        <f t="shared" si="225"/>
        <v>54.747065025828668</v>
      </c>
      <c r="J220" s="97">
        <f t="shared" si="225"/>
        <v>51.763597748162866</v>
      </c>
      <c r="K220" s="97">
        <f t="shared" si="225"/>
        <v>55.840172587417022</v>
      </c>
      <c r="L220" s="97">
        <f t="shared" si="225"/>
        <v>57.473019744135193</v>
      </c>
      <c r="M220" s="97">
        <f t="shared" si="225"/>
        <v>60.464405135748272</v>
      </c>
      <c r="N220" s="97">
        <f t="shared" si="225"/>
        <v>60.634072592744502</v>
      </c>
      <c r="O220" s="97">
        <f t="shared" si="225"/>
        <v>63.949509787850047</v>
      </c>
      <c r="P220" s="97">
        <f t="shared" si="225"/>
        <v>63.5027109264487</v>
      </c>
      <c r="Q220" s="97">
        <f t="shared" si="225"/>
        <v>77.900410832182246</v>
      </c>
      <c r="R220" s="97">
        <f t="shared" si="225"/>
        <v>80.199263854288617</v>
      </c>
      <c r="S220" s="97">
        <f t="shared" si="225"/>
        <v>79.864265573254968</v>
      </c>
      <c r="T220" s="97">
        <f t="shared" si="225"/>
        <v>77.499840704719375</v>
      </c>
      <c r="U220" s="97">
        <f t="shared" si="225"/>
        <v>77.009204729854957</v>
      </c>
      <c r="V220" s="97">
        <f t="shared" si="225"/>
        <v>141.41709614851382</v>
      </c>
      <c r="W220" s="97">
        <f t="shared" si="225"/>
        <v>128.09937683312594</v>
      </c>
      <c r="X220" s="97">
        <f t="shared" si="225"/>
        <v>102.74655983463705</v>
      </c>
      <c r="Y220" s="97">
        <f t="shared" si="225"/>
        <v>90.602777671656611</v>
      </c>
      <c r="DA220" s="175" t="s">
        <v>439</v>
      </c>
    </row>
    <row r="221" spans="1:105" ht="11.45" customHeight="1" x14ac:dyDescent="0.25">
      <c r="A221" s="109" t="str">
        <f>$A$9</f>
        <v>Rail, metro and tram</v>
      </c>
      <c r="B221" s="130">
        <f t="shared" ref="B221:Y221" si="226">IF(B9=0,0,B69/B9*1000)</f>
        <v>11.349049400827854</v>
      </c>
      <c r="C221" s="130">
        <f t="shared" si="226"/>
        <v>12.142959473564398</v>
      </c>
      <c r="D221" s="130">
        <f t="shared" si="226"/>
        <v>12.129768961022162</v>
      </c>
      <c r="E221" s="130">
        <f t="shared" si="226"/>
        <v>13.452984652870263</v>
      </c>
      <c r="F221" s="130">
        <f t="shared" si="226"/>
        <v>11.378912651587324</v>
      </c>
      <c r="G221" s="130">
        <f t="shared" si="226"/>
        <v>12.556297871631141</v>
      </c>
      <c r="H221" s="130">
        <f t="shared" si="226"/>
        <v>7.618971864666741</v>
      </c>
      <c r="I221" s="130">
        <f t="shared" si="226"/>
        <v>9.3113024437958956</v>
      </c>
      <c r="J221" s="130">
        <f t="shared" si="226"/>
        <v>7.1641914738675867</v>
      </c>
      <c r="K221" s="130">
        <f t="shared" si="226"/>
        <v>8.313054765596398</v>
      </c>
      <c r="L221" s="130">
        <f t="shared" si="226"/>
        <v>5.1101226879283912</v>
      </c>
      <c r="M221" s="130">
        <f t="shared" si="226"/>
        <v>5.0255870662273114</v>
      </c>
      <c r="N221" s="130">
        <f t="shared" si="226"/>
        <v>5.4138881663699925</v>
      </c>
      <c r="O221" s="130">
        <f t="shared" si="226"/>
        <v>5.2845096858307183</v>
      </c>
      <c r="P221" s="130">
        <f t="shared" si="226"/>
        <v>4.9177222647520624</v>
      </c>
      <c r="Q221" s="130">
        <f t="shared" si="226"/>
        <v>3.4878283843582691</v>
      </c>
      <c r="R221" s="130">
        <f t="shared" si="226"/>
        <v>3.6392687345809018</v>
      </c>
      <c r="S221" s="130">
        <f t="shared" si="226"/>
        <v>3.1079507086434113</v>
      </c>
      <c r="T221" s="130">
        <f t="shared" si="226"/>
        <v>3.9436027754868337</v>
      </c>
      <c r="U221" s="130">
        <f t="shared" si="226"/>
        <v>2.5938101426053883</v>
      </c>
      <c r="V221" s="130">
        <f t="shared" si="226"/>
        <v>4.2968669513500055</v>
      </c>
      <c r="W221" s="130">
        <f t="shared" si="226"/>
        <v>2.5441980939639279</v>
      </c>
      <c r="X221" s="130">
        <f t="shared" si="226"/>
        <v>2.6423810001547685</v>
      </c>
      <c r="Y221" s="130">
        <f t="shared" si="226"/>
        <v>1.7961734306674606</v>
      </c>
      <c r="DA221" s="176" t="s">
        <v>440</v>
      </c>
    </row>
    <row r="222" spans="1:105" ht="11.45" customHeight="1" x14ac:dyDescent="0.25">
      <c r="A222" s="128" t="str">
        <f>$A$10</f>
        <v>Metro and tram, urban light rail</v>
      </c>
      <c r="B222" s="97">
        <f t="shared" ref="B222:Y222" si="227">IF(B10=0,0,B70/B10*1000)</f>
        <v>0</v>
      </c>
      <c r="C222" s="97">
        <f t="shared" si="227"/>
        <v>0</v>
      </c>
      <c r="D222" s="97">
        <f t="shared" si="227"/>
        <v>0</v>
      </c>
      <c r="E222" s="97">
        <f t="shared" si="227"/>
        <v>0</v>
      </c>
      <c r="F222" s="97">
        <f t="shared" si="227"/>
        <v>0</v>
      </c>
      <c r="G222" s="97">
        <f t="shared" si="227"/>
        <v>0</v>
      </c>
      <c r="H222" s="97">
        <f t="shared" si="227"/>
        <v>0</v>
      </c>
      <c r="I222" s="97">
        <f t="shared" si="227"/>
        <v>0</v>
      </c>
      <c r="J222" s="97">
        <f t="shared" si="227"/>
        <v>0</v>
      </c>
      <c r="K222" s="97">
        <f t="shared" si="227"/>
        <v>0</v>
      </c>
      <c r="L222" s="97">
        <f t="shared" si="227"/>
        <v>0</v>
      </c>
      <c r="M222" s="97">
        <f t="shared" si="227"/>
        <v>0</v>
      </c>
      <c r="N222" s="97">
        <f t="shared" si="227"/>
        <v>0</v>
      </c>
      <c r="O222" s="97">
        <f t="shared" si="227"/>
        <v>0</v>
      </c>
      <c r="P222" s="97">
        <f t="shared" si="227"/>
        <v>0</v>
      </c>
      <c r="Q222" s="97">
        <f t="shared" si="227"/>
        <v>0</v>
      </c>
      <c r="R222" s="97">
        <f t="shared" si="227"/>
        <v>0</v>
      </c>
      <c r="S222" s="97">
        <f t="shared" si="227"/>
        <v>0</v>
      </c>
      <c r="T222" s="97">
        <f t="shared" si="227"/>
        <v>0</v>
      </c>
      <c r="U222" s="97">
        <f t="shared" si="227"/>
        <v>0</v>
      </c>
      <c r="V222" s="97">
        <f t="shared" si="227"/>
        <v>0</v>
      </c>
      <c r="W222" s="97">
        <f t="shared" si="227"/>
        <v>0</v>
      </c>
      <c r="X222" s="97">
        <f t="shared" si="227"/>
        <v>0</v>
      </c>
      <c r="Y222" s="97">
        <f t="shared" si="227"/>
        <v>0</v>
      </c>
      <c r="DA222" s="175" t="s">
        <v>441</v>
      </c>
    </row>
    <row r="223" spans="1:105" ht="11.45" customHeight="1" x14ac:dyDescent="0.25">
      <c r="A223" s="128" t="str">
        <f>$A$11</f>
        <v>Conventional passenger trains</v>
      </c>
      <c r="B223" s="97">
        <f t="shared" ref="B223:Y223" si="228">IF(B11=0,0,B71/B11*1000)</f>
        <v>13.563084440836608</v>
      </c>
      <c r="C223" s="97">
        <f t="shared" si="228"/>
        <v>14.655966797080106</v>
      </c>
      <c r="D223" s="97">
        <f t="shared" si="228"/>
        <v>14.830599487790796</v>
      </c>
      <c r="E223" s="97">
        <f t="shared" si="228"/>
        <v>16.535703409256669</v>
      </c>
      <c r="F223" s="97">
        <f t="shared" si="228"/>
        <v>14.118618747475123</v>
      </c>
      <c r="G223" s="97">
        <f t="shared" si="228"/>
        <v>15.599075347820877</v>
      </c>
      <c r="H223" s="97">
        <f t="shared" si="228"/>
        <v>9.4465066209068773</v>
      </c>
      <c r="I223" s="97">
        <f t="shared" si="228"/>
        <v>11.468107481383946</v>
      </c>
      <c r="J223" s="97">
        <f t="shared" si="228"/>
        <v>8.7960449415472546</v>
      </c>
      <c r="K223" s="97">
        <f t="shared" si="228"/>
        <v>10.239995613768121</v>
      </c>
      <c r="L223" s="97">
        <f t="shared" si="228"/>
        <v>6.3476614673273764</v>
      </c>
      <c r="M223" s="97">
        <f t="shared" si="228"/>
        <v>6.2431280244487493</v>
      </c>
      <c r="N223" s="97">
        <f t="shared" si="228"/>
        <v>6.7478455515951339</v>
      </c>
      <c r="O223" s="97">
        <f t="shared" si="228"/>
        <v>6.5744626531779184</v>
      </c>
      <c r="P223" s="97">
        <f t="shared" si="228"/>
        <v>6.2188379451537852</v>
      </c>
      <c r="Q223" s="97">
        <f t="shared" si="228"/>
        <v>4.4552154809025559</v>
      </c>
      <c r="R223" s="97">
        <f t="shared" si="228"/>
        <v>4.8235679358224113</v>
      </c>
      <c r="S223" s="97">
        <f t="shared" si="228"/>
        <v>4.0547781042700901</v>
      </c>
      <c r="T223" s="97">
        <f t="shared" si="228"/>
        <v>5.1376840881192516</v>
      </c>
      <c r="U223" s="97">
        <f t="shared" si="228"/>
        <v>3.3718156112996827</v>
      </c>
      <c r="V223" s="97">
        <f t="shared" si="228"/>
        <v>5.5236078106090236</v>
      </c>
      <c r="W223" s="97">
        <f t="shared" si="228"/>
        <v>3.2319781618576235</v>
      </c>
      <c r="X223" s="97">
        <f t="shared" si="228"/>
        <v>3.2661318282425009</v>
      </c>
      <c r="Y223" s="97">
        <f t="shared" si="228"/>
        <v>2.2263102549922049</v>
      </c>
      <c r="DA223" s="175" t="s">
        <v>442</v>
      </c>
    </row>
    <row r="224" spans="1:105" ht="11.45" customHeight="1" x14ac:dyDescent="0.25">
      <c r="A224" s="128" t="str">
        <f>$A$12</f>
        <v>High speed passenger trains</v>
      </c>
      <c r="B224" s="97">
        <f t="shared" ref="B224:Y224" si="229">IF(B12=0,0,B72/B12*1000)</f>
        <v>0</v>
      </c>
      <c r="C224" s="97">
        <f t="shared" si="229"/>
        <v>0</v>
      </c>
      <c r="D224" s="97">
        <f t="shared" si="229"/>
        <v>0</v>
      </c>
      <c r="E224" s="97">
        <f t="shared" si="229"/>
        <v>0</v>
      </c>
      <c r="F224" s="97">
        <f t="shared" si="229"/>
        <v>0</v>
      </c>
      <c r="G224" s="97">
        <f t="shared" si="229"/>
        <v>0</v>
      </c>
      <c r="H224" s="97">
        <f t="shared" si="229"/>
        <v>0</v>
      </c>
      <c r="I224" s="97">
        <f t="shared" si="229"/>
        <v>0</v>
      </c>
      <c r="J224" s="97">
        <f t="shared" si="229"/>
        <v>0</v>
      </c>
      <c r="K224" s="97">
        <f t="shared" si="229"/>
        <v>0</v>
      </c>
      <c r="L224" s="97">
        <f t="shared" si="229"/>
        <v>0</v>
      </c>
      <c r="M224" s="97">
        <f t="shared" si="229"/>
        <v>0</v>
      </c>
      <c r="N224" s="97">
        <f t="shared" si="229"/>
        <v>0</v>
      </c>
      <c r="O224" s="97">
        <f t="shared" si="229"/>
        <v>0</v>
      </c>
      <c r="P224" s="97">
        <f t="shared" si="229"/>
        <v>0</v>
      </c>
      <c r="Q224" s="97">
        <f t="shared" si="229"/>
        <v>0</v>
      </c>
      <c r="R224" s="97">
        <f t="shared" si="229"/>
        <v>0</v>
      </c>
      <c r="S224" s="97">
        <f t="shared" si="229"/>
        <v>0</v>
      </c>
      <c r="T224" s="97">
        <f t="shared" si="229"/>
        <v>0</v>
      </c>
      <c r="U224" s="97">
        <f t="shared" si="229"/>
        <v>0</v>
      </c>
      <c r="V224" s="97">
        <f t="shared" si="229"/>
        <v>0</v>
      </c>
      <c r="W224" s="97">
        <f t="shared" si="229"/>
        <v>0</v>
      </c>
      <c r="X224" s="97">
        <f t="shared" si="229"/>
        <v>0</v>
      </c>
      <c r="Y224" s="97">
        <f t="shared" si="229"/>
        <v>0</v>
      </c>
      <c r="DA224" s="175" t="s">
        <v>443</v>
      </c>
    </row>
    <row r="225" spans="1:105" ht="11.45" customHeight="1" x14ac:dyDescent="0.25">
      <c r="A225" s="109" t="str">
        <f>$A$13</f>
        <v>Aviation</v>
      </c>
      <c r="B225" s="130">
        <f t="shared" ref="B225:Y225" si="230">IF(B13=0,0,B73/B13*1000)</f>
        <v>101.44705872548789</v>
      </c>
      <c r="C225" s="130">
        <f t="shared" si="230"/>
        <v>99.392106193854488</v>
      </c>
      <c r="D225" s="130">
        <f t="shared" si="230"/>
        <v>97.310784401715622</v>
      </c>
      <c r="E225" s="130">
        <f t="shared" si="230"/>
        <v>96.425971195055922</v>
      </c>
      <c r="F225" s="130">
        <f t="shared" si="230"/>
        <v>95.85041438676673</v>
      </c>
      <c r="G225" s="130">
        <f t="shared" si="230"/>
        <v>91.292325299396452</v>
      </c>
      <c r="H225" s="130">
        <f t="shared" si="230"/>
        <v>100.71772946712376</v>
      </c>
      <c r="I225" s="130">
        <f t="shared" si="230"/>
        <v>87.602623140648191</v>
      </c>
      <c r="J225" s="130">
        <f t="shared" si="230"/>
        <v>95.378442587459034</v>
      </c>
      <c r="K225" s="130">
        <f t="shared" si="230"/>
        <v>97.604789387597918</v>
      </c>
      <c r="L225" s="130">
        <f t="shared" si="230"/>
        <v>97.828569212561675</v>
      </c>
      <c r="M225" s="130">
        <f t="shared" si="230"/>
        <v>90.13541455928052</v>
      </c>
      <c r="N225" s="130">
        <f t="shared" si="230"/>
        <v>97.084820686853064</v>
      </c>
      <c r="O225" s="130">
        <f t="shared" si="230"/>
        <v>90.410195930594796</v>
      </c>
      <c r="P225" s="130">
        <f t="shared" si="230"/>
        <v>91.177728959105906</v>
      </c>
      <c r="Q225" s="130">
        <f t="shared" si="230"/>
        <v>91.436989763970772</v>
      </c>
      <c r="R225" s="130">
        <f t="shared" si="230"/>
        <v>86.564332318835497</v>
      </c>
      <c r="S225" s="130">
        <f t="shared" si="230"/>
        <v>87.01637664148798</v>
      </c>
      <c r="T225" s="130">
        <f t="shared" si="230"/>
        <v>86.698928660288715</v>
      </c>
      <c r="U225" s="130">
        <f t="shared" si="230"/>
        <v>84.879140970470047</v>
      </c>
      <c r="V225" s="130">
        <f t="shared" si="230"/>
        <v>121.77471025745061</v>
      </c>
      <c r="W225" s="130">
        <f t="shared" si="230"/>
        <v>103.35302500480833</v>
      </c>
      <c r="X225" s="130">
        <f t="shared" si="230"/>
        <v>83.235889845914983</v>
      </c>
      <c r="Y225" s="130">
        <f t="shared" si="230"/>
        <v>77.257374243169323</v>
      </c>
      <c r="DA225" s="176" t="s">
        <v>344</v>
      </c>
    </row>
    <row r="226" spans="1:105" ht="11.45" customHeight="1" x14ac:dyDescent="0.25">
      <c r="A226" s="128" t="str">
        <f>$A$14</f>
        <v>Domestic</v>
      </c>
      <c r="B226" s="97">
        <f t="shared" ref="B226:Y226" si="231">IF(B14=0,0,B74/B14*1000)</f>
        <v>37.591213695873051</v>
      </c>
      <c r="C226" s="97">
        <f t="shared" si="231"/>
        <v>37.255212979146322</v>
      </c>
      <c r="D226" s="97">
        <f t="shared" si="231"/>
        <v>36.699304440895098</v>
      </c>
      <c r="E226" s="97">
        <f t="shared" si="231"/>
        <v>35.808150234732011</v>
      </c>
      <c r="F226" s="97">
        <f t="shared" si="231"/>
        <v>35.150041921989342</v>
      </c>
      <c r="G226" s="97">
        <f t="shared" si="231"/>
        <v>33.497656806320897</v>
      </c>
      <c r="H226" s="97">
        <f t="shared" si="231"/>
        <v>33.104045082674382</v>
      </c>
      <c r="I226" s="97">
        <f t="shared" si="231"/>
        <v>36.598100981281455</v>
      </c>
      <c r="J226" s="97">
        <f t="shared" si="231"/>
        <v>31.154665364552983</v>
      </c>
      <c r="K226" s="97">
        <f t="shared" si="231"/>
        <v>44.667352922399914</v>
      </c>
      <c r="L226" s="97">
        <f t="shared" si="231"/>
        <v>39.060246161172948</v>
      </c>
      <c r="M226" s="97">
        <f t="shared" si="231"/>
        <v>36.981928030791863</v>
      </c>
      <c r="N226" s="97">
        <f t="shared" si="231"/>
        <v>81.247257824785464</v>
      </c>
      <c r="O226" s="97">
        <f t="shared" si="231"/>
        <v>105.43473006301022</v>
      </c>
      <c r="P226" s="97">
        <f t="shared" si="231"/>
        <v>141.3721218529887</v>
      </c>
      <c r="Q226" s="97">
        <f t="shared" si="231"/>
        <v>99.448786783396571</v>
      </c>
      <c r="R226" s="97">
        <f t="shared" si="231"/>
        <v>121.8361483098747</v>
      </c>
      <c r="S226" s="97">
        <f t="shared" si="231"/>
        <v>108.36479333931152</v>
      </c>
      <c r="T226" s="97">
        <f t="shared" si="231"/>
        <v>151.72781400082889</v>
      </c>
      <c r="U226" s="97">
        <f t="shared" si="231"/>
        <v>152.89818903818255</v>
      </c>
      <c r="V226" s="97">
        <f t="shared" si="231"/>
        <v>239.83876003169556</v>
      </c>
      <c r="W226" s="97">
        <f t="shared" si="231"/>
        <v>344.87292866758406</v>
      </c>
      <c r="X226" s="97">
        <f t="shared" si="231"/>
        <v>163.29848134926965</v>
      </c>
      <c r="Y226" s="97">
        <f t="shared" si="231"/>
        <v>168.88402827973468</v>
      </c>
      <c r="DA226" s="175" t="s">
        <v>345</v>
      </c>
    </row>
    <row r="227" spans="1:105" ht="11.45" customHeight="1" x14ac:dyDescent="0.25">
      <c r="A227" s="128" t="str">
        <f>$A$15</f>
        <v>International - Intra-EEAwCHUK</v>
      </c>
      <c r="B227" s="97">
        <f t="shared" ref="B227:Y227" si="232">IF(B15=0,0,B75/B15*1000)</f>
        <v>139.2651960906914</v>
      </c>
      <c r="C227" s="97">
        <f t="shared" si="232"/>
        <v>136.12363990602032</v>
      </c>
      <c r="D227" s="97">
        <f t="shared" si="232"/>
        <v>134.10783714639936</v>
      </c>
      <c r="E227" s="97">
        <f t="shared" si="232"/>
        <v>133.84747344149579</v>
      </c>
      <c r="F227" s="97">
        <f t="shared" si="232"/>
        <v>133.60793933074402</v>
      </c>
      <c r="G227" s="97">
        <f t="shared" si="232"/>
        <v>122.90510743267171</v>
      </c>
      <c r="H227" s="97">
        <f t="shared" si="232"/>
        <v>134.28584950928766</v>
      </c>
      <c r="I227" s="97">
        <f t="shared" si="232"/>
        <v>113.94955929679703</v>
      </c>
      <c r="J227" s="97">
        <f t="shared" si="232"/>
        <v>133.43173803412367</v>
      </c>
      <c r="K227" s="97">
        <f t="shared" si="232"/>
        <v>126.37827028009757</v>
      </c>
      <c r="L227" s="97">
        <f t="shared" si="232"/>
        <v>125.54707329186279</v>
      </c>
      <c r="M227" s="97">
        <f t="shared" si="232"/>
        <v>104.89312176316096</v>
      </c>
      <c r="N227" s="97">
        <f t="shared" si="232"/>
        <v>113.75767909231743</v>
      </c>
      <c r="O227" s="97">
        <f t="shared" si="232"/>
        <v>99.290969056200453</v>
      </c>
      <c r="P227" s="97">
        <f t="shared" si="232"/>
        <v>101.06909460391228</v>
      </c>
      <c r="Q227" s="97">
        <f t="shared" si="232"/>
        <v>97.66342293044562</v>
      </c>
      <c r="R227" s="97">
        <f t="shared" si="232"/>
        <v>90.99142217429609</v>
      </c>
      <c r="S227" s="97">
        <f t="shared" si="232"/>
        <v>99.118013624283478</v>
      </c>
      <c r="T227" s="97">
        <f t="shared" si="232"/>
        <v>105.70720972492903</v>
      </c>
      <c r="U227" s="97">
        <f t="shared" si="232"/>
        <v>112.28515644563097</v>
      </c>
      <c r="V227" s="97">
        <f t="shared" si="232"/>
        <v>131.31165379772492</v>
      </c>
      <c r="W227" s="97">
        <f t="shared" si="232"/>
        <v>125.47420642419918</v>
      </c>
      <c r="X227" s="97">
        <f t="shared" si="232"/>
        <v>110.24406472583532</v>
      </c>
      <c r="Y227" s="97">
        <f t="shared" si="232"/>
        <v>107.01931282622444</v>
      </c>
      <c r="DA227" s="175" t="s">
        <v>346</v>
      </c>
    </row>
    <row r="228" spans="1:105" ht="11.45" customHeight="1" x14ac:dyDescent="0.25">
      <c r="A228" s="128" t="str">
        <f>$A$16</f>
        <v>International - Extra-EEAwCHUK</v>
      </c>
      <c r="B228" s="97">
        <f t="shared" ref="B228:Y228" si="233">IF(B16=0,0,B76/B16*1000)</f>
        <v>68.669535784057189</v>
      </c>
      <c r="C228" s="97">
        <f t="shared" si="233"/>
        <v>67.428625181273276</v>
      </c>
      <c r="D228" s="97">
        <f t="shared" si="233"/>
        <v>66.479736567935518</v>
      </c>
      <c r="E228" s="97">
        <f t="shared" si="233"/>
        <v>65.248994014587808</v>
      </c>
      <c r="F228" s="97">
        <f t="shared" si="233"/>
        <v>63.934158800542733</v>
      </c>
      <c r="G228" s="97">
        <f t="shared" si="233"/>
        <v>60.511930168446021</v>
      </c>
      <c r="H228" s="97">
        <f t="shared" si="233"/>
        <v>62.893310085044355</v>
      </c>
      <c r="I228" s="97">
        <f t="shared" si="233"/>
        <v>53.715123599322851</v>
      </c>
      <c r="J228" s="97">
        <f t="shared" si="233"/>
        <v>51.684017900942052</v>
      </c>
      <c r="K228" s="97">
        <f t="shared" si="233"/>
        <v>61.239238422630734</v>
      </c>
      <c r="L228" s="97">
        <f t="shared" si="233"/>
        <v>62.477421212049393</v>
      </c>
      <c r="M228" s="97">
        <f t="shared" si="233"/>
        <v>67.691768783444004</v>
      </c>
      <c r="N228" s="97">
        <f t="shared" si="233"/>
        <v>69.963578214964372</v>
      </c>
      <c r="O228" s="97">
        <f t="shared" si="233"/>
        <v>70.068579512457404</v>
      </c>
      <c r="P228" s="97">
        <f t="shared" si="233"/>
        <v>67.220498763136064</v>
      </c>
      <c r="Q228" s="97">
        <f t="shared" si="233"/>
        <v>75.309707792119951</v>
      </c>
      <c r="R228" s="97">
        <f t="shared" si="233"/>
        <v>70.952826755536321</v>
      </c>
      <c r="S228" s="97">
        <f t="shared" si="233"/>
        <v>58.459069918641433</v>
      </c>
      <c r="T228" s="97">
        <f t="shared" si="233"/>
        <v>49.322684119732031</v>
      </c>
      <c r="U228" s="97">
        <f t="shared" si="233"/>
        <v>42.130288837165878</v>
      </c>
      <c r="V228" s="97">
        <f t="shared" si="233"/>
        <v>98.11804874396266</v>
      </c>
      <c r="W228" s="97">
        <f t="shared" si="233"/>
        <v>64.802572833122028</v>
      </c>
      <c r="X228" s="97">
        <f t="shared" si="233"/>
        <v>41.850765015647646</v>
      </c>
      <c r="Y228" s="97">
        <f t="shared" si="233"/>
        <v>35.919118263018987</v>
      </c>
      <c r="DA228" s="175" t="s">
        <v>347</v>
      </c>
    </row>
    <row r="229" spans="1:105" ht="11.45" customHeight="1" x14ac:dyDescent="0.25">
      <c r="A229" s="27" t="s">
        <v>159</v>
      </c>
      <c r="B229" s="32">
        <f t="shared" ref="B229:Y229" si="234">IF(B17=0,0,B77/B17*1000)</f>
        <v>65.53127489552007</v>
      </c>
      <c r="C229" s="32">
        <f t="shared" si="234"/>
        <v>70.708607169172026</v>
      </c>
      <c r="D229" s="32">
        <f t="shared" si="234"/>
        <v>65.245549102449502</v>
      </c>
      <c r="E229" s="32">
        <f t="shared" si="234"/>
        <v>76.381458196051327</v>
      </c>
      <c r="F229" s="32">
        <f t="shared" si="234"/>
        <v>81.253628156128244</v>
      </c>
      <c r="G229" s="32">
        <f t="shared" si="234"/>
        <v>97.187477271384836</v>
      </c>
      <c r="H229" s="32">
        <f t="shared" si="234"/>
        <v>102.66795980812704</v>
      </c>
      <c r="I229" s="32">
        <f t="shared" si="234"/>
        <v>111.42503037008164</v>
      </c>
      <c r="J229" s="32">
        <f t="shared" si="234"/>
        <v>112.84096359091498</v>
      </c>
      <c r="K229" s="32">
        <f t="shared" si="234"/>
        <v>113.59405838151707</v>
      </c>
      <c r="L229" s="32">
        <f t="shared" si="234"/>
        <v>112.34408911748783</v>
      </c>
      <c r="M229" s="32">
        <f t="shared" si="234"/>
        <v>104.9395636873281</v>
      </c>
      <c r="N229" s="32">
        <f t="shared" si="234"/>
        <v>96.253085440778236</v>
      </c>
      <c r="O229" s="32">
        <f t="shared" si="234"/>
        <v>80.245380287741</v>
      </c>
      <c r="P229" s="32">
        <f t="shared" si="234"/>
        <v>82.890280282121012</v>
      </c>
      <c r="Q229" s="32">
        <f t="shared" si="234"/>
        <v>82.369121948456538</v>
      </c>
      <c r="R229" s="32">
        <f t="shared" si="234"/>
        <v>98.800474004000407</v>
      </c>
      <c r="S229" s="32">
        <f t="shared" si="234"/>
        <v>109.84246389712688</v>
      </c>
      <c r="T229" s="32">
        <f t="shared" si="234"/>
        <v>115.30671207423214</v>
      </c>
      <c r="U229" s="32">
        <f t="shared" si="234"/>
        <v>112.46853867030835</v>
      </c>
      <c r="V229" s="32">
        <f t="shared" si="234"/>
        <v>107.60359970330009</v>
      </c>
      <c r="W229" s="32">
        <f t="shared" si="234"/>
        <v>120.98881695445129</v>
      </c>
      <c r="X229" s="32">
        <f t="shared" si="234"/>
        <v>116.53583299129528</v>
      </c>
      <c r="Y229" s="32">
        <f t="shared" si="234"/>
        <v>114.77200703337179</v>
      </c>
      <c r="DA229" s="173" t="s">
        <v>444</v>
      </c>
    </row>
    <row r="230" spans="1:105" ht="11.45" customHeight="1" x14ac:dyDescent="0.25">
      <c r="A230" s="136" t="str">
        <f>$A$18</f>
        <v>Road transport</v>
      </c>
      <c r="B230" s="141">
        <f t="shared" ref="B230:Y230" si="235">IF(B18=0,0,B78/B18*1000)</f>
        <v>113.65470659940131</v>
      </c>
      <c r="C230" s="141">
        <f t="shared" si="235"/>
        <v>115.4637335042038</v>
      </c>
      <c r="D230" s="141">
        <f t="shared" si="235"/>
        <v>103.7809982018489</v>
      </c>
      <c r="E230" s="141">
        <f t="shared" si="235"/>
        <v>120.56647890710202</v>
      </c>
      <c r="F230" s="141">
        <f t="shared" si="235"/>
        <v>126.93124238706795</v>
      </c>
      <c r="G230" s="141">
        <f t="shared" si="235"/>
        <v>148.32532564737409</v>
      </c>
      <c r="H230" s="141">
        <f t="shared" si="235"/>
        <v>157.46691456209246</v>
      </c>
      <c r="I230" s="141">
        <f t="shared" si="235"/>
        <v>169.76317056784683</v>
      </c>
      <c r="J230" s="141">
        <f t="shared" si="235"/>
        <v>165.99387050440581</v>
      </c>
      <c r="K230" s="141">
        <f t="shared" si="235"/>
        <v>155.77415715161533</v>
      </c>
      <c r="L230" s="141">
        <f t="shared" si="235"/>
        <v>155.2412007738935</v>
      </c>
      <c r="M230" s="141">
        <f t="shared" si="235"/>
        <v>145.90282214350134</v>
      </c>
      <c r="N230" s="141">
        <f t="shared" si="235"/>
        <v>129.72946385843989</v>
      </c>
      <c r="O230" s="141">
        <f t="shared" si="235"/>
        <v>106.40436730900323</v>
      </c>
      <c r="P230" s="141">
        <f t="shared" si="235"/>
        <v>110.21513900564898</v>
      </c>
      <c r="Q230" s="141">
        <f t="shared" si="235"/>
        <v>108.23557018204617</v>
      </c>
      <c r="R230" s="141">
        <f t="shared" si="235"/>
        <v>128.81752793205453</v>
      </c>
      <c r="S230" s="141">
        <f t="shared" si="235"/>
        <v>142.02749573718131</v>
      </c>
      <c r="T230" s="141">
        <f t="shared" si="235"/>
        <v>154.53404284267552</v>
      </c>
      <c r="U230" s="141">
        <f t="shared" si="235"/>
        <v>145.38415009723002</v>
      </c>
      <c r="V230" s="141">
        <f t="shared" si="235"/>
        <v>136.622543175917</v>
      </c>
      <c r="W230" s="141">
        <f t="shared" si="235"/>
        <v>153.09137977843315</v>
      </c>
      <c r="X230" s="141">
        <f t="shared" si="235"/>
        <v>149.24464415535061</v>
      </c>
      <c r="Y230" s="141">
        <f t="shared" si="235"/>
        <v>148.77094234275208</v>
      </c>
      <c r="DA230" s="174" t="s">
        <v>445</v>
      </c>
    </row>
    <row r="231" spans="1:105" ht="11.45" customHeight="1" x14ac:dyDescent="0.25">
      <c r="A231" s="128" t="str">
        <f>$A$19</f>
        <v>Light commercial vehicles</v>
      </c>
      <c r="B231" s="97">
        <f t="shared" ref="B231:Y231" si="236">IF(B19=0,0,B79/B19*1000)</f>
        <v>1490.7695561191058</v>
      </c>
      <c r="C231" s="97">
        <f t="shared" si="236"/>
        <v>1444.6426258664703</v>
      </c>
      <c r="D231" s="97">
        <f t="shared" si="236"/>
        <v>1416.4286931732659</v>
      </c>
      <c r="E231" s="97">
        <f t="shared" si="236"/>
        <v>1394.6374642886169</v>
      </c>
      <c r="F231" s="97">
        <f t="shared" si="236"/>
        <v>1375.6598424185165</v>
      </c>
      <c r="G231" s="97">
        <f t="shared" si="236"/>
        <v>1345.5310305133191</v>
      </c>
      <c r="H231" s="97">
        <f t="shared" si="236"/>
        <v>1329.9632866527422</v>
      </c>
      <c r="I231" s="97">
        <f t="shared" si="236"/>
        <v>1312.2888209141076</v>
      </c>
      <c r="J231" s="97">
        <f t="shared" si="236"/>
        <v>1260.7720522817554</v>
      </c>
      <c r="K231" s="97">
        <f t="shared" si="236"/>
        <v>1235.8712993918984</v>
      </c>
      <c r="L231" s="97">
        <f t="shared" si="236"/>
        <v>1207.2900175185307</v>
      </c>
      <c r="M231" s="97">
        <f t="shared" si="236"/>
        <v>1199.4962208404397</v>
      </c>
      <c r="N231" s="97">
        <f t="shared" si="236"/>
        <v>1195.8855512509199</v>
      </c>
      <c r="O231" s="97">
        <f t="shared" si="236"/>
        <v>1184.2960068863015</v>
      </c>
      <c r="P231" s="97">
        <f t="shared" si="236"/>
        <v>1180.968870825184</v>
      </c>
      <c r="Q231" s="97">
        <f t="shared" si="236"/>
        <v>1179.5022640942475</v>
      </c>
      <c r="R231" s="97">
        <f t="shared" si="236"/>
        <v>1200.4364199849415</v>
      </c>
      <c r="S231" s="97">
        <f t="shared" si="236"/>
        <v>1189.2557309591914</v>
      </c>
      <c r="T231" s="97">
        <f t="shared" si="236"/>
        <v>1167.1231214815939</v>
      </c>
      <c r="U231" s="97">
        <f t="shared" si="236"/>
        <v>1150.5825694343748</v>
      </c>
      <c r="V231" s="97">
        <f t="shared" si="236"/>
        <v>1141.4377262732246</v>
      </c>
      <c r="W231" s="97">
        <f t="shared" si="236"/>
        <v>1140.3221000099575</v>
      </c>
      <c r="X231" s="97">
        <f t="shared" si="236"/>
        <v>1124.9457893909105</v>
      </c>
      <c r="Y231" s="97">
        <f t="shared" si="236"/>
        <v>1115.2974939816795</v>
      </c>
      <c r="DA231" s="175" t="s">
        <v>446</v>
      </c>
    </row>
    <row r="232" spans="1:105" ht="11.45" customHeight="1" x14ac:dyDescent="0.25">
      <c r="A232" s="128" t="str">
        <f>$A$20</f>
        <v>Heavy goods vehicles</v>
      </c>
      <c r="B232" s="97">
        <f t="shared" ref="B232:Y232" si="237">IF(B20=0,0,B80/B20*1000)</f>
        <v>33.741624222897826</v>
      </c>
      <c r="C232" s="97">
        <f t="shared" si="237"/>
        <v>42.408832558837084</v>
      </c>
      <c r="D232" s="97">
        <f t="shared" si="237"/>
        <v>30.730493014398345</v>
      </c>
      <c r="E232" s="97">
        <f t="shared" si="237"/>
        <v>49.926276694074886</v>
      </c>
      <c r="F232" s="97">
        <f t="shared" si="237"/>
        <v>66.522980800848615</v>
      </c>
      <c r="G232" s="97">
        <f t="shared" si="237"/>
        <v>90.366828665172761</v>
      </c>
      <c r="H232" s="97">
        <f t="shared" si="237"/>
        <v>100.26604353306988</v>
      </c>
      <c r="I232" s="97">
        <f t="shared" si="237"/>
        <v>114.06942455701378</v>
      </c>
      <c r="J232" s="97">
        <f t="shared" si="237"/>
        <v>112.41206458165939</v>
      </c>
      <c r="K232" s="97">
        <f t="shared" si="237"/>
        <v>102.82829324983207</v>
      </c>
      <c r="L232" s="97">
        <f t="shared" si="237"/>
        <v>104.31176705815798</v>
      </c>
      <c r="M232" s="97">
        <f t="shared" si="237"/>
        <v>96.253005793627949</v>
      </c>
      <c r="N232" s="97">
        <f t="shared" si="237"/>
        <v>80.270452430076645</v>
      </c>
      <c r="O232" s="97">
        <f t="shared" si="237"/>
        <v>59.802553081012732</v>
      </c>
      <c r="P232" s="97">
        <f t="shared" si="237"/>
        <v>62.853976811700505</v>
      </c>
      <c r="Q232" s="97">
        <f t="shared" si="237"/>
        <v>63.074074053378126</v>
      </c>
      <c r="R232" s="97">
        <f t="shared" si="237"/>
        <v>83.354208747355926</v>
      </c>
      <c r="S232" s="97">
        <f t="shared" si="237"/>
        <v>101.02188321161491</v>
      </c>
      <c r="T232" s="97">
        <f t="shared" si="237"/>
        <v>109.63722444101288</v>
      </c>
      <c r="U232" s="97">
        <f t="shared" si="237"/>
        <v>101.6264274053031</v>
      </c>
      <c r="V232" s="97">
        <f t="shared" si="237"/>
        <v>92.769305261776282</v>
      </c>
      <c r="W232" s="97">
        <f t="shared" si="237"/>
        <v>111.90133519043191</v>
      </c>
      <c r="X232" s="97">
        <f t="shared" si="237"/>
        <v>109.31725603834825</v>
      </c>
      <c r="Y232" s="97">
        <f t="shared" si="237"/>
        <v>107.74906959216337</v>
      </c>
      <c r="DA232" s="175" t="s">
        <v>447</v>
      </c>
    </row>
    <row r="233" spans="1:105" ht="11.45" customHeight="1" x14ac:dyDescent="0.25">
      <c r="A233" s="109" t="str">
        <f>$A$21</f>
        <v>Rail transport</v>
      </c>
      <c r="B233" s="130">
        <f t="shared" ref="B233:Y233" si="238">IF(B21=0,0,B81/B21*1000)</f>
        <v>3.6847700135437873</v>
      </c>
      <c r="C233" s="130">
        <f t="shared" si="238"/>
        <v>3.8509329265494143</v>
      </c>
      <c r="D233" s="130">
        <f t="shared" si="238"/>
        <v>3.8580212709834507</v>
      </c>
      <c r="E233" s="130">
        <f t="shared" si="238"/>
        <v>3.9712758666234413</v>
      </c>
      <c r="F233" s="130">
        <f t="shared" si="238"/>
        <v>4.7603270306827552</v>
      </c>
      <c r="G233" s="130">
        <f t="shared" si="238"/>
        <v>4.4065262472908096</v>
      </c>
      <c r="H233" s="130">
        <f t="shared" si="238"/>
        <v>5.3478383985852034</v>
      </c>
      <c r="I233" s="130">
        <f t="shared" si="238"/>
        <v>4.2006132764491584</v>
      </c>
      <c r="J233" s="130">
        <f t="shared" si="238"/>
        <v>4.2397919214006325</v>
      </c>
      <c r="K233" s="130">
        <f t="shared" si="238"/>
        <v>4.4695756203522512</v>
      </c>
      <c r="L233" s="130">
        <f t="shared" si="238"/>
        <v>4.9767025957093951</v>
      </c>
      <c r="M233" s="130">
        <f t="shared" si="238"/>
        <v>4.7538327194506564</v>
      </c>
      <c r="N233" s="130">
        <f t="shared" si="238"/>
        <v>4.5605700246869327</v>
      </c>
      <c r="O233" s="130">
        <f t="shared" si="238"/>
        <v>4.0725068456706941</v>
      </c>
      <c r="P233" s="130">
        <f t="shared" si="238"/>
        <v>3.7138661759503542</v>
      </c>
      <c r="Q233" s="130">
        <f t="shared" si="238"/>
        <v>3.6753421696884927</v>
      </c>
      <c r="R233" s="130">
        <f t="shared" si="238"/>
        <v>3.4690769951984004</v>
      </c>
      <c r="S233" s="130">
        <f t="shared" si="238"/>
        <v>3.4908885918843167</v>
      </c>
      <c r="T233" s="130">
        <f t="shared" si="238"/>
        <v>3.7414366334998901</v>
      </c>
      <c r="U233" s="130">
        <f t="shared" si="238"/>
        <v>3.6501296627398419</v>
      </c>
      <c r="V233" s="130">
        <f t="shared" si="238"/>
        <v>3.7798234805586373</v>
      </c>
      <c r="W233" s="130">
        <f t="shared" si="238"/>
        <v>4.2679217012353812</v>
      </c>
      <c r="X233" s="130">
        <f t="shared" si="238"/>
        <v>3.4847492307809076</v>
      </c>
      <c r="Y233" s="130">
        <f t="shared" si="238"/>
        <v>3.3216539517682238</v>
      </c>
      <c r="DA233" s="176" t="s">
        <v>448</v>
      </c>
    </row>
    <row r="234" spans="1:105" ht="11.45" customHeight="1" x14ac:dyDescent="0.25">
      <c r="A234" s="109" t="str">
        <f>$A$22</f>
        <v>Aviation</v>
      </c>
      <c r="B234" s="130">
        <f t="shared" ref="B234:Y234" si="239">IF(B22=0,0,B82/B22*1000)</f>
        <v>164.94024241569193</v>
      </c>
      <c r="C234" s="130">
        <f t="shared" si="239"/>
        <v>137.97559606158376</v>
      </c>
      <c r="D234" s="130">
        <f t="shared" si="239"/>
        <v>155.23305774870317</v>
      </c>
      <c r="E234" s="130">
        <f t="shared" si="239"/>
        <v>158.11746393871556</v>
      </c>
      <c r="F234" s="130">
        <f t="shared" si="239"/>
        <v>141.66002480276057</v>
      </c>
      <c r="G234" s="130">
        <f t="shared" si="239"/>
        <v>178.83956342632774</v>
      </c>
      <c r="H234" s="130">
        <f t="shared" si="239"/>
        <v>188.93343114327087</v>
      </c>
      <c r="I234" s="130">
        <f t="shared" si="239"/>
        <v>163.7184548518774</v>
      </c>
      <c r="J234" s="130">
        <f t="shared" si="239"/>
        <v>188.12350834829633</v>
      </c>
      <c r="K234" s="130">
        <f t="shared" si="239"/>
        <v>230.37396572385612</v>
      </c>
      <c r="L234" s="130">
        <f t="shared" si="239"/>
        <v>224.90750766261903</v>
      </c>
      <c r="M234" s="130">
        <f t="shared" si="239"/>
        <v>207.47145138796353</v>
      </c>
      <c r="N234" s="130">
        <f t="shared" si="239"/>
        <v>231.75127322572192</v>
      </c>
      <c r="O234" s="130">
        <f t="shared" si="239"/>
        <v>228.0188471925286</v>
      </c>
      <c r="P234" s="130">
        <f t="shared" si="239"/>
        <v>176.84738876514436</v>
      </c>
      <c r="Q234" s="130">
        <f t="shared" si="239"/>
        <v>159.80573569772318</v>
      </c>
      <c r="R234" s="130">
        <f t="shared" si="239"/>
        <v>172.84044000387999</v>
      </c>
      <c r="S234" s="130">
        <f t="shared" si="239"/>
        <v>173.55943929850417</v>
      </c>
      <c r="T234" s="130">
        <f t="shared" si="239"/>
        <v>141.63268922911502</v>
      </c>
      <c r="U234" s="130">
        <f t="shared" si="239"/>
        <v>130.44184118662395</v>
      </c>
      <c r="V234" s="130">
        <f t="shared" si="239"/>
        <v>271.9110724277179</v>
      </c>
      <c r="W234" s="130">
        <f t="shared" si="239"/>
        <v>252.11328329688021</v>
      </c>
      <c r="X234" s="130">
        <f t="shared" si="239"/>
        <v>193.31430311290606</v>
      </c>
      <c r="Y234" s="130">
        <f t="shared" si="239"/>
        <v>164.79920253604084</v>
      </c>
      <c r="DA234" s="176" t="s">
        <v>348</v>
      </c>
    </row>
    <row r="235" spans="1:105" ht="11.45" customHeight="1" x14ac:dyDescent="0.25">
      <c r="A235" s="128" t="s">
        <v>27</v>
      </c>
      <c r="B235" s="97">
        <f t="shared" ref="B235:Y235" si="240">IF(B23=0,0,B83/B23*1000)</f>
        <v>138.2443714138347</v>
      </c>
      <c r="C235" s="97">
        <f t="shared" si="240"/>
        <v>139.644204420758</v>
      </c>
      <c r="D235" s="97">
        <f t="shared" si="240"/>
        <v>135.92522100981125</v>
      </c>
      <c r="E235" s="97">
        <f t="shared" si="240"/>
        <v>127.66199946644058</v>
      </c>
      <c r="F235" s="97">
        <f t="shared" si="240"/>
        <v>135.45011769824723</v>
      </c>
      <c r="G235" s="97">
        <f t="shared" si="240"/>
        <v>134.19306493545082</v>
      </c>
      <c r="H235" s="97">
        <f t="shared" si="240"/>
        <v>140.48583855368631</v>
      </c>
      <c r="I235" s="97">
        <f t="shared" si="240"/>
        <v>170.7668692498053</v>
      </c>
      <c r="J235" s="97">
        <f t="shared" si="240"/>
        <v>136.03583630849761</v>
      </c>
      <c r="K235" s="97">
        <f t="shared" si="240"/>
        <v>190.47868673001966</v>
      </c>
      <c r="L235" s="97">
        <f t="shared" si="240"/>
        <v>165.54736207257349</v>
      </c>
      <c r="M235" s="97">
        <f t="shared" si="240"/>
        <v>151.12319520283407</v>
      </c>
      <c r="N235" s="97">
        <f t="shared" si="240"/>
        <v>366.72242210608192</v>
      </c>
      <c r="O235" s="97">
        <f t="shared" si="240"/>
        <v>427.55209280220151</v>
      </c>
      <c r="P235" s="97">
        <f t="shared" si="240"/>
        <v>622.04128786534511</v>
      </c>
      <c r="Q235" s="97">
        <f t="shared" si="240"/>
        <v>494.23189725679856</v>
      </c>
      <c r="R235" s="97">
        <f t="shared" si="240"/>
        <v>597.65598163968264</v>
      </c>
      <c r="S235" s="97">
        <f t="shared" si="240"/>
        <v>654.67872349802781</v>
      </c>
      <c r="T235" s="97">
        <f t="shared" si="240"/>
        <v>872.55005372728829</v>
      </c>
      <c r="U235" s="97">
        <f t="shared" si="240"/>
        <v>818.49214851117154</v>
      </c>
      <c r="V235" s="97">
        <f t="shared" si="240"/>
        <v>682.86626150331142</v>
      </c>
      <c r="W235" s="97">
        <f t="shared" si="240"/>
        <v>1149.9379144966097</v>
      </c>
      <c r="X235" s="97">
        <f t="shared" si="240"/>
        <v>740.938162006634</v>
      </c>
      <c r="Y235" s="97">
        <f t="shared" si="240"/>
        <v>864.67515014748858</v>
      </c>
      <c r="DA235" s="175" t="s">
        <v>349</v>
      </c>
    </row>
    <row r="236" spans="1:105" ht="11.45" customHeight="1" x14ac:dyDescent="0.25">
      <c r="A236" s="128" t="str">
        <f>$A$24</f>
        <v>International - Intra-EEAwCHUK</v>
      </c>
      <c r="B236" s="97">
        <f t="shared" ref="B236:Y236" si="241">IF(B24=0,0,B84/B24*1000)</f>
        <v>515.42085446477847</v>
      </c>
      <c r="C236" s="97">
        <f t="shared" si="241"/>
        <v>487.95329183492674</v>
      </c>
      <c r="D236" s="97">
        <f t="shared" si="241"/>
        <v>517.6261083329216</v>
      </c>
      <c r="E236" s="97">
        <f t="shared" si="241"/>
        <v>507.23698387570937</v>
      </c>
      <c r="F236" s="97">
        <f t="shared" si="241"/>
        <v>559.87346327253283</v>
      </c>
      <c r="G236" s="97">
        <f t="shared" si="241"/>
        <v>592.44047855173631</v>
      </c>
      <c r="H236" s="97">
        <f t="shared" si="241"/>
        <v>654.96731728559257</v>
      </c>
      <c r="I236" s="97">
        <f t="shared" si="241"/>
        <v>631.56009432065491</v>
      </c>
      <c r="J236" s="97">
        <f t="shared" si="241"/>
        <v>647.78984143991488</v>
      </c>
      <c r="K236" s="97">
        <f t="shared" si="241"/>
        <v>606.33293905334074</v>
      </c>
      <c r="L236" s="97">
        <f t="shared" si="241"/>
        <v>590.86474717516228</v>
      </c>
      <c r="M236" s="97">
        <f t="shared" si="241"/>
        <v>497.02560257551028</v>
      </c>
      <c r="N236" s="97">
        <f t="shared" si="241"/>
        <v>493.68480300633956</v>
      </c>
      <c r="O236" s="97">
        <f t="shared" si="241"/>
        <v>429.89865070598887</v>
      </c>
      <c r="P236" s="97">
        <f t="shared" si="241"/>
        <v>391.21008436594775</v>
      </c>
      <c r="Q236" s="97">
        <f t="shared" si="241"/>
        <v>363.45914495193483</v>
      </c>
      <c r="R236" s="97">
        <f t="shared" si="241"/>
        <v>324.88031478897233</v>
      </c>
      <c r="S236" s="97">
        <f t="shared" si="241"/>
        <v>407.27064448147354</v>
      </c>
      <c r="T236" s="97">
        <f t="shared" si="241"/>
        <v>390.67397914180259</v>
      </c>
      <c r="U236" s="97">
        <f t="shared" si="241"/>
        <v>376.24460701273256</v>
      </c>
      <c r="V236" s="97">
        <f t="shared" si="241"/>
        <v>548.88138812173531</v>
      </c>
      <c r="W236" s="97">
        <f t="shared" si="241"/>
        <v>514.90645017221607</v>
      </c>
      <c r="X236" s="97">
        <f t="shared" si="241"/>
        <v>474.36679538601231</v>
      </c>
      <c r="Y236" s="97">
        <f t="shared" si="241"/>
        <v>464.55097054379087</v>
      </c>
      <c r="DA236" s="175" t="s">
        <v>350</v>
      </c>
    </row>
    <row r="237" spans="1:105" ht="11.45" customHeight="1" x14ac:dyDescent="0.25">
      <c r="A237" s="128" t="str">
        <f>$A$25</f>
        <v>International - Extra-EEAwCHUK</v>
      </c>
      <c r="B237" s="97">
        <f t="shared" ref="B237:Y237" si="242">IF(B25=0,0,B85/B25*1000)</f>
        <v>37.633800364341432</v>
      </c>
      <c r="C237" s="97">
        <f t="shared" si="242"/>
        <v>35.923860525018981</v>
      </c>
      <c r="D237" s="97">
        <f t="shared" si="242"/>
        <v>37.980738157481959</v>
      </c>
      <c r="E237" s="97">
        <f t="shared" si="242"/>
        <v>41.773283704576507</v>
      </c>
      <c r="F237" s="97">
        <f t="shared" si="242"/>
        <v>43.042034418258524</v>
      </c>
      <c r="G237" s="97">
        <f t="shared" si="242"/>
        <v>43.716282976314112</v>
      </c>
      <c r="H237" s="97">
        <f t="shared" si="242"/>
        <v>53.818621691822322</v>
      </c>
      <c r="I237" s="97">
        <f t="shared" si="242"/>
        <v>60.165404165214476</v>
      </c>
      <c r="J237" s="97">
        <f t="shared" si="242"/>
        <v>92.960716461129948</v>
      </c>
      <c r="K237" s="97">
        <f t="shared" si="242"/>
        <v>121.03868853188436</v>
      </c>
      <c r="L237" s="97">
        <f t="shared" si="242"/>
        <v>161.92040843374176</v>
      </c>
      <c r="M237" s="97">
        <f t="shared" si="242"/>
        <v>147.1927327044904</v>
      </c>
      <c r="N237" s="97">
        <f t="shared" si="242"/>
        <v>155.83412969584987</v>
      </c>
      <c r="O237" s="97">
        <f t="shared" si="242"/>
        <v>167.31623754064324</v>
      </c>
      <c r="P237" s="97">
        <f t="shared" si="242"/>
        <v>127.15048063074613</v>
      </c>
      <c r="Q237" s="97">
        <f t="shared" si="242"/>
        <v>114.56416478403628</v>
      </c>
      <c r="R237" s="97">
        <f t="shared" si="242"/>
        <v>144.0178199855132</v>
      </c>
      <c r="S237" s="97">
        <f t="shared" si="242"/>
        <v>132.81173215811839</v>
      </c>
      <c r="T237" s="97">
        <f t="shared" si="242"/>
        <v>98.317054624672423</v>
      </c>
      <c r="U237" s="97">
        <f t="shared" si="242"/>
        <v>100.43891603406801</v>
      </c>
      <c r="V237" s="97">
        <f t="shared" si="242"/>
        <v>126.45450762716604</v>
      </c>
      <c r="W237" s="97">
        <f t="shared" si="242"/>
        <v>146.77475858030687</v>
      </c>
      <c r="X237" s="97">
        <f t="shared" si="242"/>
        <v>136.82120758069871</v>
      </c>
      <c r="Y237" s="97">
        <f t="shared" si="242"/>
        <v>126.16367222548533</v>
      </c>
      <c r="DA237" s="175" t="s">
        <v>351</v>
      </c>
    </row>
    <row r="238" spans="1:105" ht="11.45" customHeight="1" x14ac:dyDescent="0.25">
      <c r="A238" s="109" t="s">
        <v>141</v>
      </c>
      <c r="B238" s="130">
        <f t="shared" ref="B238:Y238" si="243">IF(B26=0,0,B86/B26*1000)</f>
        <v>16.100779879213974</v>
      </c>
      <c r="C238" s="130">
        <f t="shared" si="243"/>
        <v>14.959482025512173</v>
      </c>
      <c r="D238" s="130">
        <f t="shared" si="243"/>
        <v>13.968013004069908</v>
      </c>
      <c r="E238" s="130">
        <f t="shared" si="243"/>
        <v>25.133725738548772</v>
      </c>
      <c r="F238" s="130">
        <f t="shared" si="243"/>
        <v>49.649503631929811</v>
      </c>
      <c r="G238" s="130">
        <f t="shared" si="243"/>
        <v>42.603358541829344</v>
      </c>
      <c r="H238" s="130">
        <f t="shared" si="243"/>
        <v>57.448859520225007</v>
      </c>
      <c r="I238" s="130">
        <f t="shared" si="243"/>
        <v>51.511383600620796</v>
      </c>
      <c r="J238" s="130">
        <f t="shared" si="243"/>
        <v>50.371159570129088</v>
      </c>
      <c r="K238" s="130">
        <f t="shared" si="243"/>
        <v>41.879866861588276</v>
      </c>
      <c r="L238" s="130">
        <f t="shared" si="243"/>
        <v>61.04878625474889</v>
      </c>
      <c r="M238" s="130">
        <f t="shared" si="243"/>
        <v>45.342992246163128</v>
      </c>
      <c r="N238" s="130">
        <f t="shared" si="243"/>
        <v>54.329181464130485</v>
      </c>
      <c r="O238" s="130">
        <f t="shared" si="243"/>
        <v>73.25789302240625</v>
      </c>
      <c r="P238" s="130">
        <f t="shared" si="243"/>
        <v>71.26938855898949</v>
      </c>
      <c r="Q238" s="130">
        <f t="shared" si="243"/>
        <v>51.832331329759974</v>
      </c>
      <c r="R238" s="130">
        <f t="shared" si="243"/>
        <v>36.693477589939654</v>
      </c>
      <c r="S238" s="130">
        <f t="shared" si="243"/>
        <v>80.302457774932108</v>
      </c>
      <c r="T238" s="130">
        <f t="shared" si="243"/>
        <v>35.493697089461641</v>
      </c>
      <c r="U238" s="130">
        <f t="shared" si="243"/>
        <v>38.261611874483243</v>
      </c>
      <c r="V238" s="130">
        <f t="shared" si="243"/>
        <v>18.132540349925389</v>
      </c>
      <c r="W238" s="130">
        <f t="shared" si="243"/>
        <v>17.96357602410199</v>
      </c>
      <c r="X238" s="130">
        <f t="shared" si="243"/>
        <v>17.297976980149986</v>
      </c>
      <c r="Y238" s="130">
        <f t="shared" si="243"/>
        <v>22.935041467357244</v>
      </c>
      <c r="DA238" s="176" t="s">
        <v>449</v>
      </c>
    </row>
    <row r="239" spans="1:105" ht="11.45" customHeight="1" x14ac:dyDescent="0.25">
      <c r="A239" s="128" t="str">
        <f>$A$27</f>
        <v>Domestic coastal shipping</v>
      </c>
      <c r="B239" s="97">
        <f t="shared" ref="B239:Y239" si="244">IF(B27=0,0,B87/B27*1000)</f>
        <v>52.602775944808144</v>
      </c>
      <c r="C239" s="97">
        <f t="shared" si="244"/>
        <v>53.799510960654089</v>
      </c>
      <c r="D239" s="97">
        <f t="shared" si="244"/>
        <v>55.059290517436551</v>
      </c>
      <c r="E239" s="97">
        <f t="shared" si="244"/>
        <v>57.177227899990555</v>
      </c>
      <c r="F239" s="97">
        <f t="shared" si="244"/>
        <v>67.175172952218205</v>
      </c>
      <c r="G239" s="97">
        <f t="shared" si="244"/>
        <v>67.569227107678259</v>
      </c>
      <c r="H239" s="97">
        <f t="shared" si="244"/>
        <v>79.299849914859124</v>
      </c>
      <c r="I239" s="97">
        <f t="shared" si="244"/>
        <v>76.709525682626278</v>
      </c>
      <c r="J239" s="97">
        <f t="shared" si="244"/>
        <v>74.745118067019817</v>
      </c>
      <c r="K239" s="97">
        <f t="shared" si="244"/>
        <v>78.307224343790423</v>
      </c>
      <c r="L239" s="97">
        <f t="shared" si="244"/>
        <v>94.310747451526652</v>
      </c>
      <c r="M239" s="97">
        <f t="shared" si="244"/>
        <v>66.487858291703674</v>
      </c>
      <c r="N239" s="97">
        <f t="shared" si="244"/>
        <v>69.664383072785654</v>
      </c>
      <c r="O239" s="97">
        <f t="shared" si="244"/>
        <v>79.991442211080539</v>
      </c>
      <c r="P239" s="97">
        <f t="shared" si="244"/>
        <v>88.09495254739717</v>
      </c>
      <c r="Q239" s="97">
        <f t="shared" si="244"/>
        <v>69.288355189966367</v>
      </c>
      <c r="R239" s="97">
        <f t="shared" si="244"/>
        <v>48.890477119032447</v>
      </c>
      <c r="S239" s="97">
        <f t="shared" si="244"/>
        <v>100.09228949757549</v>
      </c>
      <c r="T239" s="97">
        <f t="shared" si="244"/>
        <v>52.972414682198668</v>
      </c>
      <c r="U239" s="97">
        <f t="shared" si="244"/>
        <v>50.384674781558964</v>
      </c>
      <c r="V239" s="97">
        <f t="shared" si="244"/>
        <v>21.89735300698203</v>
      </c>
      <c r="W239" s="97">
        <f t="shared" si="244"/>
        <v>20.027284084791596</v>
      </c>
      <c r="X239" s="97">
        <f t="shared" si="244"/>
        <v>18.750017431353598</v>
      </c>
      <c r="Y239" s="97">
        <f t="shared" si="244"/>
        <v>24.563059253851236</v>
      </c>
      <c r="DA239" s="175" t="s">
        <v>450</v>
      </c>
    </row>
    <row r="240" spans="1:105" ht="11.45" customHeight="1" x14ac:dyDescent="0.25">
      <c r="A240" s="138" t="str">
        <f>$A$28</f>
        <v>Inland waterways</v>
      </c>
      <c r="B240" s="98">
        <f t="shared" ref="B240:Y240" si="245">IF(B28=0,0,B88/B28*1000)</f>
        <v>15.653015837110109</v>
      </c>
      <c r="C240" s="98">
        <f t="shared" si="245"/>
        <v>14.529967844772132</v>
      </c>
      <c r="D240" s="98">
        <f t="shared" si="245"/>
        <v>13.436453902595931</v>
      </c>
      <c r="E240" s="98">
        <f t="shared" si="245"/>
        <v>24.56723189758457</v>
      </c>
      <c r="F240" s="98">
        <f t="shared" si="245"/>
        <v>48.936303623941761</v>
      </c>
      <c r="G240" s="98">
        <f t="shared" si="245"/>
        <v>39.018962219415045</v>
      </c>
      <c r="H240" s="98">
        <f t="shared" si="245"/>
        <v>54.138623497846197</v>
      </c>
      <c r="I240" s="98">
        <f t="shared" si="245"/>
        <v>48.574935851858562</v>
      </c>
      <c r="J240" s="98">
        <f t="shared" si="245"/>
        <v>46.914721072958095</v>
      </c>
      <c r="K240" s="98">
        <f t="shared" si="245"/>
        <v>36.860104867159663</v>
      </c>
      <c r="L240" s="98">
        <f t="shared" si="245"/>
        <v>53.969361605874703</v>
      </c>
      <c r="M240" s="98">
        <f t="shared" si="245"/>
        <v>38.60789273965748</v>
      </c>
      <c r="N240" s="98">
        <f t="shared" si="245"/>
        <v>48.924400866637306</v>
      </c>
      <c r="O240" s="98">
        <f t="shared" si="245"/>
        <v>70.269085123187224</v>
      </c>
      <c r="P240" s="98">
        <f t="shared" si="245"/>
        <v>67.436525082430208</v>
      </c>
      <c r="Q240" s="98">
        <f t="shared" si="245"/>
        <v>44.900107854275497</v>
      </c>
      <c r="R240" s="98">
        <f t="shared" si="245"/>
        <v>29.276798394804636</v>
      </c>
      <c r="S240" s="98">
        <f t="shared" si="245"/>
        <v>68.915216516229862</v>
      </c>
      <c r="T240" s="98">
        <f t="shared" si="245"/>
        <v>28.206470150697729</v>
      </c>
      <c r="U240" s="98">
        <f t="shared" si="245"/>
        <v>29.149248934881985</v>
      </c>
      <c r="V240" s="98">
        <f t="shared" si="245"/>
        <v>13.245520159040645</v>
      </c>
      <c r="W240" s="98">
        <f t="shared" si="245"/>
        <v>12.631909815678515</v>
      </c>
      <c r="X240" s="98">
        <f t="shared" si="245"/>
        <v>11.455075107540475</v>
      </c>
      <c r="Y240" s="98">
        <f t="shared" si="245"/>
        <v>16.054420777645646</v>
      </c>
      <c r="DA240" s="178" t="s">
        <v>451</v>
      </c>
    </row>
    <row r="241" spans="1:105" ht="11.45" customHeight="1" x14ac:dyDescent="0.25">
      <c r="A241" s="27" t="s">
        <v>172</v>
      </c>
      <c r="B241" s="32">
        <f t="shared" ref="B241:Y241" si="246">IF(B29=0,0,B89/B29*1000)</f>
        <v>16.67475107468896</v>
      </c>
      <c r="C241" s="32">
        <f t="shared" si="246"/>
        <v>16.900310911678584</v>
      </c>
      <c r="D241" s="32">
        <f t="shared" si="246"/>
        <v>16.804012860847777</v>
      </c>
      <c r="E241" s="32">
        <f t="shared" si="246"/>
        <v>16.784845458679918</v>
      </c>
      <c r="F241" s="32">
        <f t="shared" si="246"/>
        <v>16.799056092240335</v>
      </c>
      <c r="G241" s="32">
        <f t="shared" si="246"/>
        <v>8.5146236614336139</v>
      </c>
      <c r="H241" s="32">
        <f t="shared" si="246"/>
        <v>8.1262635508151888</v>
      </c>
      <c r="I241" s="32">
        <f t="shared" si="246"/>
        <v>9.0124128953729858</v>
      </c>
      <c r="J241" s="32">
        <f t="shared" si="246"/>
        <v>10.665370969148986</v>
      </c>
      <c r="K241" s="32">
        <f t="shared" si="246"/>
        <v>9.5291593572582585</v>
      </c>
      <c r="L241" s="32">
        <f t="shared" si="246"/>
        <v>6.2633793496110215</v>
      </c>
      <c r="M241" s="32">
        <f t="shared" si="246"/>
        <v>5.325398458888559</v>
      </c>
      <c r="N241" s="32">
        <f t="shared" si="246"/>
        <v>3.6974138020462624</v>
      </c>
      <c r="O241" s="32">
        <f t="shared" si="246"/>
        <v>3.139194260464222</v>
      </c>
      <c r="P241" s="32">
        <f t="shared" si="246"/>
        <v>2.7687611266464205</v>
      </c>
      <c r="Q241" s="32">
        <f t="shared" si="246"/>
        <v>3.5130637605627801</v>
      </c>
      <c r="R241" s="32">
        <f t="shared" si="246"/>
        <v>2.8518303078092564</v>
      </c>
      <c r="S241" s="32">
        <f t="shared" si="246"/>
        <v>3.447461000308794</v>
      </c>
      <c r="T241" s="32">
        <f t="shared" si="246"/>
        <v>3.0746565395320791</v>
      </c>
      <c r="U241" s="32">
        <f t="shared" si="246"/>
        <v>3.0512156014064273</v>
      </c>
      <c r="V241" s="32">
        <f t="shared" si="246"/>
        <v>3.5497874444322322</v>
      </c>
      <c r="W241" s="32">
        <f t="shared" si="246"/>
        <v>3.7786734379131524</v>
      </c>
      <c r="X241" s="32">
        <f t="shared" si="246"/>
        <v>2.2578412173152991</v>
      </c>
      <c r="Y241" s="32">
        <f t="shared" si="246"/>
        <v>2.2309322704411758</v>
      </c>
      <c r="DA241" s="173" t="s">
        <v>452</v>
      </c>
    </row>
    <row r="242" spans="1:105" ht="11.45" customHeight="1" x14ac:dyDescent="0.25">
      <c r="A242" s="128" t="str">
        <f>$A$30</f>
        <v>Intra-EEA</v>
      </c>
      <c r="B242" s="97">
        <f t="shared" ref="B242:Y242" si="247">IF(B30=0,0,B90/B30*1000)</f>
        <v>30.676336495028593</v>
      </c>
      <c r="C242" s="97">
        <f t="shared" si="247"/>
        <v>31.605915235445668</v>
      </c>
      <c r="D242" s="97">
        <f t="shared" si="247"/>
        <v>31.236984620527892</v>
      </c>
      <c r="E242" s="97">
        <f t="shared" si="247"/>
        <v>31.140035858284126</v>
      </c>
      <c r="F242" s="97">
        <f t="shared" si="247"/>
        <v>31.20476623807118</v>
      </c>
      <c r="G242" s="97">
        <f t="shared" si="247"/>
        <v>17.36893792829348</v>
      </c>
      <c r="H242" s="97">
        <f t="shared" si="247"/>
        <v>18.439003803040944</v>
      </c>
      <c r="I242" s="97">
        <f t="shared" si="247"/>
        <v>17.026075830714493</v>
      </c>
      <c r="J242" s="97">
        <f t="shared" si="247"/>
        <v>22.218398343724502</v>
      </c>
      <c r="K242" s="97">
        <f t="shared" si="247"/>
        <v>19.427760747674583</v>
      </c>
      <c r="L242" s="97">
        <f t="shared" si="247"/>
        <v>12.626499791196757</v>
      </c>
      <c r="M242" s="97">
        <f t="shared" si="247"/>
        <v>10.8689097855288</v>
      </c>
      <c r="N242" s="97">
        <f t="shared" si="247"/>
        <v>9.3474581415677456</v>
      </c>
      <c r="O242" s="97">
        <f t="shared" si="247"/>
        <v>7.9144677757617545</v>
      </c>
      <c r="P242" s="97">
        <f t="shared" si="247"/>
        <v>7.4476916393341721</v>
      </c>
      <c r="Q242" s="97">
        <f t="shared" si="247"/>
        <v>9.2208066642606301</v>
      </c>
      <c r="R242" s="97">
        <f t="shared" si="247"/>
        <v>8.1364661734060135</v>
      </c>
      <c r="S242" s="97">
        <f t="shared" si="247"/>
        <v>11.150709018590641</v>
      </c>
      <c r="T242" s="97">
        <f t="shared" si="247"/>
        <v>9.9023925045388665</v>
      </c>
      <c r="U242" s="97">
        <f t="shared" si="247"/>
        <v>10.07558622575425</v>
      </c>
      <c r="V242" s="97">
        <f t="shared" si="247"/>
        <v>9.8220547020044133</v>
      </c>
      <c r="W242" s="97">
        <f t="shared" si="247"/>
        <v>10.891297792854136</v>
      </c>
      <c r="X242" s="97">
        <f t="shared" si="247"/>
        <v>7.0884483152725961</v>
      </c>
      <c r="Y242" s="97">
        <f t="shared" si="247"/>
        <v>6.0824761883614267</v>
      </c>
      <c r="DA242" s="175" t="s">
        <v>453</v>
      </c>
    </row>
    <row r="243" spans="1:105" ht="11.45" customHeight="1" x14ac:dyDescent="0.25">
      <c r="A243" s="138" t="str">
        <f>$A$31</f>
        <v>Extra-EEA</v>
      </c>
      <c r="B243" s="98">
        <f t="shared" ref="B243:Y243" si="248">IF(B31=0,0,B91/B31*1000)</f>
        <v>11.437618562040274</v>
      </c>
      <c r="C243" s="98">
        <f t="shared" si="248"/>
        <v>11.532080426464063</v>
      </c>
      <c r="D243" s="98">
        <f t="shared" si="248"/>
        <v>11.529412864617111</v>
      </c>
      <c r="E243" s="98">
        <f t="shared" si="248"/>
        <v>11.521461266426646</v>
      </c>
      <c r="F243" s="98">
        <f t="shared" si="248"/>
        <v>11.520914879716047</v>
      </c>
      <c r="G243" s="98">
        <f t="shared" si="248"/>
        <v>5.8918116831696024</v>
      </c>
      <c r="H243" s="98">
        <f t="shared" si="248"/>
        <v>5.7633703118306201</v>
      </c>
      <c r="I243" s="98">
        <f t="shared" si="248"/>
        <v>6.2154879857606211</v>
      </c>
      <c r="J243" s="98">
        <f t="shared" si="248"/>
        <v>7.3947640496863976</v>
      </c>
      <c r="K243" s="98">
        <f t="shared" si="248"/>
        <v>6.5227716363113624</v>
      </c>
      <c r="L243" s="98">
        <f t="shared" si="248"/>
        <v>4.2477872679812609</v>
      </c>
      <c r="M243" s="98">
        <f t="shared" si="248"/>
        <v>3.6388063738135563</v>
      </c>
      <c r="N243" s="98">
        <f t="shared" si="248"/>
        <v>2.5964240778335412</v>
      </c>
      <c r="O243" s="98">
        <f t="shared" si="248"/>
        <v>2.2187577342784959</v>
      </c>
      <c r="P243" s="98">
        <f t="shared" si="248"/>
        <v>1.9956110549452437</v>
      </c>
      <c r="Q243" s="98">
        <f t="shared" si="248"/>
        <v>2.4706399719717633</v>
      </c>
      <c r="R243" s="98">
        <f t="shared" si="248"/>
        <v>2.0761625888163859</v>
      </c>
      <c r="S243" s="98">
        <f t="shared" si="248"/>
        <v>2.6229726631294152</v>
      </c>
      <c r="T243" s="98">
        <f t="shared" si="248"/>
        <v>2.3540457470809373</v>
      </c>
      <c r="U243" s="98">
        <f t="shared" si="248"/>
        <v>2.3439068949797299</v>
      </c>
      <c r="V243" s="98">
        <f t="shared" si="248"/>
        <v>2.8244171487531013</v>
      </c>
      <c r="W243" s="98">
        <f t="shared" si="248"/>
        <v>2.9873569754857887</v>
      </c>
      <c r="X243" s="98">
        <f t="shared" si="248"/>
        <v>1.7450550133458027</v>
      </c>
      <c r="Y243" s="98">
        <f t="shared" si="248"/>
        <v>1.6124093664454602</v>
      </c>
      <c r="DA243" s="178" t="s">
        <v>454</v>
      </c>
    </row>
    <row r="245" spans="1:105" x14ac:dyDescent="0.25">
      <c r="A245" s="18" t="s">
        <v>168</v>
      </c>
    </row>
    <row r="246" spans="1:105" x14ac:dyDescent="0.25">
      <c r="A246" s="18" t="s">
        <v>184</v>
      </c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DA273"/>
  <sheetViews>
    <sheetView showGridLines="0" zoomScaleNormal="10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455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DA2" s="171"/>
    </row>
    <row r="3" spans="1:105" ht="11.45" customHeight="1" x14ac:dyDescent="0.25">
      <c r="A3" s="53" t="s">
        <v>17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DA3" s="172"/>
    </row>
    <row r="4" spans="1:105" ht="11.45" customHeight="1" x14ac:dyDescent="0.25">
      <c r="A4" s="27" t="s">
        <v>18</v>
      </c>
      <c r="B4" s="29">
        <f t="shared" ref="B4:K4" si="0">B5+B6+B13</f>
        <v>191811.7466304999</v>
      </c>
      <c r="C4" s="29">
        <f t="shared" si="0"/>
        <v>189941.44088697375</v>
      </c>
      <c r="D4" s="29">
        <f t="shared" si="0"/>
        <v>189930.84798716812</v>
      </c>
      <c r="E4" s="29">
        <f t="shared" si="0"/>
        <v>194863.79036980725</v>
      </c>
      <c r="F4" s="29">
        <f t="shared" si="0"/>
        <v>199768.1023543156</v>
      </c>
      <c r="G4" s="29">
        <f t="shared" si="0"/>
        <v>203572.99603532464</v>
      </c>
      <c r="H4" s="29">
        <f t="shared" si="0"/>
        <v>207499.81719397014</v>
      </c>
      <c r="I4" s="29">
        <f t="shared" si="0"/>
        <v>212389.18763261841</v>
      </c>
      <c r="J4" s="29">
        <f t="shared" si="0"/>
        <v>222715.94363703093</v>
      </c>
      <c r="K4" s="29">
        <f t="shared" si="0"/>
        <v>229323.50214097404</v>
      </c>
      <c r="L4" s="29">
        <f t="shared" ref="L4" si="1">L5+L6+L13</f>
        <v>233380.44742792755</v>
      </c>
      <c r="M4" s="29">
        <f t="shared" ref="M4:V4" si="2">M5+M6+M13</f>
        <v>232067.47021639254</v>
      </c>
      <c r="N4" s="29">
        <f t="shared" si="2"/>
        <v>231611.45664402161</v>
      </c>
      <c r="O4" s="29">
        <f t="shared" si="2"/>
        <v>233921.68595036457</v>
      </c>
      <c r="P4" s="29">
        <f t="shared" si="2"/>
        <v>239014.83801841148</v>
      </c>
      <c r="Q4" s="29">
        <f t="shared" si="2"/>
        <v>241104.764046906</v>
      </c>
      <c r="R4" s="29">
        <f t="shared" si="2"/>
        <v>253241.17904304632</v>
      </c>
      <c r="S4" s="29">
        <f t="shared" si="2"/>
        <v>260600.10311262694</v>
      </c>
      <c r="T4" s="29">
        <f t="shared" si="2"/>
        <v>265019.49136403413</v>
      </c>
      <c r="U4" s="29">
        <f t="shared" si="2"/>
        <v>271550.76462231518</v>
      </c>
      <c r="V4" s="29">
        <f t="shared" si="2"/>
        <v>246180.25090476355</v>
      </c>
      <c r="W4" s="29">
        <f t="shared" ref="W4:Y4" si="3">W5+W6+W13</f>
        <v>255673.24953466246</v>
      </c>
      <c r="X4" s="29">
        <f t="shared" si="3"/>
        <v>266206.25065479614</v>
      </c>
      <c r="Y4" s="29">
        <f t="shared" si="3"/>
        <v>279552.86029085366</v>
      </c>
      <c r="DA4" s="173" t="s">
        <v>372</v>
      </c>
    </row>
    <row r="5" spans="1:105" ht="11.45" customHeight="1" x14ac:dyDescent="0.25">
      <c r="A5" s="136" t="s">
        <v>173</v>
      </c>
      <c r="B5" s="152">
        <f t="shared" ref="B5:K5" si="4">IF(B32=0,0,B32*B142)</f>
        <v>2511.7466304999098</v>
      </c>
      <c r="C5" s="152">
        <f t="shared" si="4"/>
        <v>2241.4408869737649</v>
      </c>
      <c r="D5" s="152">
        <f t="shared" si="4"/>
        <v>2130.847987168132</v>
      </c>
      <c r="E5" s="152">
        <f t="shared" si="4"/>
        <v>1963.7903698072353</v>
      </c>
      <c r="F5" s="152">
        <f t="shared" si="4"/>
        <v>1868.1023543155991</v>
      </c>
      <c r="G5" s="152">
        <f t="shared" si="4"/>
        <v>2072.9960353246447</v>
      </c>
      <c r="H5" s="152">
        <f t="shared" si="4"/>
        <v>2199.8171939701506</v>
      </c>
      <c r="I5" s="152">
        <f t="shared" si="4"/>
        <v>2389.187632618412</v>
      </c>
      <c r="J5" s="152">
        <f t="shared" si="4"/>
        <v>2415.9436370309395</v>
      </c>
      <c r="K5" s="152">
        <f t="shared" si="4"/>
        <v>2665.5021409740566</v>
      </c>
      <c r="L5" s="152">
        <f t="shared" ref="L5:L7" si="5">IF(L32=0,0,L32*L142)</f>
        <v>2870.447427927535</v>
      </c>
      <c r="M5" s="152">
        <f t="shared" ref="M5:V5" si="6">IF(M32=0,0,M32*M142)</f>
        <v>2864.4702163925226</v>
      </c>
      <c r="N5" s="152">
        <f t="shared" si="6"/>
        <v>2868.456644021629</v>
      </c>
      <c r="O5" s="152">
        <f t="shared" si="6"/>
        <v>2785.6859503645719</v>
      </c>
      <c r="P5" s="152">
        <f t="shared" si="6"/>
        <v>2824.8380184114808</v>
      </c>
      <c r="Q5" s="152">
        <f t="shared" si="6"/>
        <v>2954.7640469059738</v>
      </c>
      <c r="R5" s="152">
        <f t="shared" si="6"/>
        <v>3149.1790430463279</v>
      </c>
      <c r="S5" s="152">
        <f t="shared" si="6"/>
        <v>2990.1031126269254</v>
      </c>
      <c r="T5" s="152">
        <f t="shared" si="6"/>
        <v>2863.4913640341101</v>
      </c>
      <c r="U5" s="152">
        <f t="shared" si="6"/>
        <v>3059.7646223151878</v>
      </c>
      <c r="V5" s="152">
        <f t="shared" si="6"/>
        <v>2750.2509047635544</v>
      </c>
      <c r="W5" s="152">
        <f t="shared" ref="W5:Y5" si="7">IF(W32=0,0,W32*W142)</f>
        <v>2866.2495346624619</v>
      </c>
      <c r="X5" s="152">
        <f t="shared" si="7"/>
        <v>2908.2506547961489</v>
      </c>
      <c r="Y5" s="152">
        <f t="shared" si="7"/>
        <v>3155.4703292778117</v>
      </c>
      <c r="DA5" s="174" t="s">
        <v>373</v>
      </c>
    </row>
    <row r="6" spans="1:105" ht="11.45" customHeight="1" x14ac:dyDescent="0.25">
      <c r="A6" s="109" t="s">
        <v>20</v>
      </c>
      <c r="B6" s="116">
        <f t="shared" ref="B6:K6" si="8">SUM(B7:B12)</f>
        <v>130100</v>
      </c>
      <c r="C6" s="116">
        <f t="shared" si="8"/>
        <v>132300</v>
      </c>
      <c r="D6" s="116">
        <f t="shared" si="8"/>
        <v>135800</v>
      </c>
      <c r="E6" s="116">
        <f t="shared" si="8"/>
        <v>141300</v>
      </c>
      <c r="F6" s="116">
        <f t="shared" si="8"/>
        <v>146800</v>
      </c>
      <c r="G6" s="116">
        <f t="shared" si="8"/>
        <v>152300</v>
      </c>
      <c r="H6" s="116">
        <f t="shared" si="8"/>
        <v>156600</v>
      </c>
      <c r="I6" s="116">
        <f t="shared" si="8"/>
        <v>162300</v>
      </c>
      <c r="J6" s="116">
        <f t="shared" si="8"/>
        <v>172600</v>
      </c>
      <c r="K6" s="116">
        <f t="shared" si="8"/>
        <v>182758</v>
      </c>
      <c r="L6" s="116">
        <f t="shared" ref="L6" si="9">SUM(L7:L12)</f>
        <v>188810</v>
      </c>
      <c r="M6" s="116">
        <f t="shared" ref="M6:V6" si="10">SUM(M7:M12)</f>
        <v>189103.00000000003</v>
      </c>
      <c r="N6" s="116">
        <f t="shared" si="10"/>
        <v>189324</v>
      </c>
      <c r="O6" s="116">
        <f t="shared" si="10"/>
        <v>193336</v>
      </c>
      <c r="P6" s="116">
        <f t="shared" si="10"/>
        <v>197032</v>
      </c>
      <c r="Q6" s="116">
        <f t="shared" si="10"/>
        <v>200570.00000000003</v>
      </c>
      <c r="R6" s="116">
        <f t="shared" si="10"/>
        <v>213318</v>
      </c>
      <c r="S6" s="116">
        <f t="shared" si="10"/>
        <v>221545</v>
      </c>
      <c r="T6" s="116">
        <f t="shared" si="10"/>
        <v>227612</v>
      </c>
      <c r="U6" s="116">
        <f t="shared" si="10"/>
        <v>232255</v>
      </c>
      <c r="V6" s="116">
        <f t="shared" si="10"/>
        <v>224130</v>
      </c>
      <c r="W6" s="116">
        <f t="shared" ref="W6:Y6" si="11">SUM(W7:W12)</f>
        <v>231720</v>
      </c>
      <c r="X6" s="116">
        <f t="shared" si="11"/>
        <v>237317</v>
      </c>
      <c r="Y6" s="116">
        <f t="shared" si="11"/>
        <v>247921.45170132609</v>
      </c>
      <c r="DA6" s="176" t="s">
        <v>374</v>
      </c>
    </row>
    <row r="7" spans="1:105" ht="11.45" customHeight="1" x14ac:dyDescent="0.25">
      <c r="A7" s="111" t="s">
        <v>110</v>
      </c>
      <c r="B7" s="87">
        <f t="shared" ref="B7:K7" si="12">IF(B34=0,0,B34*B144)</f>
        <v>102732.0565516214</v>
      </c>
      <c r="C7" s="87">
        <f t="shared" si="12"/>
        <v>97554.838723716108</v>
      </c>
      <c r="D7" s="87">
        <f t="shared" si="12"/>
        <v>95465.753066397447</v>
      </c>
      <c r="E7" s="87">
        <f t="shared" si="12"/>
        <v>89434.847750454515</v>
      </c>
      <c r="F7" s="87">
        <f t="shared" si="12"/>
        <v>84963.96879478998</v>
      </c>
      <c r="G7" s="87">
        <f t="shared" si="12"/>
        <v>89781.311196759285</v>
      </c>
      <c r="H7" s="87">
        <f t="shared" si="12"/>
        <v>86614.488333336471</v>
      </c>
      <c r="I7" s="87">
        <f t="shared" si="12"/>
        <v>81247.896221551069</v>
      </c>
      <c r="J7" s="87">
        <f t="shared" si="12"/>
        <v>78392.827961286283</v>
      </c>
      <c r="K7" s="87">
        <f t="shared" si="12"/>
        <v>77661.166189174648</v>
      </c>
      <c r="L7" s="87">
        <f t="shared" si="5"/>
        <v>73582.350476671651</v>
      </c>
      <c r="M7" s="87">
        <f t="shared" ref="M7:V7" si="13">IF(M34=0,0,M34*M144)</f>
        <v>69932.034181585943</v>
      </c>
      <c r="N7" s="87">
        <f t="shared" si="13"/>
        <v>69702.217841728954</v>
      </c>
      <c r="O7" s="87">
        <f t="shared" si="13"/>
        <v>72462.151414046777</v>
      </c>
      <c r="P7" s="87">
        <f t="shared" si="13"/>
        <v>71907.66549383002</v>
      </c>
      <c r="Q7" s="87">
        <f t="shared" si="13"/>
        <v>72957.803252425583</v>
      </c>
      <c r="R7" s="87">
        <f t="shared" si="13"/>
        <v>74282.346628402491</v>
      </c>
      <c r="S7" s="87">
        <f t="shared" si="13"/>
        <v>77394.880094787615</v>
      </c>
      <c r="T7" s="87">
        <f t="shared" si="13"/>
        <v>77642.961528731641</v>
      </c>
      <c r="U7" s="87">
        <f t="shared" si="13"/>
        <v>80784.637663260859</v>
      </c>
      <c r="V7" s="87">
        <f t="shared" si="13"/>
        <v>76267.366717230441</v>
      </c>
      <c r="W7" s="87">
        <f t="shared" ref="W7:Y7" si="14">IF(W34=0,0,W34*W144)</f>
        <v>88371.902080515429</v>
      </c>
      <c r="X7" s="87">
        <f t="shared" si="14"/>
        <v>92681.487857273445</v>
      </c>
      <c r="Y7" s="87">
        <f t="shared" si="14"/>
        <v>101577.47083560524</v>
      </c>
      <c r="DA7" s="171" t="s">
        <v>456</v>
      </c>
    </row>
    <row r="8" spans="1:105" ht="11.45" customHeight="1" x14ac:dyDescent="0.25">
      <c r="A8" s="111" t="s">
        <v>111</v>
      </c>
      <c r="B8" s="87">
        <f t="shared" ref="B8:K8" si="15">IF(B35=0,0,B35*B145)</f>
        <v>18121.07263234182</v>
      </c>
      <c r="C8" s="87">
        <f t="shared" si="15"/>
        <v>20725.216297831023</v>
      </c>
      <c r="D8" s="87">
        <f t="shared" si="15"/>
        <v>20376.476801853216</v>
      </c>
      <c r="E8" s="87">
        <f t="shared" si="15"/>
        <v>24948.116889102996</v>
      </c>
      <c r="F8" s="87">
        <f t="shared" si="15"/>
        <v>30485.273268873512</v>
      </c>
      <c r="G8" s="87">
        <f t="shared" si="15"/>
        <v>25953.946274130169</v>
      </c>
      <c r="H8" s="87">
        <f t="shared" si="15"/>
        <v>32892.729244721195</v>
      </c>
      <c r="I8" s="87">
        <f t="shared" si="15"/>
        <v>43846.713946769305</v>
      </c>
      <c r="J8" s="87">
        <f t="shared" si="15"/>
        <v>57055.338668140001</v>
      </c>
      <c r="K8" s="87">
        <f t="shared" si="15"/>
        <v>66742.128340541167</v>
      </c>
      <c r="L8" s="87">
        <f t="shared" ref="L8" si="16">IF(L35=0,0,L35*L145)</f>
        <v>74388.515719560804</v>
      </c>
      <c r="M8" s="87">
        <f t="shared" ref="M8:V8" si="17">IF(M35=0,0,M35*M145)</f>
        <v>82917.67076699376</v>
      </c>
      <c r="N8" s="87">
        <f t="shared" si="17"/>
        <v>88510.335097614676</v>
      </c>
      <c r="O8" s="87">
        <f t="shared" si="17"/>
        <v>89588.643558866141</v>
      </c>
      <c r="P8" s="87">
        <f t="shared" si="17"/>
        <v>93939.777810661646</v>
      </c>
      <c r="Q8" s="87">
        <f t="shared" si="17"/>
        <v>96213.511080031851</v>
      </c>
      <c r="R8" s="87">
        <f t="shared" si="17"/>
        <v>103634.89693242229</v>
      </c>
      <c r="S8" s="87">
        <f t="shared" si="17"/>
        <v>108086.24714693481</v>
      </c>
      <c r="T8" s="87">
        <f t="shared" si="17"/>
        <v>112304.2243932976</v>
      </c>
      <c r="U8" s="87">
        <f t="shared" si="17"/>
        <v>114198.73233611883</v>
      </c>
      <c r="V8" s="87">
        <f t="shared" si="17"/>
        <v>113257.90110742087</v>
      </c>
      <c r="W8" s="87">
        <f t="shared" ref="W8:Y8" si="18">IF(W35=0,0,W35*W145)</f>
        <v>107829.42501356099</v>
      </c>
      <c r="X8" s="87">
        <f t="shared" si="18"/>
        <v>107511.85888459545</v>
      </c>
      <c r="Y8" s="87">
        <f t="shared" si="18"/>
        <v>106196.79095388591</v>
      </c>
      <c r="DA8" s="171" t="s">
        <v>457</v>
      </c>
    </row>
    <row r="9" spans="1:105" ht="11.45" customHeight="1" x14ac:dyDescent="0.25">
      <c r="A9" s="111" t="s">
        <v>112</v>
      </c>
      <c r="B9" s="87">
        <f t="shared" ref="B9:K9" si="19">IF(B36=0,0,B36*B146)</f>
        <v>9246.8708160367842</v>
      </c>
      <c r="C9" s="87">
        <f t="shared" si="19"/>
        <v>14019.944978452873</v>
      </c>
      <c r="D9" s="87">
        <f t="shared" si="19"/>
        <v>19957.77013174933</v>
      </c>
      <c r="E9" s="87">
        <f t="shared" si="19"/>
        <v>26917.035360442485</v>
      </c>
      <c r="F9" s="87">
        <f t="shared" si="19"/>
        <v>31350.757936336508</v>
      </c>
      <c r="G9" s="87">
        <f t="shared" si="19"/>
        <v>36564.742529110554</v>
      </c>
      <c r="H9" s="87">
        <f t="shared" si="19"/>
        <v>37092.782421942335</v>
      </c>
      <c r="I9" s="87">
        <f t="shared" si="19"/>
        <v>37205.389831679633</v>
      </c>
      <c r="J9" s="87">
        <f t="shared" si="19"/>
        <v>37151.83337057371</v>
      </c>
      <c r="K9" s="87">
        <f t="shared" si="19"/>
        <v>38354.705470284185</v>
      </c>
      <c r="L9" s="87">
        <f t="shared" ref="L9" si="20">IF(L36=0,0,L36*L146)</f>
        <v>40838.978493036579</v>
      </c>
      <c r="M9" s="87">
        <f t="shared" ref="M9:V9" si="21">IF(M36=0,0,M36*M146)</f>
        <v>36252.23706071054</v>
      </c>
      <c r="N9" s="87">
        <f t="shared" si="21"/>
        <v>31109.091676698026</v>
      </c>
      <c r="O9" s="87">
        <f t="shared" si="21"/>
        <v>31282.299054640127</v>
      </c>
      <c r="P9" s="87">
        <f t="shared" si="21"/>
        <v>31172.843744675949</v>
      </c>
      <c r="Q9" s="87">
        <f t="shared" si="21"/>
        <v>31328.858321201555</v>
      </c>
      <c r="R9" s="87">
        <f t="shared" si="21"/>
        <v>35299.83970464654</v>
      </c>
      <c r="S9" s="87">
        <f t="shared" si="21"/>
        <v>35939.041124676485</v>
      </c>
      <c r="T9" s="87">
        <f t="shared" si="21"/>
        <v>37506.906952499361</v>
      </c>
      <c r="U9" s="87">
        <f t="shared" si="21"/>
        <v>37086.799398073446</v>
      </c>
      <c r="V9" s="87">
        <f t="shared" si="21"/>
        <v>34354.656499833116</v>
      </c>
      <c r="W9" s="87">
        <f t="shared" ref="W9:Y9" si="22">IF(W36=0,0,W36*W146)</f>
        <v>35121.455213410925</v>
      </c>
      <c r="X9" s="87">
        <f t="shared" si="22"/>
        <v>36496.369310368311</v>
      </c>
      <c r="Y9" s="87">
        <f t="shared" si="22"/>
        <v>39035.268905008597</v>
      </c>
      <c r="DA9" s="171" t="s">
        <v>458</v>
      </c>
    </row>
    <row r="10" spans="1:105" ht="11.45" customHeight="1" x14ac:dyDescent="0.25">
      <c r="A10" s="111" t="s">
        <v>113</v>
      </c>
      <c r="B10" s="87">
        <f t="shared" ref="B10:K10" si="23">IF(B37=0,0,B37*B147)</f>
        <v>0</v>
      </c>
      <c r="C10" s="87">
        <f t="shared" si="23"/>
        <v>0</v>
      </c>
      <c r="D10" s="87">
        <f t="shared" si="23"/>
        <v>0</v>
      </c>
      <c r="E10" s="87">
        <f t="shared" si="23"/>
        <v>0</v>
      </c>
      <c r="F10" s="87">
        <f t="shared" si="23"/>
        <v>0</v>
      </c>
      <c r="G10" s="87">
        <f t="shared" si="23"/>
        <v>0</v>
      </c>
      <c r="H10" s="87">
        <f t="shared" si="23"/>
        <v>0</v>
      </c>
      <c r="I10" s="87">
        <f t="shared" si="23"/>
        <v>0</v>
      </c>
      <c r="J10" s="87">
        <f t="shared" si="23"/>
        <v>0</v>
      </c>
      <c r="K10" s="87">
        <f t="shared" si="23"/>
        <v>0</v>
      </c>
      <c r="L10" s="87">
        <f t="shared" ref="L10" si="24">IF(L37=0,0,L37*L147)</f>
        <v>0</v>
      </c>
      <c r="M10" s="87">
        <f t="shared" ref="M10:V10" si="25">IF(M37=0,0,M37*M147)</f>
        <v>0</v>
      </c>
      <c r="N10" s="87">
        <f t="shared" si="25"/>
        <v>0</v>
      </c>
      <c r="O10" s="87">
        <f t="shared" si="25"/>
        <v>0</v>
      </c>
      <c r="P10" s="87">
        <f t="shared" si="25"/>
        <v>0</v>
      </c>
      <c r="Q10" s="87">
        <f t="shared" si="25"/>
        <v>62.560372573427088</v>
      </c>
      <c r="R10" s="87">
        <f t="shared" si="25"/>
        <v>84.549291486777378</v>
      </c>
      <c r="S10" s="87">
        <f t="shared" si="25"/>
        <v>90.209471266034683</v>
      </c>
      <c r="T10" s="87">
        <f t="shared" si="25"/>
        <v>90.852636122475303</v>
      </c>
      <c r="U10" s="87">
        <f t="shared" si="25"/>
        <v>91.537007396019305</v>
      </c>
      <c r="V10" s="87">
        <f t="shared" si="25"/>
        <v>83.597917445600856</v>
      </c>
      <c r="W10" s="87">
        <f t="shared" ref="W10:Y10" si="26">IF(W37=0,0,W37*W147)</f>
        <v>85.574040081956511</v>
      </c>
      <c r="X10" s="87">
        <f t="shared" si="26"/>
        <v>84.161288647312617</v>
      </c>
      <c r="Y10" s="87">
        <f t="shared" si="26"/>
        <v>83.880651646162917</v>
      </c>
      <c r="DA10" s="171" t="s">
        <v>459</v>
      </c>
    </row>
    <row r="11" spans="1:105" ht="11.45" customHeight="1" x14ac:dyDescent="0.25">
      <c r="A11" s="111" t="s">
        <v>114</v>
      </c>
      <c r="B11" s="87">
        <f t="shared" ref="B11:K11" si="27">IF(B38=0,0,B38*B148)</f>
        <v>0</v>
      </c>
      <c r="C11" s="87">
        <f t="shared" si="27"/>
        <v>0</v>
      </c>
      <c r="D11" s="87">
        <f t="shared" si="27"/>
        <v>0</v>
      </c>
      <c r="E11" s="87">
        <f t="shared" si="27"/>
        <v>0</v>
      </c>
      <c r="F11" s="87">
        <f t="shared" si="27"/>
        <v>0</v>
      </c>
      <c r="G11" s="87">
        <f t="shared" si="27"/>
        <v>0</v>
      </c>
      <c r="H11" s="87">
        <f t="shared" si="27"/>
        <v>0</v>
      </c>
      <c r="I11" s="87">
        <f t="shared" si="27"/>
        <v>0</v>
      </c>
      <c r="J11" s="87">
        <f t="shared" si="27"/>
        <v>0</v>
      </c>
      <c r="K11" s="87">
        <f t="shared" si="27"/>
        <v>0</v>
      </c>
      <c r="L11" s="87">
        <f t="shared" ref="L11" si="28">IF(L38=0,0,L38*L148)</f>
        <v>0</v>
      </c>
      <c r="M11" s="87">
        <f t="shared" ref="M11:V11" si="29">IF(M38=0,0,M38*M148)</f>
        <v>0</v>
      </c>
      <c r="N11" s="87">
        <f t="shared" si="29"/>
        <v>0.15178324735535323</v>
      </c>
      <c r="O11" s="87">
        <f t="shared" si="29"/>
        <v>0.27507680816957297</v>
      </c>
      <c r="P11" s="87">
        <f t="shared" si="29"/>
        <v>8.3752226408097972</v>
      </c>
      <c r="Q11" s="87">
        <f t="shared" si="29"/>
        <v>3.3946776287297866</v>
      </c>
      <c r="R11" s="87">
        <f t="shared" si="29"/>
        <v>5.7229191211844626</v>
      </c>
      <c r="S11" s="87">
        <f t="shared" si="29"/>
        <v>11.234153578312375</v>
      </c>
      <c r="T11" s="87">
        <f t="shared" si="29"/>
        <v>20.963788855970456</v>
      </c>
      <c r="U11" s="87">
        <f t="shared" si="29"/>
        <v>30.267945192851627</v>
      </c>
      <c r="V11" s="87">
        <f t="shared" si="29"/>
        <v>68.80316907074095</v>
      </c>
      <c r="W11" s="87">
        <f t="shared" ref="W11:Y11" si="30">IF(W38=0,0,W38*W148)</f>
        <v>181.60814563765271</v>
      </c>
      <c r="X11" s="87">
        <f t="shared" si="30"/>
        <v>314.49791929305377</v>
      </c>
      <c r="Y11" s="87">
        <f t="shared" si="30"/>
        <v>563.60464677507343</v>
      </c>
      <c r="DA11" s="171" t="s">
        <v>460</v>
      </c>
    </row>
    <row r="12" spans="1:105" ht="11.45" customHeight="1" x14ac:dyDescent="0.25">
      <c r="A12" s="111" t="s">
        <v>115</v>
      </c>
      <c r="B12" s="87">
        <f t="shared" ref="B12:K12" si="31">IF(B39=0,0,B39*B149)</f>
        <v>0</v>
      </c>
      <c r="C12" s="87">
        <f t="shared" si="31"/>
        <v>0</v>
      </c>
      <c r="D12" s="87">
        <f t="shared" si="31"/>
        <v>0</v>
      </c>
      <c r="E12" s="87">
        <f t="shared" si="31"/>
        <v>0</v>
      </c>
      <c r="F12" s="87">
        <f t="shared" si="31"/>
        <v>0</v>
      </c>
      <c r="G12" s="87">
        <f t="shared" si="31"/>
        <v>0</v>
      </c>
      <c r="H12" s="87">
        <f t="shared" si="31"/>
        <v>0</v>
      </c>
      <c r="I12" s="87">
        <f t="shared" si="31"/>
        <v>0</v>
      </c>
      <c r="J12" s="87">
        <f t="shared" si="31"/>
        <v>0</v>
      </c>
      <c r="K12" s="87">
        <f t="shared" si="31"/>
        <v>0</v>
      </c>
      <c r="L12" s="87">
        <f t="shared" ref="L12" si="32">IF(L39=0,0,L39*L149)</f>
        <v>0.15531073096014353</v>
      </c>
      <c r="M12" s="87">
        <f t="shared" ref="M12:V12" si="33">IF(M39=0,0,M39*M149)</f>
        <v>1.0579907097597587</v>
      </c>
      <c r="N12" s="87">
        <f t="shared" si="33"/>
        <v>2.2036007109855937</v>
      </c>
      <c r="O12" s="87">
        <f t="shared" si="33"/>
        <v>2.6308956387776856</v>
      </c>
      <c r="P12" s="87">
        <f t="shared" si="33"/>
        <v>3.3377281915730759</v>
      </c>
      <c r="Q12" s="87">
        <f t="shared" si="33"/>
        <v>3.8722961388580237</v>
      </c>
      <c r="R12" s="87">
        <f t="shared" si="33"/>
        <v>10.644523920727135</v>
      </c>
      <c r="S12" s="87">
        <f t="shared" si="33"/>
        <v>23.388008756748807</v>
      </c>
      <c r="T12" s="87">
        <f t="shared" si="33"/>
        <v>46.090700492948301</v>
      </c>
      <c r="U12" s="87">
        <f t="shared" si="33"/>
        <v>63.02564995798565</v>
      </c>
      <c r="V12" s="87">
        <f t="shared" si="33"/>
        <v>97.674588999226629</v>
      </c>
      <c r="W12" s="87">
        <f t="shared" ref="W12:Y12" si="34">IF(W39=0,0,W39*W149)</f>
        <v>130.03550679303095</v>
      </c>
      <c r="X12" s="87">
        <f t="shared" si="34"/>
        <v>228.624739822425</v>
      </c>
      <c r="Y12" s="87">
        <f t="shared" si="34"/>
        <v>464.43570840507249</v>
      </c>
      <c r="DA12" s="171" t="s">
        <v>461</v>
      </c>
    </row>
    <row r="13" spans="1:105" ht="11.45" customHeight="1" x14ac:dyDescent="0.25">
      <c r="A13" s="109" t="s">
        <v>21</v>
      </c>
      <c r="B13" s="116">
        <f t="shared" ref="B13:K13" si="35">SUM(B14:B18)</f>
        <v>59200</v>
      </c>
      <c r="C13" s="116">
        <f t="shared" si="35"/>
        <v>55400</v>
      </c>
      <c r="D13" s="116">
        <f t="shared" si="35"/>
        <v>52000</v>
      </c>
      <c r="E13" s="116">
        <f t="shared" si="35"/>
        <v>51599.999999999993</v>
      </c>
      <c r="F13" s="116">
        <f t="shared" si="35"/>
        <v>51100</v>
      </c>
      <c r="G13" s="116">
        <f t="shared" si="35"/>
        <v>49200</v>
      </c>
      <c r="H13" s="116">
        <f t="shared" si="35"/>
        <v>48700</v>
      </c>
      <c r="I13" s="116">
        <f t="shared" si="35"/>
        <v>47700</v>
      </c>
      <c r="J13" s="116">
        <f t="shared" si="35"/>
        <v>47700</v>
      </c>
      <c r="K13" s="116">
        <f t="shared" si="35"/>
        <v>43900</v>
      </c>
      <c r="L13" s="116">
        <f t="shared" ref="L13" si="36">SUM(L14:L18)</f>
        <v>41700</v>
      </c>
      <c r="M13" s="116">
        <f t="shared" ref="M13:V13" si="37">SUM(M14:M18)</f>
        <v>40100.000000000007</v>
      </c>
      <c r="N13" s="116">
        <f t="shared" si="37"/>
        <v>39419</v>
      </c>
      <c r="O13" s="116">
        <f t="shared" si="37"/>
        <v>37800</v>
      </c>
      <c r="P13" s="116">
        <f t="shared" si="37"/>
        <v>39158.000000000007</v>
      </c>
      <c r="Q13" s="116">
        <f t="shared" si="37"/>
        <v>37580</v>
      </c>
      <c r="R13" s="116">
        <f t="shared" si="37"/>
        <v>36773.999999999993</v>
      </c>
      <c r="S13" s="116">
        <f t="shared" si="37"/>
        <v>36065</v>
      </c>
      <c r="T13" s="116">
        <f t="shared" si="37"/>
        <v>34544</v>
      </c>
      <c r="U13" s="116">
        <f t="shared" si="37"/>
        <v>36235.999999999993</v>
      </c>
      <c r="V13" s="116">
        <f t="shared" si="37"/>
        <v>19300</v>
      </c>
      <c r="W13" s="116">
        <f t="shared" ref="W13:Y13" si="38">SUM(W14:W18)</f>
        <v>21086.999999999996</v>
      </c>
      <c r="X13" s="116">
        <f t="shared" si="38"/>
        <v>25981</v>
      </c>
      <c r="Y13" s="116">
        <f t="shared" si="38"/>
        <v>28475.93826024975</v>
      </c>
      <c r="DA13" s="176" t="s">
        <v>375</v>
      </c>
    </row>
    <row r="14" spans="1:105" ht="11.45" customHeight="1" x14ac:dyDescent="0.25">
      <c r="A14" s="111" t="s">
        <v>110</v>
      </c>
      <c r="B14" s="101">
        <f t="shared" ref="B14:K14" si="39">IF(B41=0,0,B41*B151)</f>
        <v>0</v>
      </c>
      <c r="C14" s="101">
        <f t="shared" si="39"/>
        <v>0</v>
      </c>
      <c r="D14" s="101">
        <f t="shared" si="39"/>
        <v>0</v>
      </c>
      <c r="E14" s="101">
        <f t="shared" si="39"/>
        <v>0</v>
      </c>
      <c r="F14" s="101">
        <f t="shared" si="39"/>
        <v>0</v>
      </c>
      <c r="G14" s="101">
        <f t="shared" si="39"/>
        <v>0</v>
      </c>
      <c r="H14" s="101">
        <f t="shared" si="39"/>
        <v>0</v>
      </c>
      <c r="I14" s="101">
        <f t="shared" si="39"/>
        <v>0</v>
      </c>
      <c r="J14" s="101">
        <f t="shared" si="39"/>
        <v>0</v>
      </c>
      <c r="K14" s="101">
        <f t="shared" si="39"/>
        <v>0</v>
      </c>
      <c r="L14" s="101">
        <f t="shared" ref="L14" si="40">IF(L41=0,0,L41*L151)</f>
        <v>0</v>
      </c>
      <c r="M14" s="101">
        <f t="shared" ref="M14:V14" si="41">IF(M41=0,0,M41*M151)</f>
        <v>0</v>
      </c>
      <c r="N14" s="101">
        <f t="shared" si="41"/>
        <v>0</v>
      </c>
      <c r="O14" s="101">
        <f t="shared" si="41"/>
        <v>0</v>
      </c>
      <c r="P14" s="101">
        <f t="shared" si="41"/>
        <v>0</v>
      </c>
      <c r="Q14" s="101">
        <f t="shared" si="41"/>
        <v>0</v>
      </c>
      <c r="R14" s="101">
        <f t="shared" si="41"/>
        <v>0</v>
      </c>
      <c r="S14" s="101">
        <f t="shared" si="41"/>
        <v>0</v>
      </c>
      <c r="T14" s="101">
        <f t="shared" si="41"/>
        <v>0</v>
      </c>
      <c r="U14" s="101">
        <f t="shared" si="41"/>
        <v>0</v>
      </c>
      <c r="V14" s="101">
        <f t="shared" si="41"/>
        <v>0</v>
      </c>
      <c r="W14" s="101">
        <f t="shared" ref="W14:Y14" si="42">IF(W41=0,0,W41*W151)</f>
        <v>0</v>
      </c>
      <c r="X14" s="101">
        <f t="shared" si="42"/>
        <v>0</v>
      </c>
      <c r="Y14" s="101">
        <f t="shared" si="42"/>
        <v>0</v>
      </c>
      <c r="DA14" s="175" t="s">
        <v>462</v>
      </c>
    </row>
    <row r="15" spans="1:105" ht="11.45" customHeight="1" x14ac:dyDescent="0.25">
      <c r="A15" s="111" t="s">
        <v>111</v>
      </c>
      <c r="B15" s="101">
        <f t="shared" ref="B15:K15" si="43">IF(B42=0,0,B42*B152)</f>
        <v>57941.583501989167</v>
      </c>
      <c r="C15" s="101">
        <f t="shared" si="43"/>
        <v>54257.578788174695</v>
      </c>
      <c r="D15" s="101">
        <f t="shared" si="43"/>
        <v>50993.657426070276</v>
      </c>
      <c r="E15" s="101">
        <f t="shared" si="43"/>
        <v>50732.810050688306</v>
      </c>
      <c r="F15" s="101">
        <f t="shared" si="43"/>
        <v>49395.224490258181</v>
      </c>
      <c r="G15" s="101">
        <f t="shared" si="43"/>
        <v>47163.267289145253</v>
      </c>
      <c r="H15" s="101">
        <f t="shared" si="43"/>
        <v>46738.434085557303</v>
      </c>
      <c r="I15" s="101">
        <f t="shared" si="43"/>
        <v>45916.56347861173</v>
      </c>
      <c r="J15" s="101">
        <f t="shared" si="43"/>
        <v>45993.280980209849</v>
      </c>
      <c r="K15" s="101">
        <f t="shared" si="43"/>
        <v>42444.353139308078</v>
      </c>
      <c r="L15" s="101">
        <f t="shared" ref="L15" si="44">IF(L42=0,0,L42*L152)</f>
        <v>40385.856979576187</v>
      </c>
      <c r="M15" s="101">
        <f t="shared" ref="M15:V15" si="45">IF(M42=0,0,M42*M152)</f>
        <v>38928.187808641364</v>
      </c>
      <c r="N15" s="101">
        <f t="shared" si="45"/>
        <v>38321.565434907825</v>
      </c>
      <c r="O15" s="101">
        <f t="shared" si="45"/>
        <v>36784.481864487861</v>
      </c>
      <c r="P15" s="101">
        <f t="shared" si="45"/>
        <v>38170.609324464349</v>
      </c>
      <c r="Q15" s="101">
        <f t="shared" si="45"/>
        <v>36292.694756797668</v>
      </c>
      <c r="R15" s="101">
        <f t="shared" si="45"/>
        <v>35568.337384087667</v>
      </c>
      <c r="S15" s="101">
        <f t="shared" si="45"/>
        <v>34940.15605982612</v>
      </c>
      <c r="T15" s="101">
        <f t="shared" si="45"/>
        <v>33079.046013768639</v>
      </c>
      <c r="U15" s="101">
        <f t="shared" si="45"/>
        <v>34677.68871947904</v>
      </c>
      <c r="V15" s="101">
        <f t="shared" si="45"/>
        <v>18270.802255843155</v>
      </c>
      <c r="W15" s="101">
        <f t="shared" ref="W15:Y15" si="46">IF(W42=0,0,W42*W152)</f>
        <v>19737.838347787474</v>
      </c>
      <c r="X15" s="101">
        <f t="shared" si="46"/>
        <v>24145.775731325983</v>
      </c>
      <c r="Y15" s="101">
        <f t="shared" si="46"/>
        <v>26183.318018569116</v>
      </c>
      <c r="DA15" s="175" t="s">
        <v>463</v>
      </c>
    </row>
    <row r="16" spans="1:105" ht="11.45" customHeight="1" x14ac:dyDescent="0.25">
      <c r="A16" s="111" t="s">
        <v>112</v>
      </c>
      <c r="B16" s="101">
        <f t="shared" ref="B16:K16" si="47">IF(B43=0,0,B43*B153)</f>
        <v>909.69029029842727</v>
      </c>
      <c r="C16" s="101">
        <f t="shared" si="47"/>
        <v>781.43483110664658</v>
      </c>
      <c r="D16" s="101">
        <f t="shared" si="47"/>
        <v>658.3669848146609</v>
      </c>
      <c r="E16" s="101">
        <f t="shared" si="47"/>
        <v>594.2006303206814</v>
      </c>
      <c r="F16" s="101">
        <f t="shared" si="47"/>
        <v>1478.7231482669133</v>
      </c>
      <c r="G16" s="101">
        <f t="shared" si="47"/>
        <v>1285.8776128037434</v>
      </c>
      <c r="H16" s="101">
        <f t="shared" si="47"/>
        <v>1230.6031277279608</v>
      </c>
      <c r="I16" s="101">
        <f t="shared" si="47"/>
        <v>1101.7492918276721</v>
      </c>
      <c r="J16" s="101">
        <f t="shared" si="47"/>
        <v>1041.9362676447797</v>
      </c>
      <c r="K16" s="101">
        <f t="shared" si="47"/>
        <v>875.6670305287771</v>
      </c>
      <c r="L16" s="101">
        <f t="shared" ref="L16" si="48">IF(L43=0,0,L43*L153)</f>
        <v>770.25152596646228</v>
      </c>
      <c r="M16" s="101">
        <f t="shared" ref="M16:V16" si="49">IF(M43=0,0,M43*M153)</f>
        <v>673.57391376092448</v>
      </c>
      <c r="N16" s="101">
        <f t="shared" si="49"/>
        <v>622.99774912271073</v>
      </c>
      <c r="O16" s="101">
        <f t="shared" si="49"/>
        <v>544.13099516986358</v>
      </c>
      <c r="P16" s="101">
        <f t="shared" si="49"/>
        <v>503.58100822756273</v>
      </c>
      <c r="Q16" s="101">
        <f t="shared" si="49"/>
        <v>379.33338345050589</v>
      </c>
      <c r="R16" s="101">
        <f t="shared" si="49"/>
        <v>343.2259189159455</v>
      </c>
      <c r="S16" s="101">
        <f t="shared" si="49"/>
        <v>324.93196703951207</v>
      </c>
      <c r="T16" s="101">
        <f t="shared" si="49"/>
        <v>304.18421159615616</v>
      </c>
      <c r="U16" s="101">
        <f t="shared" si="49"/>
        <v>309.80094496571883</v>
      </c>
      <c r="V16" s="101">
        <f t="shared" si="49"/>
        <v>160.85114344957637</v>
      </c>
      <c r="W16" s="101">
        <f t="shared" ref="W16:Y16" si="50">IF(W43=0,0,W43*W153)</f>
        <v>175.40490074462016</v>
      </c>
      <c r="X16" s="101">
        <f t="shared" si="50"/>
        <v>214.25407985878971</v>
      </c>
      <c r="Y16" s="101">
        <f t="shared" si="50"/>
        <v>225.40927426563343</v>
      </c>
      <c r="DA16" s="175" t="s">
        <v>464</v>
      </c>
    </row>
    <row r="17" spans="1:105" ht="11.45" customHeight="1" x14ac:dyDescent="0.25">
      <c r="A17" s="111" t="s">
        <v>113</v>
      </c>
      <c r="B17" s="101">
        <f t="shared" ref="B17:K17" si="51">IF(B44=0,0,B44*B154)</f>
        <v>0</v>
      </c>
      <c r="C17" s="101">
        <f t="shared" si="51"/>
        <v>0</v>
      </c>
      <c r="D17" s="101">
        <f t="shared" si="51"/>
        <v>0</v>
      </c>
      <c r="E17" s="101">
        <f t="shared" si="51"/>
        <v>0</v>
      </c>
      <c r="F17" s="101">
        <f t="shared" si="51"/>
        <v>0</v>
      </c>
      <c r="G17" s="101">
        <f t="shared" si="51"/>
        <v>0</v>
      </c>
      <c r="H17" s="101">
        <f t="shared" si="51"/>
        <v>0</v>
      </c>
      <c r="I17" s="101">
        <f t="shared" si="51"/>
        <v>0</v>
      </c>
      <c r="J17" s="101">
        <f t="shared" si="51"/>
        <v>0</v>
      </c>
      <c r="K17" s="101">
        <f t="shared" si="51"/>
        <v>0</v>
      </c>
      <c r="L17" s="101">
        <f t="shared" ref="L17" si="52">IF(L44=0,0,L44*L154)</f>
        <v>0</v>
      </c>
      <c r="M17" s="101">
        <f t="shared" ref="M17:V17" si="53">IF(M44=0,0,M44*M154)</f>
        <v>0</v>
      </c>
      <c r="N17" s="101">
        <f t="shared" si="53"/>
        <v>0</v>
      </c>
      <c r="O17" s="101">
        <f t="shared" si="53"/>
        <v>0</v>
      </c>
      <c r="P17" s="101">
        <f t="shared" si="53"/>
        <v>0</v>
      </c>
      <c r="Q17" s="101">
        <f t="shared" si="53"/>
        <v>484.42069630449697</v>
      </c>
      <c r="R17" s="101">
        <f t="shared" si="53"/>
        <v>421.36030512233594</v>
      </c>
      <c r="S17" s="101">
        <f t="shared" si="53"/>
        <v>313.62641338780958</v>
      </c>
      <c r="T17" s="101">
        <f t="shared" si="53"/>
        <v>737.70825643559863</v>
      </c>
      <c r="U17" s="101">
        <f t="shared" si="53"/>
        <v>966.90789464923216</v>
      </c>
      <c r="V17" s="101">
        <f t="shared" si="53"/>
        <v>631.75122295523863</v>
      </c>
      <c r="W17" s="101">
        <f t="shared" ref="W17:Y17" si="54">IF(W44=0,0,W44*W154)</f>
        <v>804.78867839801353</v>
      </c>
      <c r="X17" s="101">
        <f t="shared" si="54"/>
        <v>1066.8422388152494</v>
      </c>
      <c r="Y17" s="101">
        <f t="shared" si="54"/>
        <v>1223.9288067315265</v>
      </c>
      <c r="DA17" s="175" t="s">
        <v>465</v>
      </c>
    </row>
    <row r="18" spans="1:105" ht="11.45" customHeight="1" x14ac:dyDescent="0.25">
      <c r="A18" s="111" t="s">
        <v>115</v>
      </c>
      <c r="B18" s="101">
        <f t="shared" ref="B18:K18" si="55">IF(B45=0,0,B45*B155)</f>
        <v>348.72620771240145</v>
      </c>
      <c r="C18" s="101">
        <f t="shared" si="55"/>
        <v>360.98638071865759</v>
      </c>
      <c r="D18" s="101">
        <f t="shared" si="55"/>
        <v>347.97558911506212</v>
      </c>
      <c r="E18" s="101">
        <f t="shared" si="55"/>
        <v>272.98931899101046</v>
      </c>
      <c r="F18" s="101">
        <f t="shared" si="55"/>
        <v>226.05236147490618</v>
      </c>
      <c r="G18" s="101">
        <f t="shared" si="55"/>
        <v>750.85509805100241</v>
      </c>
      <c r="H18" s="101">
        <f t="shared" si="55"/>
        <v>730.96278671473749</v>
      </c>
      <c r="I18" s="101">
        <f t="shared" si="55"/>
        <v>681.68722956059923</v>
      </c>
      <c r="J18" s="101">
        <f t="shared" si="55"/>
        <v>664.78275214536939</v>
      </c>
      <c r="K18" s="101">
        <f t="shared" si="55"/>
        <v>579.97983016314686</v>
      </c>
      <c r="L18" s="101">
        <f t="shared" ref="L18" si="56">IF(L45=0,0,L45*L155)</f>
        <v>543.89149445734836</v>
      </c>
      <c r="M18" s="101">
        <f t="shared" ref="M18:V18" si="57">IF(M45=0,0,M45*M155)</f>
        <v>498.23827759771342</v>
      </c>
      <c r="N18" s="101">
        <f t="shared" si="57"/>
        <v>474.43681596946539</v>
      </c>
      <c r="O18" s="101">
        <f t="shared" si="57"/>
        <v>471.38714034227689</v>
      </c>
      <c r="P18" s="101">
        <f t="shared" si="57"/>
        <v>483.80966730809092</v>
      </c>
      <c r="Q18" s="101">
        <f t="shared" si="57"/>
        <v>423.55116344732636</v>
      </c>
      <c r="R18" s="101">
        <f t="shared" si="57"/>
        <v>441.07639187404857</v>
      </c>
      <c r="S18" s="101">
        <f t="shared" si="57"/>
        <v>486.28555974655774</v>
      </c>
      <c r="T18" s="101">
        <f t="shared" si="57"/>
        <v>423.06151819960945</v>
      </c>
      <c r="U18" s="101">
        <f t="shared" si="57"/>
        <v>281.60244090600804</v>
      </c>
      <c r="V18" s="101">
        <f t="shared" si="57"/>
        <v>236.59537775203046</v>
      </c>
      <c r="W18" s="101">
        <f t="shared" ref="W18:Y18" si="58">IF(W45=0,0,W45*W155)</f>
        <v>368.96807306989047</v>
      </c>
      <c r="X18" s="101">
        <f t="shared" si="58"/>
        <v>554.12794999997732</v>
      </c>
      <c r="Y18" s="101">
        <f t="shared" si="58"/>
        <v>843.28216068347831</v>
      </c>
      <c r="DA18" s="175" t="s">
        <v>466</v>
      </c>
    </row>
    <row r="19" spans="1:105" ht="11.45" customHeight="1" x14ac:dyDescent="0.25">
      <c r="A19" s="27" t="s">
        <v>28</v>
      </c>
      <c r="B19" s="29">
        <f t="shared" ref="B19:K19" si="59">B20+B26</f>
        <v>70544.260432518742</v>
      </c>
      <c r="C19" s="29">
        <f t="shared" si="59"/>
        <v>72797.137600275499</v>
      </c>
      <c r="D19" s="29">
        <f t="shared" si="59"/>
        <v>75672.957365720562</v>
      </c>
      <c r="E19" s="29">
        <f t="shared" si="59"/>
        <v>78656.933152701677</v>
      </c>
      <c r="F19" s="29">
        <f t="shared" si="59"/>
        <v>87863.138221890811</v>
      </c>
      <c r="G19" s="29">
        <f t="shared" si="59"/>
        <v>91014.214731414715</v>
      </c>
      <c r="H19" s="29">
        <f t="shared" si="59"/>
        <v>95439.613181883615</v>
      </c>
      <c r="I19" s="29">
        <f t="shared" si="59"/>
        <v>99982.055797508976</v>
      </c>
      <c r="J19" s="29">
        <f t="shared" si="59"/>
        <v>106611.05364412046</v>
      </c>
      <c r="K19" s="29">
        <f t="shared" si="59"/>
        <v>112618.41029388714</v>
      </c>
      <c r="L19" s="29">
        <f t="shared" ref="L19" si="60">L20+L26</f>
        <v>121843.03489495581</v>
      </c>
      <c r="M19" s="29">
        <f t="shared" ref="M19:V19" si="61">M20+M26</f>
        <v>131520.76589460566</v>
      </c>
      <c r="N19" s="29">
        <f t="shared" si="61"/>
        <v>133808.73704450359</v>
      </c>
      <c r="O19" s="29">
        <f t="shared" si="61"/>
        <v>147659.4693523621</v>
      </c>
      <c r="P19" s="29">
        <f t="shared" si="61"/>
        <v>144666.2040003622</v>
      </c>
      <c r="Q19" s="29">
        <f t="shared" si="61"/>
        <v>153612.88376567207</v>
      </c>
      <c r="R19" s="29">
        <f t="shared" si="61"/>
        <v>160747.06065454698</v>
      </c>
      <c r="S19" s="29">
        <f t="shared" si="61"/>
        <v>180807.13443491561</v>
      </c>
      <c r="T19" s="29">
        <f t="shared" si="61"/>
        <v>169104.53360652592</v>
      </c>
      <c r="U19" s="29">
        <f t="shared" si="61"/>
        <v>180601.89719398911</v>
      </c>
      <c r="V19" s="29">
        <f t="shared" si="61"/>
        <v>182784.69415462617</v>
      </c>
      <c r="W19" s="29">
        <f t="shared" ref="W19:Y19" si="62">W20+W26</f>
        <v>197700.23925431209</v>
      </c>
      <c r="X19" s="29">
        <f t="shared" si="62"/>
        <v>204760.75630318385</v>
      </c>
      <c r="Y19" s="29">
        <f t="shared" si="62"/>
        <v>200009.28651791118</v>
      </c>
      <c r="DA19" s="173" t="s">
        <v>381</v>
      </c>
    </row>
    <row r="20" spans="1:105" ht="11.45" customHeight="1" x14ac:dyDescent="0.25">
      <c r="A20" s="136" t="s">
        <v>153</v>
      </c>
      <c r="B20" s="152">
        <f t="shared" ref="B20:K20" si="63">SUM(B21:B25)</f>
        <v>3869.1154587522142</v>
      </c>
      <c r="C20" s="152">
        <f t="shared" si="63"/>
        <v>3792.6540508980656</v>
      </c>
      <c r="D20" s="152">
        <f t="shared" si="63"/>
        <v>3989.2869630346099</v>
      </c>
      <c r="E20" s="152">
        <f t="shared" si="63"/>
        <v>4131.9963086666576</v>
      </c>
      <c r="F20" s="152">
        <f t="shared" si="63"/>
        <v>4054.3197530436855</v>
      </c>
      <c r="G20" s="152">
        <f t="shared" si="63"/>
        <v>4202.6749026788402</v>
      </c>
      <c r="H20" s="152">
        <f t="shared" si="63"/>
        <v>4439.4903178175573</v>
      </c>
      <c r="I20" s="152">
        <f t="shared" si="63"/>
        <v>4647.2083811668754</v>
      </c>
      <c r="J20" s="152">
        <f t="shared" si="63"/>
        <v>4974.4094593712143</v>
      </c>
      <c r="K20" s="152">
        <f t="shared" si="63"/>
        <v>5262.5354835893204</v>
      </c>
      <c r="L20" s="152">
        <f t="shared" ref="L20" si="64">SUM(L21:L25)</f>
        <v>5626.0372920469017</v>
      </c>
      <c r="M20" s="152">
        <f t="shared" ref="M20:V20" si="65">SUM(M21:M25)</f>
        <v>5918.8960183949921</v>
      </c>
      <c r="N20" s="152">
        <f t="shared" si="65"/>
        <v>5932.1963835860106</v>
      </c>
      <c r="O20" s="152">
        <f t="shared" si="65"/>
        <v>6119.3768060422581</v>
      </c>
      <c r="P20" s="152">
        <f t="shared" si="65"/>
        <v>6127.7777340486518</v>
      </c>
      <c r="Q20" s="152">
        <f t="shared" si="65"/>
        <v>6213.9130106012253</v>
      </c>
      <c r="R20" s="152">
        <f t="shared" si="65"/>
        <v>6542.128102141497</v>
      </c>
      <c r="S20" s="152">
        <f t="shared" si="65"/>
        <v>6812.9725167452261</v>
      </c>
      <c r="T20" s="152">
        <f t="shared" si="65"/>
        <v>7179.5336065259162</v>
      </c>
      <c r="U20" s="152">
        <f t="shared" si="65"/>
        <v>7533.8971939891135</v>
      </c>
      <c r="V20" s="152">
        <f t="shared" si="65"/>
        <v>7643.6941546261778</v>
      </c>
      <c r="W20" s="152">
        <f t="shared" ref="W20:Y20" si="66">SUM(W21:W25)</f>
        <v>7918.2392543120895</v>
      </c>
      <c r="X20" s="152">
        <f t="shared" si="66"/>
        <v>8049.7563031838517</v>
      </c>
      <c r="Y20" s="152">
        <f t="shared" si="66"/>
        <v>8143.2865179111741</v>
      </c>
      <c r="DA20" s="174" t="s">
        <v>382</v>
      </c>
    </row>
    <row r="21" spans="1:105" ht="11.45" customHeight="1" x14ac:dyDescent="0.25">
      <c r="A21" s="111" t="s">
        <v>110</v>
      </c>
      <c r="B21" s="87">
        <f t="shared" ref="B21:K21" si="67">IF(B48=0,0,B48*B158)</f>
        <v>2028.6258984504937</v>
      </c>
      <c r="C21" s="87">
        <f t="shared" si="67"/>
        <v>1982.2759941632719</v>
      </c>
      <c r="D21" s="87">
        <f t="shared" si="67"/>
        <v>1802.7243696287603</v>
      </c>
      <c r="E21" s="87">
        <f t="shared" si="67"/>
        <v>1761.2421643521579</v>
      </c>
      <c r="F21" s="87">
        <f t="shared" si="67"/>
        <v>1596.4594994069269</v>
      </c>
      <c r="G21" s="87">
        <f t="shared" si="67"/>
        <v>1430.5827029868508</v>
      </c>
      <c r="H21" s="87">
        <f t="shared" si="67"/>
        <v>1336.4452000210119</v>
      </c>
      <c r="I21" s="87">
        <f t="shared" si="67"/>
        <v>1229.7025721850468</v>
      </c>
      <c r="J21" s="87">
        <f t="shared" si="67"/>
        <v>1156.289192879455</v>
      </c>
      <c r="K21" s="87">
        <f t="shared" si="67"/>
        <v>1173.3432373227538</v>
      </c>
      <c r="L21" s="87">
        <f t="shared" ref="L21" si="68">IF(L48=0,0,L48*L158)</f>
        <v>1147.8457416022602</v>
      </c>
      <c r="M21" s="87">
        <f t="shared" ref="M21:V21" si="69">IF(M48=0,0,M48*M158)</f>
        <v>1070.7121786343096</v>
      </c>
      <c r="N21" s="87">
        <f t="shared" si="69"/>
        <v>1009.6712866705388</v>
      </c>
      <c r="O21" s="87">
        <f t="shared" si="69"/>
        <v>964.71767329715829</v>
      </c>
      <c r="P21" s="87">
        <f t="shared" si="69"/>
        <v>896.12356559839361</v>
      </c>
      <c r="Q21" s="87">
        <f t="shared" si="69"/>
        <v>810.77974612360958</v>
      </c>
      <c r="R21" s="87">
        <f t="shared" si="69"/>
        <v>809.37232146192491</v>
      </c>
      <c r="S21" s="87">
        <f t="shared" si="69"/>
        <v>842.80538004509765</v>
      </c>
      <c r="T21" s="87">
        <f t="shared" si="69"/>
        <v>838.51290962062888</v>
      </c>
      <c r="U21" s="87">
        <f t="shared" si="69"/>
        <v>845.79296980478546</v>
      </c>
      <c r="V21" s="87">
        <f t="shared" si="69"/>
        <v>792.60790282559196</v>
      </c>
      <c r="W21" s="87">
        <f t="shared" ref="W21:Y21" si="70">IF(W48=0,0,W48*W158)</f>
        <v>786.05521431675174</v>
      </c>
      <c r="X21" s="87">
        <f t="shared" si="70"/>
        <v>817.5162259193462</v>
      </c>
      <c r="Y21" s="87">
        <f t="shared" si="70"/>
        <v>801.97890569876745</v>
      </c>
      <c r="DA21" s="171" t="s">
        <v>467</v>
      </c>
    </row>
    <row r="22" spans="1:105" ht="11.45" customHeight="1" x14ac:dyDescent="0.25">
      <c r="A22" s="111" t="s">
        <v>111</v>
      </c>
      <c r="B22" s="87">
        <f t="shared" ref="B22:K22" si="71">IF(B49=0,0,B49*B159)</f>
        <v>1770.1791833360694</v>
      </c>
      <c r="C22" s="87">
        <f t="shared" si="71"/>
        <v>1729.9400187029482</v>
      </c>
      <c r="D22" s="87">
        <f t="shared" si="71"/>
        <v>2073.2960669027343</v>
      </c>
      <c r="E22" s="87">
        <f t="shared" si="71"/>
        <v>2236.3717255135466</v>
      </c>
      <c r="F22" s="87">
        <f t="shared" si="71"/>
        <v>2318.7191633757216</v>
      </c>
      <c r="G22" s="87">
        <f t="shared" si="71"/>
        <v>2619.8785385082792</v>
      </c>
      <c r="H22" s="87">
        <f t="shared" si="71"/>
        <v>2921.4590292559374</v>
      </c>
      <c r="I22" s="87">
        <f t="shared" si="71"/>
        <v>3220.4456507801688</v>
      </c>
      <c r="J22" s="87">
        <f t="shared" si="71"/>
        <v>3610.992399159938</v>
      </c>
      <c r="K22" s="87">
        <f t="shared" si="71"/>
        <v>3877.5776350451156</v>
      </c>
      <c r="L22" s="87">
        <f t="shared" ref="L22" si="72">IF(L49=0,0,L49*L159)</f>
        <v>4259.8111057325423</v>
      </c>
      <c r="M22" s="87">
        <f t="shared" ref="M22:V22" si="73">IF(M49=0,0,M49*M159)</f>
        <v>4622.6698896984226</v>
      </c>
      <c r="N22" s="87">
        <f t="shared" si="73"/>
        <v>4716.3850175667831</v>
      </c>
      <c r="O22" s="87">
        <f t="shared" si="73"/>
        <v>4949.4654660911674</v>
      </c>
      <c r="P22" s="87">
        <f t="shared" si="73"/>
        <v>5003.9106237914766</v>
      </c>
      <c r="Q22" s="87">
        <f t="shared" si="73"/>
        <v>5172.0776229888988</v>
      </c>
      <c r="R22" s="87">
        <f t="shared" si="73"/>
        <v>5500.1513202052492</v>
      </c>
      <c r="S22" s="87">
        <f t="shared" si="73"/>
        <v>5744.1933999958401</v>
      </c>
      <c r="T22" s="87">
        <f t="shared" si="73"/>
        <v>6104.7988996195445</v>
      </c>
      <c r="U22" s="87">
        <f t="shared" si="73"/>
        <v>6451.1920357567069</v>
      </c>
      <c r="V22" s="87">
        <f t="shared" si="73"/>
        <v>6622.9350823699469</v>
      </c>
      <c r="W22" s="87">
        <f t="shared" ref="W22:Y22" si="74">IF(W49=0,0,W49*W159)</f>
        <v>6903.9438770462084</v>
      </c>
      <c r="X22" s="87">
        <f t="shared" si="74"/>
        <v>7014.2467983987235</v>
      </c>
      <c r="Y22" s="87">
        <f t="shared" si="74"/>
        <v>7120.3548870038439</v>
      </c>
      <c r="DA22" s="171" t="s">
        <v>468</v>
      </c>
    </row>
    <row r="23" spans="1:105" ht="11.45" customHeight="1" x14ac:dyDescent="0.25">
      <c r="A23" s="111" t="s">
        <v>112</v>
      </c>
      <c r="B23" s="87">
        <f t="shared" ref="B23:K23" si="75">IF(B50=0,0,B50*B160)</f>
        <v>70.310376965650903</v>
      </c>
      <c r="C23" s="87">
        <f t="shared" si="75"/>
        <v>80.43803803184575</v>
      </c>
      <c r="D23" s="87">
        <f t="shared" si="75"/>
        <v>113.26652650311514</v>
      </c>
      <c r="E23" s="87">
        <f t="shared" si="75"/>
        <v>134.38241880095273</v>
      </c>
      <c r="F23" s="87">
        <f t="shared" si="75"/>
        <v>139.14109026103685</v>
      </c>
      <c r="G23" s="87">
        <f t="shared" si="75"/>
        <v>152.21366118371066</v>
      </c>
      <c r="H23" s="87">
        <f t="shared" si="75"/>
        <v>181.58608854060796</v>
      </c>
      <c r="I23" s="87">
        <f t="shared" si="75"/>
        <v>197.06015820165985</v>
      </c>
      <c r="J23" s="87">
        <f t="shared" si="75"/>
        <v>207.12786733182142</v>
      </c>
      <c r="K23" s="87">
        <f t="shared" si="75"/>
        <v>211.61461122145076</v>
      </c>
      <c r="L23" s="87">
        <f t="shared" ref="L23" si="76">IF(L50=0,0,L50*L160)</f>
        <v>218.38044471209903</v>
      </c>
      <c r="M23" s="87">
        <f t="shared" ref="M23:V23" si="77">IF(M50=0,0,M50*M160)</f>
        <v>225.51395006225985</v>
      </c>
      <c r="N23" s="87">
        <f t="shared" si="77"/>
        <v>206.13149747432522</v>
      </c>
      <c r="O23" s="87">
        <f t="shared" si="77"/>
        <v>205.17771761532177</v>
      </c>
      <c r="P23" s="87">
        <f t="shared" si="77"/>
        <v>227.72268700160612</v>
      </c>
      <c r="Q23" s="87">
        <f t="shared" si="77"/>
        <v>226.97439406525137</v>
      </c>
      <c r="R23" s="87">
        <f t="shared" si="77"/>
        <v>227.81664960492247</v>
      </c>
      <c r="S23" s="87">
        <f t="shared" si="77"/>
        <v>221.32084615797717</v>
      </c>
      <c r="T23" s="87">
        <f t="shared" si="77"/>
        <v>231.36681780427222</v>
      </c>
      <c r="U23" s="87">
        <f t="shared" si="77"/>
        <v>231.85638585870774</v>
      </c>
      <c r="V23" s="87">
        <f t="shared" si="77"/>
        <v>224.11432196699459</v>
      </c>
      <c r="W23" s="87">
        <f t="shared" ref="W23:Y23" si="78">IF(W50=0,0,W50*W160)</f>
        <v>223.98754315233202</v>
      </c>
      <c r="X23" s="87">
        <f t="shared" si="78"/>
        <v>212.83037035514275</v>
      </c>
      <c r="Y23" s="87">
        <f t="shared" si="78"/>
        <v>212.71589435870237</v>
      </c>
      <c r="DA23" s="171" t="s">
        <v>469</v>
      </c>
    </row>
    <row r="24" spans="1:105" ht="11.45" customHeight="1" x14ac:dyDescent="0.25">
      <c r="A24" s="111" t="s">
        <v>113</v>
      </c>
      <c r="B24" s="87">
        <f t="shared" ref="B24:K24" si="79">IF(B51=0,0,B51*B161)</f>
        <v>0</v>
      </c>
      <c r="C24" s="87">
        <f t="shared" si="79"/>
        <v>0</v>
      </c>
      <c r="D24" s="87">
        <f t="shared" si="79"/>
        <v>0</v>
      </c>
      <c r="E24" s="87">
        <f t="shared" si="79"/>
        <v>0</v>
      </c>
      <c r="F24" s="87">
        <f t="shared" si="79"/>
        <v>0</v>
      </c>
      <c r="G24" s="87">
        <f t="shared" si="79"/>
        <v>0</v>
      </c>
      <c r="H24" s="87">
        <f t="shared" si="79"/>
        <v>0</v>
      </c>
      <c r="I24" s="87">
        <f t="shared" si="79"/>
        <v>0</v>
      </c>
      <c r="J24" s="87">
        <f t="shared" si="79"/>
        <v>0</v>
      </c>
      <c r="K24" s="87">
        <f t="shared" si="79"/>
        <v>0</v>
      </c>
      <c r="L24" s="87">
        <f t="shared" ref="L24" si="80">IF(L51=0,0,L51*L161)</f>
        <v>0</v>
      </c>
      <c r="M24" s="87">
        <f t="shared" ref="M24:V24" si="81">IF(M51=0,0,M51*M161)</f>
        <v>0</v>
      </c>
      <c r="N24" s="87">
        <f t="shared" si="81"/>
        <v>0</v>
      </c>
      <c r="O24" s="87">
        <f t="shared" si="81"/>
        <v>0</v>
      </c>
      <c r="P24" s="87">
        <f t="shared" si="81"/>
        <v>0</v>
      </c>
      <c r="Q24" s="87">
        <f t="shared" si="81"/>
        <v>4.0517870233922899</v>
      </c>
      <c r="R24" s="87">
        <f t="shared" si="81"/>
        <v>4.7508272822305093</v>
      </c>
      <c r="S24" s="87">
        <f t="shared" si="81"/>
        <v>4.5980923692923126</v>
      </c>
      <c r="T24" s="87">
        <f t="shared" si="81"/>
        <v>4.7459150603446334</v>
      </c>
      <c r="U24" s="87">
        <f t="shared" si="81"/>
        <v>4.7984087337742807</v>
      </c>
      <c r="V24" s="87">
        <f t="shared" si="81"/>
        <v>3.5239180621840824</v>
      </c>
      <c r="W24" s="87">
        <f t="shared" ref="W24:Y24" si="82">IF(W51=0,0,W51*W161)</f>
        <v>3.1844769555144903</v>
      </c>
      <c r="X24" s="87">
        <f t="shared" si="82"/>
        <v>2.9640087040221132</v>
      </c>
      <c r="Y24" s="87">
        <f t="shared" si="82"/>
        <v>2.9021728169500189</v>
      </c>
      <c r="DA24" s="171" t="s">
        <v>470</v>
      </c>
    </row>
    <row r="25" spans="1:105" ht="11.45" customHeight="1" x14ac:dyDescent="0.25">
      <c r="A25" s="111" t="s">
        <v>115</v>
      </c>
      <c r="B25" s="87">
        <f t="shared" ref="B25:K25" si="83">IF(B52=0,0,B52*B162)</f>
        <v>0</v>
      </c>
      <c r="C25" s="87">
        <f t="shared" si="83"/>
        <v>0</v>
      </c>
      <c r="D25" s="87">
        <f t="shared" si="83"/>
        <v>0</v>
      </c>
      <c r="E25" s="87">
        <f t="shared" si="83"/>
        <v>0</v>
      </c>
      <c r="F25" s="87">
        <f t="shared" si="83"/>
        <v>0</v>
      </c>
      <c r="G25" s="87">
        <f t="shared" si="83"/>
        <v>0</v>
      </c>
      <c r="H25" s="87">
        <f t="shared" si="83"/>
        <v>0</v>
      </c>
      <c r="I25" s="87">
        <f t="shared" si="83"/>
        <v>0</v>
      </c>
      <c r="J25" s="87">
        <f t="shared" si="83"/>
        <v>0</v>
      </c>
      <c r="K25" s="87">
        <f t="shared" si="83"/>
        <v>0</v>
      </c>
      <c r="L25" s="87">
        <f t="shared" ref="L25" si="84">IF(L52=0,0,L52*L162)</f>
        <v>0</v>
      </c>
      <c r="M25" s="87">
        <f t="shared" ref="M25:V25" si="85">IF(M52=0,0,M52*M162)</f>
        <v>0</v>
      </c>
      <c r="N25" s="87">
        <f t="shared" si="85"/>
        <v>8.581874363279068E-3</v>
      </c>
      <c r="O25" s="87">
        <f t="shared" si="85"/>
        <v>1.5949038610392194E-2</v>
      </c>
      <c r="P25" s="87">
        <f t="shared" si="85"/>
        <v>2.0857657174551052E-2</v>
      </c>
      <c r="Q25" s="87">
        <f t="shared" si="85"/>
        <v>2.9460400073138319E-2</v>
      </c>
      <c r="R25" s="87">
        <f t="shared" si="85"/>
        <v>3.6983587169462602E-2</v>
      </c>
      <c r="S25" s="87">
        <f t="shared" si="85"/>
        <v>5.479817701875795E-2</v>
      </c>
      <c r="T25" s="87">
        <f t="shared" si="85"/>
        <v>0.1090644211255139</v>
      </c>
      <c r="U25" s="87">
        <f t="shared" si="85"/>
        <v>0.25739383513870689</v>
      </c>
      <c r="V25" s="87">
        <f t="shared" si="85"/>
        <v>0.51292940146083865</v>
      </c>
      <c r="W25" s="87">
        <f t="shared" ref="W25:Y25" si="86">IF(W52=0,0,W52*W162)</f>
        <v>1.0681428412829941</v>
      </c>
      <c r="X25" s="87">
        <f t="shared" si="86"/>
        <v>2.1988998066161383</v>
      </c>
      <c r="Y25" s="87">
        <f t="shared" si="86"/>
        <v>5.3346580329105047</v>
      </c>
      <c r="DA25" s="171" t="s">
        <v>471</v>
      </c>
    </row>
    <row r="26" spans="1:105" ht="11.45" customHeight="1" x14ac:dyDescent="0.25">
      <c r="A26" s="109" t="s">
        <v>154</v>
      </c>
      <c r="B26" s="116">
        <f t="shared" ref="B26:K26" si="87">SUM(B27:B28)</f>
        <v>66675.144973766524</v>
      </c>
      <c r="C26" s="116">
        <f t="shared" si="87"/>
        <v>69004.48354937743</v>
      </c>
      <c r="D26" s="116">
        <f t="shared" si="87"/>
        <v>71683.670402685952</v>
      </c>
      <c r="E26" s="116">
        <f t="shared" si="87"/>
        <v>74524.936844035023</v>
      </c>
      <c r="F26" s="116">
        <f t="shared" si="87"/>
        <v>83808.818468847123</v>
      </c>
      <c r="G26" s="116">
        <f t="shared" si="87"/>
        <v>86811.539828735869</v>
      </c>
      <c r="H26" s="116">
        <f t="shared" si="87"/>
        <v>91000.122864066056</v>
      </c>
      <c r="I26" s="116">
        <f t="shared" si="87"/>
        <v>95334.847416342105</v>
      </c>
      <c r="J26" s="116">
        <f t="shared" si="87"/>
        <v>101636.64418474924</v>
      </c>
      <c r="K26" s="116">
        <f t="shared" si="87"/>
        <v>107355.87481029781</v>
      </c>
      <c r="L26" s="116">
        <f t="shared" ref="L26" si="88">SUM(L27:L28)</f>
        <v>116216.99760290892</v>
      </c>
      <c r="M26" s="116">
        <f t="shared" ref="M26:V26" si="89">SUM(M27:M28)</f>
        <v>125601.86987621067</v>
      </c>
      <c r="N26" s="116">
        <f t="shared" si="89"/>
        <v>127876.54066091758</v>
      </c>
      <c r="O26" s="116">
        <f t="shared" si="89"/>
        <v>141540.09254631985</v>
      </c>
      <c r="P26" s="116">
        <f t="shared" si="89"/>
        <v>138538.42626631353</v>
      </c>
      <c r="Q26" s="116">
        <f t="shared" si="89"/>
        <v>147398.97075507086</v>
      </c>
      <c r="R26" s="116">
        <f t="shared" si="89"/>
        <v>154204.93255240549</v>
      </c>
      <c r="S26" s="116">
        <f t="shared" si="89"/>
        <v>173994.1619181704</v>
      </c>
      <c r="T26" s="116">
        <f t="shared" si="89"/>
        <v>161925</v>
      </c>
      <c r="U26" s="116">
        <f t="shared" si="89"/>
        <v>173068</v>
      </c>
      <c r="V26" s="116">
        <f t="shared" si="89"/>
        <v>175141</v>
      </c>
      <c r="W26" s="116">
        <f t="shared" ref="W26:Y26" si="90">SUM(W27:W28)</f>
        <v>189782</v>
      </c>
      <c r="X26" s="116">
        <f t="shared" si="90"/>
        <v>196711</v>
      </c>
      <c r="Y26" s="116">
        <f t="shared" si="90"/>
        <v>191866</v>
      </c>
      <c r="DA26" s="176" t="s">
        <v>383</v>
      </c>
    </row>
    <row r="27" spans="1:105" ht="11.45" customHeight="1" x14ac:dyDescent="0.25">
      <c r="A27" s="128" t="s">
        <v>27</v>
      </c>
      <c r="B27" s="101">
        <f t="shared" ref="B27:K27" si="91">IF(B54=0,0,B54*B164)</f>
        <v>48000.000000000007</v>
      </c>
      <c r="C27" s="101">
        <f t="shared" si="91"/>
        <v>49000</v>
      </c>
      <c r="D27" s="101">
        <f t="shared" si="91"/>
        <v>50500</v>
      </c>
      <c r="E27" s="101">
        <f t="shared" si="91"/>
        <v>53000.000000000007</v>
      </c>
      <c r="F27" s="101">
        <f t="shared" si="91"/>
        <v>58825</v>
      </c>
      <c r="G27" s="101">
        <f t="shared" si="91"/>
        <v>60940</v>
      </c>
      <c r="H27" s="101">
        <f t="shared" si="91"/>
        <v>59420</v>
      </c>
      <c r="I27" s="101">
        <f t="shared" si="91"/>
        <v>65769</v>
      </c>
      <c r="J27" s="101">
        <f t="shared" si="91"/>
        <v>71917</v>
      </c>
      <c r="K27" s="101">
        <f t="shared" si="91"/>
        <v>79207</v>
      </c>
      <c r="L27" s="101">
        <f t="shared" ref="L27:V27" si="92">IF(L54=0,0,L54*L164)</f>
        <v>82217.999999999985</v>
      </c>
      <c r="M27" s="101">
        <f t="shared" si="92"/>
        <v>89733.999999999985</v>
      </c>
      <c r="N27" s="101">
        <f t="shared" si="92"/>
        <v>89013</v>
      </c>
      <c r="O27" s="101">
        <f t="shared" si="92"/>
        <v>100320</v>
      </c>
      <c r="P27" s="101">
        <f t="shared" si="92"/>
        <v>96627.000000000015</v>
      </c>
      <c r="Q27" s="101">
        <f t="shared" si="92"/>
        <v>104679</v>
      </c>
      <c r="R27" s="101">
        <f t="shared" si="92"/>
        <v>106634</v>
      </c>
      <c r="S27" s="101">
        <f t="shared" si="92"/>
        <v>120036</v>
      </c>
      <c r="T27" s="101">
        <f t="shared" si="92"/>
        <v>114692</v>
      </c>
      <c r="U27" s="101">
        <f t="shared" si="92"/>
        <v>119365</v>
      </c>
      <c r="V27" s="101">
        <f t="shared" si="92"/>
        <v>123819</v>
      </c>
      <c r="W27" s="101">
        <f t="shared" ref="W27:Y27" si="93">IF(W54=0,0,W54*W164)</f>
        <v>134730</v>
      </c>
      <c r="X27" s="101">
        <f t="shared" si="93"/>
        <v>140032</v>
      </c>
      <c r="Y27" s="101">
        <f t="shared" si="93"/>
        <v>134808</v>
      </c>
      <c r="DA27" s="175" t="s">
        <v>472</v>
      </c>
    </row>
    <row r="28" spans="1:105" ht="11.45" customHeight="1" x14ac:dyDescent="0.25">
      <c r="A28" s="138" t="s">
        <v>116</v>
      </c>
      <c r="B28" s="88">
        <f t="shared" ref="B28:K28" si="94">IF(B55=0,0,B55*B165)</f>
        <v>18675.144973766524</v>
      </c>
      <c r="C28" s="88">
        <f t="shared" si="94"/>
        <v>20004.48354937743</v>
      </c>
      <c r="D28" s="88">
        <f t="shared" si="94"/>
        <v>21183.670402685952</v>
      </c>
      <c r="E28" s="88">
        <f t="shared" si="94"/>
        <v>21524.936844035023</v>
      </c>
      <c r="F28" s="88">
        <f t="shared" si="94"/>
        <v>24983.818468847123</v>
      </c>
      <c r="G28" s="88">
        <f t="shared" si="94"/>
        <v>25871.539828735869</v>
      </c>
      <c r="H28" s="88">
        <f t="shared" si="94"/>
        <v>31580.122864066056</v>
      </c>
      <c r="I28" s="88">
        <f t="shared" si="94"/>
        <v>29565.847416342105</v>
      </c>
      <c r="J28" s="88">
        <f t="shared" si="94"/>
        <v>29719.644184749239</v>
      </c>
      <c r="K28" s="88">
        <f t="shared" si="94"/>
        <v>28148.874810297813</v>
      </c>
      <c r="L28" s="88">
        <f t="shared" ref="L28:V28" si="95">IF(L55=0,0,L55*L165)</f>
        <v>33998.99760290893</v>
      </c>
      <c r="M28" s="88">
        <f t="shared" si="95"/>
        <v>35867.86987621068</v>
      </c>
      <c r="N28" s="88">
        <f t="shared" si="95"/>
        <v>38863.540660917584</v>
      </c>
      <c r="O28" s="88">
        <f t="shared" si="95"/>
        <v>41220.092546319851</v>
      </c>
      <c r="P28" s="88">
        <f t="shared" si="95"/>
        <v>41911.426266313501</v>
      </c>
      <c r="Q28" s="88">
        <f t="shared" si="95"/>
        <v>42719.970755070855</v>
      </c>
      <c r="R28" s="88">
        <f t="shared" si="95"/>
        <v>47570.932552405488</v>
      </c>
      <c r="S28" s="88">
        <f t="shared" si="95"/>
        <v>53958.161918170401</v>
      </c>
      <c r="T28" s="88">
        <f t="shared" si="95"/>
        <v>47233</v>
      </c>
      <c r="U28" s="88">
        <f t="shared" si="95"/>
        <v>53703</v>
      </c>
      <c r="V28" s="88">
        <f t="shared" si="95"/>
        <v>51322</v>
      </c>
      <c r="W28" s="88">
        <f t="shared" ref="W28:Y28" si="96">IF(W55=0,0,W55*W165)</f>
        <v>55052</v>
      </c>
      <c r="X28" s="88">
        <f t="shared" si="96"/>
        <v>56679</v>
      </c>
      <c r="Y28" s="88">
        <f t="shared" si="96"/>
        <v>57058</v>
      </c>
      <c r="DA28" s="178" t="s">
        <v>473</v>
      </c>
    </row>
    <row r="29" spans="1:105" ht="11.45" customHeight="1" x14ac:dyDescent="0.25">
      <c r="A29" s="106"/>
      <c r="B29" s="106"/>
      <c r="C29" s="106"/>
      <c r="D29" s="106"/>
      <c r="E29" s="106"/>
      <c r="F29" s="106"/>
      <c r="G29" s="106"/>
      <c r="H29" s="106"/>
      <c r="I29" s="106"/>
      <c r="J29" s="106"/>
      <c r="K29" s="106"/>
      <c r="L29" s="106"/>
      <c r="M29" s="106"/>
      <c r="N29" s="106"/>
      <c r="O29" s="106"/>
      <c r="P29" s="106"/>
      <c r="Q29" s="106"/>
      <c r="R29" s="106"/>
      <c r="S29" s="106"/>
      <c r="T29" s="106"/>
      <c r="U29" s="106"/>
      <c r="V29" s="106"/>
      <c r="W29" s="106"/>
      <c r="X29" s="106"/>
      <c r="Y29" s="106"/>
      <c r="DA29" s="171"/>
    </row>
    <row r="30" spans="1:105" ht="11.45" customHeight="1" x14ac:dyDescent="0.25">
      <c r="A30" s="53" t="s">
        <v>134</v>
      </c>
      <c r="B30" s="62">
        <f t="shared" ref="B30" si="97">B31+B46</f>
        <v>100131.12381269377</v>
      </c>
      <c r="C30" s="62">
        <f t="shared" ref="C30:V30" si="98">C31+C46</f>
        <v>99349.43600489544</v>
      </c>
      <c r="D30" s="62">
        <f t="shared" si="98"/>
        <v>100967.14150571339</v>
      </c>
      <c r="E30" s="62">
        <f t="shared" si="98"/>
        <v>105480.04469925578</v>
      </c>
      <c r="F30" s="62">
        <f t="shared" si="98"/>
        <v>114360.64380192669</v>
      </c>
      <c r="G30" s="62">
        <f t="shared" si="98"/>
        <v>114544.49621909356</v>
      </c>
      <c r="H30" s="62">
        <f t="shared" si="98"/>
        <v>125558.6036289288</v>
      </c>
      <c r="I30" s="62">
        <f t="shared" si="98"/>
        <v>137042.02225548343</v>
      </c>
      <c r="J30" s="62">
        <f t="shared" si="98"/>
        <v>149326.1123736352</v>
      </c>
      <c r="K30" s="62">
        <f t="shared" si="98"/>
        <v>159003.08860713209</v>
      </c>
      <c r="L30" s="62">
        <f t="shared" si="98"/>
        <v>169387.71910825471</v>
      </c>
      <c r="M30" s="62">
        <f t="shared" si="98"/>
        <v>174565.73866833025</v>
      </c>
      <c r="N30" s="62">
        <f t="shared" si="98"/>
        <v>173896.76915291033</v>
      </c>
      <c r="O30" s="62">
        <f t="shared" si="98"/>
        <v>170461.27984263323</v>
      </c>
      <c r="P30" s="62">
        <f t="shared" si="98"/>
        <v>171353.94186206983</v>
      </c>
      <c r="Q30" s="62">
        <f t="shared" si="98"/>
        <v>181807.41238173179</v>
      </c>
      <c r="R30" s="62">
        <f t="shared" si="98"/>
        <v>190648.76676320884</v>
      </c>
      <c r="S30" s="62">
        <f t="shared" si="98"/>
        <v>209138.2835016952</v>
      </c>
      <c r="T30" s="62">
        <f t="shared" si="98"/>
        <v>223786.58654454374</v>
      </c>
      <c r="U30" s="62">
        <f t="shared" si="98"/>
        <v>232427.53948617159</v>
      </c>
      <c r="V30" s="62">
        <f t="shared" si="98"/>
        <v>234932.08467200637</v>
      </c>
      <c r="W30" s="62">
        <f t="shared" ref="W30:Y30" si="99">W31+W46</f>
        <v>236104.50345719434</v>
      </c>
      <c r="X30" s="62">
        <f t="shared" si="99"/>
        <v>243992.25383420615</v>
      </c>
      <c r="Y30" s="62">
        <f t="shared" si="99"/>
        <v>248448.25517514552</v>
      </c>
      <c r="DA30" s="172" t="s">
        <v>474</v>
      </c>
    </row>
    <row r="31" spans="1:105" ht="11.45" customHeight="1" x14ac:dyDescent="0.25">
      <c r="A31" s="27" t="s">
        <v>33</v>
      </c>
      <c r="B31" s="29">
        <f t="shared" ref="B31" si="100">B32+B33+B40</f>
        <v>73297.82614379283</v>
      </c>
      <c r="C31" s="29">
        <f t="shared" ref="C31:V31" si="101">C32+C33+C40</f>
        <v>72802.911540303379</v>
      </c>
      <c r="D31" s="29">
        <f t="shared" si="101"/>
        <v>73556.517377005599</v>
      </c>
      <c r="E31" s="29">
        <f t="shared" si="101"/>
        <v>77056.882867552296</v>
      </c>
      <c r="F31" s="29">
        <f t="shared" si="101"/>
        <v>85460.226076418854</v>
      </c>
      <c r="G31" s="29">
        <f t="shared" si="101"/>
        <v>85003.859385082629</v>
      </c>
      <c r="H31" s="29">
        <f t="shared" si="101"/>
        <v>94771.544071149066</v>
      </c>
      <c r="I31" s="29">
        <f t="shared" si="101"/>
        <v>104984.54826374803</v>
      </c>
      <c r="J31" s="29">
        <f t="shared" si="101"/>
        <v>115366.49938016821</v>
      </c>
      <c r="K31" s="29">
        <f t="shared" si="101"/>
        <v>122877.02896985457</v>
      </c>
      <c r="L31" s="29">
        <f t="shared" si="101"/>
        <v>131006.07948318313</v>
      </c>
      <c r="M31" s="29">
        <f t="shared" si="101"/>
        <v>134035.16508933983</v>
      </c>
      <c r="N31" s="29">
        <f t="shared" si="101"/>
        <v>133483.66116349658</v>
      </c>
      <c r="O31" s="29">
        <f t="shared" si="101"/>
        <v>128354.28896507277</v>
      </c>
      <c r="P31" s="29">
        <f t="shared" si="101"/>
        <v>129426.76473816912</v>
      </c>
      <c r="Q31" s="29">
        <f t="shared" si="101"/>
        <v>138821.93318306885</v>
      </c>
      <c r="R31" s="29">
        <f t="shared" si="101"/>
        <v>145740.0454575489</v>
      </c>
      <c r="S31" s="29">
        <f t="shared" si="101"/>
        <v>161350.64631313545</v>
      </c>
      <c r="T31" s="29">
        <f t="shared" si="101"/>
        <v>175175.86026552523</v>
      </c>
      <c r="U31" s="29">
        <f t="shared" si="101"/>
        <v>181845.68100746576</v>
      </c>
      <c r="V31" s="29">
        <f t="shared" si="101"/>
        <v>183720.38532161899</v>
      </c>
      <c r="W31" s="29">
        <f t="shared" ref="W31:Y31" si="102">W32+W33+W40</f>
        <v>182584.1498270063</v>
      </c>
      <c r="X31" s="29">
        <f t="shared" si="102"/>
        <v>189848.1829666757</v>
      </c>
      <c r="Y31" s="29">
        <f t="shared" si="102"/>
        <v>194416.81482185176</v>
      </c>
      <c r="DA31" s="173" t="s">
        <v>475</v>
      </c>
    </row>
    <row r="32" spans="1:105" ht="11.45" customHeight="1" x14ac:dyDescent="0.25">
      <c r="A32" s="136" t="s">
        <v>173</v>
      </c>
      <c r="B32" s="152">
        <v>2174.7716963692501</v>
      </c>
      <c r="C32" s="152">
        <v>1940.7672888022237</v>
      </c>
      <c r="D32" s="152">
        <v>1845.3303024181728</v>
      </c>
      <c r="E32" s="152">
        <v>1699.9432312954325</v>
      </c>
      <c r="F32" s="152">
        <v>1616.8949489743106</v>
      </c>
      <c r="G32" s="152">
        <v>1795.862374035639</v>
      </c>
      <c r="H32" s="152">
        <v>1905.1976836866279</v>
      </c>
      <c r="I32" s="152">
        <v>2065.8900181617105</v>
      </c>
      <c r="J32" s="152">
        <v>2087.9266558465224</v>
      </c>
      <c r="K32" s="152">
        <v>2302.4972089654602</v>
      </c>
      <c r="L32" s="152">
        <v>2483.7988964069709</v>
      </c>
      <c r="M32" s="152">
        <v>2480.7999999999997</v>
      </c>
      <c r="N32" s="152">
        <v>2499.6800000000003</v>
      </c>
      <c r="O32" s="152">
        <v>2428.7999999999997</v>
      </c>
      <c r="P32" s="152">
        <v>2457.6</v>
      </c>
      <c r="Q32" s="152">
        <v>2566.1999999999998</v>
      </c>
      <c r="R32" s="152">
        <v>2733.3062969660559</v>
      </c>
      <c r="S32" s="152">
        <v>2596.5831001531042</v>
      </c>
      <c r="T32" s="152">
        <v>2487.7105138679945</v>
      </c>
      <c r="U32" s="152">
        <v>2656.4647748404859</v>
      </c>
      <c r="V32" s="152">
        <v>2390.2950703418937</v>
      </c>
      <c r="W32" s="152">
        <v>2490.0827515325</v>
      </c>
      <c r="X32" s="152">
        <v>2526.5499424691338</v>
      </c>
      <c r="Y32" s="152">
        <v>2738.0182671806606</v>
      </c>
      <c r="DA32" s="174" t="s">
        <v>476</v>
      </c>
    </row>
    <row r="33" spans="1:105" ht="11.45" customHeight="1" x14ac:dyDescent="0.25">
      <c r="A33" s="109" t="s">
        <v>20</v>
      </c>
      <c r="B33" s="116">
        <f t="shared" ref="B33" si="103">SUM(B34:B39)</f>
        <v>69501.349908890261</v>
      </c>
      <c r="C33" s="116">
        <f t="shared" ref="C33:V33" si="104">SUM(C34:C39)</f>
        <v>69275.460660230034</v>
      </c>
      <c r="D33" s="116">
        <f t="shared" si="104"/>
        <v>70140.251422358837</v>
      </c>
      <c r="E33" s="116">
        <f t="shared" si="104"/>
        <v>73832.250133999973</v>
      </c>
      <c r="F33" s="116">
        <f t="shared" si="104"/>
        <v>82203.758457814474</v>
      </c>
      <c r="G33" s="116">
        <f t="shared" si="104"/>
        <v>81573.925315312023</v>
      </c>
      <c r="H33" s="116">
        <f t="shared" si="104"/>
        <v>91287.959553509339</v>
      </c>
      <c r="I33" s="116">
        <f t="shared" si="104"/>
        <v>101311.20025555673</v>
      </c>
      <c r="J33" s="116">
        <f t="shared" si="104"/>
        <v>111696.50880420479</v>
      </c>
      <c r="K33" s="116">
        <f t="shared" si="104"/>
        <v>118975.75340441147</v>
      </c>
      <c r="L33" s="116">
        <f t="shared" si="104"/>
        <v>126929.7522386101</v>
      </c>
      <c r="M33" s="116">
        <f t="shared" si="104"/>
        <v>129944.16446814559</v>
      </c>
      <c r="N33" s="116">
        <f t="shared" si="104"/>
        <v>129412.68341744691</v>
      </c>
      <c r="O33" s="116">
        <f t="shared" si="104"/>
        <v>124347.90597305979</v>
      </c>
      <c r="P33" s="116">
        <f t="shared" si="104"/>
        <v>125365.38335404002</v>
      </c>
      <c r="Q33" s="116">
        <f t="shared" si="104"/>
        <v>134404.73318306883</v>
      </c>
      <c r="R33" s="116">
        <f t="shared" si="104"/>
        <v>141195.83129244068</v>
      </c>
      <c r="S33" s="116">
        <f t="shared" si="104"/>
        <v>156978.41523508303</v>
      </c>
      <c r="T33" s="116">
        <f t="shared" si="104"/>
        <v>170988.12037350927</v>
      </c>
      <c r="U33" s="116">
        <f t="shared" si="104"/>
        <v>177405.06473548981</v>
      </c>
      <c r="V33" s="116">
        <f t="shared" si="104"/>
        <v>179557.14265446036</v>
      </c>
      <c r="W33" s="116">
        <f t="shared" ref="W33:Y33" si="105">SUM(W34:W39)</f>
        <v>178319.54880914273</v>
      </c>
      <c r="X33" s="116">
        <f t="shared" si="105"/>
        <v>185543.40731518777</v>
      </c>
      <c r="Y33" s="116">
        <f t="shared" si="105"/>
        <v>189898.93957235196</v>
      </c>
      <c r="DA33" s="176" t="s">
        <v>477</v>
      </c>
    </row>
    <row r="34" spans="1:105" ht="11.45" customHeight="1" x14ac:dyDescent="0.25">
      <c r="A34" s="111" t="s">
        <v>110</v>
      </c>
      <c r="B34" s="87">
        <v>55069.995686183669</v>
      </c>
      <c r="C34" s="87">
        <v>51241.525848385281</v>
      </c>
      <c r="D34" s="87">
        <v>49380.444051385188</v>
      </c>
      <c r="E34" s="87">
        <v>46785.558898354211</v>
      </c>
      <c r="F34" s="87">
        <v>47663.822506186421</v>
      </c>
      <c r="G34" s="87">
        <v>48034.177322718715</v>
      </c>
      <c r="H34" s="87">
        <v>50543.341417272655</v>
      </c>
      <c r="I34" s="87">
        <v>50939.695930009002</v>
      </c>
      <c r="J34" s="87">
        <v>51132.610601282038</v>
      </c>
      <c r="K34" s="87">
        <v>51053.465107506461</v>
      </c>
      <c r="L34" s="87">
        <v>50015.348236755526</v>
      </c>
      <c r="M34" s="87">
        <v>48722.713220078629</v>
      </c>
      <c r="N34" s="87">
        <v>48400.884446238117</v>
      </c>
      <c r="O34" s="87">
        <v>47337.771722215824</v>
      </c>
      <c r="P34" s="87">
        <v>46503.694519266166</v>
      </c>
      <c r="Q34" s="87">
        <v>49700.880816937024</v>
      </c>
      <c r="R34" s="87">
        <v>49989.37589579077</v>
      </c>
      <c r="S34" s="87">
        <v>55763.647323494624</v>
      </c>
      <c r="T34" s="87">
        <v>59323.063095159749</v>
      </c>
      <c r="U34" s="87">
        <v>62759.39180478597</v>
      </c>
      <c r="V34" s="87">
        <v>62187.593288147706</v>
      </c>
      <c r="W34" s="87">
        <v>69088.297902708655</v>
      </c>
      <c r="X34" s="87">
        <v>73565.347659479026</v>
      </c>
      <c r="Y34" s="87">
        <v>78882.774077198294</v>
      </c>
      <c r="DA34" s="171" t="s">
        <v>478</v>
      </c>
    </row>
    <row r="35" spans="1:105" ht="11.45" customHeight="1" x14ac:dyDescent="0.25">
      <c r="A35" s="111" t="s">
        <v>111</v>
      </c>
      <c r="B35" s="87">
        <v>9338.7608635326178</v>
      </c>
      <c r="C35" s="87">
        <v>10465.707752027549</v>
      </c>
      <c r="D35" s="87">
        <v>10132.877115211371</v>
      </c>
      <c r="E35" s="87">
        <v>12546.977330173657</v>
      </c>
      <c r="F35" s="87">
        <v>16441.463151352636</v>
      </c>
      <c r="G35" s="87">
        <v>13349.472584972178</v>
      </c>
      <c r="H35" s="87">
        <v>18453.111629005736</v>
      </c>
      <c r="I35" s="87">
        <v>26428.807526166736</v>
      </c>
      <c r="J35" s="87">
        <v>35777.848083054174</v>
      </c>
      <c r="K35" s="87">
        <v>42181.076692243638</v>
      </c>
      <c r="L35" s="87">
        <v>48610.694612947402</v>
      </c>
      <c r="M35" s="87">
        <v>55539.081194344595</v>
      </c>
      <c r="N35" s="87">
        <v>59087.685520410654</v>
      </c>
      <c r="O35" s="87">
        <v>56265.973997313427</v>
      </c>
      <c r="P35" s="87">
        <v>58406.084104665082</v>
      </c>
      <c r="Q35" s="87">
        <v>63012.207321144349</v>
      </c>
      <c r="R35" s="87">
        <v>67049.325429191173</v>
      </c>
      <c r="S35" s="87">
        <v>74869.627320227999</v>
      </c>
      <c r="T35" s="87">
        <v>82492.385212883091</v>
      </c>
      <c r="U35" s="87">
        <v>85291.847375043493</v>
      </c>
      <c r="V35" s="87">
        <v>88782.996773602601</v>
      </c>
      <c r="W35" s="87">
        <v>81044.560837414581</v>
      </c>
      <c r="X35" s="87">
        <v>82041.38034479419</v>
      </c>
      <c r="Y35" s="87">
        <v>79285.26216794872</v>
      </c>
      <c r="DA35" s="171" t="s">
        <v>479</v>
      </c>
    </row>
    <row r="36" spans="1:105" ht="11.45" customHeight="1" x14ac:dyDescent="0.25">
      <c r="A36" s="111" t="s">
        <v>112</v>
      </c>
      <c r="B36" s="87">
        <v>5092.5933591739758</v>
      </c>
      <c r="C36" s="87">
        <v>7568.2270598172045</v>
      </c>
      <c r="D36" s="87">
        <v>10626.93025576228</v>
      </c>
      <c r="E36" s="87">
        <v>14499.713905472105</v>
      </c>
      <c r="F36" s="87">
        <v>18098.472800275409</v>
      </c>
      <c r="G36" s="87">
        <v>20190.275407621135</v>
      </c>
      <c r="H36" s="87">
        <v>22291.506507230944</v>
      </c>
      <c r="I36" s="87">
        <v>23942.696799380999</v>
      </c>
      <c r="J36" s="87">
        <v>24786.050119868571</v>
      </c>
      <c r="K36" s="87">
        <v>25741.211604661381</v>
      </c>
      <c r="L36" s="87">
        <v>28303.593378381589</v>
      </c>
      <c r="M36" s="87">
        <v>25681.562265146258</v>
      </c>
      <c r="N36" s="87">
        <v>21922.332852190411</v>
      </c>
      <c r="O36" s="87">
        <v>20742.097735023395</v>
      </c>
      <c r="P36" s="87">
        <v>20447.751363674502</v>
      </c>
      <c r="Q36" s="87">
        <v>21643.197524124604</v>
      </c>
      <c r="R36" s="87">
        <v>24087.702042570167</v>
      </c>
      <c r="S36" s="87">
        <v>26252.625229708014</v>
      </c>
      <c r="T36" s="87">
        <v>29047.602987395145</v>
      </c>
      <c r="U36" s="87">
        <v>29204.418481762717</v>
      </c>
      <c r="V36" s="87">
        <v>28373.739090050916</v>
      </c>
      <c r="W36" s="87">
        <v>27863.534407754611</v>
      </c>
      <c r="X36" s="87">
        <v>29416.744363629623</v>
      </c>
      <c r="Y36" s="87">
        <v>30824.346254323544</v>
      </c>
      <c r="DA36" s="171" t="s">
        <v>480</v>
      </c>
    </row>
    <row r="37" spans="1:105" ht="11.45" customHeight="1" x14ac:dyDescent="0.25">
      <c r="A37" s="111" t="s">
        <v>113</v>
      </c>
      <c r="B37" s="87">
        <v>0</v>
      </c>
      <c r="C37" s="87">
        <v>0</v>
      </c>
      <c r="D37" s="87">
        <v>0</v>
      </c>
      <c r="E37" s="87">
        <v>0</v>
      </c>
      <c r="F37" s="87">
        <v>0</v>
      </c>
      <c r="G37" s="87">
        <v>0</v>
      </c>
      <c r="H37" s="87">
        <v>0</v>
      </c>
      <c r="I37" s="87">
        <v>0</v>
      </c>
      <c r="J37" s="87">
        <v>0</v>
      </c>
      <c r="K37" s="87">
        <v>0</v>
      </c>
      <c r="L37" s="87">
        <v>0</v>
      </c>
      <c r="M37" s="87">
        <v>0</v>
      </c>
      <c r="N37" s="87">
        <v>0</v>
      </c>
      <c r="O37" s="87">
        <v>0</v>
      </c>
      <c r="P37" s="87">
        <v>0</v>
      </c>
      <c r="Q37" s="87">
        <v>43.219145967831096</v>
      </c>
      <c r="R37" s="87">
        <v>57.694260321976166</v>
      </c>
      <c r="S37" s="87">
        <v>65.89589947883286</v>
      </c>
      <c r="T37" s="87">
        <v>70.361741846272892</v>
      </c>
      <c r="U37" s="87">
        <v>72.081848904449444</v>
      </c>
      <c r="V37" s="87">
        <v>69.044075526839194</v>
      </c>
      <c r="W37" s="87">
        <v>67.889989060695299</v>
      </c>
      <c r="X37" s="87">
        <v>67.835545294865781</v>
      </c>
      <c r="Y37" s="87">
        <v>66.236670654723397</v>
      </c>
      <c r="DA37" s="171" t="s">
        <v>481</v>
      </c>
    </row>
    <row r="38" spans="1:105" ht="11.45" customHeight="1" x14ac:dyDescent="0.25">
      <c r="A38" s="111" t="s">
        <v>114</v>
      </c>
      <c r="B38" s="87">
        <v>0</v>
      </c>
      <c r="C38" s="87">
        <v>0</v>
      </c>
      <c r="D38" s="87">
        <v>0</v>
      </c>
      <c r="E38" s="87">
        <v>0</v>
      </c>
      <c r="F38" s="87">
        <v>0</v>
      </c>
      <c r="G38" s="87">
        <v>0</v>
      </c>
      <c r="H38" s="87">
        <v>0</v>
      </c>
      <c r="I38" s="87">
        <v>0</v>
      </c>
      <c r="J38" s="87">
        <v>0</v>
      </c>
      <c r="K38" s="87">
        <v>0</v>
      </c>
      <c r="L38" s="87">
        <v>0</v>
      </c>
      <c r="M38" s="87">
        <v>0</v>
      </c>
      <c r="N38" s="87">
        <v>0.10696046366415748</v>
      </c>
      <c r="O38" s="87">
        <v>0.18239292546003705</v>
      </c>
      <c r="P38" s="87">
        <v>5.493707009131783</v>
      </c>
      <c r="Q38" s="87">
        <v>2.3451757384853162</v>
      </c>
      <c r="R38" s="87">
        <v>3.9051727078146841</v>
      </c>
      <c r="S38" s="87">
        <v>8.2062852662453398</v>
      </c>
      <c r="T38" s="87">
        <v>16.235618057522331</v>
      </c>
      <c r="U38" s="87">
        <v>23.834834829155309</v>
      </c>
      <c r="V38" s="87">
        <v>56.824994532876438</v>
      </c>
      <c r="W38" s="87">
        <v>144.07844959599001</v>
      </c>
      <c r="X38" s="87">
        <v>253.4911025275303</v>
      </c>
      <c r="Y38" s="87">
        <v>445.05251968461499</v>
      </c>
      <c r="DA38" s="171" t="s">
        <v>482</v>
      </c>
    </row>
    <row r="39" spans="1:105" ht="11.45" customHeight="1" x14ac:dyDescent="0.25">
      <c r="A39" s="111" t="s">
        <v>115</v>
      </c>
      <c r="B39" s="87">
        <v>0</v>
      </c>
      <c r="C39" s="87">
        <v>0</v>
      </c>
      <c r="D39" s="87">
        <v>0</v>
      </c>
      <c r="E39" s="87">
        <v>0</v>
      </c>
      <c r="F39" s="87">
        <v>0</v>
      </c>
      <c r="G39" s="87">
        <v>0</v>
      </c>
      <c r="H39" s="87">
        <v>0</v>
      </c>
      <c r="I39" s="87">
        <v>0</v>
      </c>
      <c r="J39" s="87">
        <v>0</v>
      </c>
      <c r="K39" s="87">
        <v>0</v>
      </c>
      <c r="L39" s="87">
        <v>0.11601052557696716</v>
      </c>
      <c r="M39" s="87">
        <v>0.80778857609516852</v>
      </c>
      <c r="N39" s="87">
        <v>1.6736381440707144</v>
      </c>
      <c r="O39" s="87">
        <v>1.8801255816911764</v>
      </c>
      <c r="P39" s="87">
        <v>2.3596594251365004</v>
      </c>
      <c r="Q39" s="87">
        <v>2.8831991565651247</v>
      </c>
      <c r="R39" s="87">
        <v>7.8284918587864025</v>
      </c>
      <c r="S39" s="87">
        <v>18.413176907318416</v>
      </c>
      <c r="T39" s="87">
        <v>38.471718167503418</v>
      </c>
      <c r="U39" s="87">
        <v>53.490390164033151</v>
      </c>
      <c r="V39" s="87">
        <v>86.944432599383887</v>
      </c>
      <c r="W39" s="87">
        <v>111.18722260823166</v>
      </c>
      <c r="X39" s="87">
        <v>198.60829946256149</v>
      </c>
      <c r="Y39" s="87">
        <v>395.26788254203433</v>
      </c>
      <c r="DA39" s="171" t="s">
        <v>483</v>
      </c>
    </row>
    <row r="40" spans="1:105" ht="11.45" customHeight="1" x14ac:dyDescent="0.25">
      <c r="A40" s="109" t="s">
        <v>21</v>
      </c>
      <c r="B40" s="116">
        <f t="shared" ref="B40" si="106">SUM(B41:B45)</f>
        <v>1621.7045385333151</v>
      </c>
      <c r="C40" s="116">
        <f t="shared" ref="C40:V40" si="107">SUM(C41:C45)</f>
        <v>1586.6835912711188</v>
      </c>
      <c r="D40" s="116">
        <f t="shared" si="107"/>
        <v>1570.9356522285955</v>
      </c>
      <c r="E40" s="116">
        <f t="shared" si="107"/>
        <v>1524.6895022568974</v>
      </c>
      <c r="F40" s="116">
        <f t="shared" si="107"/>
        <v>1639.5726696300726</v>
      </c>
      <c r="G40" s="116">
        <f t="shared" si="107"/>
        <v>1634.07169573497</v>
      </c>
      <c r="H40" s="116">
        <f t="shared" si="107"/>
        <v>1578.3868339530995</v>
      </c>
      <c r="I40" s="116">
        <f t="shared" si="107"/>
        <v>1607.4579900295894</v>
      </c>
      <c r="J40" s="116">
        <f t="shared" si="107"/>
        <v>1582.0639201169122</v>
      </c>
      <c r="K40" s="116">
        <f t="shared" si="107"/>
        <v>1598.7783564776312</v>
      </c>
      <c r="L40" s="116">
        <f t="shared" si="107"/>
        <v>1592.5283481660538</v>
      </c>
      <c r="M40" s="116">
        <f t="shared" si="107"/>
        <v>1610.2006211942435</v>
      </c>
      <c r="N40" s="116">
        <f t="shared" si="107"/>
        <v>1571.29774604967</v>
      </c>
      <c r="O40" s="116">
        <f t="shared" si="107"/>
        <v>1577.5829920129829</v>
      </c>
      <c r="P40" s="116">
        <f t="shared" si="107"/>
        <v>1603.7813841290963</v>
      </c>
      <c r="Q40" s="116">
        <f t="shared" si="107"/>
        <v>1851.0000000000002</v>
      </c>
      <c r="R40" s="116">
        <f t="shared" si="107"/>
        <v>1810.9078681421663</v>
      </c>
      <c r="S40" s="116">
        <f t="shared" si="107"/>
        <v>1775.6479778993241</v>
      </c>
      <c r="T40" s="116">
        <f t="shared" si="107"/>
        <v>1700.029378147972</v>
      </c>
      <c r="U40" s="116">
        <f t="shared" si="107"/>
        <v>1784.15149713545</v>
      </c>
      <c r="V40" s="116">
        <f t="shared" si="107"/>
        <v>1772.9475968167285</v>
      </c>
      <c r="W40" s="116">
        <f t="shared" ref="W40:Y40" si="108">SUM(W41:W45)</f>
        <v>1774.5182663310911</v>
      </c>
      <c r="X40" s="116">
        <f t="shared" si="108"/>
        <v>1778.2257090188054</v>
      </c>
      <c r="Y40" s="116">
        <f t="shared" si="108"/>
        <v>1779.8569823191638</v>
      </c>
      <c r="DA40" s="176" t="s">
        <v>484</v>
      </c>
    </row>
    <row r="41" spans="1:105" ht="11.45" customHeight="1" x14ac:dyDescent="0.25">
      <c r="A41" s="111" t="s">
        <v>110</v>
      </c>
      <c r="B41" s="101">
        <v>0</v>
      </c>
      <c r="C41" s="101">
        <v>0</v>
      </c>
      <c r="D41" s="101">
        <v>0</v>
      </c>
      <c r="E41" s="101">
        <v>0</v>
      </c>
      <c r="F41" s="101">
        <v>0</v>
      </c>
      <c r="G41" s="101">
        <v>0</v>
      </c>
      <c r="H41" s="101">
        <v>0</v>
      </c>
      <c r="I41" s="101">
        <v>0</v>
      </c>
      <c r="J41" s="101">
        <v>0</v>
      </c>
      <c r="K41" s="101">
        <v>0</v>
      </c>
      <c r="L41" s="101">
        <v>0</v>
      </c>
      <c r="M41" s="101">
        <v>0</v>
      </c>
      <c r="N41" s="101">
        <v>0</v>
      </c>
      <c r="O41" s="101">
        <v>0</v>
      </c>
      <c r="P41" s="101">
        <v>0</v>
      </c>
      <c r="Q41" s="101">
        <v>0</v>
      </c>
      <c r="R41" s="101">
        <v>0</v>
      </c>
      <c r="S41" s="101">
        <v>0</v>
      </c>
      <c r="T41" s="101">
        <v>0</v>
      </c>
      <c r="U41" s="101">
        <v>0</v>
      </c>
      <c r="V41" s="101">
        <v>0</v>
      </c>
      <c r="W41" s="101">
        <v>0</v>
      </c>
      <c r="X41" s="101">
        <v>0</v>
      </c>
      <c r="Y41" s="101">
        <v>0</v>
      </c>
      <c r="DA41" s="175" t="s">
        <v>485</v>
      </c>
    </row>
    <row r="42" spans="1:105" ht="11.45" customHeight="1" x14ac:dyDescent="0.25">
      <c r="A42" s="111" t="s">
        <v>111</v>
      </c>
      <c r="B42" s="101">
        <v>1587.2319076855219</v>
      </c>
      <c r="C42" s="101">
        <v>1553.9640787959695</v>
      </c>
      <c r="D42" s="101">
        <v>1540.5337401566399</v>
      </c>
      <c r="E42" s="101">
        <v>1499.0655601604201</v>
      </c>
      <c r="F42" s="101">
        <v>1584.8739742557602</v>
      </c>
      <c r="G42" s="101">
        <v>1566.4260194222607</v>
      </c>
      <c r="H42" s="101">
        <v>1514.8116837829243</v>
      </c>
      <c r="I42" s="101">
        <v>1547.3573760669865</v>
      </c>
      <c r="J42" s="101">
        <v>1525.4572412282896</v>
      </c>
      <c r="K42" s="101">
        <v>1545.76567548563</v>
      </c>
      <c r="L42" s="101">
        <v>1542.3410576727808</v>
      </c>
      <c r="M42" s="101">
        <v>1563.1469374424064</v>
      </c>
      <c r="N42" s="101">
        <v>1527.5524339269286</v>
      </c>
      <c r="O42" s="101">
        <v>1535.2003428419596</v>
      </c>
      <c r="P42" s="101">
        <v>1563.3411475417647</v>
      </c>
      <c r="Q42" s="101">
        <v>1787.5938795857503</v>
      </c>
      <c r="R42" s="101">
        <v>1751.5359228144753</v>
      </c>
      <c r="S42" s="101">
        <v>1720.2666700434511</v>
      </c>
      <c r="T42" s="101">
        <v>1627.9339400334429</v>
      </c>
      <c r="U42" s="101">
        <v>1707.4249433175748</v>
      </c>
      <c r="V42" s="101">
        <v>1678.4028472233567</v>
      </c>
      <c r="W42" s="101">
        <v>1660.9832923620788</v>
      </c>
      <c r="X42" s="101">
        <v>1652.616880398992</v>
      </c>
      <c r="Y42" s="101">
        <v>1636.5592933135076</v>
      </c>
      <c r="DA42" s="175" t="s">
        <v>486</v>
      </c>
    </row>
    <row r="43" spans="1:105" ht="11.45" customHeight="1" x14ac:dyDescent="0.25">
      <c r="A43" s="111" t="s">
        <v>112</v>
      </c>
      <c r="B43" s="101">
        <v>24.919744466835279</v>
      </c>
      <c r="C43" s="101">
        <v>22.380682746654049</v>
      </c>
      <c r="D43" s="101">
        <v>19.889464782607561</v>
      </c>
      <c r="E43" s="101">
        <v>17.557586497759193</v>
      </c>
      <c r="F43" s="101">
        <v>47.445676317960249</v>
      </c>
      <c r="G43" s="101">
        <v>42.707646570362762</v>
      </c>
      <c r="H43" s="101">
        <v>39.884348554975716</v>
      </c>
      <c r="I43" s="101">
        <v>37.128211785279525</v>
      </c>
      <c r="J43" s="101">
        <v>34.557856941343488</v>
      </c>
      <c r="K43" s="101">
        <v>31.890603551035223</v>
      </c>
      <c r="L43" s="101">
        <v>29.416004564022838</v>
      </c>
      <c r="M43" s="101">
        <v>27.047110582495719</v>
      </c>
      <c r="N43" s="101">
        <v>24.833581749677389</v>
      </c>
      <c r="O43" s="101">
        <v>22.709306968441151</v>
      </c>
      <c r="P43" s="101">
        <v>20.625002461727526</v>
      </c>
      <c r="Q43" s="101">
        <v>18.684036529188038</v>
      </c>
      <c r="R43" s="101">
        <v>16.901901264893969</v>
      </c>
      <c r="S43" s="101">
        <v>15.997914604978771</v>
      </c>
      <c r="T43" s="101">
        <v>14.969954147818568</v>
      </c>
      <c r="U43" s="101">
        <v>15.253665409387473</v>
      </c>
      <c r="V43" s="101">
        <v>14.776199389852295</v>
      </c>
      <c r="W43" s="101">
        <v>14.760715150344783</v>
      </c>
      <c r="X43" s="101">
        <v>14.664258999540746</v>
      </c>
      <c r="Y43" s="101">
        <v>14.088957035042549</v>
      </c>
      <c r="DA43" s="175" t="s">
        <v>487</v>
      </c>
    </row>
    <row r="44" spans="1:105" ht="11.45" customHeight="1" x14ac:dyDescent="0.25">
      <c r="A44" s="111" t="s">
        <v>113</v>
      </c>
      <c r="B44" s="101">
        <v>0</v>
      </c>
      <c r="C44" s="101">
        <v>0</v>
      </c>
      <c r="D44" s="101">
        <v>0</v>
      </c>
      <c r="E44" s="101">
        <v>0</v>
      </c>
      <c r="F44" s="101">
        <v>0</v>
      </c>
      <c r="G44" s="101">
        <v>0</v>
      </c>
      <c r="H44" s="101">
        <v>0</v>
      </c>
      <c r="I44" s="101">
        <v>0</v>
      </c>
      <c r="J44" s="101">
        <v>0</v>
      </c>
      <c r="K44" s="101">
        <v>0</v>
      </c>
      <c r="L44" s="101">
        <v>0</v>
      </c>
      <c r="M44" s="101">
        <v>0</v>
      </c>
      <c r="N44" s="101">
        <v>0</v>
      </c>
      <c r="O44" s="101">
        <v>0</v>
      </c>
      <c r="P44" s="101">
        <v>0</v>
      </c>
      <c r="Q44" s="101">
        <v>23.86010401435934</v>
      </c>
      <c r="R44" s="101">
        <v>20.749570127503723</v>
      </c>
      <c r="S44" s="101">
        <v>15.441289525797352</v>
      </c>
      <c r="T44" s="101">
        <v>36.305167567242812</v>
      </c>
      <c r="U44" s="101">
        <v>47.607632405080963</v>
      </c>
      <c r="V44" s="101">
        <v>58.034290804379253</v>
      </c>
      <c r="W44" s="101">
        <v>67.724769305910414</v>
      </c>
      <c r="X44" s="101">
        <v>73.01821702507435</v>
      </c>
      <c r="Y44" s="101">
        <v>76.500314497576227</v>
      </c>
      <c r="DA44" s="175" t="s">
        <v>488</v>
      </c>
    </row>
    <row r="45" spans="1:105" ht="11.45" customHeight="1" x14ac:dyDescent="0.25">
      <c r="A45" s="111" t="s">
        <v>115</v>
      </c>
      <c r="B45" s="101">
        <v>9.5528863809579896</v>
      </c>
      <c r="C45" s="101">
        <v>10.338829728495362</v>
      </c>
      <c r="D45" s="101">
        <v>10.512447289348076</v>
      </c>
      <c r="E45" s="101">
        <v>8.0663555987180828</v>
      </c>
      <c r="F45" s="101">
        <v>7.2530190563521355</v>
      </c>
      <c r="G45" s="101">
        <v>24.938029742346515</v>
      </c>
      <c r="H45" s="101">
        <v>23.690801615199366</v>
      </c>
      <c r="I45" s="101">
        <v>22.972402177323275</v>
      </c>
      <c r="J45" s="101">
        <v>22.048821947279091</v>
      </c>
      <c r="K45" s="101">
        <v>21.122077440966098</v>
      </c>
      <c r="L45" s="101">
        <v>20.771285929250055</v>
      </c>
      <c r="M45" s="101">
        <v>20.006573169341348</v>
      </c>
      <c r="N45" s="101">
        <v>18.911730373063826</v>
      </c>
      <c r="O45" s="101">
        <v>19.673342202582358</v>
      </c>
      <c r="P45" s="101">
        <v>19.81523412560416</v>
      </c>
      <c r="Q45" s="101">
        <v>20.86197987070253</v>
      </c>
      <c r="R45" s="101">
        <v>21.720473935293192</v>
      </c>
      <c r="S45" s="101">
        <v>23.9421037250968</v>
      </c>
      <c r="T45" s="101">
        <v>20.820316399467899</v>
      </c>
      <c r="U45" s="101">
        <v>13.865256003406872</v>
      </c>
      <c r="V45" s="101">
        <v>21.734259399140335</v>
      </c>
      <c r="W45" s="101">
        <v>31.049489512756924</v>
      </c>
      <c r="X45" s="101">
        <v>37.926352595198296</v>
      </c>
      <c r="Y45" s="101">
        <v>52.708417473037315</v>
      </c>
      <c r="DA45" s="175" t="s">
        <v>489</v>
      </c>
    </row>
    <row r="46" spans="1:105" ht="11.45" customHeight="1" x14ac:dyDescent="0.25">
      <c r="A46" s="27" t="s">
        <v>34</v>
      </c>
      <c r="B46" s="29">
        <f t="shared" ref="B46" si="109">B47+B53</f>
        <v>26833.297668900937</v>
      </c>
      <c r="C46" s="29">
        <f t="shared" ref="C46:V46" si="110">C47+C53</f>
        <v>26546.524464592065</v>
      </c>
      <c r="D46" s="29">
        <f t="shared" si="110"/>
        <v>27410.62412870779</v>
      </c>
      <c r="E46" s="29">
        <f t="shared" si="110"/>
        <v>28423.161831703484</v>
      </c>
      <c r="F46" s="29">
        <f t="shared" si="110"/>
        <v>28900.417725507832</v>
      </c>
      <c r="G46" s="29">
        <f t="shared" si="110"/>
        <v>29540.63683401094</v>
      </c>
      <c r="H46" s="29">
        <f t="shared" si="110"/>
        <v>30787.059557779736</v>
      </c>
      <c r="I46" s="29">
        <f t="shared" si="110"/>
        <v>32057.473991735413</v>
      </c>
      <c r="J46" s="29">
        <f t="shared" si="110"/>
        <v>33959.612993466981</v>
      </c>
      <c r="K46" s="29">
        <f t="shared" si="110"/>
        <v>36126.059637277518</v>
      </c>
      <c r="L46" s="29">
        <f t="shared" si="110"/>
        <v>38381.63962507157</v>
      </c>
      <c r="M46" s="29">
        <f t="shared" si="110"/>
        <v>40530.573578990414</v>
      </c>
      <c r="N46" s="29">
        <f t="shared" si="110"/>
        <v>40413.107989413744</v>
      </c>
      <c r="O46" s="29">
        <f t="shared" si="110"/>
        <v>42106.990877560471</v>
      </c>
      <c r="P46" s="29">
        <f t="shared" si="110"/>
        <v>41927.177123900692</v>
      </c>
      <c r="Q46" s="29">
        <f t="shared" si="110"/>
        <v>42985.479198662957</v>
      </c>
      <c r="R46" s="29">
        <f t="shared" si="110"/>
        <v>44908.721305659936</v>
      </c>
      <c r="S46" s="29">
        <f t="shared" si="110"/>
        <v>47787.637188559747</v>
      </c>
      <c r="T46" s="29">
        <f t="shared" si="110"/>
        <v>48610.726279018505</v>
      </c>
      <c r="U46" s="29">
        <f t="shared" si="110"/>
        <v>50581.858478705835</v>
      </c>
      <c r="V46" s="29">
        <f t="shared" si="110"/>
        <v>51211.699350387396</v>
      </c>
      <c r="W46" s="29">
        <f t="shared" ref="W46:Y46" si="111">W47+W53</f>
        <v>53520.353630188038</v>
      </c>
      <c r="X46" s="29">
        <f t="shared" si="111"/>
        <v>54144.070867530434</v>
      </c>
      <c r="Y46" s="29">
        <f t="shared" si="111"/>
        <v>54031.440353293743</v>
      </c>
      <c r="DA46" s="173" t="s">
        <v>490</v>
      </c>
    </row>
    <row r="47" spans="1:105" ht="11.45" customHeight="1" x14ac:dyDescent="0.25">
      <c r="A47" s="136" t="s">
        <v>153</v>
      </c>
      <c r="B47" s="152">
        <f t="shared" ref="B47" si="112">SUM(B48:B52)</f>
        <v>20580.077488346145</v>
      </c>
      <c r="C47" s="152">
        <f t="shared" ref="C47:V47" si="113">SUM(C48:C52)</f>
        <v>20043.778032037248</v>
      </c>
      <c r="D47" s="152">
        <f t="shared" si="113"/>
        <v>20602.195645755812</v>
      </c>
      <c r="E47" s="152">
        <f t="shared" si="113"/>
        <v>21194.363458357675</v>
      </c>
      <c r="F47" s="152">
        <f t="shared" si="113"/>
        <v>20492.984133802558</v>
      </c>
      <c r="G47" s="152">
        <f t="shared" si="113"/>
        <v>20728.590991726844</v>
      </c>
      <c r="H47" s="152">
        <f t="shared" si="113"/>
        <v>21678.561850474412</v>
      </c>
      <c r="I47" s="152">
        <f t="shared" si="113"/>
        <v>22322.872613108248</v>
      </c>
      <c r="J47" s="152">
        <f t="shared" si="113"/>
        <v>23495.882677281705</v>
      </c>
      <c r="K47" s="152">
        <f t="shared" si="113"/>
        <v>24797.155646466515</v>
      </c>
      <c r="L47" s="152">
        <f t="shared" si="113"/>
        <v>26169.747211468497</v>
      </c>
      <c r="M47" s="152">
        <f t="shared" si="113"/>
        <v>27181.729314339602</v>
      </c>
      <c r="N47" s="152">
        <f t="shared" si="113"/>
        <v>26965.172531812383</v>
      </c>
      <c r="O47" s="152">
        <f t="shared" si="113"/>
        <v>27527.650810162966</v>
      </c>
      <c r="P47" s="152">
        <f t="shared" si="113"/>
        <v>27476.769210356742</v>
      </c>
      <c r="Q47" s="152">
        <f t="shared" si="113"/>
        <v>27602.26328535697</v>
      </c>
      <c r="R47" s="152">
        <f t="shared" si="113"/>
        <v>29087.526878433047</v>
      </c>
      <c r="S47" s="152">
        <f t="shared" si="113"/>
        <v>30378.793972206269</v>
      </c>
      <c r="T47" s="152">
        <f t="shared" si="113"/>
        <v>32059.868414935063</v>
      </c>
      <c r="U47" s="152">
        <f t="shared" si="113"/>
        <v>33659.852918306031</v>
      </c>
      <c r="V47" s="152">
        <f t="shared" si="113"/>
        <v>33838.323821640064</v>
      </c>
      <c r="W47" s="152">
        <f t="shared" ref="W47:Y47" si="114">SUM(W48:W52)</f>
        <v>34962.030552519151</v>
      </c>
      <c r="X47" s="152">
        <f t="shared" si="114"/>
        <v>35446.671039864712</v>
      </c>
      <c r="Y47" s="152">
        <f t="shared" si="114"/>
        <v>35656.949163648955</v>
      </c>
      <c r="DA47" s="174" t="s">
        <v>491</v>
      </c>
    </row>
    <row r="48" spans="1:105" ht="11.45" customHeight="1" x14ac:dyDescent="0.25">
      <c r="A48" s="111" t="s">
        <v>110</v>
      </c>
      <c r="B48" s="87">
        <v>12351.686292392476</v>
      </c>
      <c r="C48" s="87">
        <v>11977.351109031506</v>
      </c>
      <c r="D48" s="87">
        <v>10888.390950089812</v>
      </c>
      <c r="E48" s="87">
        <v>10644.910363205823</v>
      </c>
      <c r="F48" s="87">
        <v>9611.1874639529487</v>
      </c>
      <c r="G48" s="87">
        <v>8515.8783551187989</v>
      </c>
      <c r="H48" s="87">
        <v>7942.3523620781743</v>
      </c>
      <c r="I48" s="87">
        <v>7256.1124080308564</v>
      </c>
      <c r="J48" s="87">
        <v>6747.567764581745</v>
      </c>
      <c r="K48" s="87">
        <v>6951.9754747647812</v>
      </c>
      <c r="L48" s="87">
        <v>6722.418858549865</v>
      </c>
      <c r="M48" s="87">
        <v>6232.6361074517126</v>
      </c>
      <c r="N48" s="87">
        <v>5824.666190261084</v>
      </c>
      <c r="O48" s="87">
        <v>5502.1701006598005</v>
      </c>
      <c r="P48" s="87">
        <v>5077.4203044481519</v>
      </c>
      <c r="Q48" s="87">
        <v>4506.0570160334091</v>
      </c>
      <c r="R48" s="87">
        <v>4516.0182372766067</v>
      </c>
      <c r="S48" s="87">
        <v>4723.3008191571089</v>
      </c>
      <c r="T48" s="87">
        <v>4720.2484149633347</v>
      </c>
      <c r="U48" s="87">
        <v>4776.3879125410831</v>
      </c>
      <c r="V48" s="87">
        <v>4415.1707923323138</v>
      </c>
      <c r="W48" s="87">
        <v>4378.0500952533694</v>
      </c>
      <c r="X48" s="87">
        <v>4600.6326258140525</v>
      </c>
      <c r="Y48" s="87">
        <v>4495.3173347621869</v>
      </c>
      <c r="DA48" s="171" t="s">
        <v>492</v>
      </c>
    </row>
    <row r="49" spans="1:105" ht="11.45" customHeight="1" x14ac:dyDescent="0.25">
      <c r="A49" s="111" t="s">
        <v>111</v>
      </c>
      <c r="B49" s="87">
        <v>7846.0656913978046</v>
      </c>
      <c r="C49" s="87">
        <v>7629.0384265058428</v>
      </c>
      <c r="D49" s="87">
        <v>9097.8694095178198</v>
      </c>
      <c r="E49" s="87">
        <v>9814.8932774987861</v>
      </c>
      <c r="F49" s="87">
        <v>10121.499732894241</v>
      </c>
      <c r="G49" s="87">
        <v>11380.823804598747</v>
      </c>
      <c r="H49" s="87">
        <v>12735.290889118602</v>
      </c>
      <c r="I49" s="87">
        <v>13979.648391927725</v>
      </c>
      <c r="J49" s="87">
        <v>15605.017231129834</v>
      </c>
      <c r="K49" s="87">
        <v>16676.838215494266</v>
      </c>
      <c r="L49" s="87">
        <v>18240.829029343844</v>
      </c>
      <c r="M49" s="87">
        <v>19702.704575177075</v>
      </c>
      <c r="N49" s="87">
        <v>20001.190269447805</v>
      </c>
      <c r="O49" s="87">
        <v>20891.022208792074</v>
      </c>
      <c r="P49" s="87">
        <v>21135.509737104032</v>
      </c>
      <c r="Q49" s="87">
        <v>21812.0722003583</v>
      </c>
      <c r="R49" s="87">
        <v>23275.665796277943</v>
      </c>
      <c r="S49" s="87">
        <v>24391.140769995538</v>
      </c>
      <c r="T49" s="87">
        <v>26012.125011083259</v>
      </c>
      <c r="U49" s="87">
        <v>27547.96193444548</v>
      </c>
      <c r="V49" s="87">
        <v>28142.071920616065</v>
      </c>
      <c r="W49" s="87">
        <v>29302.589608802165</v>
      </c>
      <c r="X49" s="87">
        <v>29622.298392092118</v>
      </c>
      <c r="Y49" s="87">
        <v>29921.282316273333</v>
      </c>
      <c r="DA49" s="171" t="s">
        <v>493</v>
      </c>
    </row>
    <row r="50" spans="1:105" ht="11.45" customHeight="1" x14ac:dyDescent="0.25">
      <c r="A50" s="111" t="s">
        <v>112</v>
      </c>
      <c r="B50" s="87">
        <v>382.3255045558642</v>
      </c>
      <c r="C50" s="87">
        <v>437.38849649989635</v>
      </c>
      <c r="D50" s="87">
        <v>615.93528614818126</v>
      </c>
      <c r="E50" s="87">
        <v>734.5598176530649</v>
      </c>
      <c r="F50" s="87">
        <v>760.29693695536764</v>
      </c>
      <c r="G50" s="87">
        <v>831.88883200929547</v>
      </c>
      <c r="H50" s="87">
        <v>1000.9185992776382</v>
      </c>
      <c r="I50" s="87">
        <v>1087.1118131496667</v>
      </c>
      <c r="J50" s="87">
        <v>1143.2976815701256</v>
      </c>
      <c r="K50" s="87">
        <v>1168.3419562074666</v>
      </c>
      <c r="L50" s="87">
        <v>1206.4993235747863</v>
      </c>
      <c r="M50" s="87">
        <v>1246.3886317108161</v>
      </c>
      <c r="N50" s="87">
        <v>1139.26839167802</v>
      </c>
      <c r="O50" s="87">
        <v>1134.36987305975</v>
      </c>
      <c r="P50" s="87">
        <v>1263.7232626179048</v>
      </c>
      <c r="Q50" s="87">
        <v>1261.4517885128944</v>
      </c>
      <c r="R50" s="87">
        <v>1269.221023635886</v>
      </c>
      <c r="S50" s="87">
        <v>1238.4688471754434</v>
      </c>
      <c r="T50" s="87">
        <v>1300.4708836260818</v>
      </c>
      <c r="U50" s="87">
        <v>1307.3715788594029</v>
      </c>
      <c r="V50" s="87">
        <v>1258.7545071417148</v>
      </c>
      <c r="W50" s="87">
        <v>1257.8644919640542</v>
      </c>
      <c r="X50" s="87">
        <v>1195.1652844511459</v>
      </c>
      <c r="Y50" s="87">
        <v>1194.5121773963781</v>
      </c>
      <c r="DA50" s="171" t="s">
        <v>494</v>
      </c>
    </row>
    <row r="51" spans="1:105" ht="11.45" customHeight="1" x14ac:dyDescent="0.25">
      <c r="A51" s="111" t="s">
        <v>113</v>
      </c>
      <c r="B51" s="87">
        <v>0</v>
      </c>
      <c r="C51" s="87">
        <v>0</v>
      </c>
      <c r="D51" s="87">
        <v>0</v>
      </c>
      <c r="E51" s="87">
        <v>0</v>
      </c>
      <c r="F51" s="87">
        <v>0</v>
      </c>
      <c r="G51" s="87">
        <v>0</v>
      </c>
      <c r="H51" s="87">
        <v>0</v>
      </c>
      <c r="I51" s="87">
        <v>0</v>
      </c>
      <c r="J51" s="87">
        <v>0</v>
      </c>
      <c r="K51" s="87">
        <v>0</v>
      </c>
      <c r="L51" s="87">
        <v>0</v>
      </c>
      <c r="M51" s="87">
        <v>0</v>
      </c>
      <c r="N51" s="87">
        <v>0</v>
      </c>
      <c r="O51" s="87">
        <v>0</v>
      </c>
      <c r="P51" s="87">
        <v>0</v>
      </c>
      <c r="Q51" s="87">
        <v>22.518548880285476</v>
      </c>
      <c r="R51" s="87">
        <v>26.414306606494577</v>
      </c>
      <c r="S51" s="87">
        <v>25.574305424254714</v>
      </c>
      <c r="T51" s="87">
        <v>26.407551017679953</v>
      </c>
      <c r="U51" s="87">
        <v>26.676634481562321</v>
      </c>
      <c r="V51" s="87">
        <v>19.435524539740634</v>
      </c>
      <c r="W51" s="87">
        <v>17.490102469770406</v>
      </c>
      <c r="X51" s="87">
        <v>16.148912315367621</v>
      </c>
      <c r="Y51" s="87">
        <v>15.685866804912465</v>
      </c>
      <c r="DA51" s="171" t="s">
        <v>495</v>
      </c>
    </row>
    <row r="52" spans="1:105" ht="11.45" customHeight="1" x14ac:dyDescent="0.25">
      <c r="A52" s="111" t="s">
        <v>115</v>
      </c>
      <c r="B52" s="87">
        <v>0</v>
      </c>
      <c r="C52" s="87">
        <v>0</v>
      </c>
      <c r="D52" s="87">
        <v>0</v>
      </c>
      <c r="E52" s="87">
        <v>0</v>
      </c>
      <c r="F52" s="87">
        <v>0</v>
      </c>
      <c r="G52" s="87">
        <v>0</v>
      </c>
      <c r="H52" s="87">
        <v>0</v>
      </c>
      <c r="I52" s="87">
        <v>0</v>
      </c>
      <c r="J52" s="87">
        <v>0</v>
      </c>
      <c r="K52" s="87">
        <v>0</v>
      </c>
      <c r="L52" s="87">
        <v>0</v>
      </c>
      <c r="M52" s="87">
        <v>0</v>
      </c>
      <c r="N52" s="87">
        <v>4.7680425475365253E-2</v>
      </c>
      <c r="O52" s="87">
        <v>8.8627651341023503E-2</v>
      </c>
      <c r="P52" s="87">
        <v>0.11590618665330828</v>
      </c>
      <c r="Q52" s="87">
        <v>0.16373157208157157</v>
      </c>
      <c r="R52" s="87">
        <v>0.2075146361172259</v>
      </c>
      <c r="S52" s="87">
        <v>0.30923045392176235</v>
      </c>
      <c r="T52" s="87">
        <v>0.61655424470440323</v>
      </c>
      <c r="U52" s="87">
        <v>1.4548579785029441</v>
      </c>
      <c r="V52" s="87">
        <v>2.891077010238714</v>
      </c>
      <c r="W52" s="87">
        <v>6.036254029793735</v>
      </c>
      <c r="X52" s="87">
        <v>12.42582519202522</v>
      </c>
      <c r="Y52" s="87">
        <v>30.151468412149733</v>
      </c>
      <c r="DA52" s="171" t="s">
        <v>496</v>
      </c>
    </row>
    <row r="53" spans="1:105" ht="11.45" customHeight="1" x14ac:dyDescent="0.25">
      <c r="A53" s="109" t="s">
        <v>154</v>
      </c>
      <c r="B53" s="116">
        <f t="shared" ref="B53" si="115">SUM(B54:B55)</f>
        <v>6253.2201805547938</v>
      </c>
      <c r="C53" s="116">
        <f t="shared" ref="C53:V53" si="116">SUM(C54:C55)</f>
        <v>6502.7464325548162</v>
      </c>
      <c r="D53" s="116">
        <f t="shared" si="116"/>
        <v>6808.4284829519793</v>
      </c>
      <c r="E53" s="116">
        <f t="shared" si="116"/>
        <v>7228.7983733458086</v>
      </c>
      <c r="F53" s="116">
        <f t="shared" si="116"/>
        <v>8407.433591705274</v>
      </c>
      <c r="G53" s="116">
        <f t="shared" si="116"/>
        <v>8812.0458422840966</v>
      </c>
      <c r="H53" s="116">
        <f t="shared" si="116"/>
        <v>9108.4977073053233</v>
      </c>
      <c r="I53" s="116">
        <f t="shared" si="116"/>
        <v>9734.6013786271651</v>
      </c>
      <c r="J53" s="116">
        <f t="shared" si="116"/>
        <v>10463.730316185276</v>
      </c>
      <c r="K53" s="116">
        <f t="shared" si="116"/>
        <v>11328.903990811003</v>
      </c>
      <c r="L53" s="116">
        <f t="shared" si="116"/>
        <v>12211.892413603071</v>
      </c>
      <c r="M53" s="116">
        <f t="shared" si="116"/>
        <v>13348.844264650816</v>
      </c>
      <c r="N53" s="116">
        <f t="shared" si="116"/>
        <v>13447.935457601361</v>
      </c>
      <c r="O53" s="116">
        <f t="shared" si="116"/>
        <v>14579.340067397505</v>
      </c>
      <c r="P53" s="116">
        <f t="shared" si="116"/>
        <v>14450.407913543946</v>
      </c>
      <c r="Q53" s="116">
        <f t="shared" si="116"/>
        <v>15383.215913305985</v>
      </c>
      <c r="R53" s="116">
        <f t="shared" si="116"/>
        <v>15821.194427226887</v>
      </c>
      <c r="S53" s="116">
        <f t="shared" si="116"/>
        <v>17408.843216353474</v>
      </c>
      <c r="T53" s="116">
        <f t="shared" si="116"/>
        <v>16550.857864083438</v>
      </c>
      <c r="U53" s="116">
        <f t="shared" si="116"/>
        <v>16922.005560399808</v>
      </c>
      <c r="V53" s="116">
        <f t="shared" si="116"/>
        <v>17373.375528747329</v>
      </c>
      <c r="W53" s="116">
        <f t="shared" ref="W53:Y53" si="117">SUM(W54:W55)</f>
        <v>18558.323077668883</v>
      </c>
      <c r="X53" s="116">
        <f t="shared" si="117"/>
        <v>18697.399827665722</v>
      </c>
      <c r="Y53" s="116">
        <f t="shared" si="117"/>
        <v>18374.491189644792</v>
      </c>
      <c r="DA53" s="176" t="s">
        <v>497</v>
      </c>
    </row>
    <row r="54" spans="1:105" ht="11.45" customHeight="1" x14ac:dyDescent="0.25">
      <c r="A54" s="128" t="s">
        <v>27</v>
      </c>
      <c r="B54" s="101">
        <v>4943.3659158521041</v>
      </c>
      <c r="C54" s="101">
        <v>5098.4360390990232</v>
      </c>
      <c r="D54" s="101">
        <v>5331.0412239694015</v>
      </c>
      <c r="E54" s="101">
        <v>5718.7165320866989</v>
      </c>
      <c r="F54" s="101">
        <v>6622</v>
      </c>
      <c r="G54" s="101">
        <v>6964</v>
      </c>
      <c r="H54" s="101">
        <v>6867</v>
      </c>
      <c r="I54" s="101">
        <v>7640</v>
      </c>
      <c r="J54" s="101">
        <v>8328</v>
      </c>
      <c r="K54" s="101">
        <v>9279</v>
      </c>
      <c r="L54" s="101">
        <v>9814</v>
      </c>
      <c r="M54" s="101">
        <v>10811</v>
      </c>
      <c r="N54" s="101">
        <v>10689</v>
      </c>
      <c r="O54" s="101">
        <v>11657</v>
      </c>
      <c r="P54" s="101">
        <v>11486</v>
      </c>
      <c r="Q54" s="101">
        <v>12333</v>
      </c>
      <c r="R54" s="101">
        <v>12407</v>
      </c>
      <c r="S54" s="101">
        <v>13558</v>
      </c>
      <c r="T54" s="101">
        <v>13212</v>
      </c>
      <c r="U54" s="101">
        <v>13103</v>
      </c>
      <c r="V54" s="101">
        <v>13671</v>
      </c>
      <c r="W54" s="101">
        <v>14639</v>
      </c>
      <c r="X54" s="101">
        <v>14647</v>
      </c>
      <c r="Y54" s="101">
        <v>14251</v>
      </c>
      <c r="DA54" s="175" t="s">
        <v>498</v>
      </c>
    </row>
    <row r="55" spans="1:105" ht="11.45" customHeight="1" x14ac:dyDescent="0.25">
      <c r="A55" s="138" t="s">
        <v>116</v>
      </c>
      <c r="B55" s="88">
        <v>1309.8542647026898</v>
      </c>
      <c r="C55" s="88">
        <v>1404.3103934557932</v>
      </c>
      <c r="D55" s="88">
        <v>1477.3872589825776</v>
      </c>
      <c r="E55" s="88">
        <v>1510.08184125911</v>
      </c>
      <c r="F55" s="88">
        <v>1785.4335917052736</v>
      </c>
      <c r="G55" s="88">
        <v>1848.0458422840968</v>
      </c>
      <c r="H55" s="88">
        <v>2241.4977073053237</v>
      </c>
      <c r="I55" s="88">
        <v>2094.6013786271651</v>
      </c>
      <c r="J55" s="88">
        <v>2135.7303161852765</v>
      </c>
      <c r="K55" s="88">
        <v>2049.9039908110017</v>
      </c>
      <c r="L55" s="88">
        <v>2397.892413603071</v>
      </c>
      <c r="M55" s="88">
        <v>2537.8442646508161</v>
      </c>
      <c r="N55" s="88">
        <v>2758.9354576013607</v>
      </c>
      <c r="O55" s="88">
        <v>2922.3400673975043</v>
      </c>
      <c r="P55" s="88">
        <v>2964.4079135439456</v>
      </c>
      <c r="Q55" s="88">
        <v>3050.2159133059854</v>
      </c>
      <c r="R55" s="88">
        <v>3414.1944272268865</v>
      </c>
      <c r="S55" s="88">
        <v>3850.8432163534731</v>
      </c>
      <c r="T55" s="88">
        <v>3338.8578640834398</v>
      </c>
      <c r="U55" s="88">
        <v>3819.0055603998071</v>
      </c>
      <c r="V55" s="88">
        <v>3702.3755287473291</v>
      </c>
      <c r="W55" s="88">
        <v>3919.3230776688829</v>
      </c>
      <c r="X55" s="88">
        <v>4050.3998276657203</v>
      </c>
      <c r="Y55" s="88">
        <v>4123.4911896447911</v>
      </c>
      <c r="DA55" s="178" t="s">
        <v>499</v>
      </c>
    </row>
    <row r="56" spans="1:105" ht="11.45" customHeight="1" x14ac:dyDescent="0.25">
      <c r="A56" s="106"/>
      <c r="B56" s="106"/>
      <c r="C56" s="106"/>
      <c r="D56" s="106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X56" s="106"/>
      <c r="Y56" s="106"/>
      <c r="DA56" s="171"/>
    </row>
    <row r="57" spans="1:105" ht="11.45" customHeight="1" x14ac:dyDescent="0.25">
      <c r="A57" s="53" t="s">
        <v>109</v>
      </c>
      <c r="B57" s="54">
        <f t="shared" ref="B57:K57" si="118">B58+B73</f>
        <v>12954807</v>
      </c>
      <c r="C57" s="54">
        <f t="shared" si="118"/>
        <v>14001742</v>
      </c>
      <c r="D57" s="54">
        <f t="shared" si="118"/>
        <v>14588832</v>
      </c>
      <c r="E57" s="54">
        <f t="shared" si="118"/>
        <v>14924164</v>
      </c>
      <c r="F57" s="54">
        <f t="shared" si="118"/>
        <v>15095969</v>
      </c>
      <c r="G57" s="54">
        <f t="shared" si="118"/>
        <v>15776072</v>
      </c>
      <c r="H57" s="54">
        <f t="shared" si="118"/>
        <v>16966229</v>
      </c>
      <c r="I57" s="54">
        <f t="shared" si="118"/>
        <v>18447030</v>
      </c>
      <c r="J57" s="54">
        <f t="shared" si="118"/>
        <v>20377166</v>
      </c>
      <c r="K57" s="54">
        <f t="shared" si="118"/>
        <v>21074319</v>
      </c>
      <c r="L57" s="54">
        <f t="shared" ref="L57" si="119">L58+L73</f>
        <v>22121584</v>
      </c>
      <c r="M57" s="54">
        <f t="shared" ref="M57:V57" si="120">M58+M73</f>
        <v>23326229</v>
      </c>
      <c r="N57" s="54">
        <f t="shared" si="120"/>
        <v>24087799</v>
      </c>
      <c r="O57" s="54">
        <f t="shared" si="120"/>
        <v>24965875</v>
      </c>
      <c r="P57" s="54">
        <f t="shared" si="120"/>
        <v>25698580</v>
      </c>
      <c r="Q57" s="54">
        <f t="shared" si="120"/>
        <v>26611073</v>
      </c>
      <c r="R57" s="54">
        <f t="shared" si="120"/>
        <v>27765346</v>
      </c>
      <c r="S57" s="54">
        <f t="shared" si="120"/>
        <v>28770029</v>
      </c>
      <c r="T57" s="54">
        <f t="shared" si="120"/>
        <v>29943628</v>
      </c>
      <c r="U57" s="54">
        <f t="shared" si="120"/>
        <v>31190226</v>
      </c>
      <c r="V57" s="54">
        <f t="shared" si="120"/>
        <v>32057450</v>
      </c>
      <c r="W57" s="54">
        <f t="shared" ref="W57:Y57" si="121">W58+W73</f>
        <v>33042587</v>
      </c>
      <c r="X57" s="54">
        <f t="shared" si="121"/>
        <v>33370938</v>
      </c>
      <c r="Y57" s="54">
        <f t="shared" si="121"/>
        <v>34012356</v>
      </c>
      <c r="DA57" s="172" t="s">
        <v>500</v>
      </c>
    </row>
    <row r="58" spans="1:105" ht="11.45" customHeight="1" x14ac:dyDescent="0.25">
      <c r="A58" s="27" t="s">
        <v>33</v>
      </c>
      <c r="B58" s="28">
        <f t="shared" ref="B58:K58" si="122">B59+B60+B67</f>
        <v>10827968</v>
      </c>
      <c r="C58" s="28">
        <f t="shared" si="122"/>
        <v>11839703</v>
      </c>
      <c r="D58" s="28">
        <f t="shared" si="122"/>
        <v>12319492</v>
      </c>
      <c r="E58" s="28">
        <f t="shared" si="122"/>
        <v>12622951</v>
      </c>
      <c r="F58" s="28">
        <f t="shared" si="122"/>
        <v>12847477</v>
      </c>
      <c r="G58" s="28">
        <f t="shared" si="122"/>
        <v>13467425</v>
      </c>
      <c r="H58" s="28">
        <f t="shared" si="122"/>
        <v>14610835</v>
      </c>
      <c r="I58" s="28">
        <f t="shared" si="122"/>
        <v>15977887</v>
      </c>
      <c r="J58" s="28">
        <f t="shared" si="122"/>
        <v>17725555</v>
      </c>
      <c r="K58" s="28">
        <f t="shared" si="122"/>
        <v>18343082</v>
      </c>
      <c r="L58" s="28">
        <f t="shared" ref="L58" si="123">L59+L60+L67</f>
        <v>19215099</v>
      </c>
      <c r="M58" s="28">
        <f t="shared" ref="M58:V58" si="124">M59+M60+M67</f>
        <v>20268325</v>
      </c>
      <c r="N58" s="28">
        <f t="shared" si="124"/>
        <v>20992524</v>
      </c>
      <c r="O58" s="28">
        <f t="shared" si="124"/>
        <v>21747963</v>
      </c>
      <c r="P58" s="28">
        <f t="shared" si="124"/>
        <v>22453348</v>
      </c>
      <c r="Q58" s="28">
        <f t="shared" si="124"/>
        <v>23298070</v>
      </c>
      <c r="R58" s="28">
        <f t="shared" si="124"/>
        <v>24360962</v>
      </c>
      <c r="S58" s="28">
        <f t="shared" si="124"/>
        <v>25286402</v>
      </c>
      <c r="T58" s="28">
        <f t="shared" si="124"/>
        <v>26336128</v>
      </c>
      <c r="U58" s="28">
        <f t="shared" si="124"/>
        <v>27479970</v>
      </c>
      <c r="V58" s="28">
        <f t="shared" si="124"/>
        <v>28240112</v>
      </c>
      <c r="W58" s="28">
        <f t="shared" ref="W58:Y58" si="125">W59+W60+W67</f>
        <v>29096158</v>
      </c>
      <c r="X58" s="28">
        <f t="shared" si="125"/>
        <v>29320735</v>
      </c>
      <c r="Y58" s="28">
        <f t="shared" si="125"/>
        <v>29844611</v>
      </c>
      <c r="DA58" s="173" t="s">
        <v>501</v>
      </c>
    </row>
    <row r="59" spans="1:105" ht="11.45" customHeight="1" x14ac:dyDescent="0.25">
      <c r="A59" s="136" t="s">
        <v>173</v>
      </c>
      <c r="B59" s="137">
        <v>803000</v>
      </c>
      <c r="C59" s="137">
        <v>803000</v>
      </c>
      <c r="D59" s="137">
        <v>869000</v>
      </c>
      <c r="E59" s="137">
        <v>845456</v>
      </c>
      <c r="F59" s="137">
        <v>835790</v>
      </c>
      <c r="G59" s="137">
        <v>1091159</v>
      </c>
      <c r="H59" s="137">
        <v>1190093</v>
      </c>
      <c r="I59" s="137">
        <v>1350789</v>
      </c>
      <c r="J59" s="137">
        <v>1607316</v>
      </c>
      <c r="K59" s="137">
        <v>1808723</v>
      </c>
      <c r="L59" s="137">
        <v>1935140</v>
      </c>
      <c r="M59" s="137">
        <v>2102175</v>
      </c>
      <c r="N59" s="137">
        <v>2207556</v>
      </c>
      <c r="O59" s="137">
        <v>2316610</v>
      </c>
      <c r="P59" s="137">
        <v>2406105</v>
      </c>
      <c r="Q59" s="137">
        <v>2531520</v>
      </c>
      <c r="R59" s="137">
        <v>2647825</v>
      </c>
      <c r="S59" s="137">
        <v>2755000</v>
      </c>
      <c r="T59" s="137">
        <v>2852800</v>
      </c>
      <c r="U59" s="137">
        <v>2962035</v>
      </c>
      <c r="V59" s="137">
        <v>3069151</v>
      </c>
      <c r="W59" s="137">
        <v>3169006</v>
      </c>
      <c r="X59" s="137">
        <v>3269644</v>
      </c>
      <c r="Y59" s="137">
        <v>3382022</v>
      </c>
      <c r="DA59" s="174" t="s">
        <v>502</v>
      </c>
    </row>
    <row r="60" spans="1:105" ht="11.45" customHeight="1" x14ac:dyDescent="0.25">
      <c r="A60" s="109" t="s">
        <v>20</v>
      </c>
      <c r="B60" s="110">
        <f t="shared" ref="B60:K60" si="126">SUM(B61:B66)</f>
        <v>9991300</v>
      </c>
      <c r="C60" s="110">
        <f t="shared" si="126"/>
        <v>11003100</v>
      </c>
      <c r="D60" s="110">
        <f t="shared" si="126"/>
        <v>11416573</v>
      </c>
      <c r="E60" s="110">
        <f t="shared" si="126"/>
        <v>11743900</v>
      </c>
      <c r="F60" s="110">
        <f t="shared" si="126"/>
        <v>11975000</v>
      </c>
      <c r="G60" s="110">
        <f t="shared" si="126"/>
        <v>12339000</v>
      </c>
      <c r="H60" s="110">
        <f t="shared" si="126"/>
        <v>13384000</v>
      </c>
      <c r="I60" s="110">
        <f t="shared" si="126"/>
        <v>14589000</v>
      </c>
      <c r="J60" s="110">
        <f t="shared" si="126"/>
        <v>16080000</v>
      </c>
      <c r="K60" s="110">
        <f t="shared" si="126"/>
        <v>16495000</v>
      </c>
      <c r="L60" s="110">
        <f t="shared" ref="L60" si="127">SUM(L61:L66)</f>
        <v>17240000</v>
      </c>
      <c r="M60" s="110">
        <f t="shared" ref="M60:V60" si="128">SUM(M61:M66)</f>
        <v>18125000</v>
      </c>
      <c r="N60" s="110">
        <f t="shared" si="128"/>
        <v>18744000</v>
      </c>
      <c r="O60" s="110">
        <f t="shared" si="128"/>
        <v>19389446</v>
      </c>
      <c r="P60" s="110">
        <f t="shared" si="128"/>
        <v>20003863</v>
      </c>
      <c r="Q60" s="110">
        <f t="shared" si="128"/>
        <v>20715877</v>
      </c>
      <c r="R60" s="110">
        <f t="shared" si="128"/>
        <v>21661126</v>
      </c>
      <c r="S60" s="110">
        <f t="shared" si="128"/>
        <v>22478252</v>
      </c>
      <c r="T60" s="110">
        <f t="shared" si="128"/>
        <v>23428785</v>
      </c>
      <c r="U60" s="110">
        <f t="shared" si="128"/>
        <v>24461914</v>
      </c>
      <c r="V60" s="110">
        <f t="shared" si="128"/>
        <v>25113862</v>
      </c>
      <c r="W60" s="110">
        <f t="shared" ref="W60:Y60" si="129">SUM(W61:W66)</f>
        <v>25869804</v>
      </c>
      <c r="X60" s="110">
        <f t="shared" si="129"/>
        <v>25993477</v>
      </c>
      <c r="Y60" s="110">
        <f t="shared" si="129"/>
        <v>26403942</v>
      </c>
      <c r="DA60" s="176" t="s">
        <v>503</v>
      </c>
    </row>
    <row r="61" spans="1:105" ht="11.45" customHeight="1" x14ac:dyDescent="0.25">
      <c r="A61" s="111" t="s">
        <v>110</v>
      </c>
      <c r="B61" s="84">
        <v>8094000</v>
      </c>
      <c r="C61" s="84">
        <v>8704483</v>
      </c>
      <c r="D61" s="84">
        <v>8615788</v>
      </c>
      <c r="E61" s="84">
        <v>8358098</v>
      </c>
      <c r="F61" s="84">
        <v>8201702</v>
      </c>
      <c r="G61" s="84">
        <v>8630106</v>
      </c>
      <c r="H61" s="84">
        <v>9114195</v>
      </c>
      <c r="I61" s="84">
        <v>9605644</v>
      </c>
      <c r="J61" s="84">
        <v>10231006</v>
      </c>
      <c r="K61" s="84">
        <v>10088132</v>
      </c>
      <c r="L61" s="84">
        <v>10239494</v>
      </c>
      <c r="M61" s="84">
        <v>10701727</v>
      </c>
      <c r="N61" s="84">
        <v>11050312</v>
      </c>
      <c r="O61" s="84">
        <v>11170811</v>
      </c>
      <c r="P61" s="84">
        <v>11309146</v>
      </c>
      <c r="Q61" s="84">
        <v>11643404</v>
      </c>
      <c r="R61" s="84">
        <v>11900576</v>
      </c>
      <c r="S61" s="84">
        <v>12411201</v>
      </c>
      <c r="T61" s="84">
        <v>12673201</v>
      </c>
      <c r="U61" s="84">
        <v>13247431</v>
      </c>
      <c r="V61" s="84">
        <v>13583086</v>
      </c>
      <c r="W61" s="84">
        <v>14022437</v>
      </c>
      <c r="X61" s="84">
        <v>14071506</v>
      </c>
      <c r="Y61" s="84">
        <v>14147372</v>
      </c>
      <c r="DA61" s="171" t="s">
        <v>504</v>
      </c>
    </row>
    <row r="62" spans="1:105" ht="11.45" customHeight="1" x14ac:dyDescent="0.25">
      <c r="A62" s="111" t="s">
        <v>111</v>
      </c>
      <c r="B62" s="84">
        <v>1297300</v>
      </c>
      <c r="C62" s="84">
        <v>1298617</v>
      </c>
      <c r="D62" s="84">
        <v>1300785</v>
      </c>
      <c r="E62" s="84">
        <v>1385802</v>
      </c>
      <c r="F62" s="84">
        <v>1523298</v>
      </c>
      <c r="G62" s="84">
        <v>1187889</v>
      </c>
      <c r="H62" s="84">
        <v>1562706</v>
      </c>
      <c r="I62" s="84">
        <v>2101204</v>
      </c>
      <c r="J62" s="84">
        <v>2822146</v>
      </c>
      <c r="K62" s="84">
        <v>3271171</v>
      </c>
      <c r="L62" s="84">
        <v>3768857</v>
      </c>
      <c r="M62" s="84">
        <v>4402060</v>
      </c>
      <c r="N62" s="84">
        <v>4936461</v>
      </c>
      <c r="O62" s="84">
        <v>5371504</v>
      </c>
      <c r="P62" s="84">
        <v>5789670</v>
      </c>
      <c r="Q62" s="84">
        <v>6089216</v>
      </c>
      <c r="R62" s="84">
        <v>6669219</v>
      </c>
      <c r="S62" s="84">
        <v>7017754</v>
      </c>
      <c r="T62" s="84">
        <v>7459335</v>
      </c>
      <c r="U62" s="84">
        <v>7869662</v>
      </c>
      <c r="V62" s="84">
        <v>8168774</v>
      </c>
      <c r="W62" s="84">
        <v>8467040</v>
      </c>
      <c r="X62" s="84">
        <v>8506946</v>
      </c>
      <c r="Y62" s="84">
        <v>8613385</v>
      </c>
      <c r="DA62" s="171" t="s">
        <v>505</v>
      </c>
    </row>
    <row r="63" spans="1:105" ht="11.45" customHeight="1" x14ac:dyDescent="0.25">
      <c r="A63" s="111" t="s">
        <v>112</v>
      </c>
      <c r="B63" s="84">
        <v>600000</v>
      </c>
      <c r="C63" s="84">
        <v>1000000</v>
      </c>
      <c r="D63" s="84">
        <v>1500000</v>
      </c>
      <c r="E63" s="84">
        <v>2000000</v>
      </c>
      <c r="F63" s="84">
        <v>2250000</v>
      </c>
      <c r="G63" s="84">
        <v>2521005</v>
      </c>
      <c r="H63" s="84">
        <v>2707099</v>
      </c>
      <c r="I63" s="84">
        <v>2882152</v>
      </c>
      <c r="J63" s="84">
        <v>3026848</v>
      </c>
      <c r="K63" s="84">
        <v>3135697</v>
      </c>
      <c r="L63" s="84">
        <v>3231634</v>
      </c>
      <c r="M63" s="84">
        <v>3021109</v>
      </c>
      <c r="N63" s="84">
        <v>2757000</v>
      </c>
      <c r="O63" s="84">
        <v>2846868</v>
      </c>
      <c r="P63" s="84">
        <v>2904072</v>
      </c>
      <c r="Q63" s="84">
        <v>2977264</v>
      </c>
      <c r="R63" s="84">
        <v>3082548</v>
      </c>
      <c r="S63" s="84">
        <v>3038596</v>
      </c>
      <c r="T63" s="84">
        <v>3281951</v>
      </c>
      <c r="U63" s="84">
        <v>3327624</v>
      </c>
      <c r="V63" s="84">
        <v>3336762</v>
      </c>
      <c r="W63" s="84">
        <v>3343040</v>
      </c>
      <c r="X63" s="84">
        <v>3355117</v>
      </c>
      <c r="Y63" s="84">
        <v>3537208</v>
      </c>
      <c r="DA63" s="171" t="s">
        <v>506</v>
      </c>
    </row>
    <row r="64" spans="1:105" ht="11.45" customHeight="1" x14ac:dyDescent="0.25">
      <c r="A64" s="111" t="s">
        <v>113</v>
      </c>
      <c r="B64" s="84">
        <v>0</v>
      </c>
      <c r="C64" s="84">
        <v>0</v>
      </c>
      <c r="D64" s="84">
        <v>0</v>
      </c>
      <c r="E64" s="84">
        <v>0</v>
      </c>
      <c r="F64" s="84">
        <v>0</v>
      </c>
      <c r="G64" s="84">
        <v>0</v>
      </c>
      <c r="H64" s="84">
        <v>0</v>
      </c>
      <c r="I64" s="84">
        <v>0</v>
      </c>
      <c r="J64" s="84">
        <v>0</v>
      </c>
      <c r="K64" s="84">
        <v>0</v>
      </c>
      <c r="L64" s="84">
        <v>0</v>
      </c>
      <c r="M64" s="84">
        <v>0</v>
      </c>
      <c r="N64" s="84">
        <v>0</v>
      </c>
      <c r="O64" s="84">
        <v>0</v>
      </c>
      <c r="P64" s="84">
        <v>0</v>
      </c>
      <c r="Q64" s="84">
        <v>5355</v>
      </c>
      <c r="R64" s="84">
        <v>7358</v>
      </c>
      <c r="S64" s="84">
        <v>7525</v>
      </c>
      <c r="T64" s="84">
        <v>7765</v>
      </c>
      <c r="U64" s="84">
        <v>7942</v>
      </c>
      <c r="V64" s="84">
        <v>7984</v>
      </c>
      <c r="W64" s="84">
        <v>8039</v>
      </c>
      <c r="X64" s="84">
        <v>7844</v>
      </c>
      <c r="Y64" s="84">
        <v>7629</v>
      </c>
      <c r="DA64" s="171" t="s">
        <v>507</v>
      </c>
    </row>
    <row r="65" spans="1:105" ht="11.45" customHeight="1" x14ac:dyDescent="0.25">
      <c r="A65" s="111" t="s">
        <v>114</v>
      </c>
      <c r="B65" s="84">
        <v>0</v>
      </c>
      <c r="C65" s="84">
        <v>0</v>
      </c>
      <c r="D65" s="84">
        <v>0</v>
      </c>
      <c r="E65" s="84">
        <v>0</v>
      </c>
      <c r="F65" s="84">
        <v>0</v>
      </c>
      <c r="G65" s="84">
        <v>0</v>
      </c>
      <c r="H65" s="84">
        <v>0</v>
      </c>
      <c r="I65" s="84">
        <v>0</v>
      </c>
      <c r="J65" s="84">
        <v>0</v>
      </c>
      <c r="K65" s="84">
        <v>0</v>
      </c>
      <c r="L65" s="84">
        <v>0</v>
      </c>
      <c r="M65" s="84">
        <v>0</v>
      </c>
      <c r="N65" s="84">
        <v>12</v>
      </c>
      <c r="O65" s="84">
        <v>22</v>
      </c>
      <c r="P65" s="84">
        <v>673</v>
      </c>
      <c r="Q65" s="84">
        <v>270</v>
      </c>
      <c r="R65" s="84">
        <v>425</v>
      </c>
      <c r="S65" s="84">
        <v>816</v>
      </c>
      <c r="T65" s="84">
        <v>1592</v>
      </c>
      <c r="U65" s="84">
        <v>2381</v>
      </c>
      <c r="V65" s="84">
        <v>5919</v>
      </c>
      <c r="W65" s="84">
        <v>15634</v>
      </c>
      <c r="X65" s="84">
        <v>26415</v>
      </c>
      <c r="Y65" s="84">
        <v>47137</v>
      </c>
      <c r="DA65" s="171" t="s">
        <v>508</v>
      </c>
    </row>
    <row r="66" spans="1:105" ht="11.45" customHeight="1" x14ac:dyDescent="0.25">
      <c r="A66" s="111" t="s">
        <v>115</v>
      </c>
      <c r="B66" s="84">
        <v>0</v>
      </c>
      <c r="C66" s="84">
        <v>0</v>
      </c>
      <c r="D66" s="84">
        <v>0</v>
      </c>
      <c r="E66" s="84">
        <v>0</v>
      </c>
      <c r="F66" s="84">
        <v>0</v>
      </c>
      <c r="G66" s="84">
        <v>0</v>
      </c>
      <c r="H66" s="84">
        <v>0</v>
      </c>
      <c r="I66" s="84">
        <v>0</v>
      </c>
      <c r="J66" s="84">
        <v>0</v>
      </c>
      <c r="K66" s="84">
        <v>0</v>
      </c>
      <c r="L66" s="84">
        <v>15</v>
      </c>
      <c r="M66" s="84">
        <v>104</v>
      </c>
      <c r="N66" s="84">
        <v>215</v>
      </c>
      <c r="O66" s="84">
        <v>241</v>
      </c>
      <c r="P66" s="84">
        <v>302</v>
      </c>
      <c r="Q66" s="84">
        <v>368</v>
      </c>
      <c r="R66" s="84">
        <v>1000</v>
      </c>
      <c r="S66" s="84">
        <v>2360</v>
      </c>
      <c r="T66" s="84">
        <v>4941</v>
      </c>
      <c r="U66" s="84">
        <v>6874</v>
      </c>
      <c r="V66" s="84">
        <v>11337</v>
      </c>
      <c r="W66" s="84">
        <v>13614</v>
      </c>
      <c r="X66" s="84">
        <v>25649</v>
      </c>
      <c r="Y66" s="84">
        <v>51211</v>
      </c>
      <c r="DA66" s="171" t="s">
        <v>509</v>
      </c>
    </row>
    <row r="67" spans="1:105" ht="11.45" customHeight="1" x14ac:dyDescent="0.25">
      <c r="A67" s="109" t="s">
        <v>21</v>
      </c>
      <c r="B67" s="110">
        <f t="shared" ref="B67:K67" si="130">SUM(B68:B72)</f>
        <v>33668</v>
      </c>
      <c r="C67" s="110">
        <f t="shared" si="130"/>
        <v>33603</v>
      </c>
      <c r="D67" s="110">
        <f t="shared" si="130"/>
        <v>33919</v>
      </c>
      <c r="E67" s="110">
        <f t="shared" si="130"/>
        <v>33595</v>
      </c>
      <c r="F67" s="110">
        <f t="shared" si="130"/>
        <v>36687</v>
      </c>
      <c r="G67" s="110">
        <f t="shared" si="130"/>
        <v>37266</v>
      </c>
      <c r="H67" s="110">
        <f t="shared" si="130"/>
        <v>36742</v>
      </c>
      <c r="I67" s="110">
        <f t="shared" si="130"/>
        <v>38098</v>
      </c>
      <c r="J67" s="110">
        <f t="shared" si="130"/>
        <v>38239</v>
      </c>
      <c r="K67" s="110">
        <f t="shared" si="130"/>
        <v>39359</v>
      </c>
      <c r="L67" s="110">
        <f t="shared" ref="L67" si="131">SUM(L68:L72)</f>
        <v>39959</v>
      </c>
      <c r="M67" s="110">
        <f t="shared" ref="M67:V67" si="132">SUM(M68:M72)</f>
        <v>41150</v>
      </c>
      <c r="N67" s="110">
        <f t="shared" si="132"/>
        <v>40968</v>
      </c>
      <c r="O67" s="110">
        <f t="shared" si="132"/>
        <v>41907</v>
      </c>
      <c r="P67" s="110">
        <f t="shared" si="132"/>
        <v>43380</v>
      </c>
      <c r="Q67" s="110">
        <f t="shared" si="132"/>
        <v>50673</v>
      </c>
      <c r="R67" s="110">
        <f t="shared" si="132"/>
        <v>52011</v>
      </c>
      <c r="S67" s="110">
        <f t="shared" si="132"/>
        <v>53150</v>
      </c>
      <c r="T67" s="110">
        <f t="shared" si="132"/>
        <v>54543</v>
      </c>
      <c r="U67" s="110">
        <f t="shared" si="132"/>
        <v>56021</v>
      </c>
      <c r="V67" s="110">
        <f t="shared" si="132"/>
        <v>57099</v>
      </c>
      <c r="W67" s="110">
        <f t="shared" ref="W67:Y67" si="133">SUM(W68:W72)</f>
        <v>57348</v>
      </c>
      <c r="X67" s="110">
        <f t="shared" si="133"/>
        <v>57614</v>
      </c>
      <c r="Y67" s="110">
        <f t="shared" si="133"/>
        <v>58647</v>
      </c>
      <c r="DA67" s="176" t="s">
        <v>510</v>
      </c>
    </row>
    <row r="68" spans="1:105" ht="11.45" customHeight="1" x14ac:dyDescent="0.25">
      <c r="A68" s="111" t="s">
        <v>110</v>
      </c>
      <c r="B68" s="102">
        <v>0</v>
      </c>
      <c r="C68" s="102">
        <v>0</v>
      </c>
      <c r="D68" s="102">
        <v>0</v>
      </c>
      <c r="E68" s="102">
        <v>0</v>
      </c>
      <c r="F68" s="102">
        <v>0</v>
      </c>
      <c r="G68" s="102">
        <v>0</v>
      </c>
      <c r="H68" s="102">
        <v>0</v>
      </c>
      <c r="I68" s="102">
        <v>0</v>
      </c>
      <c r="J68" s="102">
        <v>0</v>
      </c>
      <c r="K68" s="102">
        <v>0</v>
      </c>
      <c r="L68" s="102">
        <v>0</v>
      </c>
      <c r="M68" s="102">
        <v>0</v>
      </c>
      <c r="N68" s="102">
        <v>0</v>
      </c>
      <c r="O68" s="102">
        <v>0</v>
      </c>
      <c r="P68" s="102">
        <v>0</v>
      </c>
      <c r="Q68" s="102">
        <v>0</v>
      </c>
      <c r="R68" s="102">
        <v>0</v>
      </c>
      <c r="S68" s="102">
        <v>0</v>
      </c>
      <c r="T68" s="102">
        <v>0</v>
      </c>
      <c r="U68" s="102">
        <v>0</v>
      </c>
      <c r="V68" s="102">
        <v>0</v>
      </c>
      <c r="W68" s="102">
        <v>0</v>
      </c>
      <c r="X68" s="102">
        <v>0</v>
      </c>
      <c r="Y68" s="102">
        <v>0</v>
      </c>
      <c r="DA68" s="175" t="s">
        <v>511</v>
      </c>
    </row>
    <row r="69" spans="1:105" ht="11.45" customHeight="1" x14ac:dyDescent="0.25">
      <c r="A69" s="111" t="s">
        <v>111</v>
      </c>
      <c r="B69" s="102">
        <v>32614</v>
      </c>
      <c r="C69" s="102">
        <v>32598</v>
      </c>
      <c r="D69" s="102">
        <v>32980</v>
      </c>
      <c r="E69" s="102">
        <v>32783</v>
      </c>
      <c r="F69" s="102">
        <v>34821</v>
      </c>
      <c r="G69" s="102">
        <v>35107</v>
      </c>
      <c r="H69" s="102">
        <v>34685</v>
      </c>
      <c r="I69" s="102">
        <v>36135</v>
      </c>
      <c r="J69" s="102">
        <v>36369</v>
      </c>
      <c r="K69" s="102">
        <v>37591</v>
      </c>
      <c r="L69" s="102">
        <v>38274</v>
      </c>
      <c r="M69" s="102">
        <v>39558</v>
      </c>
      <c r="N69" s="102">
        <v>39472</v>
      </c>
      <c r="O69" s="102">
        <v>40463</v>
      </c>
      <c r="P69" s="102">
        <v>42005</v>
      </c>
      <c r="Q69" s="102">
        <v>48793</v>
      </c>
      <c r="R69" s="102">
        <v>50186</v>
      </c>
      <c r="S69" s="102">
        <v>51386</v>
      </c>
      <c r="T69" s="102">
        <v>52200</v>
      </c>
      <c r="U69" s="102">
        <v>53524</v>
      </c>
      <c r="V69" s="102">
        <v>54020</v>
      </c>
      <c r="W69" s="102">
        <v>53704</v>
      </c>
      <c r="X69" s="102">
        <v>53672</v>
      </c>
      <c r="Y69" s="102">
        <v>54162</v>
      </c>
      <c r="DA69" s="175" t="s">
        <v>512</v>
      </c>
    </row>
    <row r="70" spans="1:105" ht="11.45" customHeight="1" x14ac:dyDescent="0.25">
      <c r="A70" s="111" t="s">
        <v>112</v>
      </c>
      <c r="B70" s="102">
        <v>820</v>
      </c>
      <c r="C70" s="102">
        <v>752</v>
      </c>
      <c r="D70" s="102">
        <v>682</v>
      </c>
      <c r="E70" s="102">
        <v>615</v>
      </c>
      <c r="F70" s="102">
        <v>1689</v>
      </c>
      <c r="G70" s="102">
        <v>1551</v>
      </c>
      <c r="H70" s="102">
        <v>1480</v>
      </c>
      <c r="I70" s="102">
        <v>1404</v>
      </c>
      <c r="J70" s="102">
        <v>1334</v>
      </c>
      <c r="K70" s="102">
        <v>1255</v>
      </c>
      <c r="L70" s="102">
        <v>1181</v>
      </c>
      <c r="M70" s="102">
        <v>1107</v>
      </c>
      <c r="N70" s="102">
        <v>1038</v>
      </c>
      <c r="O70" s="102">
        <v>968</v>
      </c>
      <c r="P70" s="102">
        <v>896</v>
      </c>
      <c r="Q70" s="102">
        <v>822</v>
      </c>
      <c r="R70" s="102">
        <v>782</v>
      </c>
      <c r="S70" s="102">
        <v>773</v>
      </c>
      <c r="T70" s="102">
        <v>778</v>
      </c>
      <c r="U70" s="102">
        <v>775</v>
      </c>
      <c r="V70" s="102">
        <v>771</v>
      </c>
      <c r="W70" s="102">
        <v>773</v>
      </c>
      <c r="X70" s="102">
        <v>770</v>
      </c>
      <c r="Y70" s="102">
        <v>753</v>
      </c>
      <c r="DA70" s="175" t="s">
        <v>513</v>
      </c>
    </row>
    <row r="71" spans="1:105" ht="11.45" customHeight="1" x14ac:dyDescent="0.25">
      <c r="A71" s="111" t="s">
        <v>113</v>
      </c>
      <c r="B71" s="102">
        <v>0</v>
      </c>
      <c r="C71" s="102">
        <v>0</v>
      </c>
      <c r="D71" s="102">
        <v>0</v>
      </c>
      <c r="E71" s="102">
        <v>0</v>
      </c>
      <c r="F71" s="102">
        <v>0</v>
      </c>
      <c r="G71" s="102">
        <v>0</v>
      </c>
      <c r="H71" s="102">
        <v>0</v>
      </c>
      <c r="I71" s="102">
        <v>0</v>
      </c>
      <c r="J71" s="102">
        <v>0</v>
      </c>
      <c r="K71" s="102">
        <v>0</v>
      </c>
      <c r="L71" s="102">
        <v>0</v>
      </c>
      <c r="M71" s="102">
        <v>0</v>
      </c>
      <c r="N71" s="102">
        <v>0</v>
      </c>
      <c r="O71" s="102">
        <v>0</v>
      </c>
      <c r="P71" s="102">
        <v>0</v>
      </c>
      <c r="Q71" s="102">
        <v>554</v>
      </c>
      <c r="R71" s="102">
        <v>517</v>
      </c>
      <c r="S71" s="102">
        <v>410</v>
      </c>
      <c r="T71" s="102">
        <v>1058</v>
      </c>
      <c r="U71" s="102">
        <v>1384</v>
      </c>
      <c r="V71" s="102">
        <v>1768</v>
      </c>
      <c r="W71" s="102">
        <v>2113</v>
      </c>
      <c r="X71" s="102">
        <v>2246</v>
      </c>
      <c r="Y71" s="102">
        <v>2444</v>
      </c>
      <c r="DA71" s="175" t="s">
        <v>514</v>
      </c>
    </row>
    <row r="72" spans="1:105" ht="11.45" customHeight="1" x14ac:dyDescent="0.25">
      <c r="A72" s="111" t="s">
        <v>115</v>
      </c>
      <c r="B72" s="102">
        <v>234</v>
      </c>
      <c r="C72" s="102">
        <v>253</v>
      </c>
      <c r="D72" s="102">
        <v>257</v>
      </c>
      <c r="E72" s="102">
        <v>197</v>
      </c>
      <c r="F72" s="102">
        <v>177</v>
      </c>
      <c r="G72" s="102">
        <v>608</v>
      </c>
      <c r="H72" s="102">
        <v>577</v>
      </c>
      <c r="I72" s="102">
        <v>559</v>
      </c>
      <c r="J72" s="102">
        <v>536</v>
      </c>
      <c r="K72" s="102">
        <v>513</v>
      </c>
      <c r="L72" s="102">
        <v>504</v>
      </c>
      <c r="M72" s="102">
        <v>485</v>
      </c>
      <c r="N72" s="102">
        <v>458</v>
      </c>
      <c r="O72" s="102">
        <v>476</v>
      </c>
      <c r="P72" s="102">
        <v>479</v>
      </c>
      <c r="Q72" s="102">
        <v>504</v>
      </c>
      <c r="R72" s="102">
        <v>526</v>
      </c>
      <c r="S72" s="102">
        <v>581</v>
      </c>
      <c r="T72" s="102">
        <v>507</v>
      </c>
      <c r="U72" s="102">
        <v>338</v>
      </c>
      <c r="V72" s="102">
        <v>540</v>
      </c>
      <c r="W72" s="102">
        <v>758</v>
      </c>
      <c r="X72" s="102">
        <v>926</v>
      </c>
      <c r="Y72" s="102">
        <v>1288</v>
      </c>
      <c r="DA72" s="175" t="s">
        <v>515</v>
      </c>
    </row>
    <row r="73" spans="1:105" ht="11.45" customHeight="1" x14ac:dyDescent="0.25">
      <c r="A73" s="27" t="s">
        <v>34</v>
      </c>
      <c r="B73" s="28">
        <f t="shared" ref="B73:K73" si="134">B74+B80</f>
        <v>2126839</v>
      </c>
      <c r="C73" s="28">
        <f t="shared" si="134"/>
        <v>2162039</v>
      </c>
      <c r="D73" s="28">
        <f t="shared" si="134"/>
        <v>2269340</v>
      </c>
      <c r="E73" s="28">
        <f t="shared" si="134"/>
        <v>2301213</v>
      </c>
      <c r="F73" s="28">
        <f t="shared" si="134"/>
        <v>2248492</v>
      </c>
      <c r="G73" s="28">
        <f t="shared" si="134"/>
        <v>2308647</v>
      </c>
      <c r="H73" s="28">
        <f t="shared" si="134"/>
        <v>2355394</v>
      </c>
      <c r="I73" s="28">
        <f t="shared" si="134"/>
        <v>2469143</v>
      </c>
      <c r="J73" s="28">
        <f t="shared" si="134"/>
        <v>2651611</v>
      </c>
      <c r="K73" s="28">
        <f t="shared" si="134"/>
        <v>2731237</v>
      </c>
      <c r="L73" s="28">
        <f t="shared" ref="L73" si="135">L74+L80</f>
        <v>2906485</v>
      </c>
      <c r="M73" s="28">
        <f t="shared" ref="M73:V73" si="136">M74+M80</f>
        <v>3057904</v>
      </c>
      <c r="N73" s="28">
        <f t="shared" si="136"/>
        <v>3095275</v>
      </c>
      <c r="O73" s="28">
        <f t="shared" si="136"/>
        <v>3217912</v>
      </c>
      <c r="P73" s="28">
        <f t="shared" si="136"/>
        <v>3245232</v>
      </c>
      <c r="Q73" s="28">
        <f t="shared" si="136"/>
        <v>3313003</v>
      </c>
      <c r="R73" s="28">
        <f t="shared" si="136"/>
        <v>3404384</v>
      </c>
      <c r="S73" s="28">
        <f t="shared" si="136"/>
        <v>3483627</v>
      </c>
      <c r="T73" s="28">
        <f t="shared" si="136"/>
        <v>3607500</v>
      </c>
      <c r="U73" s="28">
        <f t="shared" si="136"/>
        <v>3710256</v>
      </c>
      <c r="V73" s="28">
        <f t="shared" si="136"/>
        <v>3817338</v>
      </c>
      <c r="W73" s="28">
        <f t="shared" ref="W73:Y73" si="137">W74+W80</f>
        <v>3946429</v>
      </c>
      <c r="X73" s="28">
        <f t="shared" si="137"/>
        <v>4050203</v>
      </c>
      <c r="Y73" s="28">
        <f t="shared" si="137"/>
        <v>4167745</v>
      </c>
      <c r="DA73" s="173" t="s">
        <v>516</v>
      </c>
    </row>
    <row r="74" spans="1:105" ht="11.45" customHeight="1" x14ac:dyDescent="0.25">
      <c r="A74" s="136" t="s">
        <v>153</v>
      </c>
      <c r="B74" s="137">
        <f t="shared" ref="B74:K74" si="138">SUM(B75:B79)</f>
        <v>1629540</v>
      </c>
      <c r="C74" s="137">
        <f t="shared" si="138"/>
        <v>1645085</v>
      </c>
      <c r="D74" s="137">
        <f t="shared" si="138"/>
        <v>1673784</v>
      </c>
      <c r="E74" s="137">
        <f t="shared" si="138"/>
        <v>1706379</v>
      </c>
      <c r="F74" s="137">
        <f t="shared" si="138"/>
        <v>1667309</v>
      </c>
      <c r="G74" s="137">
        <f t="shared" si="138"/>
        <v>1717435</v>
      </c>
      <c r="H74" s="137">
        <f t="shared" si="138"/>
        <v>1758293</v>
      </c>
      <c r="I74" s="137">
        <f t="shared" si="138"/>
        <v>1824650</v>
      </c>
      <c r="J74" s="137">
        <f t="shared" si="138"/>
        <v>1947297</v>
      </c>
      <c r="K74" s="137">
        <f t="shared" si="138"/>
        <v>2014529</v>
      </c>
      <c r="L74" s="137">
        <f t="shared" ref="L74" si="139">SUM(L75:L79)</f>
        <v>2170600</v>
      </c>
      <c r="M74" s="137">
        <f t="shared" ref="M74:V74" si="140">SUM(M75:M79)</f>
        <v>2276879</v>
      </c>
      <c r="N74" s="137">
        <f t="shared" si="140"/>
        <v>2303433</v>
      </c>
      <c r="O74" s="137">
        <f t="shared" si="140"/>
        <v>2403569</v>
      </c>
      <c r="P74" s="137">
        <f t="shared" si="140"/>
        <v>2399323</v>
      </c>
      <c r="Q74" s="137">
        <f t="shared" si="140"/>
        <v>2447764</v>
      </c>
      <c r="R74" s="137">
        <f t="shared" si="140"/>
        <v>2515751</v>
      </c>
      <c r="S74" s="137">
        <f t="shared" si="140"/>
        <v>2574312</v>
      </c>
      <c r="T74" s="137">
        <f t="shared" si="140"/>
        <v>2649198</v>
      </c>
      <c r="U74" s="137">
        <f t="shared" si="140"/>
        <v>2733004</v>
      </c>
      <c r="V74" s="137">
        <f t="shared" si="140"/>
        <v>2814490</v>
      </c>
      <c r="W74" s="137">
        <f t="shared" ref="W74:Y74" si="141">SUM(W75:W79)</f>
        <v>2905731</v>
      </c>
      <c r="X74" s="137">
        <f t="shared" si="141"/>
        <v>2974632</v>
      </c>
      <c r="Y74" s="137">
        <f t="shared" si="141"/>
        <v>3053119</v>
      </c>
      <c r="DA74" s="174" t="s">
        <v>517</v>
      </c>
    </row>
    <row r="75" spans="1:105" ht="11.45" customHeight="1" x14ac:dyDescent="0.25">
      <c r="A75" s="111" t="s">
        <v>110</v>
      </c>
      <c r="B75" s="84">
        <v>1113423</v>
      </c>
      <c r="C75" s="84">
        <v>1121845</v>
      </c>
      <c r="D75" s="84">
        <v>1021756</v>
      </c>
      <c r="E75" s="84">
        <v>995595</v>
      </c>
      <c r="F75" s="84">
        <v>916720</v>
      </c>
      <c r="G75" s="84">
        <v>859414</v>
      </c>
      <c r="H75" s="84">
        <v>808192</v>
      </c>
      <c r="I75" s="84">
        <v>765138</v>
      </c>
      <c r="J75" s="84">
        <v>752140</v>
      </c>
      <c r="K75" s="84">
        <v>718204</v>
      </c>
      <c r="L75" s="84">
        <v>735988</v>
      </c>
      <c r="M75" s="84">
        <v>703448</v>
      </c>
      <c r="N75" s="84">
        <v>687656</v>
      </c>
      <c r="O75" s="84">
        <v>687734</v>
      </c>
      <c r="P75" s="84">
        <v>655877</v>
      </c>
      <c r="Q75" s="84">
        <v>641037</v>
      </c>
      <c r="R75" s="84">
        <v>629904</v>
      </c>
      <c r="S75" s="84">
        <v>644480</v>
      </c>
      <c r="T75" s="84">
        <v>629861</v>
      </c>
      <c r="U75" s="84">
        <v>627303</v>
      </c>
      <c r="V75" s="84">
        <v>620951</v>
      </c>
      <c r="W75" s="84">
        <v>616166</v>
      </c>
      <c r="X75" s="84">
        <v>614847</v>
      </c>
      <c r="Y75" s="84">
        <v>612814</v>
      </c>
      <c r="DA75" s="171" t="s">
        <v>518</v>
      </c>
    </row>
    <row r="76" spans="1:105" ht="11.45" customHeight="1" x14ac:dyDescent="0.25">
      <c r="A76" s="111" t="s">
        <v>111</v>
      </c>
      <c r="B76" s="84">
        <v>457911</v>
      </c>
      <c r="C76" s="84">
        <v>456645</v>
      </c>
      <c r="D76" s="84">
        <v>558278</v>
      </c>
      <c r="E76" s="84">
        <v>601839</v>
      </c>
      <c r="F76" s="84">
        <v>637623</v>
      </c>
      <c r="G76" s="84">
        <v>734537</v>
      </c>
      <c r="H76" s="84">
        <v>807730</v>
      </c>
      <c r="I76" s="84">
        <v>905519</v>
      </c>
      <c r="J76" s="84">
        <v>1033662</v>
      </c>
      <c r="K76" s="84">
        <v>1131489</v>
      </c>
      <c r="L76" s="84">
        <v>1264958</v>
      </c>
      <c r="M76" s="84">
        <v>1398504</v>
      </c>
      <c r="N76" s="84">
        <v>1455880</v>
      </c>
      <c r="O76" s="84">
        <v>1556881</v>
      </c>
      <c r="P76" s="84">
        <v>1569638</v>
      </c>
      <c r="Q76" s="84">
        <v>1632451</v>
      </c>
      <c r="R76" s="84">
        <v>1712251</v>
      </c>
      <c r="S76" s="84">
        <v>1764085</v>
      </c>
      <c r="T76" s="84">
        <v>1849082</v>
      </c>
      <c r="U76" s="84">
        <v>1937067</v>
      </c>
      <c r="V76" s="84">
        <v>2028294</v>
      </c>
      <c r="W76" s="84">
        <v>2124051</v>
      </c>
      <c r="X76" s="84">
        <v>2201572</v>
      </c>
      <c r="Y76" s="84">
        <v>2279765</v>
      </c>
      <c r="DA76" s="171" t="s">
        <v>519</v>
      </c>
    </row>
    <row r="77" spans="1:105" ht="11.45" customHeight="1" x14ac:dyDescent="0.25">
      <c r="A77" s="111" t="s">
        <v>112</v>
      </c>
      <c r="B77" s="84">
        <v>58206</v>
      </c>
      <c r="C77" s="84">
        <v>66595</v>
      </c>
      <c r="D77" s="84">
        <v>93750</v>
      </c>
      <c r="E77" s="84">
        <v>108945</v>
      </c>
      <c r="F77" s="84">
        <v>112966</v>
      </c>
      <c r="G77" s="84">
        <v>123484</v>
      </c>
      <c r="H77" s="84">
        <v>142371</v>
      </c>
      <c r="I77" s="84">
        <v>153993</v>
      </c>
      <c r="J77" s="84">
        <v>161495</v>
      </c>
      <c r="K77" s="84">
        <v>164836</v>
      </c>
      <c r="L77" s="84">
        <v>169654</v>
      </c>
      <c r="M77" s="84">
        <v>174927</v>
      </c>
      <c r="N77" s="84">
        <v>159890</v>
      </c>
      <c r="O77" s="84">
        <v>158941</v>
      </c>
      <c r="P77" s="84">
        <v>173791</v>
      </c>
      <c r="Q77" s="84">
        <v>172189</v>
      </c>
      <c r="R77" s="84">
        <v>171152</v>
      </c>
      <c r="S77" s="84">
        <v>163371</v>
      </c>
      <c r="T77" s="84">
        <v>167767</v>
      </c>
      <c r="U77" s="84">
        <v>165998</v>
      </c>
      <c r="V77" s="84">
        <v>163000</v>
      </c>
      <c r="W77" s="84">
        <v>163000</v>
      </c>
      <c r="X77" s="84">
        <v>154903</v>
      </c>
      <c r="Y77" s="84">
        <v>154825</v>
      </c>
      <c r="DA77" s="171" t="s">
        <v>520</v>
      </c>
    </row>
    <row r="78" spans="1:105" ht="11.45" customHeight="1" x14ac:dyDescent="0.25">
      <c r="A78" s="111" t="s">
        <v>113</v>
      </c>
      <c r="B78" s="84">
        <v>0</v>
      </c>
      <c r="C78" s="84">
        <v>0</v>
      </c>
      <c r="D78" s="84">
        <v>0</v>
      </c>
      <c r="E78" s="84">
        <v>0</v>
      </c>
      <c r="F78" s="84">
        <v>0</v>
      </c>
      <c r="G78" s="84">
        <v>0</v>
      </c>
      <c r="H78" s="84">
        <v>0</v>
      </c>
      <c r="I78" s="84">
        <v>0</v>
      </c>
      <c r="J78" s="84">
        <v>0</v>
      </c>
      <c r="K78" s="84">
        <v>0</v>
      </c>
      <c r="L78" s="84">
        <v>0</v>
      </c>
      <c r="M78" s="84">
        <v>0</v>
      </c>
      <c r="N78" s="84">
        <v>0</v>
      </c>
      <c r="O78" s="84">
        <v>0</v>
      </c>
      <c r="P78" s="84">
        <v>0</v>
      </c>
      <c r="Q78" s="84">
        <v>2063</v>
      </c>
      <c r="R78" s="84">
        <v>2415</v>
      </c>
      <c r="S78" s="84">
        <v>2334</v>
      </c>
      <c r="T78" s="84">
        <v>2405</v>
      </c>
      <c r="U78" s="84">
        <v>2440</v>
      </c>
      <c r="V78" s="84">
        <v>1850</v>
      </c>
      <c r="W78" s="84">
        <v>1700</v>
      </c>
      <c r="X78" s="84">
        <v>1634</v>
      </c>
      <c r="Y78" s="84">
        <v>1652</v>
      </c>
      <c r="DA78" s="171" t="s">
        <v>521</v>
      </c>
    </row>
    <row r="79" spans="1:105" ht="11.45" customHeight="1" x14ac:dyDescent="0.25">
      <c r="A79" s="111" t="s">
        <v>115</v>
      </c>
      <c r="B79" s="84">
        <v>0</v>
      </c>
      <c r="C79" s="84">
        <v>0</v>
      </c>
      <c r="D79" s="84">
        <v>0</v>
      </c>
      <c r="E79" s="84">
        <v>0</v>
      </c>
      <c r="F79" s="84">
        <v>0</v>
      </c>
      <c r="G79" s="84">
        <v>0</v>
      </c>
      <c r="H79" s="84">
        <v>0</v>
      </c>
      <c r="I79" s="84">
        <v>0</v>
      </c>
      <c r="J79" s="84">
        <v>0</v>
      </c>
      <c r="K79" s="84">
        <v>0</v>
      </c>
      <c r="L79" s="84">
        <v>0</v>
      </c>
      <c r="M79" s="84">
        <v>0</v>
      </c>
      <c r="N79" s="84">
        <v>7</v>
      </c>
      <c r="O79" s="84">
        <v>13</v>
      </c>
      <c r="P79" s="84">
        <v>17</v>
      </c>
      <c r="Q79" s="84">
        <v>24</v>
      </c>
      <c r="R79" s="84">
        <v>29</v>
      </c>
      <c r="S79" s="84">
        <v>42</v>
      </c>
      <c r="T79" s="84">
        <v>83</v>
      </c>
      <c r="U79" s="84">
        <v>196</v>
      </c>
      <c r="V79" s="84">
        <v>395</v>
      </c>
      <c r="W79" s="84">
        <v>814</v>
      </c>
      <c r="X79" s="84">
        <v>1676</v>
      </c>
      <c r="Y79" s="84">
        <v>4063</v>
      </c>
      <c r="DA79" s="171" t="s">
        <v>522</v>
      </c>
    </row>
    <row r="80" spans="1:105" ht="11.45" customHeight="1" x14ac:dyDescent="0.25">
      <c r="A80" s="109" t="s">
        <v>154</v>
      </c>
      <c r="B80" s="110">
        <f t="shared" ref="B80:K80" si="142">SUM(B81:B82)</f>
        <v>497299</v>
      </c>
      <c r="C80" s="110">
        <f t="shared" si="142"/>
        <v>516954</v>
      </c>
      <c r="D80" s="110">
        <f t="shared" si="142"/>
        <v>595556</v>
      </c>
      <c r="E80" s="110">
        <f t="shared" si="142"/>
        <v>594834</v>
      </c>
      <c r="F80" s="110">
        <f t="shared" si="142"/>
        <v>581183</v>
      </c>
      <c r="G80" s="110">
        <f t="shared" si="142"/>
        <v>591212</v>
      </c>
      <c r="H80" s="110">
        <f t="shared" si="142"/>
        <v>597101</v>
      </c>
      <c r="I80" s="110">
        <f t="shared" si="142"/>
        <v>644493</v>
      </c>
      <c r="J80" s="110">
        <f t="shared" si="142"/>
        <v>704314</v>
      </c>
      <c r="K80" s="110">
        <f t="shared" si="142"/>
        <v>716708</v>
      </c>
      <c r="L80" s="110">
        <f t="shared" ref="L80" si="143">SUM(L81:L82)</f>
        <v>735885</v>
      </c>
      <c r="M80" s="110">
        <f t="shared" ref="M80:V80" si="144">SUM(M81:M82)</f>
        <v>781025</v>
      </c>
      <c r="N80" s="110">
        <f t="shared" si="144"/>
        <v>791842</v>
      </c>
      <c r="O80" s="110">
        <f t="shared" si="144"/>
        <v>814343</v>
      </c>
      <c r="P80" s="110">
        <f t="shared" si="144"/>
        <v>845909</v>
      </c>
      <c r="Q80" s="110">
        <f t="shared" si="144"/>
        <v>865239</v>
      </c>
      <c r="R80" s="110">
        <f t="shared" si="144"/>
        <v>888633</v>
      </c>
      <c r="S80" s="110">
        <f t="shared" si="144"/>
        <v>909315</v>
      </c>
      <c r="T80" s="110">
        <f t="shared" si="144"/>
        <v>958302</v>
      </c>
      <c r="U80" s="110">
        <f t="shared" si="144"/>
        <v>977252</v>
      </c>
      <c r="V80" s="110">
        <f t="shared" si="144"/>
        <v>1002848</v>
      </c>
      <c r="W80" s="110">
        <f t="shared" ref="W80:Y80" si="145">SUM(W81:W82)</f>
        <v>1040698</v>
      </c>
      <c r="X80" s="110">
        <f t="shared" si="145"/>
        <v>1075571</v>
      </c>
      <c r="Y80" s="110">
        <f t="shared" si="145"/>
        <v>1114626</v>
      </c>
      <c r="DA80" s="176" t="s">
        <v>523</v>
      </c>
    </row>
    <row r="81" spans="1:105" ht="11.45" customHeight="1" x14ac:dyDescent="0.25">
      <c r="A81" s="128" t="s">
        <v>27</v>
      </c>
      <c r="B81" s="102">
        <v>481889</v>
      </c>
      <c r="C81" s="102">
        <v>500433</v>
      </c>
      <c r="D81" s="102">
        <v>578175</v>
      </c>
      <c r="E81" s="102">
        <v>577068</v>
      </c>
      <c r="F81" s="102">
        <v>560178</v>
      </c>
      <c r="G81" s="102">
        <v>569470</v>
      </c>
      <c r="H81" s="102">
        <v>570730</v>
      </c>
      <c r="I81" s="102">
        <v>619851</v>
      </c>
      <c r="J81" s="102">
        <v>679188</v>
      </c>
      <c r="K81" s="102">
        <v>692591</v>
      </c>
      <c r="L81" s="102">
        <v>707675</v>
      </c>
      <c r="M81" s="102">
        <v>751168</v>
      </c>
      <c r="N81" s="102">
        <v>759384</v>
      </c>
      <c r="O81" s="102">
        <v>779963</v>
      </c>
      <c r="P81" s="102">
        <v>811034</v>
      </c>
      <c r="Q81" s="102">
        <v>829354</v>
      </c>
      <c r="R81" s="102">
        <v>848466</v>
      </c>
      <c r="S81" s="102">
        <v>864011</v>
      </c>
      <c r="T81" s="102">
        <v>919021</v>
      </c>
      <c r="U81" s="102">
        <v>932323</v>
      </c>
      <c r="V81" s="102">
        <v>959291</v>
      </c>
      <c r="W81" s="102">
        <v>994588</v>
      </c>
      <c r="X81" s="102">
        <v>1027919</v>
      </c>
      <c r="Y81" s="102">
        <v>1066114</v>
      </c>
      <c r="DA81" s="175" t="s">
        <v>524</v>
      </c>
    </row>
    <row r="82" spans="1:105" ht="11.45" customHeight="1" x14ac:dyDescent="0.25">
      <c r="A82" s="138" t="s">
        <v>116</v>
      </c>
      <c r="B82" s="86">
        <v>15410</v>
      </c>
      <c r="C82" s="86">
        <v>16521</v>
      </c>
      <c r="D82" s="86">
        <v>17381</v>
      </c>
      <c r="E82" s="86">
        <v>17766</v>
      </c>
      <c r="F82" s="86">
        <v>21005</v>
      </c>
      <c r="G82" s="86">
        <v>21742</v>
      </c>
      <c r="H82" s="86">
        <v>26371</v>
      </c>
      <c r="I82" s="86">
        <v>24642</v>
      </c>
      <c r="J82" s="86">
        <v>25126</v>
      </c>
      <c r="K82" s="86">
        <v>24117</v>
      </c>
      <c r="L82" s="86">
        <v>28210</v>
      </c>
      <c r="M82" s="86">
        <v>29857</v>
      </c>
      <c r="N82" s="86">
        <v>32458</v>
      </c>
      <c r="O82" s="86">
        <v>34380</v>
      </c>
      <c r="P82" s="86">
        <v>34875</v>
      </c>
      <c r="Q82" s="86">
        <v>35885</v>
      </c>
      <c r="R82" s="86">
        <v>40167</v>
      </c>
      <c r="S82" s="86">
        <v>45304</v>
      </c>
      <c r="T82" s="86">
        <v>39281</v>
      </c>
      <c r="U82" s="86">
        <v>44929</v>
      </c>
      <c r="V82" s="86">
        <v>43557</v>
      </c>
      <c r="W82" s="86">
        <v>46110</v>
      </c>
      <c r="X82" s="86">
        <v>47652</v>
      </c>
      <c r="Y82" s="86">
        <v>48512</v>
      </c>
      <c r="DA82" s="178" t="s">
        <v>525</v>
      </c>
    </row>
    <row r="83" spans="1:105" ht="11.45" hidden="1" customHeight="1" x14ac:dyDescent="0.25">
      <c r="A83" s="106"/>
      <c r="B83" s="106"/>
      <c r="C83" s="106"/>
      <c r="D83" s="106"/>
      <c r="E83" s="106"/>
      <c r="F83" s="106"/>
      <c r="G83" s="106"/>
      <c r="H83" s="106"/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106"/>
      <c r="T83" s="106"/>
      <c r="U83" s="106"/>
      <c r="V83" s="106"/>
      <c r="W83" s="106"/>
      <c r="X83" s="106"/>
      <c r="Y83" s="106"/>
      <c r="DA83" s="171"/>
    </row>
    <row r="84" spans="1:105" ht="11.45" hidden="1" customHeight="1" x14ac:dyDescent="0.25">
      <c r="A84" s="53" t="s">
        <v>135</v>
      </c>
      <c r="B84" s="54">
        <f t="shared" ref="B84:C84" si="146">B85+B100</f>
        <v>12954807</v>
      </c>
      <c r="C84" s="54">
        <f t="shared" si="146"/>
        <v>14001742</v>
      </c>
      <c r="D84" s="54">
        <f t="shared" ref="D84:V84" si="147">D85+D100</f>
        <v>14588832</v>
      </c>
      <c r="E84" s="54">
        <f t="shared" si="147"/>
        <v>14924164</v>
      </c>
      <c r="F84" s="54">
        <f t="shared" si="147"/>
        <v>15095969</v>
      </c>
      <c r="G84" s="54">
        <f t="shared" si="147"/>
        <v>15776072</v>
      </c>
      <c r="H84" s="54">
        <f t="shared" si="147"/>
        <v>16966229</v>
      </c>
      <c r="I84" s="54">
        <f t="shared" si="147"/>
        <v>18447030</v>
      </c>
      <c r="J84" s="54">
        <f t="shared" si="147"/>
        <v>20377166</v>
      </c>
      <c r="K84" s="54">
        <f t="shared" si="147"/>
        <v>21074319</v>
      </c>
      <c r="L84" s="54">
        <f t="shared" si="147"/>
        <v>22121584</v>
      </c>
      <c r="M84" s="54">
        <f t="shared" si="147"/>
        <v>23326229</v>
      </c>
      <c r="N84" s="54">
        <f t="shared" si="147"/>
        <v>24087799</v>
      </c>
      <c r="O84" s="54">
        <f t="shared" si="147"/>
        <v>24965875</v>
      </c>
      <c r="P84" s="54">
        <f t="shared" si="147"/>
        <v>25698580</v>
      </c>
      <c r="Q84" s="54">
        <f t="shared" si="147"/>
        <v>26611073</v>
      </c>
      <c r="R84" s="54">
        <f t="shared" si="147"/>
        <v>27765346</v>
      </c>
      <c r="S84" s="54">
        <f t="shared" si="147"/>
        <v>28770029</v>
      </c>
      <c r="T84" s="54">
        <f t="shared" si="147"/>
        <v>29943628</v>
      </c>
      <c r="U84" s="54">
        <f t="shared" si="147"/>
        <v>31190226</v>
      </c>
      <c r="V84" s="54">
        <f t="shared" si="147"/>
        <v>32057450</v>
      </c>
      <c r="W84" s="54">
        <f t="shared" ref="W84:Y84" si="148">W85+W100</f>
        <v>33042587</v>
      </c>
      <c r="X84" s="54">
        <f t="shared" si="148"/>
        <v>33370938</v>
      </c>
      <c r="Y84" s="54">
        <f t="shared" si="148"/>
        <v>34012356</v>
      </c>
      <c r="DA84" s="172"/>
    </row>
    <row r="85" spans="1:105" ht="11.45" hidden="1" customHeight="1" x14ac:dyDescent="0.25">
      <c r="A85" s="27" t="s">
        <v>33</v>
      </c>
      <c r="B85" s="28">
        <f t="shared" ref="B85:C85" si="149">B86+B87+B94</f>
        <v>10827968</v>
      </c>
      <c r="C85" s="28">
        <f t="shared" si="149"/>
        <v>11839703</v>
      </c>
      <c r="D85" s="28">
        <f t="shared" ref="D85:V85" si="150">D86+D87+D94</f>
        <v>12319492</v>
      </c>
      <c r="E85" s="28">
        <f t="shared" si="150"/>
        <v>12622951</v>
      </c>
      <c r="F85" s="28">
        <f t="shared" si="150"/>
        <v>12847477</v>
      </c>
      <c r="G85" s="28">
        <f t="shared" si="150"/>
        <v>13467425</v>
      </c>
      <c r="H85" s="28">
        <f t="shared" si="150"/>
        <v>14610835</v>
      </c>
      <c r="I85" s="28">
        <f t="shared" si="150"/>
        <v>15977887</v>
      </c>
      <c r="J85" s="28">
        <f t="shared" si="150"/>
        <v>17725555</v>
      </c>
      <c r="K85" s="28">
        <f t="shared" si="150"/>
        <v>18343082</v>
      </c>
      <c r="L85" s="28">
        <f t="shared" si="150"/>
        <v>19215099</v>
      </c>
      <c r="M85" s="28">
        <f t="shared" si="150"/>
        <v>20268325</v>
      </c>
      <c r="N85" s="28">
        <f t="shared" si="150"/>
        <v>20992524</v>
      </c>
      <c r="O85" s="28">
        <f t="shared" si="150"/>
        <v>21747963</v>
      </c>
      <c r="P85" s="28">
        <f t="shared" si="150"/>
        <v>22453348</v>
      </c>
      <c r="Q85" s="28">
        <f t="shared" si="150"/>
        <v>23298070</v>
      </c>
      <c r="R85" s="28">
        <f t="shared" si="150"/>
        <v>24360962</v>
      </c>
      <c r="S85" s="28">
        <f t="shared" si="150"/>
        <v>25286402</v>
      </c>
      <c r="T85" s="28">
        <f t="shared" si="150"/>
        <v>26336128</v>
      </c>
      <c r="U85" s="28">
        <f t="shared" si="150"/>
        <v>27479970</v>
      </c>
      <c r="V85" s="28">
        <f t="shared" si="150"/>
        <v>28240112</v>
      </c>
      <c r="W85" s="28">
        <f t="shared" ref="W85:Y85" si="151">W86+W87+W94</f>
        <v>29096158</v>
      </c>
      <c r="X85" s="28">
        <f t="shared" si="151"/>
        <v>29320735</v>
      </c>
      <c r="Y85" s="28">
        <f t="shared" si="151"/>
        <v>29844611</v>
      </c>
      <c r="DA85" s="173"/>
    </row>
    <row r="86" spans="1:105" ht="11.45" hidden="1" customHeight="1" x14ac:dyDescent="0.25">
      <c r="A86" s="136" t="s">
        <v>173</v>
      </c>
      <c r="B86" s="137">
        <v>803000</v>
      </c>
      <c r="C86" s="137">
        <v>803000</v>
      </c>
      <c r="D86" s="137">
        <v>869000</v>
      </c>
      <c r="E86" s="137">
        <v>845456</v>
      </c>
      <c r="F86" s="137">
        <v>835790</v>
      </c>
      <c r="G86" s="137">
        <v>1091159</v>
      </c>
      <c r="H86" s="137">
        <v>1190093</v>
      </c>
      <c r="I86" s="137">
        <v>1350789</v>
      </c>
      <c r="J86" s="137">
        <v>1607316</v>
      </c>
      <c r="K86" s="137">
        <v>1808723</v>
      </c>
      <c r="L86" s="137">
        <v>1935140</v>
      </c>
      <c r="M86" s="137">
        <v>2102175</v>
      </c>
      <c r="N86" s="137">
        <v>2207556</v>
      </c>
      <c r="O86" s="137">
        <v>2316610</v>
      </c>
      <c r="P86" s="137">
        <v>2406105</v>
      </c>
      <c r="Q86" s="137">
        <v>2531520</v>
      </c>
      <c r="R86" s="137">
        <v>2647825</v>
      </c>
      <c r="S86" s="137">
        <v>2755000</v>
      </c>
      <c r="T86" s="137">
        <v>2852800</v>
      </c>
      <c r="U86" s="137">
        <v>2962035</v>
      </c>
      <c r="V86" s="137">
        <v>3069151</v>
      </c>
      <c r="W86" s="137">
        <v>3169006</v>
      </c>
      <c r="X86" s="137">
        <v>3269644</v>
      </c>
      <c r="Y86" s="137">
        <v>3382022</v>
      </c>
      <c r="DA86" s="174"/>
    </row>
    <row r="87" spans="1:105" ht="11.45" hidden="1" customHeight="1" x14ac:dyDescent="0.25">
      <c r="A87" s="109" t="s">
        <v>20</v>
      </c>
      <c r="B87" s="110">
        <f t="shared" ref="B87:C87" si="152">SUM(B88:B93)</f>
        <v>9991300</v>
      </c>
      <c r="C87" s="110">
        <f t="shared" si="152"/>
        <v>11003100</v>
      </c>
      <c r="D87" s="110">
        <f t="shared" ref="D87:V87" si="153">SUM(D88:D93)</f>
        <v>11416573</v>
      </c>
      <c r="E87" s="110">
        <f t="shared" si="153"/>
        <v>11743900</v>
      </c>
      <c r="F87" s="110">
        <f t="shared" si="153"/>
        <v>11975000</v>
      </c>
      <c r="G87" s="110">
        <f t="shared" si="153"/>
        <v>12339000</v>
      </c>
      <c r="H87" s="110">
        <f t="shared" si="153"/>
        <v>13384000</v>
      </c>
      <c r="I87" s="110">
        <f t="shared" si="153"/>
        <v>14589000</v>
      </c>
      <c r="J87" s="110">
        <f t="shared" si="153"/>
        <v>16080000</v>
      </c>
      <c r="K87" s="110">
        <f t="shared" si="153"/>
        <v>16495000</v>
      </c>
      <c r="L87" s="110">
        <f t="shared" si="153"/>
        <v>17240000</v>
      </c>
      <c r="M87" s="110">
        <f t="shared" si="153"/>
        <v>18125000</v>
      </c>
      <c r="N87" s="110">
        <f t="shared" si="153"/>
        <v>18744000</v>
      </c>
      <c r="O87" s="110">
        <f t="shared" si="153"/>
        <v>19389446</v>
      </c>
      <c r="P87" s="110">
        <f t="shared" si="153"/>
        <v>20003863</v>
      </c>
      <c r="Q87" s="110">
        <f t="shared" si="153"/>
        <v>20715877</v>
      </c>
      <c r="R87" s="110">
        <f t="shared" si="153"/>
        <v>21661126</v>
      </c>
      <c r="S87" s="110">
        <f t="shared" si="153"/>
        <v>22478252</v>
      </c>
      <c r="T87" s="110">
        <f t="shared" si="153"/>
        <v>23428785</v>
      </c>
      <c r="U87" s="110">
        <f t="shared" si="153"/>
        <v>24461914</v>
      </c>
      <c r="V87" s="110">
        <f t="shared" si="153"/>
        <v>25113862</v>
      </c>
      <c r="W87" s="110">
        <f t="shared" ref="W87:Y87" si="154">SUM(W88:W93)</f>
        <v>25869804</v>
      </c>
      <c r="X87" s="110">
        <f t="shared" si="154"/>
        <v>25993477</v>
      </c>
      <c r="Y87" s="110">
        <f t="shared" si="154"/>
        <v>26403942</v>
      </c>
      <c r="DA87" s="176"/>
    </row>
    <row r="88" spans="1:105" ht="11.45" hidden="1" customHeight="1" x14ac:dyDescent="0.25">
      <c r="A88" s="111" t="s">
        <v>110</v>
      </c>
      <c r="B88" s="84">
        <v>8094000</v>
      </c>
      <c r="C88" s="84">
        <v>8704483</v>
      </c>
      <c r="D88" s="84">
        <v>8615788</v>
      </c>
      <c r="E88" s="84">
        <v>8358098</v>
      </c>
      <c r="F88" s="84">
        <v>8201702</v>
      </c>
      <c r="G88" s="84">
        <v>8630106</v>
      </c>
      <c r="H88" s="84">
        <v>9114195</v>
      </c>
      <c r="I88" s="84">
        <v>9605644</v>
      </c>
      <c r="J88" s="84">
        <v>10231006</v>
      </c>
      <c r="K88" s="84">
        <v>10088132</v>
      </c>
      <c r="L88" s="84">
        <v>10239494</v>
      </c>
      <c r="M88" s="84">
        <v>10701727</v>
      </c>
      <c r="N88" s="84">
        <v>11050312</v>
      </c>
      <c r="O88" s="84">
        <v>11170811</v>
      </c>
      <c r="P88" s="84">
        <v>11309146</v>
      </c>
      <c r="Q88" s="84">
        <v>11643404</v>
      </c>
      <c r="R88" s="84">
        <v>11900576</v>
      </c>
      <c r="S88" s="84">
        <v>12411201</v>
      </c>
      <c r="T88" s="84">
        <v>12673201</v>
      </c>
      <c r="U88" s="84">
        <v>13247431</v>
      </c>
      <c r="V88" s="84">
        <v>13583086</v>
      </c>
      <c r="W88" s="84">
        <v>14022437</v>
      </c>
      <c r="X88" s="84">
        <v>14071506</v>
      </c>
      <c r="Y88" s="84">
        <v>14147372</v>
      </c>
      <c r="DA88" s="171"/>
    </row>
    <row r="89" spans="1:105" ht="11.45" hidden="1" customHeight="1" x14ac:dyDescent="0.25">
      <c r="A89" s="111" t="s">
        <v>111</v>
      </c>
      <c r="B89" s="84">
        <v>1297300</v>
      </c>
      <c r="C89" s="84">
        <v>1298617</v>
      </c>
      <c r="D89" s="84">
        <v>1300785</v>
      </c>
      <c r="E89" s="84">
        <v>1385802</v>
      </c>
      <c r="F89" s="84">
        <v>1523298</v>
      </c>
      <c r="G89" s="84">
        <v>1187889</v>
      </c>
      <c r="H89" s="84">
        <v>1562706</v>
      </c>
      <c r="I89" s="84">
        <v>2101204</v>
      </c>
      <c r="J89" s="84">
        <v>2822146</v>
      </c>
      <c r="K89" s="84">
        <v>3271171</v>
      </c>
      <c r="L89" s="84">
        <v>3768857</v>
      </c>
      <c r="M89" s="84">
        <v>4402060</v>
      </c>
      <c r="N89" s="84">
        <v>4936461</v>
      </c>
      <c r="O89" s="84">
        <v>5371504</v>
      </c>
      <c r="P89" s="84">
        <v>5789670</v>
      </c>
      <c r="Q89" s="84">
        <v>6089216</v>
      </c>
      <c r="R89" s="84">
        <v>6669219</v>
      </c>
      <c r="S89" s="84">
        <v>7017754</v>
      </c>
      <c r="T89" s="84">
        <v>7459335</v>
      </c>
      <c r="U89" s="84">
        <v>7869662</v>
      </c>
      <c r="V89" s="84">
        <v>8168774</v>
      </c>
      <c r="W89" s="84">
        <v>8467040</v>
      </c>
      <c r="X89" s="84">
        <v>8506946</v>
      </c>
      <c r="Y89" s="84">
        <v>8613385</v>
      </c>
      <c r="DA89" s="171"/>
    </row>
    <row r="90" spans="1:105" ht="11.45" hidden="1" customHeight="1" x14ac:dyDescent="0.25">
      <c r="A90" s="111" t="s">
        <v>112</v>
      </c>
      <c r="B90" s="84">
        <v>600000</v>
      </c>
      <c r="C90" s="84">
        <v>1000000</v>
      </c>
      <c r="D90" s="84">
        <v>1500000</v>
      </c>
      <c r="E90" s="84">
        <v>2000000</v>
      </c>
      <c r="F90" s="84">
        <v>2250000</v>
      </c>
      <c r="G90" s="84">
        <v>2521005</v>
      </c>
      <c r="H90" s="84">
        <v>2707099</v>
      </c>
      <c r="I90" s="84">
        <v>2882152</v>
      </c>
      <c r="J90" s="84">
        <v>3026848</v>
      </c>
      <c r="K90" s="84">
        <v>3135697</v>
      </c>
      <c r="L90" s="84">
        <v>3231634</v>
      </c>
      <c r="M90" s="84">
        <v>3021109</v>
      </c>
      <c r="N90" s="84">
        <v>2757000</v>
      </c>
      <c r="O90" s="84">
        <v>2846868</v>
      </c>
      <c r="P90" s="84">
        <v>2904072</v>
      </c>
      <c r="Q90" s="84">
        <v>2977264</v>
      </c>
      <c r="R90" s="84">
        <v>3082548</v>
      </c>
      <c r="S90" s="84">
        <v>3038596</v>
      </c>
      <c r="T90" s="84">
        <v>3281951</v>
      </c>
      <c r="U90" s="84">
        <v>3327624</v>
      </c>
      <c r="V90" s="84">
        <v>3336762</v>
      </c>
      <c r="W90" s="84">
        <v>3343040</v>
      </c>
      <c r="X90" s="84">
        <v>3355117</v>
      </c>
      <c r="Y90" s="84">
        <v>3537208</v>
      </c>
      <c r="DA90" s="171"/>
    </row>
    <row r="91" spans="1:105" ht="11.45" hidden="1" customHeight="1" x14ac:dyDescent="0.25">
      <c r="A91" s="111" t="s">
        <v>113</v>
      </c>
      <c r="B91" s="84">
        <v>0</v>
      </c>
      <c r="C91" s="84">
        <v>0</v>
      </c>
      <c r="D91" s="84">
        <v>0</v>
      </c>
      <c r="E91" s="84">
        <v>0</v>
      </c>
      <c r="F91" s="84">
        <v>0</v>
      </c>
      <c r="G91" s="84">
        <v>0</v>
      </c>
      <c r="H91" s="84">
        <v>0</v>
      </c>
      <c r="I91" s="84">
        <v>0</v>
      </c>
      <c r="J91" s="84">
        <v>0</v>
      </c>
      <c r="K91" s="84">
        <v>0</v>
      </c>
      <c r="L91" s="84">
        <v>0</v>
      </c>
      <c r="M91" s="84">
        <v>0</v>
      </c>
      <c r="N91" s="84">
        <v>0</v>
      </c>
      <c r="O91" s="84">
        <v>0</v>
      </c>
      <c r="P91" s="84">
        <v>0</v>
      </c>
      <c r="Q91" s="84">
        <v>5355</v>
      </c>
      <c r="R91" s="84">
        <v>7358</v>
      </c>
      <c r="S91" s="84">
        <v>7525</v>
      </c>
      <c r="T91" s="84">
        <v>7765</v>
      </c>
      <c r="U91" s="84">
        <v>7942</v>
      </c>
      <c r="V91" s="84">
        <v>7984</v>
      </c>
      <c r="W91" s="84">
        <v>8039</v>
      </c>
      <c r="X91" s="84">
        <v>7844</v>
      </c>
      <c r="Y91" s="84">
        <v>7629</v>
      </c>
      <c r="DA91" s="171"/>
    </row>
    <row r="92" spans="1:105" ht="11.45" hidden="1" customHeight="1" x14ac:dyDescent="0.25">
      <c r="A92" s="111" t="s">
        <v>114</v>
      </c>
      <c r="B92" s="84">
        <v>0</v>
      </c>
      <c r="C92" s="84">
        <v>0</v>
      </c>
      <c r="D92" s="84">
        <v>0</v>
      </c>
      <c r="E92" s="84">
        <v>0</v>
      </c>
      <c r="F92" s="84">
        <v>0</v>
      </c>
      <c r="G92" s="84">
        <v>0</v>
      </c>
      <c r="H92" s="84">
        <v>0</v>
      </c>
      <c r="I92" s="84">
        <v>0</v>
      </c>
      <c r="J92" s="84">
        <v>0</v>
      </c>
      <c r="K92" s="84">
        <v>0</v>
      </c>
      <c r="L92" s="84">
        <v>0</v>
      </c>
      <c r="M92" s="84">
        <v>0</v>
      </c>
      <c r="N92" s="84">
        <v>12</v>
      </c>
      <c r="O92" s="84">
        <v>22</v>
      </c>
      <c r="P92" s="84">
        <v>673</v>
      </c>
      <c r="Q92" s="84">
        <v>270</v>
      </c>
      <c r="R92" s="84">
        <v>425</v>
      </c>
      <c r="S92" s="84">
        <v>816</v>
      </c>
      <c r="T92" s="84">
        <v>1592</v>
      </c>
      <c r="U92" s="84">
        <v>2381</v>
      </c>
      <c r="V92" s="84">
        <v>5919</v>
      </c>
      <c r="W92" s="84">
        <v>15634</v>
      </c>
      <c r="X92" s="84">
        <v>26415</v>
      </c>
      <c r="Y92" s="84">
        <v>47137</v>
      </c>
      <c r="DA92" s="171"/>
    </row>
    <row r="93" spans="1:105" ht="11.45" hidden="1" customHeight="1" x14ac:dyDescent="0.25">
      <c r="A93" s="111" t="s">
        <v>115</v>
      </c>
      <c r="B93" s="84">
        <v>0</v>
      </c>
      <c r="C93" s="84">
        <v>0</v>
      </c>
      <c r="D93" s="84">
        <v>0</v>
      </c>
      <c r="E93" s="84">
        <v>0</v>
      </c>
      <c r="F93" s="84">
        <v>0</v>
      </c>
      <c r="G93" s="84">
        <v>0</v>
      </c>
      <c r="H93" s="84">
        <v>0</v>
      </c>
      <c r="I93" s="84">
        <v>0</v>
      </c>
      <c r="J93" s="84">
        <v>0</v>
      </c>
      <c r="K93" s="84">
        <v>0</v>
      </c>
      <c r="L93" s="84">
        <v>15</v>
      </c>
      <c r="M93" s="84">
        <v>104</v>
      </c>
      <c r="N93" s="84">
        <v>215</v>
      </c>
      <c r="O93" s="84">
        <v>241</v>
      </c>
      <c r="P93" s="84">
        <v>302</v>
      </c>
      <c r="Q93" s="84">
        <v>368</v>
      </c>
      <c r="R93" s="84">
        <v>1000</v>
      </c>
      <c r="S93" s="84">
        <v>2360</v>
      </c>
      <c r="T93" s="84">
        <v>4941</v>
      </c>
      <c r="U93" s="84">
        <v>6874</v>
      </c>
      <c r="V93" s="84">
        <v>11337</v>
      </c>
      <c r="W93" s="84">
        <v>13614</v>
      </c>
      <c r="X93" s="84">
        <v>25649</v>
      </c>
      <c r="Y93" s="84">
        <v>51211</v>
      </c>
      <c r="DA93" s="171"/>
    </row>
    <row r="94" spans="1:105" ht="11.45" hidden="1" customHeight="1" x14ac:dyDescent="0.25">
      <c r="A94" s="109" t="s">
        <v>21</v>
      </c>
      <c r="B94" s="110">
        <f t="shared" ref="B94:C94" si="155">SUM(B95:B99)</f>
        <v>33668</v>
      </c>
      <c r="C94" s="110">
        <f t="shared" si="155"/>
        <v>33603</v>
      </c>
      <c r="D94" s="110">
        <f t="shared" ref="D94:V94" si="156">SUM(D95:D99)</f>
        <v>33919</v>
      </c>
      <c r="E94" s="110">
        <f t="shared" si="156"/>
        <v>33595</v>
      </c>
      <c r="F94" s="110">
        <f t="shared" si="156"/>
        <v>36687</v>
      </c>
      <c r="G94" s="110">
        <f t="shared" si="156"/>
        <v>37266</v>
      </c>
      <c r="H94" s="110">
        <f t="shared" si="156"/>
        <v>36742</v>
      </c>
      <c r="I94" s="110">
        <f t="shared" si="156"/>
        <v>38098</v>
      </c>
      <c r="J94" s="110">
        <f t="shared" si="156"/>
        <v>38239</v>
      </c>
      <c r="K94" s="110">
        <f t="shared" si="156"/>
        <v>39359</v>
      </c>
      <c r="L94" s="110">
        <f t="shared" si="156"/>
        <v>39959</v>
      </c>
      <c r="M94" s="110">
        <f t="shared" si="156"/>
        <v>41150</v>
      </c>
      <c r="N94" s="110">
        <f t="shared" si="156"/>
        <v>40968</v>
      </c>
      <c r="O94" s="110">
        <f t="shared" si="156"/>
        <v>41907</v>
      </c>
      <c r="P94" s="110">
        <f t="shared" si="156"/>
        <v>43380</v>
      </c>
      <c r="Q94" s="110">
        <f t="shared" si="156"/>
        <v>50673</v>
      </c>
      <c r="R94" s="110">
        <f t="shared" si="156"/>
        <v>52011</v>
      </c>
      <c r="S94" s="110">
        <f t="shared" si="156"/>
        <v>53150</v>
      </c>
      <c r="T94" s="110">
        <f t="shared" si="156"/>
        <v>54543</v>
      </c>
      <c r="U94" s="110">
        <f t="shared" si="156"/>
        <v>56021</v>
      </c>
      <c r="V94" s="110">
        <f t="shared" si="156"/>
        <v>57099</v>
      </c>
      <c r="W94" s="110">
        <f t="shared" ref="W94:Y94" si="157">SUM(W95:W99)</f>
        <v>57348</v>
      </c>
      <c r="X94" s="110">
        <f t="shared" si="157"/>
        <v>57614</v>
      </c>
      <c r="Y94" s="110">
        <f t="shared" si="157"/>
        <v>58647</v>
      </c>
      <c r="DA94" s="176"/>
    </row>
    <row r="95" spans="1:105" ht="11.45" hidden="1" customHeight="1" x14ac:dyDescent="0.25">
      <c r="A95" s="111" t="s">
        <v>110</v>
      </c>
      <c r="B95" s="102">
        <v>0</v>
      </c>
      <c r="C95" s="102">
        <v>0</v>
      </c>
      <c r="D95" s="102">
        <v>0</v>
      </c>
      <c r="E95" s="102">
        <v>0</v>
      </c>
      <c r="F95" s="102">
        <v>0</v>
      </c>
      <c r="G95" s="102">
        <v>0</v>
      </c>
      <c r="H95" s="102">
        <v>0</v>
      </c>
      <c r="I95" s="102">
        <v>0</v>
      </c>
      <c r="J95" s="102">
        <v>0</v>
      </c>
      <c r="K95" s="102">
        <v>0</v>
      </c>
      <c r="L95" s="102">
        <v>0</v>
      </c>
      <c r="M95" s="102">
        <v>0</v>
      </c>
      <c r="N95" s="102">
        <v>0</v>
      </c>
      <c r="O95" s="102">
        <v>0</v>
      </c>
      <c r="P95" s="102">
        <v>0</v>
      </c>
      <c r="Q95" s="102">
        <v>0</v>
      </c>
      <c r="R95" s="102">
        <v>0</v>
      </c>
      <c r="S95" s="102">
        <v>0</v>
      </c>
      <c r="T95" s="102">
        <v>0</v>
      </c>
      <c r="U95" s="102">
        <v>0</v>
      </c>
      <c r="V95" s="102">
        <v>0</v>
      </c>
      <c r="W95" s="102">
        <v>0</v>
      </c>
      <c r="X95" s="102">
        <v>0</v>
      </c>
      <c r="Y95" s="102">
        <v>0</v>
      </c>
      <c r="DA95" s="175"/>
    </row>
    <row r="96" spans="1:105" ht="11.45" hidden="1" customHeight="1" x14ac:dyDescent="0.25">
      <c r="A96" s="111" t="s">
        <v>111</v>
      </c>
      <c r="B96" s="102">
        <v>32614</v>
      </c>
      <c r="C96" s="102">
        <v>32598</v>
      </c>
      <c r="D96" s="102">
        <v>32980</v>
      </c>
      <c r="E96" s="102">
        <v>32783</v>
      </c>
      <c r="F96" s="102">
        <v>34821</v>
      </c>
      <c r="G96" s="102">
        <v>35107</v>
      </c>
      <c r="H96" s="102">
        <v>34685</v>
      </c>
      <c r="I96" s="102">
        <v>36135</v>
      </c>
      <c r="J96" s="102">
        <v>36369</v>
      </c>
      <c r="K96" s="102">
        <v>37591</v>
      </c>
      <c r="L96" s="102">
        <v>38274</v>
      </c>
      <c r="M96" s="102">
        <v>39558</v>
      </c>
      <c r="N96" s="102">
        <v>39472</v>
      </c>
      <c r="O96" s="102">
        <v>40463</v>
      </c>
      <c r="P96" s="102">
        <v>42005</v>
      </c>
      <c r="Q96" s="102">
        <v>48793</v>
      </c>
      <c r="R96" s="102">
        <v>50186</v>
      </c>
      <c r="S96" s="102">
        <v>51386</v>
      </c>
      <c r="T96" s="102">
        <v>52200</v>
      </c>
      <c r="U96" s="102">
        <v>53524</v>
      </c>
      <c r="V96" s="102">
        <v>54020</v>
      </c>
      <c r="W96" s="102">
        <v>53704</v>
      </c>
      <c r="X96" s="102">
        <v>53672</v>
      </c>
      <c r="Y96" s="102">
        <v>54162</v>
      </c>
      <c r="DA96" s="175"/>
    </row>
    <row r="97" spans="1:105" ht="11.45" hidden="1" customHeight="1" x14ac:dyDescent="0.25">
      <c r="A97" s="111" t="s">
        <v>112</v>
      </c>
      <c r="B97" s="102">
        <v>820</v>
      </c>
      <c r="C97" s="102">
        <v>752</v>
      </c>
      <c r="D97" s="102">
        <v>682</v>
      </c>
      <c r="E97" s="102">
        <v>615</v>
      </c>
      <c r="F97" s="102">
        <v>1689</v>
      </c>
      <c r="G97" s="102">
        <v>1551</v>
      </c>
      <c r="H97" s="102">
        <v>1480</v>
      </c>
      <c r="I97" s="102">
        <v>1404</v>
      </c>
      <c r="J97" s="102">
        <v>1334</v>
      </c>
      <c r="K97" s="102">
        <v>1255</v>
      </c>
      <c r="L97" s="102">
        <v>1181</v>
      </c>
      <c r="M97" s="102">
        <v>1107</v>
      </c>
      <c r="N97" s="102">
        <v>1038</v>
      </c>
      <c r="O97" s="102">
        <v>968</v>
      </c>
      <c r="P97" s="102">
        <v>896</v>
      </c>
      <c r="Q97" s="102">
        <v>822</v>
      </c>
      <c r="R97" s="102">
        <v>782</v>
      </c>
      <c r="S97" s="102">
        <v>773</v>
      </c>
      <c r="T97" s="102">
        <v>778</v>
      </c>
      <c r="U97" s="102">
        <v>775</v>
      </c>
      <c r="V97" s="102">
        <v>771</v>
      </c>
      <c r="W97" s="102">
        <v>773</v>
      </c>
      <c r="X97" s="102">
        <v>770</v>
      </c>
      <c r="Y97" s="102">
        <v>753</v>
      </c>
      <c r="DA97" s="175"/>
    </row>
    <row r="98" spans="1:105" ht="11.45" hidden="1" customHeight="1" x14ac:dyDescent="0.25">
      <c r="A98" s="111" t="s">
        <v>113</v>
      </c>
      <c r="B98" s="102">
        <v>0</v>
      </c>
      <c r="C98" s="102">
        <v>0</v>
      </c>
      <c r="D98" s="102">
        <v>0</v>
      </c>
      <c r="E98" s="102">
        <v>0</v>
      </c>
      <c r="F98" s="102">
        <v>0</v>
      </c>
      <c r="G98" s="102">
        <v>0</v>
      </c>
      <c r="H98" s="102">
        <v>0</v>
      </c>
      <c r="I98" s="102">
        <v>0</v>
      </c>
      <c r="J98" s="102">
        <v>0</v>
      </c>
      <c r="K98" s="102">
        <v>0</v>
      </c>
      <c r="L98" s="102">
        <v>0</v>
      </c>
      <c r="M98" s="102">
        <v>0</v>
      </c>
      <c r="N98" s="102">
        <v>0</v>
      </c>
      <c r="O98" s="102">
        <v>0</v>
      </c>
      <c r="P98" s="102">
        <v>0</v>
      </c>
      <c r="Q98" s="102">
        <v>554</v>
      </c>
      <c r="R98" s="102">
        <v>517</v>
      </c>
      <c r="S98" s="102">
        <v>410</v>
      </c>
      <c r="T98" s="102">
        <v>1058</v>
      </c>
      <c r="U98" s="102">
        <v>1384</v>
      </c>
      <c r="V98" s="102">
        <v>1768</v>
      </c>
      <c r="W98" s="102">
        <v>2113</v>
      </c>
      <c r="X98" s="102">
        <v>2246</v>
      </c>
      <c r="Y98" s="102">
        <v>2444</v>
      </c>
      <c r="DA98" s="175"/>
    </row>
    <row r="99" spans="1:105" ht="11.45" hidden="1" customHeight="1" x14ac:dyDescent="0.25">
      <c r="A99" s="111" t="s">
        <v>115</v>
      </c>
      <c r="B99" s="102">
        <v>234</v>
      </c>
      <c r="C99" s="102">
        <v>253</v>
      </c>
      <c r="D99" s="102">
        <v>257</v>
      </c>
      <c r="E99" s="102">
        <v>197</v>
      </c>
      <c r="F99" s="102">
        <v>177</v>
      </c>
      <c r="G99" s="102">
        <v>608</v>
      </c>
      <c r="H99" s="102">
        <v>577</v>
      </c>
      <c r="I99" s="102">
        <v>559</v>
      </c>
      <c r="J99" s="102">
        <v>536</v>
      </c>
      <c r="K99" s="102">
        <v>513</v>
      </c>
      <c r="L99" s="102">
        <v>504</v>
      </c>
      <c r="M99" s="102">
        <v>485</v>
      </c>
      <c r="N99" s="102">
        <v>458</v>
      </c>
      <c r="O99" s="102">
        <v>476</v>
      </c>
      <c r="P99" s="102">
        <v>479</v>
      </c>
      <c r="Q99" s="102">
        <v>504</v>
      </c>
      <c r="R99" s="102">
        <v>526</v>
      </c>
      <c r="S99" s="102">
        <v>581</v>
      </c>
      <c r="T99" s="102">
        <v>507</v>
      </c>
      <c r="U99" s="102">
        <v>338</v>
      </c>
      <c r="V99" s="102">
        <v>540</v>
      </c>
      <c r="W99" s="102">
        <v>758</v>
      </c>
      <c r="X99" s="102">
        <v>926</v>
      </c>
      <c r="Y99" s="102">
        <v>1288</v>
      </c>
      <c r="DA99" s="175"/>
    </row>
    <row r="100" spans="1:105" ht="11.45" hidden="1" customHeight="1" x14ac:dyDescent="0.25">
      <c r="A100" s="27" t="s">
        <v>34</v>
      </c>
      <c r="B100" s="28">
        <f t="shared" ref="B100:C100" si="158">B101+B107</f>
        <v>2126839</v>
      </c>
      <c r="C100" s="28">
        <f t="shared" si="158"/>
        <v>2162039</v>
      </c>
      <c r="D100" s="28">
        <f t="shared" ref="D100:V100" si="159">D101+D107</f>
        <v>2269340</v>
      </c>
      <c r="E100" s="28">
        <f t="shared" si="159"/>
        <v>2301213</v>
      </c>
      <c r="F100" s="28">
        <f t="shared" si="159"/>
        <v>2248492</v>
      </c>
      <c r="G100" s="28">
        <f t="shared" si="159"/>
        <v>2308647</v>
      </c>
      <c r="H100" s="28">
        <f t="shared" si="159"/>
        <v>2355394</v>
      </c>
      <c r="I100" s="28">
        <f t="shared" si="159"/>
        <v>2469143</v>
      </c>
      <c r="J100" s="28">
        <f t="shared" si="159"/>
        <v>2651611</v>
      </c>
      <c r="K100" s="28">
        <f t="shared" si="159"/>
        <v>2731237</v>
      </c>
      <c r="L100" s="28">
        <f t="shared" si="159"/>
        <v>2906485</v>
      </c>
      <c r="M100" s="28">
        <f t="shared" si="159"/>
        <v>3057904</v>
      </c>
      <c r="N100" s="28">
        <f t="shared" si="159"/>
        <v>3095275</v>
      </c>
      <c r="O100" s="28">
        <f t="shared" si="159"/>
        <v>3217912</v>
      </c>
      <c r="P100" s="28">
        <f t="shared" si="159"/>
        <v>3245232</v>
      </c>
      <c r="Q100" s="28">
        <f t="shared" si="159"/>
        <v>3313003</v>
      </c>
      <c r="R100" s="28">
        <f t="shared" si="159"/>
        <v>3404384</v>
      </c>
      <c r="S100" s="28">
        <f t="shared" si="159"/>
        <v>3483627</v>
      </c>
      <c r="T100" s="28">
        <f t="shared" si="159"/>
        <v>3607500</v>
      </c>
      <c r="U100" s="28">
        <f t="shared" si="159"/>
        <v>3710256</v>
      </c>
      <c r="V100" s="28">
        <f t="shared" si="159"/>
        <v>3817338</v>
      </c>
      <c r="W100" s="28">
        <f t="shared" ref="W100:Y100" si="160">W101+W107</f>
        <v>3946429</v>
      </c>
      <c r="X100" s="28">
        <f t="shared" si="160"/>
        <v>4050203</v>
      </c>
      <c r="Y100" s="28">
        <f t="shared" si="160"/>
        <v>4167745</v>
      </c>
      <c r="DA100" s="173"/>
    </row>
    <row r="101" spans="1:105" ht="11.45" hidden="1" customHeight="1" x14ac:dyDescent="0.25">
      <c r="A101" s="136" t="s">
        <v>153</v>
      </c>
      <c r="B101" s="137">
        <f t="shared" ref="B101:C101" si="161">SUM(B102:B106)</f>
        <v>1629540</v>
      </c>
      <c r="C101" s="137">
        <f t="shared" si="161"/>
        <v>1645085</v>
      </c>
      <c r="D101" s="137">
        <f t="shared" ref="D101:V101" si="162">SUM(D102:D106)</f>
        <v>1673784</v>
      </c>
      <c r="E101" s="137">
        <f t="shared" si="162"/>
        <v>1706379</v>
      </c>
      <c r="F101" s="137">
        <f t="shared" si="162"/>
        <v>1667309</v>
      </c>
      <c r="G101" s="137">
        <f t="shared" si="162"/>
        <v>1717435</v>
      </c>
      <c r="H101" s="137">
        <f t="shared" si="162"/>
        <v>1758293</v>
      </c>
      <c r="I101" s="137">
        <f t="shared" si="162"/>
        <v>1824650</v>
      </c>
      <c r="J101" s="137">
        <f t="shared" si="162"/>
        <v>1947297</v>
      </c>
      <c r="K101" s="137">
        <f t="shared" si="162"/>
        <v>2014529</v>
      </c>
      <c r="L101" s="137">
        <f t="shared" si="162"/>
        <v>2170600</v>
      </c>
      <c r="M101" s="137">
        <f t="shared" si="162"/>
        <v>2276879</v>
      </c>
      <c r="N101" s="137">
        <f t="shared" si="162"/>
        <v>2303433</v>
      </c>
      <c r="O101" s="137">
        <f t="shared" si="162"/>
        <v>2403569</v>
      </c>
      <c r="P101" s="137">
        <f t="shared" si="162"/>
        <v>2399323</v>
      </c>
      <c r="Q101" s="137">
        <f t="shared" si="162"/>
        <v>2447764</v>
      </c>
      <c r="R101" s="137">
        <f t="shared" si="162"/>
        <v>2515751</v>
      </c>
      <c r="S101" s="137">
        <f t="shared" si="162"/>
        <v>2574312</v>
      </c>
      <c r="T101" s="137">
        <f t="shared" si="162"/>
        <v>2649198</v>
      </c>
      <c r="U101" s="137">
        <f t="shared" si="162"/>
        <v>2733004</v>
      </c>
      <c r="V101" s="137">
        <f t="shared" si="162"/>
        <v>2814490</v>
      </c>
      <c r="W101" s="137">
        <f t="shared" ref="W101:Y101" si="163">SUM(W102:W106)</f>
        <v>2905731</v>
      </c>
      <c r="X101" s="137">
        <f t="shared" si="163"/>
        <v>2974632</v>
      </c>
      <c r="Y101" s="137">
        <f t="shared" si="163"/>
        <v>3053119</v>
      </c>
      <c r="DA101" s="174"/>
    </row>
    <row r="102" spans="1:105" ht="11.45" hidden="1" customHeight="1" x14ac:dyDescent="0.25">
      <c r="A102" s="111" t="s">
        <v>110</v>
      </c>
      <c r="B102" s="84">
        <v>1113423</v>
      </c>
      <c r="C102" s="84">
        <v>1121845</v>
      </c>
      <c r="D102" s="84">
        <v>1021756</v>
      </c>
      <c r="E102" s="84">
        <v>995595</v>
      </c>
      <c r="F102" s="84">
        <v>916720</v>
      </c>
      <c r="G102" s="84">
        <v>859414</v>
      </c>
      <c r="H102" s="84">
        <v>808192</v>
      </c>
      <c r="I102" s="84">
        <v>765138</v>
      </c>
      <c r="J102" s="84">
        <v>752140</v>
      </c>
      <c r="K102" s="84">
        <v>718204</v>
      </c>
      <c r="L102" s="84">
        <v>735988</v>
      </c>
      <c r="M102" s="84">
        <v>703448</v>
      </c>
      <c r="N102" s="84">
        <v>687656</v>
      </c>
      <c r="O102" s="84">
        <v>687734</v>
      </c>
      <c r="P102" s="84">
        <v>655877</v>
      </c>
      <c r="Q102" s="84">
        <v>641037</v>
      </c>
      <c r="R102" s="84">
        <v>629904</v>
      </c>
      <c r="S102" s="84">
        <v>644480</v>
      </c>
      <c r="T102" s="84">
        <v>629861</v>
      </c>
      <c r="U102" s="84">
        <v>627303</v>
      </c>
      <c r="V102" s="84">
        <v>620951</v>
      </c>
      <c r="W102" s="84">
        <v>616166</v>
      </c>
      <c r="X102" s="84">
        <v>614847</v>
      </c>
      <c r="Y102" s="84">
        <v>612814</v>
      </c>
      <c r="DA102" s="171"/>
    </row>
    <row r="103" spans="1:105" ht="11.45" hidden="1" customHeight="1" x14ac:dyDescent="0.25">
      <c r="A103" s="111" t="s">
        <v>111</v>
      </c>
      <c r="B103" s="84">
        <v>457911</v>
      </c>
      <c r="C103" s="84">
        <v>456645</v>
      </c>
      <c r="D103" s="84">
        <v>558278</v>
      </c>
      <c r="E103" s="84">
        <v>601839</v>
      </c>
      <c r="F103" s="84">
        <v>637623</v>
      </c>
      <c r="G103" s="84">
        <v>734537</v>
      </c>
      <c r="H103" s="84">
        <v>807730</v>
      </c>
      <c r="I103" s="84">
        <v>905519</v>
      </c>
      <c r="J103" s="84">
        <v>1033662</v>
      </c>
      <c r="K103" s="84">
        <v>1131489</v>
      </c>
      <c r="L103" s="84">
        <v>1264958</v>
      </c>
      <c r="M103" s="84">
        <v>1398504</v>
      </c>
      <c r="N103" s="84">
        <v>1455880</v>
      </c>
      <c r="O103" s="84">
        <v>1556881</v>
      </c>
      <c r="P103" s="84">
        <v>1569638</v>
      </c>
      <c r="Q103" s="84">
        <v>1632451</v>
      </c>
      <c r="R103" s="84">
        <v>1712251</v>
      </c>
      <c r="S103" s="84">
        <v>1764085</v>
      </c>
      <c r="T103" s="84">
        <v>1849082</v>
      </c>
      <c r="U103" s="84">
        <v>1937067</v>
      </c>
      <c r="V103" s="84">
        <v>2028294</v>
      </c>
      <c r="W103" s="84">
        <v>2124051</v>
      </c>
      <c r="X103" s="84">
        <v>2201572</v>
      </c>
      <c r="Y103" s="84">
        <v>2279765</v>
      </c>
      <c r="DA103" s="171"/>
    </row>
    <row r="104" spans="1:105" ht="11.45" hidden="1" customHeight="1" x14ac:dyDescent="0.25">
      <c r="A104" s="111" t="s">
        <v>112</v>
      </c>
      <c r="B104" s="84">
        <v>58206</v>
      </c>
      <c r="C104" s="84">
        <v>66595</v>
      </c>
      <c r="D104" s="84">
        <v>93750</v>
      </c>
      <c r="E104" s="84">
        <v>108945</v>
      </c>
      <c r="F104" s="84">
        <v>112966</v>
      </c>
      <c r="G104" s="84">
        <v>123484</v>
      </c>
      <c r="H104" s="84">
        <v>142371</v>
      </c>
      <c r="I104" s="84">
        <v>153993</v>
      </c>
      <c r="J104" s="84">
        <v>161495</v>
      </c>
      <c r="K104" s="84">
        <v>164836</v>
      </c>
      <c r="L104" s="84">
        <v>169654</v>
      </c>
      <c r="M104" s="84">
        <v>174927</v>
      </c>
      <c r="N104" s="84">
        <v>159890</v>
      </c>
      <c r="O104" s="84">
        <v>158941</v>
      </c>
      <c r="P104" s="84">
        <v>173791</v>
      </c>
      <c r="Q104" s="84">
        <v>172189</v>
      </c>
      <c r="R104" s="84">
        <v>171152</v>
      </c>
      <c r="S104" s="84">
        <v>163371</v>
      </c>
      <c r="T104" s="84">
        <v>167767</v>
      </c>
      <c r="U104" s="84">
        <v>165998</v>
      </c>
      <c r="V104" s="84">
        <v>163000</v>
      </c>
      <c r="W104" s="84">
        <v>163000</v>
      </c>
      <c r="X104" s="84">
        <v>154903</v>
      </c>
      <c r="Y104" s="84">
        <v>154825</v>
      </c>
      <c r="DA104" s="171"/>
    </row>
    <row r="105" spans="1:105" ht="11.45" hidden="1" customHeight="1" x14ac:dyDescent="0.25">
      <c r="A105" s="111" t="s">
        <v>113</v>
      </c>
      <c r="B105" s="84">
        <v>0</v>
      </c>
      <c r="C105" s="84">
        <v>0</v>
      </c>
      <c r="D105" s="84">
        <v>0</v>
      </c>
      <c r="E105" s="84">
        <v>0</v>
      </c>
      <c r="F105" s="84">
        <v>0</v>
      </c>
      <c r="G105" s="84">
        <v>0</v>
      </c>
      <c r="H105" s="84">
        <v>0</v>
      </c>
      <c r="I105" s="84">
        <v>0</v>
      </c>
      <c r="J105" s="84">
        <v>0</v>
      </c>
      <c r="K105" s="84">
        <v>0</v>
      </c>
      <c r="L105" s="84">
        <v>0</v>
      </c>
      <c r="M105" s="84">
        <v>0</v>
      </c>
      <c r="N105" s="84">
        <v>0</v>
      </c>
      <c r="O105" s="84">
        <v>0</v>
      </c>
      <c r="P105" s="84">
        <v>0</v>
      </c>
      <c r="Q105" s="84">
        <v>2063</v>
      </c>
      <c r="R105" s="84">
        <v>2415</v>
      </c>
      <c r="S105" s="84">
        <v>2334</v>
      </c>
      <c r="T105" s="84">
        <v>2405</v>
      </c>
      <c r="U105" s="84">
        <v>2440</v>
      </c>
      <c r="V105" s="84">
        <v>1850</v>
      </c>
      <c r="W105" s="84">
        <v>1700</v>
      </c>
      <c r="X105" s="84">
        <v>1634</v>
      </c>
      <c r="Y105" s="84">
        <v>1652</v>
      </c>
      <c r="DA105" s="171"/>
    </row>
    <row r="106" spans="1:105" ht="11.45" hidden="1" customHeight="1" x14ac:dyDescent="0.25">
      <c r="A106" s="111" t="s">
        <v>115</v>
      </c>
      <c r="B106" s="84">
        <v>0</v>
      </c>
      <c r="C106" s="84">
        <v>0</v>
      </c>
      <c r="D106" s="84">
        <v>0</v>
      </c>
      <c r="E106" s="84">
        <v>0</v>
      </c>
      <c r="F106" s="84">
        <v>0</v>
      </c>
      <c r="G106" s="84">
        <v>0</v>
      </c>
      <c r="H106" s="84">
        <v>0</v>
      </c>
      <c r="I106" s="84">
        <v>0</v>
      </c>
      <c r="J106" s="84">
        <v>0</v>
      </c>
      <c r="K106" s="84">
        <v>0</v>
      </c>
      <c r="L106" s="84">
        <v>0</v>
      </c>
      <c r="M106" s="84">
        <v>0</v>
      </c>
      <c r="N106" s="84">
        <v>7</v>
      </c>
      <c r="O106" s="84">
        <v>13</v>
      </c>
      <c r="P106" s="84">
        <v>17</v>
      </c>
      <c r="Q106" s="84">
        <v>24</v>
      </c>
      <c r="R106" s="84">
        <v>29</v>
      </c>
      <c r="S106" s="84">
        <v>42</v>
      </c>
      <c r="T106" s="84">
        <v>83</v>
      </c>
      <c r="U106" s="84">
        <v>196</v>
      </c>
      <c r="V106" s="84">
        <v>395</v>
      </c>
      <c r="W106" s="84">
        <v>814</v>
      </c>
      <c r="X106" s="84">
        <v>1676</v>
      </c>
      <c r="Y106" s="84">
        <v>4063</v>
      </c>
      <c r="DA106" s="171"/>
    </row>
    <row r="107" spans="1:105" ht="11.45" hidden="1" customHeight="1" x14ac:dyDescent="0.25">
      <c r="A107" s="109" t="s">
        <v>154</v>
      </c>
      <c r="B107" s="110">
        <f t="shared" ref="B107:C107" si="164">SUM(B108:B109)</f>
        <v>497299</v>
      </c>
      <c r="C107" s="110">
        <f t="shared" si="164"/>
        <v>516954</v>
      </c>
      <c r="D107" s="110">
        <f t="shared" ref="D107:V107" si="165">SUM(D108:D109)</f>
        <v>595556</v>
      </c>
      <c r="E107" s="110">
        <f t="shared" si="165"/>
        <v>594834</v>
      </c>
      <c r="F107" s="110">
        <f t="shared" si="165"/>
        <v>581183</v>
      </c>
      <c r="G107" s="110">
        <f t="shared" si="165"/>
        <v>591212</v>
      </c>
      <c r="H107" s="110">
        <f t="shared" si="165"/>
        <v>597101</v>
      </c>
      <c r="I107" s="110">
        <f t="shared" si="165"/>
        <v>644493</v>
      </c>
      <c r="J107" s="110">
        <f t="shared" si="165"/>
        <v>704314</v>
      </c>
      <c r="K107" s="110">
        <f t="shared" si="165"/>
        <v>716708</v>
      </c>
      <c r="L107" s="110">
        <f t="shared" si="165"/>
        <v>735885</v>
      </c>
      <c r="M107" s="110">
        <f t="shared" si="165"/>
        <v>781025</v>
      </c>
      <c r="N107" s="110">
        <f t="shared" si="165"/>
        <v>791842</v>
      </c>
      <c r="O107" s="110">
        <f t="shared" si="165"/>
        <v>814343</v>
      </c>
      <c r="P107" s="110">
        <f t="shared" si="165"/>
        <v>845909</v>
      </c>
      <c r="Q107" s="110">
        <f t="shared" si="165"/>
        <v>865239</v>
      </c>
      <c r="R107" s="110">
        <f t="shared" si="165"/>
        <v>888633</v>
      </c>
      <c r="S107" s="110">
        <f t="shared" si="165"/>
        <v>909315</v>
      </c>
      <c r="T107" s="110">
        <f t="shared" si="165"/>
        <v>958302</v>
      </c>
      <c r="U107" s="110">
        <f t="shared" si="165"/>
        <v>977252</v>
      </c>
      <c r="V107" s="110">
        <f t="shared" si="165"/>
        <v>1002848</v>
      </c>
      <c r="W107" s="110">
        <f t="shared" ref="W107:Y107" si="166">SUM(W108:W109)</f>
        <v>1040698</v>
      </c>
      <c r="X107" s="110">
        <f t="shared" si="166"/>
        <v>1075571</v>
      </c>
      <c r="Y107" s="110">
        <f t="shared" si="166"/>
        <v>1114626</v>
      </c>
      <c r="DA107" s="176"/>
    </row>
    <row r="108" spans="1:105" ht="11.45" hidden="1" customHeight="1" x14ac:dyDescent="0.25">
      <c r="A108" s="128" t="s">
        <v>27</v>
      </c>
      <c r="B108" s="102">
        <v>481889</v>
      </c>
      <c r="C108" s="102">
        <v>500433</v>
      </c>
      <c r="D108" s="102">
        <v>578175</v>
      </c>
      <c r="E108" s="102">
        <v>577068</v>
      </c>
      <c r="F108" s="102">
        <v>560178</v>
      </c>
      <c r="G108" s="102">
        <v>569470</v>
      </c>
      <c r="H108" s="102">
        <v>570730</v>
      </c>
      <c r="I108" s="102">
        <v>619851</v>
      </c>
      <c r="J108" s="102">
        <v>679188</v>
      </c>
      <c r="K108" s="102">
        <v>692591</v>
      </c>
      <c r="L108" s="102">
        <v>707675</v>
      </c>
      <c r="M108" s="102">
        <v>751168</v>
      </c>
      <c r="N108" s="102">
        <v>759384</v>
      </c>
      <c r="O108" s="102">
        <v>779963</v>
      </c>
      <c r="P108" s="102">
        <v>811034</v>
      </c>
      <c r="Q108" s="102">
        <v>829354</v>
      </c>
      <c r="R108" s="102">
        <v>848466</v>
      </c>
      <c r="S108" s="102">
        <v>864011</v>
      </c>
      <c r="T108" s="102">
        <v>919021</v>
      </c>
      <c r="U108" s="102">
        <v>932323</v>
      </c>
      <c r="V108" s="102">
        <v>959291</v>
      </c>
      <c r="W108" s="102">
        <v>994588</v>
      </c>
      <c r="X108" s="102">
        <v>1027919</v>
      </c>
      <c r="Y108" s="102">
        <v>1066114</v>
      </c>
      <c r="DA108" s="175"/>
    </row>
    <row r="109" spans="1:105" ht="11.45" hidden="1" customHeight="1" x14ac:dyDescent="0.25">
      <c r="A109" s="138" t="s">
        <v>116</v>
      </c>
      <c r="B109" s="86">
        <v>15410</v>
      </c>
      <c r="C109" s="86">
        <v>16521</v>
      </c>
      <c r="D109" s="86">
        <v>17381</v>
      </c>
      <c r="E109" s="86">
        <v>17766</v>
      </c>
      <c r="F109" s="86">
        <v>21005</v>
      </c>
      <c r="G109" s="86">
        <v>21742</v>
      </c>
      <c r="H109" s="86">
        <v>26371</v>
      </c>
      <c r="I109" s="86">
        <v>24642</v>
      </c>
      <c r="J109" s="86">
        <v>25126</v>
      </c>
      <c r="K109" s="86">
        <v>24117</v>
      </c>
      <c r="L109" s="86">
        <v>28210</v>
      </c>
      <c r="M109" s="86">
        <v>29857</v>
      </c>
      <c r="N109" s="86">
        <v>32458</v>
      </c>
      <c r="O109" s="86">
        <v>34380</v>
      </c>
      <c r="P109" s="86">
        <v>34875</v>
      </c>
      <c r="Q109" s="86">
        <v>35885</v>
      </c>
      <c r="R109" s="86">
        <v>40167</v>
      </c>
      <c r="S109" s="86">
        <v>45304</v>
      </c>
      <c r="T109" s="86">
        <v>39281</v>
      </c>
      <c r="U109" s="86">
        <v>44929</v>
      </c>
      <c r="V109" s="86">
        <v>43557</v>
      </c>
      <c r="W109" s="86">
        <v>46110</v>
      </c>
      <c r="X109" s="86">
        <v>47652</v>
      </c>
      <c r="Y109" s="86">
        <v>48512</v>
      </c>
      <c r="DA109" s="178"/>
    </row>
    <row r="110" spans="1:105" ht="11.45" customHeight="1" x14ac:dyDescent="0.25">
      <c r="A110" s="106"/>
      <c r="B110" s="106"/>
      <c r="C110" s="106"/>
      <c r="L110" s="106"/>
      <c r="M110" s="106"/>
      <c r="N110" s="106"/>
    </row>
    <row r="111" spans="1:105" ht="11.45" customHeight="1" x14ac:dyDescent="0.25">
      <c r="A111" s="53" t="s">
        <v>117</v>
      </c>
      <c r="B111" s="54">
        <f t="shared" ref="B111:K111" si="167">B112+B127</f>
        <v>663054</v>
      </c>
      <c r="C111" s="54">
        <f t="shared" si="167"/>
        <v>1449858</v>
      </c>
      <c r="D111" s="54">
        <f t="shared" si="167"/>
        <v>1260120</v>
      </c>
      <c r="E111" s="54">
        <f t="shared" si="167"/>
        <v>1027115</v>
      </c>
      <c r="F111" s="54">
        <f t="shared" si="167"/>
        <v>1212632</v>
      </c>
      <c r="G111" s="54">
        <f t="shared" si="167"/>
        <v>1715422</v>
      </c>
      <c r="H111" s="54">
        <f t="shared" si="167"/>
        <v>1559603</v>
      </c>
      <c r="I111" s="54">
        <f t="shared" si="167"/>
        <v>2004561</v>
      </c>
      <c r="J111" s="54">
        <f t="shared" si="167"/>
        <v>2453930</v>
      </c>
      <c r="K111" s="54">
        <f t="shared" si="167"/>
        <v>1901243</v>
      </c>
      <c r="L111" s="54">
        <f t="shared" ref="L111" si="168">L112+L127</f>
        <v>1905895</v>
      </c>
      <c r="M111" s="54">
        <f t="shared" ref="M111:V111" si="169">M112+M127</f>
        <v>2092333</v>
      </c>
      <c r="N111" s="54">
        <f t="shared" si="169"/>
        <v>2293308</v>
      </c>
      <c r="O111" s="54">
        <f t="shared" si="169"/>
        <v>1865281</v>
      </c>
      <c r="P111" s="54">
        <f t="shared" si="169"/>
        <v>1668392</v>
      </c>
      <c r="Q111" s="54">
        <f t="shared" si="169"/>
        <v>1996061</v>
      </c>
      <c r="R111" s="54">
        <f t="shared" si="169"/>
        <v>1983687</v>
      </c>
      <c r="S111" s="54">
        <f t="shared" si="169"/>
        <v>1832824</v>
      </c>
      <c r="T111" s="54">
        <f t="shared" si="169"/>
        <v>2100913</v>
      </c>
      <c r="U111" s="54">
        <f t="shared" si="169"/>
        <v>2135885</v>
      </c>
      <c r="V111" s="54">
        <f t="shared" si="169"/>
        <v>1787074</v>
      </c>
      <c r="W111" s="54">
        <f t="shared" ref="W111:Y111" si="170">W112+W127</f>
        <v>2371217</v>
      </c>
      <c r="X111" s="54">
        <f t="shared" si="170"/>
        <v>2269349</v>
      </c>
      <c r="Y111" s="54">
        <f t="shared" si="170"/>
        <v>2218553</v>
      </c>
      <c r="DA111" s="172" t="s">
        <v>526</v>
      </c>
    </row>
    <row r="112" spans="1:105" ht="11.45" customHeight="1" x14ac:dyDescent="0.25">
      <c r="A112" s="27" t="s">
        <v>33</v>
      </c>
      <c r="B112" s="28">
        <f t="shared" ref="B112:K112" si="171">B113+B114+B121</f>
        <v>533050</v>
      </c>
      <c r="C112" s="28">
        <f t="shared" si="171"/>
        <v>1317858</v>
      </c>
      <c r="D112" s="28">
        <f t="shared" si="171"/>
        <v>989124</v>
      </c>
      <c r="E112" s="28">
        <f t="shared" si="171"/>
        <v>832802</v>
      </c>
      <c r="F112" s="28">
        <f t="shared" si="171"/>
        <v>1069882</v>
      </c>
      <c r="G112" s="28">
        <f t="shared" si="171"/>
        <v>1524859</v>
      </c>
      <c r="H112" s="28">
        <f t="shared" si="171"/>
        <v>1332447</v>
      </c>
      <c r="I112" s="28">
        <f t="shared" si="171"/>
        <v>1705988</v>
      </c>
      <c r="J112" s="28">
        <f t="shared" si="171"/>
        <v>2091177</v>
      </c>
      <c r="K112" s="28">
        <f t="shared" si="171"/>
        <v>1622693</v>
      </c>
      <c r="L112" s="28">
        <f t="shared" ref="L112" si="172">L113+L114+L121</f>
        <v>1540958</v>
      </c>
      <c r="M112" s="28">
        <f t="shared" ref="M112:V112" si="173">M113+M114+M121</f>
        <v>1746088</v>
      </c>
      <c r="N112" s="28">
        <f t="shared" si="173"/>
        <v>2032592</v>
      </c>
      <c r="O112" s="28">
        <f t="shared" si="173"/>
        <v>1540032</v>
      </c>
      <c r="P112" s="28">
        <f t="shared" si="173"/>
        <v>1427339</v>
      </c>
      <c r="Q112" s="28">
        <f t="shared" si="173"/>
        <v>1722830</v>
      </c>
      <c r="R112" s="28">
        <f t="shared" si="173"/>
        <v>1658271</v>
      </c>
      <c r="S112" s="28">
        <f t="shared" si="173"/>
        <v>1511258</v>
      </c>
      <c r="T112" s="28">
        <f t="shared" si="173"/>
        <v>1774493</v>
      </c>
      <c r="U112" s="28">
        <f t="shared" si="173"/>
        <v>1757358</v>
      </c>
      <c r="V112" s="28">
        <f t="shared" si="173"/>
        <v>1442742</v>
      </c>
      <c r="W112" s="28">
        <f t="shared" ref="W112:Y112" si="174">W113+W114+W121</f>
        <v>1990239</v>
      </c>
      <c r="X112" s="28">
        <f t="shared" si="174"/>
        <v>1888049</v>
      </c>
      <c r="Y112" s="28">
        <f t="shared" si="174"/>
        <v>1825847</v>
      </c>
      <c r="DA112" s="173" t="s">
        <v>527</v>
      </c>
    </row>
    <row r="113" spans="1:105" ht="11.45" customHeight="1" x14ac:dyDescent="0.25">
      <c r="A113" s="136" t="s">
        <v>173</v>
      </c>
      <c r="B113" s="137">
        <v>0</v>
      </c>
      <c r="C113" s="137">
        <v>14695</v>
      </c>
      <c r="D113" s="137">
        <v>95215</v>
      </c>
      <c r="E113" s="137">
        <v>1586</v>
      </c>
      <c r="F113" s="137">
        <v>3680</v>
      </c>
      <c r="G113" s="137">
        <v>326845</v>
      </c>
      <c r="H113" s="137">
        <v>140667</v>
      </c>
      <c r="I113" s="137">
        <v>217827</v>
      </c>
      <c r="J113" s="137">
        <v>337683</v>
      </c>
      <c r="K113" s="137">
        <v>275131</v>
      </c>
      <c r="L113" s="137">
        <v>187329</v>
      </c>
      <c r="M113" s="137">
        <v>239196</v>
      </c>
      <c r="N113" s="137">
        <v>167035</v>
      </c>
      <c r="O113" s="137">
        <v>173444</v>
      </c>
      <c r="P113" s="137">
        <v>151578</v>
      </c>
      <c r="Q113" s="137">
        <v>197039</v>
      </c>
      <c r="R113" s="137">
        <v>188219</v>
      </c>
      <c r="S113" s="137">
        <v>179208</v>
      </c>
      <c r="T113" s="137">
        <v>169733</v>
      </c>
      <c r="U113" s="137">
        <v>185473</v>
      </c>
      <c r="V113" s="137">
        <v>184887</v>
      </c>
      <c r="W113" s="137">
        <v>177988</v>
      </c>
      <c r="X113" s="137">
        <v>180771</v>
      </c>
      <c r="Y113" s="137">
        <v>196936</v>
      </c>
      <c r="DA113" s="174" t="s">
        <v>528</v>
      </c>
    </row>
    <row r="114" spans="1:105" ht="11.45" customHeight="1" x14ac:dyDescent="0.25">
      <c r="A114" s="109" t="s">
        <v>20</v>
      </c>
      <c r="B114" s="110">
        <f t="shared" ref="B114:K114" si="175">SUM(B115:B120)</f>
        <v>529438</v>
      </c>
      <c r="C114" s="110">
        <f t="shared" si="175"/>
        <v>1299760</v>
      </c>
      <c r="D114" s="110">
        <f t="shared" si="175"/>
        <v>891099</v>
      </c>
      <c r="E114" s="110">
        <f t="shared" si="175"/>
        <v>829144</v>
      </c>
      <c r="F114" s="110">
        <f t="shared" si="175"/>
        <v>1061008</v>
      </c>
      <c r="G114" s="110">
        <f t="shared" si="175"/>
        <v>1193622</v>
      </c>
      <c r="H114" s="110">
        <f t="shared" si="175"/>
        <v>1187363</v>
      </c>
      <c r="I114" s="110">
        <f t="shared" si="175"/>
        <v>1483309</v>
      </c>
      <c r="J114" s="110">
        <f t="shared" si="175"/>
        <v>1748261</v>
      </c>
      <c r="K114" s="110">
        <f t="shared" si="175"/>
        <v>1343670</v>
      </c>
      <c r="L114" s="110">
        <f t="shared" ref="L114" si="176">SUM(L115:L120)</f>
        <v>1349690</v>
      </c>
      <c r="M114" s="110">
        <f t="shared" ref="M114:V114" si="177">SUM(M115:M120)</f>
        <v>1502288</v>
      </c>
      <c r="N114" s="110">
        <f t="shared" si="177"/>
        <v>1861196</v>
      </c>
      <c r="O114" s="110">
        <f t="shared" si="177"/>
        <v>1361651</v>
      </c>
      <c r="P114" s="110">
        <f t="shared" si="177"/>
        <v>1270442</v>
      </c>
      <c r="Q114" s="110">
        <f t="shared" si="177"/>
        <v>1514656</v>
      </c>
      <c r="R114" s="110">
        <f t="shared" si="177"/>
        <v>1464490</v>
      </c>
      <c r="S114" s="110">
        <f t="shared" si="177"/>
        <v>1326612</v>
      </c>
      <c r="T114" s="110">
        <f t="shared" si="177"/>
        <v>1598975</v>
      </c>
      <c r="U114" s="110">
        <f t="shared" si="177"/>
        <v>1566626</v>
      </c>
      <c r="V114" s="110">
        <f t="shared" si="177"/>
        <v>1252412</v>
      </c>
      <c r="W114" s="110">
        <f t="shared" ref="W114:Y114" si="178">SUM(W115:W120)</f>
        <v>1806835</v>
      </c>
      <c r="X114" s="110">
        <f t="shared" si="178"/>
        <v>1702125</v>
      </c>
      <c r="Y114" s="110">
        <f t="shared" si="178"/>
        <v>1623514</v>
      </c>
      <c r="DA114" s="176" t="s">
        <v>529</v>
      </c>
    </row>
    <row r="115" spans="1:105" ht="11.45" customHeight="1" x14ac:dyDescent="0.25">
      <c r="A115" s="111" t="s">
        <v>110</v>
      </c>
      <c r="B115" s="84">
        <v>443682</v>
      </c>
      <c r="C115" s="84">
        <v>781578</v>
      </c>
      <c r="D115" s="84">
        <v>340029</v>
      </c>
      <c r="E115" s="84">
        <v>220339</v>
      </c>
      <c r="F115" s="84">
        <v>589018</v>
      </c>
      <c r="G115" s="84">
        <v>591783</v>
      </c>
      <c r="H115" s="84">
        <v>546325</v>
      </c>
      <c r="I115" s="84">
        <v>668932</v>
      </c>
      <c r="J115" s="84">
        <v>756796</v>
      </c>
      <c r="K115" s="84">
        <v>617436</v>
      </c>
      <c r="L115" s="84">
        <v>588495</v>
      </c>
      <c r="M115" s="84">
        <v>773506</v>
      </c>
      <c r="N115" s="84">
        <v>1081347</v>
      </c>
      <c r="O115" s="84">
        <v>772728</v>
      </c>
      <c r="P115" s="84">
        <v>708037</v>
      </c>
      <c r="Q115" s="84">
        <v>918886</v>
      </c>
      <c r="R115" s="84">
        <v>718987</v>
      </c>
      <c r="S115" s="84">
        <v>719775</v>
      </c>
      <c r="T115" s="84">
        <v>778385</v>
      </c>
      <c r="U115" s="84">
        <v>855340</v>
      </c>
      <c r="V115" s="84">
        <v>635816</v>
      </c>
      <c r="W115" s="84">
        <v>1102015</v>
      </c>
      <c r="X115" s="84">
        <v>1031501</v>
      </c>
      <c r="Y115" s="84">
        <v>869290</v>
      </c>
      <c r="DA115" s="171" t="s">
        <v>530</v>
      </c>
    </row>
    <row r="116" spans="1:105" ht="11.45" customHeight="1" x14ac:dyDescent="0.25">
      <c r="A116" s="111" t="s">
        <v>111</v>
      </c>
      <c r="B116" s="84">
        <v>85756</v>
      </c>
      <c r="C116" s="84">
        <v>98301</v>
      </c>
      <c r="D116" s="84">
        <v>32057</v>
      </c>
      <c r="E116" s="84">
        <v>85017</v>
      </c>
      <c r="F116" s="84">
        <v>191630</v>
      </c>
      <c r="G116" s="84">
        <v>292495</v>
      </c>
      <c r="H116" s="84">
        <v>407617</v>
      </c>
      <c r="I116" s="84">
        <v>582138</v>
      </c>
      <c r="J116" s="84">
        <v>779062</v>
      </c>
      <c r="K116" s="84">
        <v>538631</v>
      </c>
      <c r="L116" s="84">
        <v>575106</v>
      </c>
      <c r="M116" s="84">
        <v>721523</v>
      </c>
      <c r="N116" s="84">
        <v>631001</v>
      </c>
      <c r="O116" s="84">
        <v>468097</v>
      </c>
      <c r="P116" s="84">
        <v>470977</v>
      </c>
      <c r="Q116" s="84">
        <v>481020</v>
      </c>
      <c r="R116" s="84">
        <v>600549</v>
      </c>
      <c r="S116" s="84">
        <v>500121</v>
      </c>
      <c r="T116" s="84">
        <v>537590</v>
      </c>
      <c r="U116" s="84">
        <v>621299</v>
      </c>
      <c r="V116" s="84">
        <v>544565</v>
      </c>
      <c r="W116" s="84">
        <v>622175</v>
      </c>
      <c r="X116" s="84">
        <v>587145</v>
      </c>
      <c r="Y116" s="84">
        <v>477010</v>
      </c>
      <c r="DA116" s="171" t="s">
        <v>531</v>
      </c>
    </row>
    <row r="117" spans="1:105" ht="11.45" customHeight="1" x14ac:dyDescent="0.25">
      <c r="A117" s="111" t="s">
        <v>112</v>
      </c>
      <c r="B117" s="84">
        <v>0</v>
      </c>
      <c r="C117" s="84">
        <v>419881</v>
      </c>
      <c r="D117" s="84">
        <v>519013</v>
      </c>
      <c r="E117" s="84">
        <v>523788</v>
      </c>
      <c r="F117" s="84">
        <v>280360</v>
      </c>
      <c r="G117" s="84">
        <v>309344</v>
      </c>
      <c r="H117" s="84">
        <v>233421</v>
      </c>
      <c r="I117" s="84">
        <v>232239</v>
      </c>
      <c r="J117" s="84">
        <v>212403</v>
      </c>
      <c r="K117" s="84">
        <v>187603</v>
      </c>
      <c r="L117" s="84">
        <v>186074</v>
      </c>
      <c r="M117" s="84">
        <v>7170</v>
      </c>
      <c r="N117" s="84">
        <v>148725</v>
      </c>
      <c r="O117" s="84">
        <v>120789</v>
      </c>
      <c r="P117" s="84">
        <v>90692</v>
      </c>
      <c r="Q117" s="84">
        <v>109068</v>
      </c>
      <c r="R117" s="84">
        <v>141883</v>
      </c>
      <c r="S117" s="84">
        <v>104376</v>
      </c>
      <c r="T117" s="84">
        <v>279315</v>
      </c>
      <c r="U117" s="84">
        <v>86336</v>
      </c>
      <c r="V117" s="84">
        <v>62875</v>
      </c>
      <c r="W117" s="84">
        <v>65535</v>
      </c>
      <c r="X117" s="84">
        <v>60603</v>
      </c>
      <c r="Y117" s="84">
        <v>230824</v>
      </c>
      <c r="DA117" s="171" t="s">
        <v>532</v>
      </c>
    </row>
    <row r="118" spans="1:105" ht="11.45" customHeight="1" x14ac:dyDescent="0.25">
      <c r="A118" s="111" t="s">
        <v>113</v>
      </c>
      <c r="B118" s="84">
        <v>0</v>
      </c>
      <c r="C118" s="84">
        <v>0</v>
      </c>
      <c r="D118" s="84">
        <v>0</v>
      </c>
      <c r="E118" s="84">
        <v>0</v>
      </c>
      <c r="F118" s="84">
        <v>0</v>
      </c>
      <c r="G118" s="84">
        <v>0</v>
      </c>
      <c r="H118" s="84">
        <v>0</v>
      </c>
      <c r="I118" s="84">
        <v>0</v>
      </c>
      <c r="J118" s="84">
        <v>0</v>
      </c>
      <c r="K118" s="84">
        <v>0</v>
      </c>
      <c r="L118" s="84">
        <v>0</v>
      </c>
      <c r="M118" s="84">
        <v>0</v>
      </c>
      <c r="N118" s="84">
        <v>0</v>
      </c>
      <c r="O118" s="84">
        <v>0</v>
      </c>
      <c r="P118" s="84">
        <v>0</v>
      </c>
      <c r="Q118" s="84">
        <v>5355</v>
      </c>
      <c r="R118" s="84">
        <v>2279</v>
      </c>
      <c r="S118" s="84">
        <v>313</v>
      </c>
      <c r="T118" s="84">
        <v>313</v>
      </c>
      <c r="U118" s="84">
        <v>280</v>
      </c>
      <c r="V118" s="84">
        <v>175</v>
      </c>
      <c r="W118" s="84">
        <v>214</v>
      </c>
      <c r="X118" s="84">
        <v>0</v>
      </c>
      <c r="Y118" s="84">
        <v>1</v>
      </c>
      <c r="DA118" s="171" t="s">
        <v>533</v>
      </c>
    </row>
    <row r="119" spans="1:105" ht="11.45" customHeight="1" x14ac:dyDescent="0.25">
      <c r="A119" s="111" t="s">
        <v>114</v>
      </c>
      <c r="B119" s="84">
        <v>0</v>
      </c>
      <c r="C119" s="84">
        <v>0</v>
      </c>
      <c r="D119" s="84">
        <v>0</v>
      </c>
      <c r="E119" s="84">
        <v>0</v>
      </c>
      <c r="F119" s="84">
        <v>0</v>
      </c>
      <c r="G119" s="84">
        <v>0</v>
      </c>
      <c r="H119" s="84">
        <v>0</v>
      </c>
      <c r="I119" s="84">
        <v>0</v>
      </c>
      <c r="J119" s="84">
        <v>0</v>
      </c>
      <c r="K119" s="84">
        <v>0</v>
      </c>
      <c r="L119" s="84">
        <v>0</v>
      </c>
      <c r="M119" s="84">
        <v>0</v>
      </c>
      <c r="N119" s="84">
        <v>12</v>
      </c>
      <c r="O119" s="84">
        <v>10</v>
      </c>
      <c r="P119" s="84">
        <v>673</v>
      </c>
      <c r="Q119" s="84">
        <v>259</v>
      </c>
      <c r="R119" s="84">
        <v>156</v>
      </c>
      <c r="S119" s="84">
        <v>660</v>
      </c>
      <c r="T119" s="84">
        <v>779</v>
      </c>
      <c r="U119" s="84">
        <v>1166</v>
      </c>
      <c r="V119" s="84">
        <v>4362</v>
      </c>
      <c r="W119" s="84">
        <v>9729</v>
      </c>
      <c r="X119" s="84">
        <v>10806</v>
      </c>
      <c r="Y119" s="84">
        <v>20769</v>
      </c>
      <c r="DA119" s="171" t="s">
        <v>534</v>
      </c>
    </row>
    <row r="120" spans="1:105" ht="11.45" customHeight="1" x14ac:dyDescent="0.25">
      <c r="A120" s="111" t="s">
        <v>115</v>
      </c>
      <c r="B120" s="84">
        <v>0</v>
      </c>
      <c r="C120" s="84">
        <v>0</v>
      </c>
      <c r="D120" s="84">
        <v>0</v>
      </c>
      <c r="E120" s="84">
        <v>0</v>
      </c>
      <c r="F120" s="84">
        <v>0</v>
      </c>
      <c r="G120" s="84">
        <v>0</v>
      </c>
      <c r="H120" s="84">
        <v>0</v>
      </c>
      <c r="I120" s="84">
        <v>0</v>
      </c>
      <c r="J120" s="84">
        <v>0</v>
      </c>
      <c r="K120" s="84">
        <v>0</v>
      </c>
      <c r="L120" s="84">
        <v>15</v>
      </c>
      <c r="M120" s="84">
        <v>89</v>
      </c>
      <c r="N120" s="84">
        <v>111</v>
      </c>
      <c r="O120" s="84">
        <v>27</v>
      </c>
      <c r="P120" s="84">
        <v>63</v>
      </c>
      <c r="Q120" s="84">
        <v>68</v>
      </c>
      <c r="R120" s="84">
        <v>636</v>
      </c>
      <c r="S120" s="84">
        <v>1367</v>
      </c>
      <c r="T120" s="84">
        <v>2593</v>
      </c>
      <c r="U120" s="84">
        <v>2205</v>
      </c>
      <c r="V120" s="84">
        <v>4619</v>
      </c>
      <c r="W120" s="84">
        <v>7167</v>
      </c>
      <c r="X120" s="84">
        <v>12070</v>
      </c>
      <c r="Y120" s="84">
        <v>25620</v>
      </c>
      <c r="DA120" s="171" t="s">
        <v>535</v>
      </c>
    </row>
    <row r="121" spans="1:105" ht="11.45" customHeight="1" x14ac:dyDescent="0.25">
      <c r="A121" s="109" t="s">
        <v>21</v>
      </c>
      <c r="B121" s="110">
        <f t="shared" ref="B121:K121" si="179">SUM(B122:B126)</f>
        <v>3612</v>
      </c>
      <c r="C121" s="110">
        <f t="shared" si="179"/>
        <v>3403</v>
      </c>
      <c r="D121" s="110">
        <f t="shared" si="179"/>
        <v>2810</v>
      </c>
      <c r="E121" s="110">
        <f t="shared" si="179"/>
        <v>2072</v>
      </c>
      <c r="F121" s="110">
        <f t="shared" si="179"/>
        <v>5194</v>
      </c>
      <c r="G121" s="110">
        <f t="shared" si="179"/>
        <v>4392</v>
      </c>
      <c r="H121" s="110">
        <f t="shared" si="179"/>
        <v>4417</v>
      </c>
      <c r="I121" s="110">
        <f t="shared" si="179"/>
        <v>4852</v>
      </c>
      <c r="J121" s="110">
        <f t="shared" si="179"/>
        <v>5233</v>
      </c>
      <c r="K121" s="110">
        <f t="shared" si="179"/>
        <v>3892</v>
      </c>
      <c r="L121" s="110">
        <f t="shared" ref="L121" si="180">SUM(L122:L126)</f>
        <v>3939</v>
      </c>
      <c r="M121" s="110">
        <f t="shared" ref="M121:V121" si="181">SUM(M122:M126)</f>
        <v>4604</v>
      </c>
      <c r="N121" s="110">
        <f t="shared" si="181"/>
        <v>4361</v>
      </c>
      <c r="O121" s="110">
        <f t="shared" si="181"/>
        <v>4937</v>
      </c>
      <c r="P121" s="110">
        <f t="shared" si="181"/>
        <v>5319</v>
      </c>
      <c r="Q121" s="110">
        <f t="shared" si="181"/>
        <v>11135</v>
      </c>
      <c r="R121" s="110">
        <f t="shared" si="181"/>
        <v>5562</v>
      </c>
      <c r="S121" s="110">
        <f t="shared" si="181"/>
        <v>5438</v>
      </c>
      <c r="T121" s="110">
        <f t="shared" si="181"/>
        <v>5785</v>
      </c>
      <c r="U121" s="110">
        <f t="shared" si="181"/>
        <v>5259</v>
      </c>
      <c r="V121" s="110">
        <f t="shared" si="181"/>
        <v>5443</v>
      </c>
      <c r="W121" s="110">
        <f t="shared" ref="W121:Y121" si="182">SUM(W122:W126)</f>
        <v>5416</v>
      </c>
      <c r="X121" s="110">
        <f t="shared" si="182"/>
        <v>5153</v>
      </c>
      <c r="Y121" s="110">
        <f t="shared" si="182"/>
        <v>5397</v>
      </c>
      <c r="DA121" s="176" t="s">
        <v>536</v>
      </c>
    </row>
    <row r="122" spans="1:105" ht="11.45" customHeight="1" x14ac:dyDescent="0.25">
      <c r="A122" s="111" t="s">
        <v>110</v>
      </c>
      <c r="B122" s="102">
        <v>0</v>
      </c>
      <c r="C122" s="102">
        <v>0</v>
      </c>
      <c r="D122" s="102">
        <v>0</v>
      </c>
      <c r="E122" s="102">
        <v>0</v>
      </c>
      <c r="F122" s="102">
        <v>0</v>
      </c>
      <c r="G122" s="102">
        <v>0</v>
      </c>
      <c r="H122" s="102">
        <v>0</v>
      </c>
      <c r="I122" s="102">
        <v>0</v>
      </c>
      <c r="J122" s="102">
        <v>0</v>
      </c>
      <c r="K122" s="102">
        <v>0</v>
      </c>
      <c r="L122" s="102">
        <v>0</v>
      </c>
      <c r="M122" s="102">
        <v>0</v>
      </c>
      <c r="N122" s="102">
        <v>0</v>
      </c>
      <c r="O122" s="102">
        <v>0</v>
      </c>
      <c r="P122" s="102">
        <v>0</v>
      </c>
      <c r="Q122" s="102">
        <v>0</v>
      </c>
      <c r="R122" s="102">
        <v>0</v>
      </c>
      <c r="S122" s="102">
        <v>0</v>
      </c>
      <c r="T122" s="102">
        <v>0</v>
      </c>
      <c r="U122" s="102">
        <v>0</v>
      </c>
      <c r="V122" s="102">
        <v>0</v>
      </c>
      <c r="W122" s="102">
        <v>0</v>
      </c>
      <c r="X122" s="102">
        <v>0</v>
      </c>
      <c r="Y122" s="102">
        <v>0</v>
      </c>
      <c r="DA122" s="175" t="s">
        <v>537</v>
      </c>
    </row>
    <row r="123" spans="1:105" ht="11.45" customHeight="1" x14ac:dyDescent="0.25">
      <c r="A123" s="111" t="s">
        <v>111</v>
      </c>
      <c r="B123" s="102">
        <v>3612</v>
      </c>
      <c r="C123" s="102">
        <v>3384</v>
      </c>
      <c r="D123" s="102">
        <v>2806</v>
      </c>
      <c r="E123" s="102">
        <v>2068</v>
      </c>
      <c r="F123" s="102">
        <v>4120</v>
      </c>
      <c r="G123" s="102">
        <v>3956</v>
      </c>
      <c r="H123" s="102">
        <v>4403</v>
      </c>
      <c r="I123" s="102">
        <v>4847</v>
      </c>
      <c r="J123" s="102">
        <v>5225</v>
      </c>
      <c r="K123" s="102">
        <v>3891</v>
      </c>
      <c r="L123" s="102">
        <v>3918</v>
      </c>
      <c r="M123" s="102">
        <v>4592</v>
      </c>
      <c r="N123" s="102">
        <v>4351</v>
      </c>
      <c r="O123" s="102">
        <v>4883</v>
      </c>
      <c r="P123" s="102">
        <v>5281</v>
      </c>
      <c r="Q123" s="102">
        <v>10522</v>
      </c>
      <c r="R123" s="102">
        <v>5466</v>
      </c>
      <c r="S123" s="102">
        <v>5243</v>
      </c>
      <c r="T123" s="102">
        <v>4999</v>
      </c>
      <c r="U123" s="102">
        <v>4855</v>
      </c>
      <c r="V123" s="102">
        <v>4836</v>
      </c>
      <c r="W123" s="102">
        <v>4825</v>
      </c>
      <c r="X123" s="102">
        <v>4825</v>
      </c>
      <c r="Y123" s="102">
        <v>4825</v>
      </c>
      <c r="DA123" s="175" t="s">
        <v>538</v>
      </c>
    </row>
    <row r="124" spans="1:105" ht="11.45" customHeight="1" x14ac:dyDescent="0.25">
      <c r="A124" s="111" t="s">
        <v>112</v>
      </c>
      <c r="B124" s="102">
        <v>0</v>
      </c>
      <c r="C124" s="102">
        <v>0</v>
      </c>
      <c r="D124" s="102">
        <v>0</v>
      </c>
      <c r="E124" s="102">
        <v>4</v>
      </c>
      <c r="F124" s="102">
        <v>1074</v>
      </c>
      <c r="G124" s="102">
        <v>5</v>
      </c>
      <c r="H124" s="102">
        <v>4</v>
      </c>
      <c r="I124" s="102">
        <v>1</v>
      </c>
      <c r="J124" s="102">
        <v>8</v>
      </c>
      <c r="K124" s="102">
        <v>0</v>
      </c>
      <c r="L124" s="102">
        <v>5</v>
      </c>
      <c r="M124" s="102">
        <v>5</v>
      </c>
      <c r="N124" s="102">
        <v>10</v>
      </c>
      <c r="O124" s="102">
        <v>8</v>
      </c>
      <c r="P124" s="102">
        <v>6</v>
      </c>
      <c r="Q124" s="102">
        <v>2</v>
      </c>
      <c r="R124" s="102">
        <v>3</v>
      </c>
      <c r="S124" s="102">
        <v>7</v>
      </c>
      <c r="T124" s="102">
        <v>95</v>
      </c>
      <c r="U124" s="102">
        <v>13</v>
      </c>
      <c r="V124" s="102">
        <v>12</v>
      </c>
      <c r="W124" s="102">
        <v>18</v>
      </c>
      <c r="X124" s="102">
        <v>16</v>
      </c>
      <c r="Y124" s="102">
        <v>0</v>
      </c>
      <c r="DA124" s="175" t="s">
        <v>539</v>
      </c>
    </row>
    <row r="125" spans="1:105" ht="11.45" customHeight="1" x14ac:dyDescent="0.25">
      <c r="A125" s="111" t="s">
        <v>113</v>
      </c>
      <c r="B125" s="102">
        <v>0</v>
      </c>
      <c r="C125" s="102">
        <v>0</v>
      </c>
      <c r="D125" s="102">
        <v>0</v>
      </c>
      <c r="E125" s="102">
        <v>0</v>
      </c>
      <c r="F125" s="102">
        <v>0</v>
      </c>
      <c r="G125" s="102">
        <v>0</v>
      </c>
      <c r="H125" s="102">
        <v>0</v>
      </c>
      <c r="I125" s="102">
        <v>0</v>
      </c>
      <c r="J125" s="102">
        <v>0</v>
      </c>
      <c r="K125" s="102">
        <v>0</v>
      </c>
      <c r="L125" s="102">
        <v>0</v>
      </c>
      <c r="M125" s="102">
        <v>0</v>
      </c>
      <c r="N125" s="102">
        <v>0</v>
      </c>
      <c r="O125" s="102">
        <v>0</v>
      </c>
      <c r="P125" s="102">
        <v>0</v>
      </c>
      <c r="Q125" s="102">
        <v>554</v>
      </c>
      <c r="R125" s="102">
        <v>64</v>
      </c>
      <c r="S125" s="102">
        <v>48</v>
      </c>
      <c r="T125" s="102">
        <v>648</v>
      </c>
      <c r="U125" s="102">
        <v>326</v>
      </c>
      <c r="V125" s="102">
        <v>384</v>
      </c>
      <c r="W125" s="102">
        <v>345</v>
      </c>
      <c r="X125" s="102">
        <v>133</v>
      </c>
      <c r="Y125" s="102">
        <v>198</v>
      </c>
      <c r="DA125" s="175" t="s">
        <v>540</v>
      </c>
    </row>
    <row r="126" spans="1:105" ht="11.45" customHeight="1" x14ac:dyDescent="0.25">
      <c r="A126" s="111" t="s">
        <v>115</v>
      </c>
      <c r="B126" s="102">
        <v>0</v>
      </c>
      <c r="C126" s="102">
        <v>19</v>
      </c>
      <c r="D126" s="102">
        <v>4</v>
      </c>
      <c r="E126" s="102">
        <v>0</v>
      </c>
      <c r="F126" s="102">
        <v>0</v>
      </c>
      <c r="G126" s="102">
        <v>431</v>
      </c>
      <c r="H126" s="102">
        <v>10</v>
      </c>
      <c r="I126" s="102">
        <v>4</v>
      </c>
      <c r="J126" s="102">
        <v>0</v>
      </c>
      <c r="K126" s="102">
        <v>1</v>
      </c>
      <c r="L126" s="102">
        <v>16</v>
      </c>
      <c r="M126" s="102">
        <v>7</v>
      </c>
      <c r="N126" s="102">
        <v>0</v>
      </c>
      <c r="O126" s="102">
        <v>46</v>
      </c>
      <c r="P126" s="102">
        <v>32</v>
      </c>
      <c r="Q126" s="102">
        <v>57</v>
      </c>
      <c r="R126" s="102">
        <v>29</v>
      </c>
      <c r="S126" s="102">
        <v>140</v>
      </c>
      <c r="T126" s="102">
        <v>43</v>
      </c>
      <c r="U126" s="102">
        <v>65</v>
      </c>
      <c r="V126" s="102">
        <v>211</v>
      </c>
      <c r="W126" s="102">
        <v>228</v>
      </c>
      <c r="X126" s="102">
        <v>179</v>
      </c>
      <c r="Y126" s="102">
        <v>374</v>
      </c>
      <c r="DA126" s="175" t="s">
        <v>541</v>
      </c>
    </row>
    <row r="127" spans="1:105" ht="11.45" customHeight="1" x14ac:dyDescent="0.25">
      <c r="A127" s="27" t="s">
        <v>34</v>
      </c>
      <c r="B127" s="28">
        <f t="shared" ref="B127:K127" si="183">B128+B134</f>
        <v>130004</v>
      </c>
      <c r="C127" s="28">
        <f t="shared" si="183"/>
        <v>132000</v>
      </c>
      <c r="D127" s="28">
        <f t="shared" si="183"/>
        <v>270996</v>
      </c>
      <c r="E127" s="28">
        <f t="shared" si="183"/>
        <v>194313</v>
      </c>
      <c r="F127" s="28">
        <f t="shared" si="183"/>
        <v>142750</v>
      </c>
      <c r="G127" s="28">
        <f t="shared" si="183"/>
        <v>190563</v>
      </c>
      <c r="H127" s="28">
        <f t="shared" si="183"/>
        <v>227156</v>
      </c>
      <c r="I127" s="28">
        <f t="shared" si="183"/>
        <v>298573</v>
      </c>
      <c r="J127" s="28">
        <f t="shared" si="183"/>
        <v>362753</v>
      </c>
      <c r="K127" s="28">
        <f t="shared" si="183"/>
        <v>278550</v>
      </c>
      <c r="L127" s="28">
        <f t="shared" ref="L127" si="184">L128+L134</f>
        <v>364937</v>
      </c>
      <c r="M127" s="28">
        <f t="shared" ref="M127:V127" si="185">M128+M134</f>
        <v>346245</v>
      </c>
      <c r="N127" s="28">
        <f t="shared" si="185"/>
        <v>260716</v>
      </c>
      <c r="O127" s="28">
        <f t="shared" si="185"/>
        <v>325249</v>
      </c>
      <c r="P127" s="28">
        <f t="shared" si="185"/>
        <v>241053</v>
      </c>
      <c r="Q127" s="28">
        <f t="shared" si="185"/>
        <v>273231</v>
      </c>
      <c r="R127" s="28">
        <f t="shared" si="185"/>
        <v>325416</v>
      </c>
      <c r="S127" s="28">
        <f t="shared" si="185"/>
        <v>321566</v>
      </c>
      <c r="T127" s="28">
        <f t="shared" si="185"/>
        <v>326420</v>
      </c>
      <c r="U127" s="28">
        <f t="shared" si="185"/>
        <v>378527</v>
      </c>
      <c r="V127" s="28">
        <f t="shared" si="185"/>
        <v>344332</v>
      </c>
      <c r="W127" s="28">
        <f t="shared" ref="W127:Y127" si="186">W128+W134</f>
        <v>380978</v>
      </c>
      <c r="X127" s="28">
        <f t="shared" si="186"/>
        <v>381300</v>
      </c>
      <c r="Y127" s="28">
        <f t="shared" si="186"/>
        <v>392706</v>
      </c>
      <c r="DA127" s="173" t="s">
        <v>542</v>
      </c>
    </row>
    <row r="128" spans="1:105" ht="11.45" customHeight="1" x14ac:dyDescent="0.25">
      <c r="A128" s="136" t="s">
        <v>153</v>
      </c>
      <c r="B128" s="137">
        <f t="shared" ref="B128:K128" si="187">SUM(B129:B133)</f>
        <v>128463</v>
      </c>
      <c r="C128" s="137">
        <f t="shared" si="187"/>
        <v>95437</v>
      </c>
      <c r="D128" s="137">
        <f t="shared" si="187"/>
        <v>174447</v>
      </c>
      <c r="E128" s="137">
        <f t="shared" si="187"/>
        <v>168638</v>
      </c>
      <c r="F128" s="137">
        <f t="shared" si="187"/>
        <v>116571</v>
      </c>
      <c r="G128" s="137">
        <f t="shared" si="187"/>
        <v>149504</v>
      </c>
      <c r="H128" s="137">
        <f t="shared" si="187"/>
        <v>176222</v>
      </c>
      <c r="I128" s="137">
        <f t="shared" si="187"/>
        <v>212194</v>
      </c>
      <c r="J128" s="137">
        <f t="shared" si="187"/>
        <v>266696</v>
      </c>
      <c r="K128" s="137">
        <f t="shared" si="187"/>
        <v>223775</v>
      </c>
      <c r="L128" s="137">
        <f t="shared" ref="L128" si="188">SUM(L129:L133)</f>
        <v>295967</v>
      </c>
      <c r="M128" s="137">
        <f t="shared" ref="M128:V128" si="189">SUM(M129:M133)</f>
        <v>264850</v>
      </c>
      <c r="N128" s="137">
        <f t="shared" si="189"/>
        <v>196713</v>
      </c>
      <c r="O128" s="137">
        <f t="shared" si="189"/>
        <v>249889</v>
      </c>
      <c r="P128" s="137">
        <f t="shared" si="189"/>
        <v>164007</v>
      </c>
      <c r="Q128" s="137">
        <f t="shared" si="189"/>
        <v>205087</v>
      </c>
      <c r="R128" s="137">
        <f t="shared" si="189"/>
        <v>235868</v>
      </c>
      <c r="S128" s="137">
        <f t="shared" si="189"/>
        <v>236418</v>
      </c>
      <c r="T128" s="137">
        <f t="shared" si="189"/>
        <v>242766</v>
      </c>
      <c r="U128" s="137">
        <f t="shared" si="189"/>
        <v>287809</v>
      </c>
      <c r="V128" s="137">
        <f t="shared" si="189"/>
        <v>275248</v>
      </c>
      <c r="W128" s="137">
        <f t="shared" ref="W128:Y128" si="190">SUM(W129:W133)</f>
        <v>291850</v>
      </c>
      <c r="X128" s="137">
        <f t="shared" si="190"/>
        <v>286899</v>
      </c>
      <c r="Y128" s="137">
        <f t="shared" si="190"/>
        <v>295840</v>
      </c>
      <c r="DA128" s="174" t="s">
        <v>543</v>
      </c>
    </row>
    <row r="129" spans="1:105" ht="11.45" customHeight="1" x14ac:dyDescent="0.25">
      <c r="A129" s="111" t="s">
        <v>110</v>
      </c>
      <c r="B129" s="84">
        <v>29680</v>
      </c>
      <c r="C129" s="84">
        <v>32050</v>
      </c>
      <c r="D129" s="84">
        <v>45659</v>
      </c>
      <c r="E129" s="84">
        <v>74921</v>
      </c>
      <c r="F129" s="84">
        <v>37868</v>
      </c>
      <c r="G129" s="84">
        <v>11343</v>
      </c>
      <c r="H129" s="84">
        <v>38074</v>
      </c>
      <c r="I129" s="84">
        <v>54502</v>
      </c>
      <c r="J129" s="84">
        <v>78921</v>
      </c>
      <c r="K129" s="84">
        <v>62789</v>
      </c>
      <c r="L129" s="84">
        <v>95769</v>
      </c>
      <c r="M129" s="84">
        <v>56578</v>
      </c>
      <c r="N129" s="84">
        <v>56752</v>
      </c>
      <c r="O129" s="84">
        <v>64565</v>
      </c>
      <c r="P129" s="84">
        <v>36506</v>
      </c>
      <c r="Q129" s="84">
        <v>41422</v>
      </c>
      <c r="R129" s="84">
        <v>43248</v>
      </c>
      <c r="S129" s="84">
        <v>62951</v>
      </c>
      <c r="T129" s="84">
        <v>63772</v>
      </c>
      <c r="U129" s="84">
        <v>32349</v>
      </c>
      <c r="V129" s="84">
        <v>43019</v>
      </c>
      <c r="W129" s="84">
        <v>47386</v>
      </c>
      <c r="X129" s="84">
        <v>54063</v>
      </c>
      <c r="Y129" s="84">
        <v>52925</v>
      </c>
      <c r="DA129" s="171" t="s">
        <v>544</v>
      </c>
    </row>
    <row r="130" spans="1:105" ht="11.45" customHeight="1" x14ac:dyDescent="0.25">
      <c r="A130" s="111" t="s">
        <v>111</v>
      </c>
      <c r="B130" s="84">
        <v>98783</v>
      </c>
      <c r="C130" s="84">
        <v>54998</v>
      </c>
      <c r="D130" s="84">
        <v>101633</v>
      </c>
      <c r="E130" s="84">
        <v>78522</v>
      </c>
      <c r="F130" s="84">
        <v>74387</v>
      </c>
      <c r="G130" s="84">
        <v>127643</v>
      </c>
      <c r="H130" s="84">
        <v>119261</v>
      </c>
      <c r="I130" s="84">
        <v>146070</v>
      </c>
      <c r="J130" s="84">
        <v>180273</v>
      </c>
      <c r="K130" s="84">
        <v>157645</v>
      </c>
      <c r="L130" s="84">
        <v>195380</v>
      </c>
      <c r="M130" s="84">
        <v>202999</v>
      </c>
      <c r="N130" s="84">
        <v>137551</v>
      </c>
      <c r="O130" s="84">
        <v>182901</v>
      </c>
      <c r="P130" s="84">
        <v>110395</v>
      </c>
      <c r="Q130" s="84">
        <v>159429</v>
      </c>
      <c r="R130" s="84">
        <v>187252</v>
      </c>
      <c r="S130" s="84">
        <v>169910</v>
      </c>
      <c r="T130" s="84">
        <v>172316</v>
      </c>
      <c r="U130" s="84">
        <v>254236</v>
      </c>
      <c r="V130" s="84">
        <v>231973</v>
      </c>
      <c r="W130" s="84">
        <v>242112</v>
      </c>
      <c r="X130" s="84">
        <v>231806</v>
      </c>
      <c r="Y130" s="84">
        <v>238847</v>
      </c>
      <c r="DA130" s="171" t="s">
        <v>545</v>
      </c>
    </row>
    <row r="131" spans="1:105" ht="11.45" customHeight="1" x14ac:dyDescent="0.25">
      <c r="A131" s="111" t="s">
        <v>112</v>
      </c>
      <c r="B131" s="84">
        <v>0</v>
      </c>
      <c r="C131" s="84">
        <v>8389</v>
      </c>
      <c r="D131" s="84">
        <v>27155</v>
      </c>
      <c r="E131" s="84">
        <v>15195</v>
      </c>
      <c r="F131" s="84">
        <v>4316</v>
      </c>
      <c r="G131" s="84">
        <v>10518</v>
      </c>
      <c r="H131" s="84">
        <v>18887</v>
      </c>
      <c r="I131" s="84">
        <v>11622</v>
      </c>
      <c r="J131" s="84">
        <v>7502</v>
      </c>
      <c r="K131" s="84">
        <v>3341</v>
      </c>
      <c r="L131" s="84">
        <v>4818</v>
      </c>
      <c r="M131" s="84">
        <v>5273</v>
      </c>
      <c r="N131" s="84">
        <v>2403</v>
      </c>
      <c r="O131" s="84">
        <v>2417</v>
      </c>
      <c r="P131" s="84">
        <v>17102</v>
      </c>
      <c r="Q131" s="84">
        <v>2166</v>
      </c>
      <c r="R131" s="84">
        <v>5008</v>
      </c>
      <c r="S131" s="84">
        <v>3426</v>
      </c>
      <c r="T131" s="84">
        <v>6552</v>
      </c>
      <c r="U131" s="84">
        <v>1056</v>
      </c>
      <c r="V131" s="84">
        <v>9</v>
      </c>
      <c r="W131" s="84">
        <v>1901</v>
      </c>
      <c r="X131" s="84">
        <v>105</v>
      </c>
      <c r="Y131" s="84">
        <v>1599</v>
      </c>
      <c r="DA131" s="171" t="s">
        <v>546</v>
      </c>
    </row>
    <row r="132" spans="1:105" ht="11.45" customHeight="1" x14ac:dyDescent="0.25">
      <c r="A132" s="111" t="s">
        <v>113</v>
      </c>
      <c r="B132" s="84">
        <v>0</v>
      </c>
      <c r="C132" s="84">
        <v>0</v>
      </c>
      <c r="D132" s="84">
        <v>0</v>
      </c>
      <c r="E132" s="84">
        <v>0</v>
      </c>
      <c r="F132" s="84">
        <v>0</v>
      </c>
      <c r="G132" s="84">
        <v>0</v>
      </c>
      <c r="H132" s="84">
        <v>0</v>
      </c>
      <c r="I132" s="84">
        <v>0</v>
      </c>
      <c r="J132" s="84">
        <v>0</v>
      </c>
      <c r="K132" s="84">
        <v>0</v>
      </c>
      <c r="L132" s="84">
        <v>0</v>
      </c>
      <c r="M132" s="84">
        <v>0</v>
      </c>
      <c r="N132" s="84">
        <v>0</v>
      </c>
      <c r="O132" s="84">
        <v>0</v>
      </c>
      <c r="P132" s="84">
        <v>0</v>
      </c>
      <c r="Q132" s="84">
        <v>2063</v>
      </c>
      <c r="R132" s="84">
        <v>354</v>
      </c>
      <c r="S132" s="84">
        <v>117</v>
      </c>
      <c r="T132" s="84">
        <v>84</v>
      </c>
      <c r="U132" s="84">
        <v>54</v>
      </c>
      <c r="V132" s="84">
        <v>45</v>
      </c>
      <c r="W132" s="84">
        <v>27</v>
      </c>
      <c r="X132" s="84">
        <v>52</v>
      </c>
      <c r="Y132" s="84">
        <v>60</v>
      </c>
      <c r="DA132" s="171" t="s">
        <v>547</v>
      </c>
    </row>
    <row r="133" spans="1:105" ht="11.45" customHeight="1" x14ac:dyDescent="0.25">
      <c r="A133" s="111" t="s">
        <v>115</v>
      </c>
      <c r="B133" s="84">
        <v>0</v>
      </c>
      <c r="C133" s="84">
        <v>0</v>
      </c>
      <c r="D133" s="84">
        <v>0</v>
      </c>
      <c r="E133" s="84">
        <v>0</v>
      </c>
      <c r="F133" s="84">
        <v>0</v>
      </c>
      <c r="G133" s="84">
        <v>0</v>
      </c>
      <c r="H133" s="84">
        <v>0</v>
      </c>
      <c r="I133" s="84">
        <v>0</v>
      </c>
      <c r="J133" s="84">
        <v>0</v>
      </c>
      <c r="K133" s="84">
        <v>0</v>
      </c>
      <c r="L133" s="84">
        <v>0</v>
      </c>
      <c r="M133" s="84">
        <v>0</v>
      </c>
      <c r="N133" s="84">
        <v>7</v>
      </c>
      <c r="O133" s="84">
        <v>6</v>
      </c>
      <c r="P133" s="84">
        <v>4</v>
      </c>
      <c r="Q133" s="84">
        <v>7</v>
      </c>
      <c r="R133" s="84">
        <v>6</v>
      </c>
      <c r="S133" s="84">
        <v>14</v>
      </c>
      <c r="T133" s="84">
        <v>42</v>
      </c>
      <c r="U133" s="84">
        <v>114</v>
      </c>
      <c r="V133" s="84">
        <v>202</v>
      </c>
      <c r="W133" s="84">
        <v>424</v>
      </c>
      <c r="X133" s="84">
        <v>873</v>
      </c>
      <c r="Y133" s="84">
        <v>2409</v>
      </c>
      <c r="DA133" s="171" t="s">
        <v>548</v>
      </c>
    </row>
    <row r="134" spans="1:105" ht="11.45" customHeight="1" x14ac:dyDescent="0.25">
      <c r="A134" s="109" t="s">
        <v>154</v>
      </c>
      <c r="B134" s="110">
        <f t="shared" ref="B134:K134" si="191">SUM(B135:B136)</f>
        <v>1541</v>
      </c>
      <c r="C134" s="110">
        <f t="shared" si="191"/>
        <v>36563</v>
      </c>
      <c r="D134" s="110">
        <f t="shared" si="191"/>
        <v>96549</v>
      </c>
      <c r="E134" s="110">
        <f t="shared" si="191"/>
        <v>25675</v>
      </c>
      <c r="F134" s="110">
        <f t="shared" si="191"/>
        <v>26179</v>
      </c>
      <c r="G134" s="110">
        <f t="shared" si="191"/>
        <v>41059</v>
      </c>
      <c r="H134" s="110">
        <f t="shared" si="191"/>
        <v>50934</v>
      </c>
      <c r="I134" s="110">
        <f t="shared" si="191"/>
        <v>86379</v>
      </c>
      <c r="J134" s="110">
        <f t="shared" si="191"/>
        <v>96057</v>
      </c>
      <c r="K134" s="110">
        <f t="shared" si="191"/>
        <v>54775</v>
      </c>
      <c r="L134" s="110">
        <f t="shared" ref="L134" si="192">SUM(L135:L136)</f>
        <v>68970</v>
      </c>
      <c r="M134" s="110">
        <f t="shared" ref="M134:V134" si="193">SUM(M135:M136)</f>
        <v>81395</v>
      </c>
      <c r="N134" s="110">
        <f t="shared" si="193"/>
        <v>64003</v>
      </c>
      <c r="O134" s="110">
        <f t="shared" si="193"/>
        <v>75360</v>
      </c>
      <c r="P134" s="110">
        <f t="shared" si="193"/>
        <v>77046</v>
      </c>
      <c r="Q134" s="110">
        <f t="shared" si="193"/>
        <v>68144</v>
      </c>
      <c r="R134" s="110">
        <f t="shared" si="193"/>
        <v>89548</v>
      </c>
      <c r="S134" s="110">
        <f t="shared" si="193"/>
        <v>85148</v>
      </c>
      <c r="T134" s="110">
        <f t="shared" si="193"/>
        <v>83654</v>
      </c>
      <c r="U134" s="110">
        <f t="shared" si="193"/>
        <v>90718</v>
      </c>
      <c r="V134" s="110">
        <f t="shared" si="193"/>
        <v>69084</v>
      </c>
      <c r="W134" s="110">
        <f t="shared" ref="W134:Y134" si="194">SUM(W135:W136)</f>
        <v>89128</v>
      </c>
      <c r="X134" s="110">
        <f t="shared" si="194"/>
        <v>94401</v>
      </c>
      <c r="Y134" s="110">
        <f t="shared" si="194"/>
        <v>96866</v>
      </c>
      <c r="DA134" s="176" t="s">
        <v>549</v>
      </c>
    </row>
    <row r="135" spans="1:105" ht="11.45" customHeight="1" x14ac:dyDescent="0.25">
      <c r="A135" s="128" t="s">
        <v>27</v>
      </c>
      <c r="B135" s="102">
        <v>0</v>
      </c>
      <c r="C135" s="102">
        <v>34779</v>
      </c>
      <c r="D135" s="102">
        <v>94870</v>
      </c>
      <c r="E135" s="102">
        <v>24325</v>
      </c>
      <c r="F135" s="102">
        <v>21835</v>
      </c>
      <c r="G135" s="102">
        <v>39052</v>
      </c>
      <c r="H135" s="102">
        <v>44883</v>
      </c>
      <c r="I135" s="102">
        <v>86379</v>
      </c>
      <c r="J135" s="102">
        <v>93844</v>
      </c>
      <c r="K135" s="102">
        <v>53940</v>
      </c>
      <c r="L135" s="102">
        <v>62950</v>
      </c>
      <c r="M135" s="102">
        <v>77738</v>
      </c>
      <c r="N135" s="102">
        <v>59317</v>
      </c>
      <c r="O135" s="102">
        <v>71291</v>
      </c>
      <c r="P135" s="102">
        <v>74354</v>
      </c>
      <c r="Q135" s="102">
        <v>64815</v>
      </c>
      <c r="R135" s="102">
        <v>82814</v>
      </c>
      <c r="S135" s="102">
        <v>77399</v>
      </c>
      <c r="T135" s="102">
        <v>83654</v>
      </c>
      <c r="U135" s="102">
        <v>82500</v>
      </c>
      <c r="V135" s="102">
        <v>67671</v>
      </c>
      <c r="W135" s="102">
        <v>83622</v>
      </c>
      <c r="X135" s="102">
        <v>89745</v>
      </c>
      <c r="Y135" s="102">
        <v>92696</v>
      </c>
      <c r="DA135" s="175" t="s">
        <v>550</v>
      </c>
    </row>
    <row r="136" spans="1:105" ht="11.45" customHeight="1" x14ac:dyDescent="0.25">
      <c r="A136" s="138" t="s">
        <v>116</v>
      </c>
      <c r="B136" s="86">
        <v>1541</v>
      </c>
      <c r="C136" s="86">
        <v>1784</v>
      </c>
      <c r="D136" s="86">
        <v>1679</v>
      </c>
      <c r="E136" s="86">
        <v>1350</v>
      </c>
      <c r="F136" s="86">
        <v>4344</v>
      </c>
      <c r="G136" s="86">
        <v>2007</v>
      </c>
      <c r="H136" s="86">
        <v>6051</v>
      </c>
      <c r="I136" s="86">
        <v>0</v>
      </c>
      <c r="J136" s="86">
        <v>2213</v>
      </c>
      <c r="K136" s="86">
        <v>835</v>
      </c>
      <c r="L136" s="86">
        <v>6020</v>
      </c>
      <c r="M136" s="86">
        <v>3657</v>
      </c>
      <c r="N136" s="86">
        <v>4686</v>
      </c>
      <c r="O136" s="86">
        <v>4069</v>
      </c>
      <c r="P136" s="86">
        <v>2692</v>
      </c>
      <c r="Q136" s="86">
        <v>3329</v>
      </c>
      <c r="R136" s="86">
        <v>6734</v>
      </c>
      <c r="S136" s="86">
        <v>7749</v>
      </c>
      <c r="T136" s="86">
        <v>0</v>
      </c>
      <c r="U136" s="86">
        <v>8218</v>
      </c>
      <c r="V136" s="86">
        <v>1413</v>
      </c>
      <c r="W136" s="86">
        <v>5506</v>
      </c>
      <c r="X136" s="86">
        <v>4656</v>
      </c>
      <c r="Y136" s="86">
        <v>4170</v>
      </c>
      <c r="DA136" s="178" t="s">
        <v>551</v>
      </c>
    </row>
    <row r="137" spans="1:105" ht="11.45" customHeight="1" x14ac:dyDescent="0.25">
      <c r="A137" s="106"/>
      <c r="B137" s="106"/>
      <c r="C137" s="106"/>
      <c r="D137" s="106"/>
      <c r="E137" s="106"/>
      <c r="F137" s="106"/>
      <c r="G137" s="106"/>
      <c r="H137" s="106"/>
      <c r="I137" s="106"/>
      <c r="J137" s="106"/>
      <c r="K137" s="106"/>
      <c r="L137" s="106"/>
      <c r="M137" s="106"/>
      <c r="N137" s="106"/>
      <c r="O137" s="106"/>
      <c r="P137" s="106"/>
      <c r="Q137" s="106"/>
      <c r="R137" s="106"/>
      <c r="S137" s="106"/>
      <c r="T137" s="106"/>
      <c r="U137" s="106"/>
      <c r="V137" s="106"/>
      <c r="W137" s="106"/>
      <c r="X137" s="106"/>
      <c r="Y137" s="106"/>
      <c r="DA137" s="171"/>
    </row>
    <row r="138" spans="1:105" ht="11.45" customHeight="1" x14ac:dyDescent="0.25">
      <c r="A138" s="143" t="s">
        <v>36</v>
      </c>
      <c r="B138" s="144"/>
      <c r="C138" s="144"/>
      <c r="D138" s="144"/>
      <c r="E138" s="144"/>
      <c r="F138" s="144"/>
      <c r="G138" s="144"/>
      <c r="H138" s="144"/>
      <c r="I138" s="144"/>
      <c r="J138" s="144"/>
      <c r="K138" s="144"/>
      <c r="L138" s="144"/>
      <c r="M138" s="144"/>
      <c r="N138" s="144"/>
      <c r="O138" s="144"/>
      <c r="P138" s="144"/>
      <c r="Q138" s="144"/>
      <c r="R138" s="144"/>
      <c r="S138" s="144"/>
      <c r="T138" s="144"/>
      <c r="U138" s="144"/>
      <c r="V138" s="144"/>
      <c r="W138" s="144"/>
      <c r="X138" s="144"/>
      <c r="Y138" s="144"/>
      <c r="DA138" s="179"/>
    </row>
    <row r="139" spans="1:105" ht="11.45" customHeight="1" x14ac:dyDescent="0.25">
      <c r="A139" s="106"/>
      <c r="B139" s="106"/>
      <c r="C139" s="106"/>
      <c r="D139" s="106"/>
      <c r="E139" s="106"/>
      <c r="F139" s="106"/>
      <c r="G139" s="106"/>
      <c r="H139" s="106"/>
      <c r="I139" s="106"/>
      <c r="J139" s="106"/>
      <c r="K139" s="106"/>
      <c r="L139" s="106"/>
      <c r="M139" s="106"/>
      <c r="N139" s="106"/>
      <c r="O139" s="106"/>
      <c r="P139" s="106"/>
      <c r="Q139" s="106"/>
      <c r="R139" s="106"/>
      <c r="S139" s="106"/>
      <c r="T139" s="106"/>
      <c r="U139" s="106"/>
      <c r="V139" s="106"/>
      <c r="W139" s="106"/>
      <c r="X139" s="106"/>
      <c r="Y139" s="106"/>
      <c r="DA139" s="171"/>
    </row>
    <row r="140" spans="1:105" ht="11.45" customHeight="1" x14ac:dyDescent="0.25">
      <c r="A140" s="53" t="s">
        <v>99</v>
      </c>
      <c r="B140" s="79"/>
      <c r="C140" s="79"/>
      <c r="D140" s="79"/>
      <c r="E140" s="79"/>
      <c r="F140" s="79"/>
      <c r="G140" s="79"/>
      <c r="H140" s="79"/>
      <c r="I140" s="79"/>
      <c r="J140" s="79"/>
      <c r="K140" s="79"/>
      <c r="L140" s="79"/>
      <c r="M140" s="79"/>
      <c r="N140" s="79"/>
      <c r="O140" s="79"/>
      <c r="P140" s="79"/>
      <c r="Q140" s="79"/>
      <c r="R140" s="79"/>
      <c r="S140" s="79"/>
      <c r="T140" s="79"/>
      <c r="U140" s="79"/>
      <c r="V140" s="79"/>
      <c r="W140" s="79"/>
      <c r="X140" s="79"/>
      <c r="Y140" s="79"/>
      <c r="DA140" s="172"/>
    </row>
    <row r="141" spans="1:105" ht="11.45" customHeight="1" x14ac:dyDescent="0.25">
      <c r="A141" s="27" t="s">
        <v>100</v>
      </c>
      <c r="B141" s="32">
        <f t="shared" ref="B141:K141" si="195">IF(B4=0,0,B4/B31)</f>
        <v>2.6168817920221952</v>
      </c>
      <c r="C141" s="32">
        <f t="shared" si="195"/>
        <v>2.6089813836885218</v>
      </c>
      <c r="D141" s="32">
        <f t="shared" si="195"/>
        <v>2.5821076739359352</v>
      </c>
      <c r="E141" s="32">
        <f t="shared" si="195"/>
        <v>2.5288304317311283</v>
      </c>
      <c r="F141" s="32">
        <f t="shared" si="195"/>
        <v>2.3375564461493727</v>
      </c>
      <c r="G141" s="32">
        <f t="shared" si="195"/>
        <v>2.3948676861023768</v>
      </c>
      <c r="H141" s="32">
        <f t="shared" si="195"/>
        <v>2.1894738471095407</v>
      </c>
      <c r="I141" s="32">
        <f t="shared" si="195"/>
        <v>2.0230518790159717</v>
      </c>
      <c r="J141" s="32">
        <f t="shared" si="195"/>
        <v>1.930507944972077</v>
      </c>
      <c r="K141" s="32">
        <f t="shared" si="195"/>
        <v>1.8662845615939656</v>
      </c>
      <c r="L141" s="32">
        <f t="shared" ref="L141" si="196">IF(L4=0,0,L4/L31)</f>
        <v>1.7814474591454812</v>
      </c>
      <c r="M141" s="32">
        <f t="shared" ref="M141:V141" si="197">IF(M4=0,0,M4/M31)</f>
        <v>1.7313924302007628</v>
      </c>
      <c r="N141" s="32">
        <f t="shared" si="197"/>
        <v>1.7351296377789178</v>
      </c>
      <c r="O141" s="32">
        <f t="shared" si="197"/>
        <v>1.8224687919389928</v>
      </c>
      <c r="P141" s="32">
        <f t="shared" si="197"/>
        <v>1.8467187872766462</v>
      </c>
      <c r="Q141" s="32">
        <f t="shared" si="197"/>
        <v>1.7367915754994823</v>
      </c>
      <c r="R141" s="32">
        <f t="shared" si="197"/>
        <v>1.737622478763466</v>
      </c>
      <c r="S141" s="32">
        <f t="shared" si="197"/>
        <v>1.6151165741652913</v>
      </c>
      <c r="T141" s="32">
        <f t="shared" si="197"/>
        <v>1.5128767797248273</v>
      </c>
      <c r="U141" s="32">
        <f t="shared" si="197"/>
        <v>1.4933033499496011</v>
      </c>
      <c r="V141" s="32">
        <f t="shared" si="197"/>
        <v>1.3399724286110275</v>
      </c>
      <c r="W141" s="32">
        <f t="shared" ref="W141:Y141" si="198">IF(W4=0,0,W4/W31)</f>
        <v>1.4003036395925175</v>
      </c>
      <c r="X141" s="32">
        <f t="shared" si="198"/>
        <v>1.4022059442176682</v>
      </c>
      <c r="Y141" s="32">
        <f t="shared" si="198"/>
        <v>1.4379047437178407</v>
      </c>
      <c r="DA141" s="173" t="s">
        <v>552</v>
      </c>
    </row>
    <row r="142" spans="1:105" ht="11.45" customHeight="1" x14ac:dyDescent="0.25">
      <c r="A142" s="136" t="s">
        <v>173</v>
      </c>
      <c r="B142" s="141">
        <v>1.1549472685768509</v>
      </c>
      <c r="C142" s="141">
        <v>1.1549251164250129</v>
      </c>
      <c r="D142" s="141">
        <v>1.1547244330057382</v>
      </c>
      <c r="E142" s="141">
        <v>1.1552093820866827</v>
      </c>
      <c r="F142" s="141">
        <v>1.1553640856511078</v>
      </c>
      <c r="G142" s="141">
        <v>1.1543178727366699</v>
      </c>
      <c r="H142" s="141">
        <v>1.1546398637822313</v>
      </c>
      <c r="I142" s="141">
        <v>1.1564931393319675</v>
      </c>
      <c r="J142" s="141">
        <v>1.1571017737935947</v>
      </c>
      <c r="K142" s="141">
        <v>1.1576570562583652</v>
      </c>
      <c r="L142" s="141">
        <v>1.1556682113354204</v>
      </c>
      <c r="M142" s="141">
        <v>1.1546558434345868</v>
      </c>
      <c r="N142" s="141">
        <v>1.1475295413899493</v>
      </c>
      <c r="O142" s="141">
        <v>1.1469392088128179</v>
      </c>
      <c r="P142" s="141">
        <v>1.149429532231234</v>
      </c>
      <c r="Q142" s="141">
        <v>1.1514161199072457</v>
      </c>
      <c r="R142" s="141">
        <v>1.1521500706093155</v>
      </c>
      <c r="S142" s="141">
        <v>1.1515530207566311</v>
      </c>
      <c r="T142" s="141">
        <v>1.1510548948807697</v>
      </c>
      <c r="U142" s="141">
        <v>1.1518182553348253</v>
      </c>
      <c r="V142" s="141">
        <v>1.150590543773399</v>
      </c>
      <c r="W142" s="141">
        <v>1.1510659767826805</v>
      </c>
      <c r="X142" s="141">
        <v>1.1510758627450635</v>
      </c>
      <c r="Y142" s="141">
        <v>1.1524650390762374</v>
      </c>
      <c r="DA142" s="174" t="s">
        <v>553</v>
      </c>
    </row>
    <row r="143" spans="1:105" ht="11.45" customHeight="1" x14ac:dyDescent="0.25">
      <c r="A143" s="109" t="s">
        <v>20</v>
      </c>
      <c r="B143" s="130">
        <f t="shared" ref="B143:K143" si="199">IF(B6=0,0,B6/B33)</f>
        <v>1.8719060877313731</v>
      </c>
      <c r="C143" s="130">
        <f t="shared" si="199"/>
        <v>1.9097671634243116</v>
      </c>
      <c r="D143" s="130">
        <f t="shared" si="199"/>
        <v>1.9361208043333387</v>
      </c>
      <c r="E143" s="130">
        <f t="shared" si="199"/>
        <v>1.9137978287747039</v>
      </c>
      <c r="F143" s="130">
        <f t="shared" si="199"/>
        <v>1.7858064248404795</v>
      </c>
      <c r="G143" s="130">
        <f t="shared" si="199"/>
        <v>1.8670181606598766</v>
      </c>
      <c r="H143" s="130">
        <f t="shared" si="199"/>
        <v>1.7154507644374213</v>
      </c>
      <c r="I143" s="130">
        <f t="shared" si="199"/>
        <v>1.6019946421580189</v>
      </c>
      <c r="J143" s="130">
        <f t="shared" si="199"/>
        <v>1.5452586821899175</v>
      </c>
      <c r="K143" s="130">
        <f t="shared" si="199"/>
        <v>1.5360944963196472</v>
      </c>
      <c r="L143" s="130">
        <f t="shared" ref="L143" si="200">IF(L6=0,0,L6/L33)</f>
        <v>1.4875157058926871</v>
      </c>
      <c r="M143" s="130">
        <f t="shared" ref="M143:V143" si="201">IF(M6=0,0,M6/M33)</f>
        <v>1.4552635031668282</v>
      </c>
      <c r="N143" s="130">
        <f t="shared" si="201"/>
        <v>1.4629477961545467</v>
      </c>
      <c r="O143" s="130">
        <f t="shared" si="201"/>
        <v>1.5547990011338559</v>
      </c>
      <c r="P143" s="130">
        <f t="shared" si="201"/>
        <v>1.5716619271491299</v>
      </c>
      <c r="Q143" s="130">
        <f t="shared" si="201"/>
        <v>1.4922837555639457</v>
      </c>
      <c r="R143" s="130">
        <f t="shared" si="201"/>
        <v>1.5107953120668414</v>
      </c>
      <c r="S143" s="130">
        <f t="shared" si="201"/>
        <v>1.4113086800387511</v>
      </c>
      <c r="T143" s="130">
        <f t="shared" si="201"/>
        <v>1.3311568049452827</v>
      </c>
      <c r="U143" s="130">
        <f t="shared" si="201"/>
        <v>1.3091790831693064</v>
      </c>
      <c r="V143" s="130">
        <f t="shared" si="201"/>
        <v>1.2482377291518589</v>
      </c>
      <c r="W143" s="130">
        <f t="shared" ref="W143:Y143" si="202">IF(W6=0,0,W6/W33)</f>
        <v>1.2994649299388501</v>
      </c>
      <c r="X143" s="130">
        <f t="shared" si="202"/>
        <v>1.2790376302449971</v>
      </c>
      <c r="Y143" s="130">
        <f t="shared" si="202"/>
        <v>1.3055441608027907</v>
      </c>
      <c r="DA143" s="176" t="s">
        <v>554</v>
      </c>
    </row>
    <row r="144" spans="1:105" ht="11.45" customHeight="1" x14ac:dyDescent="0.25">
      <c r="A144" s="111" t="s">
        <v>110</v>
      </c>
      <c r="B144" s="96">
        <v>1.865481470836496</v>
      </c>
      <c r="C144" s="96">
        <v>1.9038238442072124</v>
      </c>
      <c r="D144" s="96">
        <v>1.9332704454228071</v>
      </c>
      <c r="E144" s="96">
        <v>1.9115908809545201</v>
      </c>
      <c r="F144" s="96">
        <v>1.7825672454986645</v>
      </c>
      <c r="G144" s="96">
        <v>1.8691131232156117</v>
      </c>
      <c r="H144" s="96">
        <v>1.7136676346399387</v>
      </c>
      <c r="I144" s="96">
        <v>1.5949819632450388</v>
      </c>
      <c r="J144" s="96">
        <v>1.5331278227229954</v>
      </c>
      <c r="K144" s="96">
        <v>1.5211732646479272</v>
      </c>
      <c r="L144" s="96">
        <v>1.4711954044258175</v>
      </c>
      <c r="M144" s="96">
        <v>1.4353066477580101</v>
      </c>
      <c r="N144" s="96">
        <v>1.4401021518346748</v>
      </c>
      <c r="O144" s="96">
        <v>1.5307469865557692</v>
      </c>
      <c r="P144" s="96">
        <v>1.5462785535037256</v>
      </c>
      <c r="Q144" s="96">
        <v>1.4679378323525221</v>
      </c>
      <c r="R144" s="96">
        <v>1.4859626730138322</v>
      </c>
      <c r="S144" s="96">
        <v>1.3879092170174314</v>
      </c>
      <c r="T144" s="96">
        <v>1.3088157872796464</v>
      </c>
      <c r="U144" s="96">
        <v>1.2872119270139311</v>
      </c>
      <c r="V144" s="96">
        <v>1.2264080773128454</v>
      </c>
      <c r="W144" s="96">
        <v>1.2791153460599403</v>
      </c>
      <c r="X144" s="96">
        <v>1.2598525094488733</v>
      </c>
      <c r="Y144" s="96">
        <v>1.2877015549199231</v>
      </c>
      <c r="DA144" s="171" t="s">
        <v>555</v>
      </c>
    </row>
    <row r="145" spans="1:105" ht="11.45" customHeight="1" x14ac:dyDescent="0.25">
      <c r="A145" s="111" t="s">
        <v>111</v>
      </c>
      <c r="B145" s="96">
        <v>1.9404151040106059</v>
      </c>
      <c r="C145" s="96">
        <v>1.9802976338428591</v>
      </c>
      <c r="D145" s="96">
        <v>2.0109270615020347</v>
      </c>
      <c r="E145" s="96">
        <v>1.9883766609752613</v>
      </c>
      <c r="F145" s="96">
        <v>1.8541703368027493</v>
      </c>
      <c r="G145" s="96">
        <v>1.9441926344975717</v>
      </c>
      <c r="H145" s="96">
        <v>1.7825031304215588</v>
      </c>
      <c r="I145" s="96">
        <v>1.659050031045002</v>
      </c>
      <c r="J145" s="96">
        <v>1.5947113011294747</v>
      </c>
      <c r="K145" s="96">
        <v>1.5822765461274695</v>
      </c>
      <c r="L145" s="96">
        <v>1.5302911491362954</v>
      </c>
      <c r="M145" s="96">
        <v>1.492960794163031</v>
      </c>
      <c r="N145" s="96">
        <v>1.4979489265498571</v>
      </c>
      <c r="O145" s="96">
        <v>1.5922348302927058</v>
      </c>
      <c r="P145" s="96">
        <v>1.6083902773265768</v>
      </c>
      <c r="Q145" s="96">
        <v>1.5269027252080802</v>
      </c>
      <c r="R145" s="96">
        <v>1.5456515970748739</v>
      </c>
      <c r="S145" s="96">
        <v>1.4436594786913339</v>
      </c>
      <c r="T145" s="96">
        <v>1.3613889827949683</v>
      </c>
      <c r="U145" s="96">
        <v>1.3389173273966808</v>
      </c>
      <c r="V145" s="96">
        <v>1.2756710769318755</v>
      </c>
      <c r="W145" s="96">
        <v>1.3304955187539378</v>
      </c>
      <c r="X145" s="96">
        <v>1.3104589224700611</v>
      </c>
      <c r="Y145" s="96">
        <v>1.3394266229319003</v>
      </c>
      <c r="DA145" s="171" t="s">
        <v>556</v>
      </c>
    </row>
    <row r="146" spans="1:105" ht="11.45" customHeight="1" x14ac:dyDescent="0.25">
      <c r="A146" s="111" t="s">
        <v>112</v>
      </c>
      <c r="B146" s="96">
        <v>1.8157489050994318</v>
      </c>
      <c r="C146" s="96">
        <v>1.8524741485215821</v>
      </c>
      <c r="D146" s="96">
        <v>1.8780371802033382</v>
      </c>
      <c r="E146" s="96">
        <v>1.8563838939114625</v>
      </c>
      <c r="F146" s="96">
        <v>1.7322322320952648</v>
      </c>
      <c r="G146" s="96">
        <v>1.8110076158400801</v>
      </c>
      <c r="H146" s="96">
        <v>1.6639872415042982</v>
      </c>
      <c r="I146" s="96">
        <v>1.553934802893278</v>
      </c>
      <c r="J146" s="96">
        <v>1.4989009217242197</v>
      </c>
      <c r="K146" s="96">
        <v>1.4900116614300576</v>
      </c>
      <c r="L146" s="96">
        <v>1.4428902347159063</v>
      </c>
      <c r="M146" s="96">
        <v>1.4116055980718227</v>
      </c>
      <c r="N146" s="96">
        <v>1.4190593622699101</v>
      </c>
      <c r="O146" s="96">
        <v>1.5081550310998399</v>
      </c>
      <c r="P146" s="96">
        <v>1.5245120693346559</v>
      </c>
      <c r="Q146" s="96">
        <v>1.4475152428970268</v>
      </c>
      <c r="R146" s="96">
        <v>1.4654714527048356</v>
      </c>
      <c r="S146" s="96">
        <v>1.3689694196375881</v>
      </c>
      <c r="T146" s="96">
        <v>1.2912221007969238</v>
      </c>
      <c r="U146" s="96">
        <v>1.2699037106742268</v>
      </c>
      <c r="V146" s="96">
        <v>1.2107905972773032</v>
      </c>
      <c r="W146" s="96">
        <v>1.2604809820406842</v>
      </c>
      <c r="X146" s="96">
        <v>1.240666501337647</v>
      </c>
      <c r="Y146" s="96">
        <v>1.2663778359787066</v>
      </c>
      <c r="DA146" s="171" t="s">
        <v>557</v>
      </c>
    </row>
    <row r="147" spans="1:105" ht="11.45" customHeight="1" x14ac:dyDescent="0.25">
      <c r="A147" s="111" t="s">
        <v>113</v>
      </c>
      <c r="B147" s="96">
        <v>0</v>
      </c>
      <c r="C147" s="96">
        <v>0</v>
      </c>
      <c r="D147" s="96">
        <v>0</v>
      </c>
      <c r="E147" s="96">
        <v>0</v>
      </c>
      <c r="F147" s="96">
        <v>0</v>
      </c>
      <c r="G147" s="96">
        <v>0</v>
      </c>
      <c r="H147" s="96">
        <v>0</v>
      </c>
      <c r="I147" s="96">
        <v>0</v>
      </c>
      <c r="J147" s="96">
        <v>0</v>
      </c>
      <c r="K147" s="96">
        <v>0</v>
      </c>
      <c r="L147" s="96">
        <v>0</v>
      </c>
      <c r="M147" s="96">
        <v>0</v>
      </c>
      <c r="N147" s="96">
        <v>0</v>
      </c>
      <c r="O147" s="96">
        <v>0</v>
      </c>
      <c r="P147" s="96">
        <v>0</v>
      </c>
      <c r="Q147" s="96">
        <v>1.4475152428970268</v>
      </c>
      <c r="R147" s="96">
        <v>1.4654714527048358</v>
      </c>
      <c r="S147" s="96">
        <v>1.3689694196375883</v>
      </c>
      <c r="T147" s="96">
        <v>1.2912221007969238</v>
      </c>
      <c r="U147" s="96">
        <v>1.2699037106742268</v>
      </c>
      <c r="V147" s="96">
        <v>1.2107905972773032</v>
      </c>
      <c r="W147" s="96">
        <v>1.2604809820406842</v>
      </c>
      <c r="X147" s="96">
        <v>1.240666501337647</v>
      </c>
      <c r="Y147" s="96">
        <v>1.2663778359787066</v>
      </c>
      <c r="DA147" s="171" t="s">
        <v>558</v>
      </c>
    </row>
    <row r="148" spans="1:105" ht="11.45" customHeight="1" x14ac:dyDescent="0.25">
      <c r="A148" s="111" t="s">
        <v>114</v>
      </c>
      <c r="B148" s="96">
        <v>0</v>
      </c>
      <c r="C148" s="96">
        <v>0</v>
      </c>
      <c r="D148" s="96">
        <v>0</v>
      </c>
      <c r="E148" s="96">
        <v>0</v>
      </c>
      <c r="F148" s="96">
        <v>0</v>
      </c>
      <c r="G148" s="96">
        <v>0</v>
      </c>
      <c r="H148" s="96">
        <v>0</v>
      </c>
      <c r="I148" s="96">
        <v>0</v>
      </c>
      <c r="J148" s="96">
        <v>0</v>
      </c>
      <c r="K148" s="96">
        <v>0</v>
      </c>
      <c r="L148" s="96">
        <v>0</v>
      </c>
      <c r="M148" s="96">
        <v>0</v>
      </c>
      <c r="N148" s="96">
        <v>1.4190593622699104</v>
      </c>
      <c r="O148" s="96">
        <v>1.5081550310998399</v>
      </c>
      <c r="P148" s="96">
        <v>1.5245120693346559</v>
      </c>
      <c r="Q148" s="96">
        <v>1.4475152428970268</v>
      </c>
      <c r="R148" s="96">
        <v>1.4654714527048358</v>
      </c>
      <c r="S148" s="96">
        <v>1.3689694196375883</v>
      </c>
      <c r="T148" s="96">
        <v>1.2912221007969238</v>
      </c>
      <c r="U148" s="96">
        <v>1.2699037106742268</v>
      </c>
      <c r="V148" s="96">
        <v>1.2107905972773032</v>
      </c>
      <c r="W148" s="96">
        <v>1.2604809820406842</v>
      </c>
      <c r="X148" s="96">
        <v>1.240666501337647</v>
      </c>
      <c r="Y148" s="96">
        <v>1.2663778359787066</v>
      </c>
      <c r="DA148" s="171" t="s">
        <v>559</v>
      </c>
    </row>
    <row r="149" spans="1:105" ht="11.45" customHeight="1" x14ac:dyDescent="0.25">
      <c r="A149" s="111" t="s">
        <v>115</v>
      </c>
      <c r="B149" s="96">
        <v>0</v>
      </c>
      <c r="C149" s="96">
        <v>0</v>
      </c>
      <c r="D149" s="96">
        <v>0</v>
      </c>
      <c r="E149" s="96">
        <v>0</v>
      </c>
      <c r="F149" s="96">
        <v>0</v>
      </c>
      <c r="G149" s="96">
        <v>0</v>
      </c>
      <c r="H149" s="96">
        <v>0</v>
      </c>
      <c r="I149" s="96">
        <v>0</v>
      </c>
      <c r="J149" s="96">
        <v>0</v>
      </c>
      <c r="K149" s="96">
        <v>0</v>
      </c>
      <c r="L149" s="96">
        <v>1.3387641353034183</v>
      </c>
      <c r="M149" s="96">
        <v>1.3097371528501449</v>
      </c>
      <c r="N149" s="96">
        <v>1.3166530165390922</v>
      </c>
      <c r="O149" s="96">
        <v>1.3993191010204702</v>
      </c>
      <c r="P149" s="96">
        <v>1.4144957344342168</v>
      </c>
      <c r="Q149" s="96">
        <v>1.3430553800075509</v>
      </c>
      <c r="R149" s="96">
        <v>1.359715780860157</v>
      </c>
      <c r="S149" s="96">
        <v>1.2701778120348759</v>
      </c>
      <c r="T149" s="96">
        <v>1.1980411244507541</v>
      </c>
      <c r="U149" s="96">
        <v>1.1782611748523755</v>
      </c>
      <c r="V149" s="96">
        <v>1.1234139562366732</v>
      </c>
      <c r="W149" s="96">
        <v>1.1695184369449647</v>
      </c>
      <c r="X149" s="96">
        <v>1.1511338672204972</v>
      </c>
      <c r="Y149" s="96">
        <v>1.1749897447225113</v>
      </c>
      <c r="DA149" s="171" t="s">
        <v>560</v>
      </c>
    </row>
    <row r="150" spans="1:105" ht="11.45" customHeight="1" x14ac:dyDescent="0.25">
      <c r="A150" s="109" t="s">
        <v>21</v>
      </c>
      <c r="B150" s="130">
        <f t="shared" ref="B150:K150" si="203">IF(B13=0,0,B13/B40)</f>
        <v>36.504800099740137</v>
      </c>
      <c r="C150" s="130">
        <f t="shared" si="203"/>
        <v>34.915593950031422</v>
      </c>
      <c r="D150" s="130">
        <f t="shared" si="203"/>
        <v>33.101292167015629</v>
      </c>
      <c r="E150" s="130">
        <f t="shared" si="203"/>
        <v>33.842956171482726</v>
      </c>
      <c r="F150" s="130">
        <f t="shared" si="203"/>
        <v>31.166657597146578</v>
      </c>
      <c r="G150" s="130">
        <f t="shared" si="203"/>
        <v>30.108838020030024</v>
      </c>
      <c r="H150" s="130">
        <f t="shared" si="203"/>
        <v>30.85428676443653</v>
      </c>
      <c r="I150" s="130">
        <f t="shared" si="203"/>
        <v>29.674181406832261</v>
      </c>
      <c r="J150" s="130">
        <f t="shared" si="203"/>
        <v>30.150488481195527</v>
      </c>
      <c r="K150" s="130">
        <f t="shared" si="203"/>
        <v>27.458465285156127</v>
      </c>
      <c r="L150" s="130">
        <f t="shared" ref="L150" si="204">IF(L13=0,0,L13/L40)</f>
        <v>26.184777211671914</v>
      </c>
      <c r="M150" s="130">
        <f t="shared" ref="M150:V150" si="205">IF(M13=0,0,M13/M40)</f>
        <v>24.903729058469057</v>
      </c>
      <c r="N150" s="130">
        <f t="shared" si="205"/>
        <v>25.086906729868073</v>
      </c>
      <c r="O150" s="130">
        <f t="shared" si="205"/>
        <v>23.960704566019384</v>
      </c>
      <c r="P150" s="130">
        <f t="shared" si="205"/>
        <v>24.416045969547174</v>
      </c>
      <c r="Q150" s="130">
        <f t="shared" si="205"/>
        <v>20.302539168017287</v>
      </c>
      <c r="R150" s="130">
        <f t="shared" si="205"/>
        <v>20.306941422551173</v>
      </c>
      <c r="S150" s="130">
        <f t="shared" si="205"/>
        <v>20.31089520495307</v>
      </c>
      <c r="T150" s="130">
        <f t="shared" si="205"/>
        <v>20.319648850793719</v>
      </c>
      <c r="U150" s="130">
        <f t="shared" si="205"/>
        <v>20.309934474835135</v>
      </c>
      <c r="V150" s="130">
        <f t="shared" si="205"/>
        <v>10.885826538050274</v>
      </c>
      <c r="W150" s="130">
        <f t="shared" ref="W150:Y150" si="206">IF(W13=0,0,W13/W40)</f>
        <v>11.883225098380343</v>
      </c>
      <c r="X150" s="130">
        <f t="shared" si="206"/>
        <v>14.610631186035361</v>
      </c>
      <c r="Y150" s="130">
        <f t="shared" si="206"/>
        <v>15.999003595865013</v>
      </c>
      <c r="DA150" s="176" t="s">
        <v>561</v>
      </c>
    </row>
    <row r="151" spans="1:105" ht="11.45" customHeight="1" x14ac:dyDescent="0.25">
      <c r="A151" s="111" t="s">
        <v>110</v>
      </c>
      <c r="B151" s="97">
        <v>0</v>
      </c>
      <c r="C151" s="97">
        <v>0</v>
      </c>
      <c r="D151" s="97">
        <v>0</v>
      </c>
      <c r="E151" s="97">
        <v>0</v>
      </c>
      <c r="F151" s="97">
        <v>0</v>
      </c>
      <c r="G151" s="97">
        <v>0</v>
      </c>
      <c r="H151" s="97">
        <v>0</v>
      </c>
      <c r="I151" s="97">
        <v>0</v>
      </c>
      <c r="J151" s="97">
        <v>0</v>
      </c>
      <c r="K151" s="97">
        <v>0</v>
      </c>
      <c r="L151" s="97">
        <v>0</v>
      </c>
      <c r="M151" s="97">
        <v>0</v>
      </c>
      <c r="N151" s="97">
        <v>0</v>
      </c>
      <c r="O151" s="97">
        <v>0</v>
      </c>
      <c r="P151" s="97">
        <v>0</v>
      </c>
      <c r="Q151" s="97">
        <v>0</v>
      </c>
      <c r="R151" s="97">
        <v>0</v>
      </c>
      <c r="S151" s="97">
        <v>0</v>
      </c>
      <c r="T151" s="97">
        <v>0</v>
      </c>
      <c r="U151" s="97">
        <v>0</v>
      </c>
      <c r="V151" s="97">
        <v>0</v>
      </c>
      <c r="W151" s="97">
        <v>0</v>
      </c>
      <c r="X151" s="97">
        <v>0</v>
      </c>
      <c r="Y151" s="97">
        <v>0</v>
      </c>
      <c r="DA151" s="175" t="s">
        <v>562</v>
      </c>
    </row>
    <row r="152" spans="1:105" ht="11.45" customHeight="1" x14ac:dyDescent="0.25">
      <c r="A152" s="111" t="s">
        <v>111</v>
      </c>
      <c r="B152" s="97">
        <v>36.504800099740137</v>
      </c>
      <c r="C152" s="97">
        <v>34.915593950031415</v>
      </c>
      <c r="D152" s="97">
        <v>33.101292167015629</v>
      </c>
      <c r="E152" s="97">
        <v>33.842956171482733</v>
      </c>
      <c r="F152" s="97">
        <v>31.166657597146578</v>
      </c>
      <c r="G152" s="97">
        <v>30.108838020030024</v>
      </c>
      <c r="H152" s="97">
        <v>30.854286764436534</v>
      </c>
      <c r="I152" s="97">
        <v>29.674181406832265</v>
      </c>
      <c r="J152" s="97">
        <v>30.150488481195524</v>
      </c>
      <c r="K152" s="97">
        <v>27.458465285156123</v>
      </c>
      <c r="L152" s="97">
        <v>26.184777211671914</v>
      </c>
      <c r="M152" s="97">
        <v>24.903729058469054</v>
      </c>
      <c r="N152" s="97">
        <v>25.086906729868076</v>
      </c>
      <c r="O152" s="97">
        <v>23.96070456601938</v>
      </c>
      <c r="P152" s="97">
        <v>24.416045969547167</v>
      </c>
      <c r="Q152" s="97">
        <v>20.302539168017283</v>
      </c>
      <c r="R152" s="97">
        <v>20.306941422551176</v>
      </c>
      <c r="S152" s="97">
        <v>20.310895204953074</v>
      </c>
      <c r="T152" s="97">
        <v>20.319648850793719</v>
      </c>
      <c r="U152" s="97">
        <v>20.309934474835135</v>
      </c>
      <c r="V152" s="97">
        <v>10.885826538050273</v>
      </c>
      <c r="W152" s="97">
        <v>11.883225098380345</v>
      </c>
      <c r="X152" s="97">
        <v>14.610631186035361</v>
      </c>
      <c r="Y152" s="97">
        <v>15.999003595865014</v>
      </c>
      <c r="DA152" s="175" t="s">
        <v>563</v>
      </c>
    </row>
    <row r="153" spans="1:105" ht="11.45" customHeight="1" x14ac:dyDescent="0.25">
      <c r="A153" s="111" t="s">
        <v>112</v>
      </c>
      <c r="B153" s="97">
        <v>36.504800099740137</v>
      </c>
      <c r="C153" s="97">
        <v>34.915593950031415</v>
      </c>
      <c r="D153" s="97">
        <v>33.101292167015629</v>
      </c>
      <c r="E153" s="97">
        <v>33.842956171482733</v>
      </c>
      <c r="F153" s="97">
        <v>31.166657597146578</v>
      </c>
      <c r="G153" s="97">
        <v>30.108838020030031</v>
      </c>
      <c r="H153" s="97">
        <v>30.854286764436537</v>
      </c>
      <c r="I153" s="97">
        <v>29.674181406832261</v>
      </c>
      <c r="J153" s="97">
        <v>30.150488481195527</v>
      </c>
      <c r="K153" s="97">
        <v>27.45846528515612</v>
      </c>
      <c r="L153" s="97">
        <v>26.184777211671914</v>
      </c>
      <c r="M153" s="97">
        <v>24.903729058469054</v>
      </c>
      <c r="N153" s="97">
        <v>25.086906729868076</v>
      </c>
      <c r="O153" s="97">
        <v>23.960704566019377</v>
      </c>
      <c r="P153" s="97">
        <v>24.416045969547167</v>
      </c>
      <c r="Q153" s="97">
        <v>20.302539168017287</v>
      </c>
      <c r="R153" s="97">
        <v>20.30694142255118</v>
      </c>
      <c r="S153" s="97">
        <v>20.310895204953074</v>
      </c>
      <c r="T153" s="97">
        <v>20.319648850793715</v>
      </c>
      <c r="U153" s="97">
        <v>20.309934474835135</v>
      </c>
      <c r="V153" s="97">
        <v>10.885826538050274</v>
      </c>
      <c r="W153" s="97">
        <v>11.883225098380347</v>
      </c>
      <c r="X153" s="97">
        <v>14.610631186035361</v>
      </c>
      <c r="Y153" s="97">
        <v>15.999003595865014</v>
      </c>
      <c r="DA153" s="175" t="s">
        <v>564</v>
      </c>
    </row>
    <row r="154" spans="1:105" ht="11.45" customHeight="1" x14ac:dyDescent="0.25">
      <c r="A154" s="111" t="s">
        <v>113</v>
      </c>
      <c r="B154" s="97">
        <v>0</v>
      </c>
      <c r="C154" s="97">
        <v>0</v>
      </c>
      <c r="D154" s="97">
        <v>0</v>
      </c>
      <c r="E154" s="97">
        <v>0</v>
      </c>
      <c r="F154" s="97">
        <v>0</v>
      </c>
      <c r="G154" s="97">
        <v>0</v>
      </c>
      <c r="H154" s="97">
        <v>0</v>
      </c>
      <c r="I154" s="97">
        <v>0</v>
      </c>
      <c r="J154" s="97">
        <v>0</v>
      </c>
      <c r="K154" s="97">
        <v>0</v>
      </c>
      <c r="L154" s="97">
        <v>0</v>
      </c>
      <c r="M154" s="97">
        <v>0</v>
      </c>
      <c r="N154" s="97">
        <v>0</v>
      </c>
      <c r="O154" s="97">
        <v>0</v>
      </c>
      <c r="P154" s="97">
        <v>0</v>
      </c>
      <c r="Q154" s="97">
        <v>20.302539168017287</v>
      </c>
      <c r="R154" s="97">
        <v>20.30694142255118</v>
      </c>
      <c r="S154" s="97">
        <v>20.310895204953077</v>
      </c>
      <c r="T154" s="97">
        <v>20.319648850793715</v>
      </c>
      <c r="U154" s="97">
        <v>20.309934474835135</v>
      </c>
      <c r="V154" s="97">
        <v>10.885826538050274</v>
      </c>
      <c r="W154" s="97">
        <v>11.883225098380347</v>
      </c>
      <c r="X154" s="97">
        <v>14.610631186035361</v>
      </c>
      <c r="Y154" s="97">
        <v>15.999003595865014</v>
      </c>
      <c r="DA154" s="175" t="s">
        <v>565</v>
      </c>
    </row>
    <row r="155" spans="1:105" ht="11.45" customHeight="1" x14ac:dyDescent="0.25">
      <c r="A155" s="111" t="s">
        <v>115</v>
      </c>
      <c r="B155" s="97">
        <v>36.504800099740137</v>
      </c>
      <c r="C155" s="97">
        <v>34.915593950031415</v>
      </c>
      <c r="D155" s="97">
        <v>33.101292167015629</v>
      </c>
      <c r="E155" s="97">
        <v>33.842956171482733</v>
      </c>
      <c r="F155" s="97">
        <v>31.166657597146578</v>
      </c>
      <c r="G155" s="97">
        <v>30.108838020030028</v>
      </c>
      <c r="H155" s="97">
        <v>30.854286764436537</v>
      </c>
      <c r="I155" s="97">
        <v>29.674181406832258</v>
      </c>
      <c r="J155" s="97">
        <v>30.150488481195527</v>
      </c>
      <c r="K155" s="97">
        <v>27.458465285156123</v>
      </c>
      <c r="L155" s="97">
        <v>26.184777211671914</v>
      </c>
      <c r="M155" s="97">
        <v>24.903729058469054</v>
      </c>
      <c r="N155" s="97">
        <v>25.086906729868076</v>
      </c>
      <c r="O155" s="97">
        <v>23.96070456601938</v>
      </c>
      <c r="P155" s="97">
        <v>24.416045969547167</v>
      </c>
      <c r="Q155" s="97">
        <v>20.302539168017287</v>
      </c>
      <c r="R155" s="97">
        <v>20.30694142255118</v>
      </c>
      <c r="S155" s="97">
        <v>20.310895204953074</v>
      </c>
      <c r="T155" s="97">
        <v>20.319648850793715</v>
      </c>
      <c r="U155" s="97">
        <v>20.309934474835135</v>
      </c>
      <c r="V155" s="97">
        <v>10.885826538050274</v>
      </c>
      <c r="W155" s="97">
        <v>11.883225098380347</v>
      </c>
      <c r="X155" s="97">
        <v>14.610631186035359</v>
      </c>
      <c r="Y155" s="97">
        <v>15.999003595865014</v>
      </c>
      <c r="DA155" s="175" t="s">
        <v>566</v>
      </c>
    </row>
    <row r="156" spans="1:105" ht="11.45" customHeight="1" x14ac:dyDescent="0.25">
      <c r="A156" s="27" t="s">
        <v>101</v>
      </c>
      <c r="B156" s="32">
        <f t="shared" ref="B156:K156" si="207">IF(B19=0,0,B19/B46)</f>
        <v>2.6289821438636527</v>
      </c>
      <c r="C156" s="32">
        <f t="shared" si="207"/>
        <v>2.7422473965423539</v>
      </c>
      <c r="D156" s="32">
        <f t="shared" si="207"/>
        <v>2.7607163197158471</v>
      </c>
      <c r="E156" s="32">
        <f t="shared" si="207"/>
        <v>2.7673533865949751</v>
      </c>
      <c r="F156" s="32">
        <f t="shared" si="207"/>
        <v>3.0402030536860312</v>
      </c>
      <c r="G156" s="32">
        <f t="shared" si="207"/>
        <v>3.0809835022455432</v>
      </c>
      <c r="H156" s="32">
        <f t="shared" si="207"/>
        <v>3.0999911830737501</v>
      </c>
      <c r="I156" s="32">
        <f t="shared" si="207"/>
        <v>3.1188376171898287</v>
      </c>
      <c r="J156" s="32">
        <f t="shared" si="207"/>
        <v>3.1393483095531707</v>
      </c>
      <c r="K156" s="32">
        <f t="shared" si="207"/>
        <v>3.1173732044022646</v>
      </c>
      <c r="L156" s="32">
        <f t="shared" ref="L156" si="208">IF(L19=0,0,L19/L46)</f>
        <v>3.1745135456736917</v>
      </c>
      <c r="M156" s="32">
        <f t="shared" ref="M156:V156" si="209">IF(M19=0,0,M19/M46)</f>
        <v>3.2449766751581643</v>
      </c>
      <c r="N156" s="32">
        <f t="shared" si="209"/>
        <v>3.311023172965438</v>
      </c>
      <c r="O156" s="32">
        <f t="shared" si="209"/>
        <v>3.5067685026870996</v>
      </c>
      <c r="P156" s="32">
        <f t="shared" si="209"/>
        <v>3.4504160290317962</v>
      </c>
      <c r="Q156" s="32">
        <f t="shared" si="209"/>
        <v>3.5735994254182963</v>
      </c>
      <c r="R156" s="32">
        <f t="shared" si="209"/>
        <v>3.5794174490175856</v>
      </c>
      <c r="S156" s="32">
        <f t="shared" si="209"/>
        <v>3.7835545984726031</v>
      </c>
      <c r="T156" s="32">
        <f t="shared" si="209"/>
        <v>3.4787493738705009</v>
      </c>
      <c r="U156" s="32">
        <f t="shared" si="209"/>
        <v>3.570487574512899</v>
      </c>
      <c r="V156" s="32">
        <f t="shared" si="209"/>
        <v>3.5691979854842186</v>
      </c>
      <c r="W156" s="32">
        <f t="shared" ref="W156:Y156" si="210">IF(W19=0,0,W19/W46)</f>
        <v>3.6939262513168396</v>
      </c>
      <c r="X156" s="32">
        <f t="shared" si="210"/>
        <v>3.7817761579869771</v>
      </c>
      <c r="Y156" s="32">
        <f t="shared" si="210"/>
        <v>3.7017204281454745</v>
      </c>
      <c r="DA156" s="173" t="s">
        <v>567</v>
      </c>
    </row>
    <row r="157" spans="1:105" ht="11.45" customHeight="1" x14ac:dyDescent="0.25">
      <c r="A157" s="136" t="s">
        <v>153</v>
      </c>
      <c r="B157" s="141">
        <f t="shared" ref="B157:K157" si="211">IF(B20=0,0,B20/B47)</f>
        <v>0.18800295873245246</v>
      </c>
      <c r="C157" s="141">
        <f t="shared" si="211"/>
        <v>0.18921852181939078</v>
      </c>
      <c r="D157" s="141">
        <f t="shared" si="211"/>
        <v>0.19363406850552986</v>
      </c>
      <c r="E157" s="141">
        <f t="shared" si="211"/>
        <v>0.19495732045858011</v>
      </c>
      <c r="F157" s="141">
        <f t="shared" si="211"/>
        <v>0.19783940330857952</v>
      </c>
      <c r="G157" s="141">
        <f t="shared" si="211"/>
        <v>0.20274773641663363</v>
      </c>
      <c r="H157" s="141">
        <f t="shared" si="211"/>
        <v>0.2047871232620721</v>
      </c>
      <c r="I157" s="141">
        <f t="shared" si="211"/>
        <v>0.20818146757859385</v>
      </c>
      <c r="J157" s="141">
        <f t="shared" si="211"/>
        <v>0.21171409168556146</v>
      </c>
      <c r="K157" s="141">
        <f t="shared" si="211"/>
        <v>0.21222335168667655</v>
      </c>
      <c r="L157" s="141">
        <f t="shared" ref="L157" si="212">IF(L20=0,0,L20/L47)</f>
        <v>0.21498248517973365</v>
      </c>
      <c r="M157" s="141">
        <f t="shared" ref="M157:V157" si="213">IF(M20=0,0,M20/M47)</f>
        <v>0.21775273934732711</v>
      </c>
      <c r="N157" s="141">
        <f t="shared" si="213"/>
        <v>0.21999474976796285</v>
      </c>
      <c r="O157" s="141">
        <f t="shared" si="213"/>
        <v>0.22229927458187018</v>
      </c>
      <c r="P157" s="141">
        <f t="shared" si="213"/>
        <v>0.22301667591031502</v>
      </c>
      <c r="Q157" s="141">
        <f t="shared" si="213"/>
        <v>0.22512331493837001</v>
      </c>
      <c r="R157" s="141">
        <f t="shared" si="213"/>
        <v>0.22491180255658513</v>
      </c>
      <c r="S157" s="141">
        <f t="shared" si="213"/>
        <v>0.22426737950750952</v>
      </c>
      <c r="T157" s="141">
        <f t="shared" si="213"/>
        <v>0.22394145582897454</v>
      </c>
      <c r="U157" s="141">
        <f t="shared" si="213"/>
        <v>0.22382442407797262</v>
      </c>
      <c r="V157" s="141">
        <f t="shared" si="213"/>
        <v>0.22588867566004947</v>
      </c>
      <c r="W157" s="141">
        <f t="shared" ref="W157:Y157" si="214">IF(W20=0,0,W20/W47)</f>
        <v>0.22648110333344323</v>
      </c>
      <c r="X157" s="141">
        <f t="shared" si="214"/>
        <v>0.22709484606130662</v>
      </c>
      <c r="Y157" s="141">
        <f t="shared" si="214"/>
        <v>0.22837866696158562</v>
      </c>
      <c r="DA157" s="174" t="s">
        <v>568</v>
      </c>
    </row>
    <row r="158" spans="1:105" ht="11.45" customHeight="1" x14ac:dyDescent="0.25">
      <c r="A158" s="111" t="s">
        <v>110</v>
      </c>
      <c r="B158" s="96">
        <v>0.16423878087803639</v>
      </c>
      <c r="C158" s="96">
        <v>0.16550203597759935</v>
      </c>
      <c r="D158" s="96">
        <v>0.16556389074309374</v>
      </c>
      <c r="E158" s="96">
        <v>0.16545392156987049</v>
      </c>
      <c r="F158" s="96">
        <v>0.16610429308495925</v>
      </c>
      <c r="G158" s="96">
        <v>0.16799003500642345</v>
      </c>
      <c r="H158" s="96">
        <v>0.16826818291291742</v>
      </c>
      <c r="I158" s="96">
        <v>0.16947126822677766</v>
      </c>
      <c r="J158" s="96">
        <v>0.17136385038604035</v>
      </c>
      <c r="K158" s="96">
        <v>0.16877839134817341</v>
      </c>
      <c r="L158" s="96">
        <v>0.17074891728032984</v>
      </c>
      <c r="M158" s="96">
        <v>0.17179122287504814</v>
      </c>
      <c r="N158" s="96">
        <v>0.17334406018987356</v>
      </c>
      <c r="O158" s="96">
        <v>0.175334032872134</v>
      </c>
      <c r="P158" s="96">
        <v>0.17649190176620416</v>
      </c>
      <c r="Q158" s="96">
        <v>0.17993108902943322</v>
      </c>
      <c r="R158" s="96">
        <v>0.17922255379332092</v>
      </c>
      <c r="S158" s="96">
        <v>0.17843567714907888</v>
      </c>
      <c r="T158" s="96">
        <v>0.17764169084036271</v>
      </c>
      <c r="U158" s="96">
        <v>0.17707794787438352</v>
      </c>
      <c r="V158" s="96">
        <v>0.17951919418430853</v>
      </c>
      <c r="W158" s="96">
        <v>0.17954459113407212</v>
      </c>
      <c r="X158" s="96">
        <v>0.17769648055188755</v>
      </c>
      <c r="Y158" s="96">
        <v>0.17840317957023474</v>
      </c>
      <c r="DA158" s="171" t="s">
        <v>569</v>
      </c>
    </row>
    <row r="159" spans="1:105" ht="11.45" customHeight="1" x14ac:dyDescent="0.25">
      <c r="A159" s="111" t="s">
        <v>111</v>
      </c>
      <c r="B159" s="96">
        <v>0.22561360724736751</v>
      </c>
      <c r="C159" s="96">
        <v>0.2267572821094406</v>
      </c>
      <c r="D159" s="96">
        <v>0.22788808825215018</v>
      </c>
      <c r="E159" s="96">
        <v>0.22785492030163576</v>
      </c>
      <c r="F159" s="96">
        <v>0.22908849721548966</v>
      </c>
      <c r="G159" s="96">
        <v>0.23020113337047204</v>
      </c>
      <c r="H159" s="96">
        <v>0.229398688627687</v>
      </c>
      <c r="I159" s="96">
        <v>0.23036671313133686</v>
      </c>
      <c r="J159" s="96">
        <v>0.23139944965626258</v>
      </c>
      <c r="K159" s="96">
        <v>0.23251275721092629</v>
      </c>
      <c r="L159" s="96">
        <v>0.2335316612463077</v>
      </c>
      <c r="M159" s="96">
        <v>0.23462108321526601</v>
      </c>
      <c r="N159" s="96">
        <v>0.23580521729105042</v>
      </c>
      <c r="O159" s="96">
        <v>0.23691829995796779</v>
      </c>
      <c r="P159" s="96">
        <v>0.23675372328527089</v>
      </c>
      <c r="Q159" s="96">
        <v>0.23711995703479924</v>
      </c>
      <c r="R159" s="96">
        <v>0.2363047900904639</v>
      </c>
      <c r="S159" s="96">
        <v>0.23550326957491013</v>
      </c>
      <c r="T159" s="96">
        <v>0.23469051056068693</v>
      </c>
      <c r="U159" s="96">
        <v>0.23418037425448346</v>
      </c>
      <c r="V159" s="96">
        <v>0.23533928493438952</v>
      </c>
      <c r="W159" s="96">
        <v>0.23560866016334414</v>
      </c>
      <c r="X159" s="96">
        <v>0.23678941807807952</v>
      </c>
      <c r="Y159" s="96">
        <v>0.23796957669595883</v>
      </c>
      <c r="DA159" s="171" t="s">
        <v>570</v>
      </c>
    </row>
    <row r="160" spans="1:105" ht="11.45" customHeight="1" x14ac:dyDescent="0.25">
      <c r="A160" s="111" t="s">
        <v>112</v>
      </c>
      <c r="B160" s="96">
        <v>0.1839018745226749</v>
      </c>
      <c r="C160" s="96">
        <v>0.18390524368046524</v>
      </c>
      <c r="D160" s="96">
        <v>0.18389355026473603</v>
      </c>
      <c r="E160" s="96">
        <v>0.18294278501417022</v>
      </c>
      <c r="F160" s="96">
        <v>0.1830088791600708</v>
      </c>
      <c r="G160" s="96">
        <v>0.18297356008021254</v>
      </c>
      <c r="H160" s="96">
        <v>0.18141943677703504</v>
      </c>
      <c r="I160" s="96">
        <v>0.18126944792433219</v>
      </c>
      <c r="J160" s="96">
        <v>0.18116704920398893</v>
      </c>
      <c r="K160" s="96">
        <v>0.18112386540355793</v>
      </c>
      <c r="L160" s="96">
        <v>0.1810033710297082</v>
      </c>
      <c r="M160" s="96">
        <v>0.1809338951950446</v>
      </c>
      <c r="N160" s="96">
        <v>0.18093321905535856</v>
      </c>
      <c r="O160" s="96">
        <v>0.18087373658989492</v>
      </c>
      <c r="P160" s="96">
        <v>0.1801998061900516</v>
      </c>
      <c r="Q160" s="96">
        <v>0.17993108902943322</v>
      </c>
      <c r="R160" s="96">
        <v>0.17949328396113812</v>
      </c>
      <c r="S160" s="96">
        <v>0.17870521867606132</v>
      </c>
      <c r="T160" s="96">
        <v>0.17791003298678698</v>
      </c>
      <c r="U160" s="96">
        <v>0.1773454384414471</v>
      </c>
      <c r="V160" s="96">
        <v>0.17804450406767286</v>
      </c>
      <c r="W160" s="96">
        <v>0.17806969238999146</v>
      </c>
      <c r="X160" s="96">
        <v>0.17807609802930358</v>
      </c>
      <c r="Y160" s="96">
        <v>0.17807762732260227</v>
      </c>
      <c r="DA160" s="171" t="s">
        <v>571</v>
      </c>
    </row>
    <row r="161" spans="1:105" ht="11.45" customHeight="1" x14ac:dyDescent="0.25">
      <c r="A161" s="111" t="s">
        <v>113</v>
      </c>
      <c r="B161" s="96">
        <v>0</v>
      </c>
      <c r="C161" s="96">
        <v>0</v>
      </c>
      <c r="D161" s="96">
        <v>0</v>
      </c>
      <c r="E161" s="96">
        <v>0</v>
      </c>
      <c r="F161" s="96">
        <v>0</v>
      </c>
      <c r="G161" s="96">
        <v>0</v>
      </c>
      <c r="H161" s="96">
        <v>0</v>
      </c>
      <c r="I161" s="96">
        <v>0</v>
      </c>
      <c r="J161" s="96">
        <v>0</v>
      </c>
      <c r="K161" s="96">
        <v>0</v>
      </c>
      <c r="L161" s="96">
        <v>0</v>
      </c>
      <c r="M161" s="96">
        <v>0</v>
      </c>
      <c r="N161" s="96">
        <v>0</v>
      </c>
      <c r="O161" s="96">
        <v>0</v>
      </c>
      <c r="P161" s="96">
        <v>0</v>
      </c>
      <c r="Q161" s="96">
        <v>0.17993108902943322</v>
      </c>
      <c r="R161" s="96">
        <v>0.17985811072028698</v>
      </c>
      <c r="S161" s="96">
        <v>0.17979344083892398</v>
      </c>
      <c r="T161" s="96">
        <v>0.17971810627828477</v>
      </c>
      <c r="U161" s="96">
        <v>0.17987309220324338</v>
      </c>
      <c r="V161" s="96">
        <v>0.18131324703784449</v>
      </c>
      <c r="W161" s="96">
        <v>0.18207308739434122</v>
      </c>
      <c r="X161" s="96">
        <v>0.18354231208509966</v>
      </c>
      <c r="Y161" s="96">
        <v>0.18501832592643991</v>
      </c>
      <c r="DA161" s="171" t="s">
        <v>572</v>
      </c>
    </row>
    <row r="162" spans="1:105" ht="11.45" customHeight="1" x14ac:dyDescent="0.25">
      <c r="A162" s="111" t="s">
        <v>115</v>
      </c>
      <c r="B162" s="96">
        <v>0</v>
      </c>
      <c r="C162" s="96">
        <v>0</v>
      </c>
      <c r="D162" s="96">
        <v>0</v>
      </c>
      <c r="E162" s="96">
        <v>0</v>
      </c>
      <c r="F162" s="96">
        <v>0</v>
      </c>
      <c r="G162" s="96">
        <v>0</v>
      </c>
      <c r="H162" s="96">
        <v>0</v>
      </c>
      <c r="I162" s="96">
        <v>0</v>
      </c>
      <c r="J162" s="96">
        <v>0</v>
      </c>
      <c r="K162" s="96">
        <v>0</v>
      </c>
      <c r="L162" s="96">
        <v>0</v>
      </c>
      <c r="M162" s="96">
        <v>0</v>
      </c>
      <c r="N162" s="96">
        <v>0.17998736961172906</v>
      </c>
      <c r="O162" s="96">
        <v>0.17995555979502512</v>
      </c>
      <c r="P162" s="96">
        <v>0.17995292379809924</v>
      </c>
      <c r="Q162" s="96">
        <v>0.17993108902943322</v>
      </c>
      <c r="R162" s="96">
        <v>0.17822158408417235</v>
      </c>
      <c r="S162" s="96">
        <v>0.17720821582670607</v>
      </c>
      <c r="T162" s="96">
        <v>0.1768934721677296</v>
      </c>
      <c r="U162" s="96">
        <v>0.17692024853420152</v>
      </c>
      <c r="V162" s="96">
        <v>0.17741810392608201</v>
      </c>
      <c r="W162" s="96">
        <v>0.17695458739987682</v>
      </c>
      <c r="X162" s="96">
        <v>0.17696207476243686</v>
      </c>
      <c r="Y162" s="96">
        <v>0.17692863113628221</v>
      </c>
      <c r="DA162" s="171" t="s">
        <v>573</v>
      </c>
    </row>
    <row r="163" spans="1:105" ht="11.45" customHeight="1" x14ac:dyDescent="0.25">
      <c r="A163" s="109" t="s">
        <v>154</v>
      </c>
      <c r="B163" s="130">
        <f t="shared" ref="B163:K163" si="215">IF(B26=0,0,B26/B53)</f>
        <v>10.662529552549838</v>
      </c>
      <c r="C163" s="130">
        <f t="shared" si="215"/>
        <v>10.611590697112076</v>
      </c>
      <c r="D163" s="130">
        <f t="shared" si="215"/>
        <v>10.528666135243819</v>
      </c>
      <c r="E163" s="130">
        <f t="shared" si="215"/>
        <v>10.309450201132332</v>
      </c>
      <c r="F163" s="130">
        <f t="shared" si="215"/>
        <v>9.9684187278663039</v>
      </c>
      <c r="G163" s="130">
        <f t="shared" si="215"/>
        <v>9.8514625754868046</v>
      </c>
      <c r="H163" s="130">
        <f t="shared" si="215"/>
        <v>9.9906840610039218</v>
      </c>
      <c r="I163" s="130">
        <f t="shared" si="215"/>
        <v>9.7934002336916262</v>
      </c>
      <c r="J163" s="130">
        <f t="shared" si="215"/>
        <v>9.7132323859243481</v>
      </c>
      <c r="K163" s="130">
        <f t="shared" si="215"/>
        <v>9.4762807503157696</v>
      </c>
      <c r="L163" s="130">
        <f t="shared" ref="L163" si="216">IF(L26=0,0,L26/L53)</f>
        <v>9.5167066386412387</v>
      </c>
      <c r="M163" s="130">
        <f t="shared" ref="M163:V163" si="217">IF(M26=0,0,M26/M53)</f>
        <v>9.4091943381808729</v>
      </c>
      <c r="N163" s="130">
        <f t="shared" si="217"/>
        <v>9.5090091013662743</v>
      </c>
      <c r="O163" s="130">
        <f t="shared" si="217"/>
        <v>9.7082647014204362</v>
      </c>
      <c r="P163" s="130">
        <f t="shared" si="217"/>
        <v>9.5871637046636931</v>
      </c>
      <c r="Q163" s="130">
        <f t="shared" si="217"/>
        <v>9.5818047140309268</v>
      </c>
      <c r="R163" s="130">
        <f t="shared" si="217"/>
        <v>9.7467314027209184</v>
      </c>
      <c r="S163" s="130">
        <f t="shared" si="217"/>
        <v>9.9945849219162479</v>
      </c>
      <c r="T163" s="130">
        <f t="shared" si="217"/>
        <v>9.7834807917352116</v>
      </c>
      <c r="U163" s="130">
        <f t="shared" si="217"/>
        <v>10.227392928235806</v>
      </c>
      <c r="V163" s="130">
        <f t="shared" si="217"/>
        <v>10.08100007452197</v>
      </c>
      <c r="W163" s="130">
        <f t="shared" ref="W163:Y163" si="218">IF(W26=0,0,W26/W53)</f>
        <v>10.226247231807465</v>
      </c>
      <c r="X163" s="130">
        <f t="shared" si="218"/>
        <v>10.520767690325334</v>
      </c>
      <c r="Y163" s="130">
        <f t="shared" si="218"/>
        <v>10.441976216904925</v>
      </c>
      <c r="DA163" s="176" t="s">
        <v>574</v>
      </c>
    </row>
    <row r="164" spans="1:105" ht="11.45" customHeight="1" x14ac:dyDescent="0.25">
      <c r="A164" s="128" t="s">
        <v>27</v>
      </c>
      <c r="B164" s="97">
        <v>9.7099832011375771</v>
      </c>
      <c r="C164" s="97">
        <v>9.6107903726216204</v>
      </c>
      <c r="D164" s="97">
        <v>9.4728211391317227</v>
      </c>
      <c r="E164" s="97">
        <v>9.2678138009860174</v>
      </c>
      <c r="F164" s="97">
        <v>8.8832678948958019</v>
      </c>
      <c r="G164" s="97">
        <v>8.7507179781734639</v>
      </c>
      <c r="H164" s="97">
        <v>8.6529780107761756</v>
      </c>
      <c r="I164" s="97">
        <v>8.6085078534031414</v>
      </c>
      <c r="J164" s="97">
        <v>8.6355667627281463</v>
      </c>
      <c r="K164" s="97">
        <v>8.536156913460502</v>
      </c>
      <c r="L164" s="97">
        <v>8.3776238027307919</v>
      </c>
      <c r="M164" s="97">
        <v>8.3002497456294506</v>
      </c>
      <c r="N164" s="97">
        <v>8.3275329778276728</v>
      </c>
      <c r="O164" s="97">
        <v>8.6059878184781677</v>
      </c>
      <c r="P164" s="97">
        <v>8.4125892390736556</v>
      </c>
      <c r="Q164" s="97">
        <v>8.4877158842130864</v>
      </c>
      <c r="R164" s="97">
        <v>8.5946643024099298</v>
      </c>
      <c r="S164" s="97">
        <v>8.8535182180262577</v>
      </c>
      <c r="T164" s="97">
        <v>8.680896155010597</v>
      </c>
      <c r="U164" s="97">
        <v>9.1097458597267806</v>
      </c>
      <c r="V164" s="97">
        <v>9.0570550800965552</v>
      </c>
      <c r="W164" s="97">
        <v>9.2034975066602911</v>
      </c>
      <c r="X164" s="97">
        <v>9.5604560660886193</v>
      </c>
      <c r="Y164" s="97">
        <v>9.4595466984773005</v>
      </c>
      <c r="DA164" s="175" t="s">
        <v>575</v>
      </c>
    </row>
    <row r="165" spans="1:105" ht="11.45" customHeight="1" x14ac:dyDescent="0.25">
      <c r="A165" s="138" t="s">
        <v>116</v>
      </c>
      <c r="B165" s="98">
        <v>14.257421972058397</v>
      </c>
      <c r="C165" s="98">
        <v>14.245058387803748</v>
      </c>
      <c r="D165" s="98">
        <v>14.338603689647607</v>
      </c>
      <c r="E165" s="98">
        <v>14.254152494203543</v>
      </c>
      <c r="F165" s="98">
        <v>13.993137904941619</v>
      </c>
      <c r="G165" s="98">
        <v>13.999403714336369</v>
      </c>
      <c r="H165" s="98">
        <v>14.088849058887034</v>
      </c>
      <c r="I165" s="98">
        <v>14.115262081857328</v>
      </c>
      <c r="J165" s="98">
        <v>13.915448013039786</v>
      </c>
      <c r="K165" s="98">
        <v>13.731801555818866</v>
      </c>
      <c r="L165" s="98">
        <v>14.178700182725073</v>
      </c>
      <c r="M165" s="98">
        <v>14.13320367045681</v>
      </c>
      <c r="N165" s="98">
        <v>14.086426180736334</v>
      </c>
      <c r="O165" s="98">
        <v>14.105166269382361</v>
      </c>
      <c r="P165" s="98">
        <v>14.138211571635042</v>
      </c>
      <c r="Q165" s="98">
        <v>14.005556317739059</v>
      </c>
      <c r="R165" s="98">
        <v>13.933281647068958</v>
      </c>
      <c r="S165" s="98">
        <v>14.0120381138928</v>
      </c>
      <c r="T165" s="98">
        <v>14.146454243557947</v>
      </c>
      <c r="U165" s="98">
        <v>14.062037656310167</v>
      </c>
      <c r="V165" s="98">
        <v>13.861910981613583</v>
      </c>
      <c r="W165" s="98">
        <v>14.046303126595927</v>
      </c>
      <c r="X165" s="98">
        <v>13.993433342768185</v>
      </c>
      <c r="Y165" s="98">
        <v>13.837303725369457</v>
      </c>
      <c r="DA165" s="178" t="s">
        <v>576</v>
      </c>
    </row>
    <row r="166" spans="1:105" ht="11.45" customHeight="1" x14ac:dyDescent="0.25">
      <c r="A166" s="106"/>
      <c r="B166" s="106"/>
      <c r="C166" s="106"/>
      <c r="D166" s="106"/>
      <c r="E166" s="106"/>
      <c r="F166" s="106"/>
      <c r="G166" s="106"/>
      <c r="H166" s="106"/>
      <c r="I166" s="106"/>
      <c r="J166" s="106"/>
      <c r="K166" s="106"/>
      <c r="L166" s="106"/>
      <c r="M166" s="106"/>
      <c r="N166" s="106"/>
      <c r="O166" s="106"/>
      <c r="P166" s="106"/>
      <c r="Q166" s="106"/>
      <c r="R166" s="106"/>
      <c r="S166" s="106"/>
      <c r="T166" s="106"/>
      <c r="U166" s="106"/>
      <c r="V166" s="106"/>
      <c r="W166" s="106"/>
      <c r="X166" s="106"/>
      <c r="Y166" s="106"/>
      <c r="DA166" s="171"/>
    </row>
    <row r="167" spans="1:105" ht="11.45" customHeight="1" x14ac:dyDescent="0.25">
      <c r="A167" s="53" t="s">
        <v>136</v>
      </c>
      <c r="B167" s="54">
        <f t="shared" ref="B167:V180" si="219">IF(B30=0,0,B30*1000000/B57)</f>
        <v>7729.2640340140742</v>
      </c>
      <c r="C167" s="54">
        <f t="shared" si="219"/>
        <v>7095.5054024631681</v>
      </c>
      <c r="D167" s="54">
        <f t="shared" si="219"/>
        <v>6920.8516148320423</v>
      </c>
      <c r="E167" s="54">
        <f t="shared" si="219"/>
        <v>7067.7355662438304</v>
      </c>
      <c r="F167" s="54">
        <f t="shared" si="219"/>
        <v>7575.5748969759206</v>
      </c>
      <c r="G167" s="54">
        <f t="shared" si="219"/>
        <v>7260.6474044422193</v>
      </c>
      <c r="H167" s="54">
        <f t="shared" si="219"/>
        <v>7400.5015274124144</v>
      </c>
      <c r="I167" s="54">
        <f t="shared" si="219"/>
        <v>7428.9477631620612</v>
      </c>
      <c r="J167" s="54">
        <f t="shared" si="219"/>
        <v>7328.1099233149098</v>
      </c>
      <c r="K167" s="54">
        <f t="shared" si="219"/>
        <v>7544.8743376776292</v>
      </c>
      <c r="L167" s="54">
        <f t="shared" si="219"/>
        <v>7657.1243319761688</v>
      </c>
      <c r="M167" s="54">
        <f>IF(M30=0,0,M30*1000000/M57)</f>
        <v>7483.6673629642519</v>
      </c>
      <c r="N167" s="54">
        <f t="shared" ref="N167:V167" si="220">IF(N30=0,0,N30*1000000/N57)</f>
        <v>7219.2884519216695</v>
      </c>
      <c r="O167" s="54">
        <f t="shared" si="220"/>
        <v>6827.7711012585478</v>
      </c>
      <c r="P167" s="54">
        <f t="shared" si="220"/>
        <v>6667.8369723957439</v>
      </c>
      <c r="Q167" s="54">
        <f t="shared" si="220"/>
        <v>6832.0211057153456</v>
      </c>
      <c r="R167" s="54">
        <f t="shared" si="220"/>
        <v>6866.4286324113818</v>
      </c>
      <c r="S167" s="54">
        <f t="shared" si="220"/>
        <v>7269.3108339131386</v>
      </c>
      <c r="T167" s="54">
        <f t="shared" si="220"/>
        <v>7473.5962704500516</v>
      </c>
      <c r="U167" s="54">
        <f t="shared" si="220"/>
        <v>7451.9350865290817</v>
      </c>
      <c r="V167" s="54">
        <f t="shared" si="220"/>
        <v>7328.4707508553047</v>
      </c>
      <c r="W167" s="54">
        <f t="shared" ref="W167:Y191" si="221">IF(W30=0,0,W30*1000000/W57)</f>
        <v>7145.4605977792944</v>
      </c>
      <c r="X167" s="54">
        <f t="shared" si="221"/>
        <v>7311.5191977584254</v>
      </c>
      <c r="Y167" s="54">
        <f t="shared" si="221"/>
        <v>7304.6470281313505</v>
      </c>
      <c r="DA167" s="172" t="s">
        <v>577</v>
      </c>
    </row>
    <row r="168" spans="1:105" ht="11.45" customHeight="1" x14ac:dyDescent="0.25">
      <c r="A168" s="27" t="s">
        <v>33</v>
      </c>
      <c r="B168" s="28">
        <f t="shared" si="219"/>
        <v>6769.3057592886153</v>
      </c>
      <c r="C168" s="28">
        <f t="shared" si="219"/>
        <v>6149.0488013342374</v>
      </c>
      <c r="D168" s="28">
        <f t="shared" si="219"/>
        <v>5970.7427365516041</v>
      </c>
      <c r="E168" s="28">
        <f t="shared" si="219"/>
        <v>6104.5062178845728</v>
      </c>
      <c r="F168" s="28">
        <f t="shared" si="219"/>
        <v>6651.907302610377</v>
      </c>
      <c r="G168" s="28">
        <f t="shared" si="219"/>
        <v>6311.8123460930819</v>
      </c>
      <c r="H168" s="28">
        <f t="shared" si="219"/>
        <v>6486.3879491588987</v>
      </c>
      <c r="I168" s="28">
        <f t="shared" si="219"/>
        <v>6570.6152674473187</v>
      </c>
      <c r="J168" s="28">
        <f t="shared" si="219"/>
        <v>6508.4844666453728</v>
      </c>
      <c r="K168" s="28">
        <f t="shared" si="219"/>
        <v>6698.8213305623649</v>
      </c>
      <c r="L168" s="28">
        <f t="shared" si="219"/>
        <v>6817.8716895074613</v>
      </c>
      <c r="M168" s="28">
        <f t="shared" ref="M168:M192" si="222">IF(M31=0,0,M31*1000000/M58)</f>
        <v>6613.0361087726696</v>
      </c>
      <c r="N168" s="28">
        <f t="shared" si="219"/>
        <v>6358.6284890514635</v>
      </c>
      <c r="O168" s="28">
        <f t="shared" si="219"/>
        <v>5901.8993624861678</v>
      </c>
      <c r="P168" s="28">
        <f t="shared" si="219"/>
        <v>5764.2523840172571</v>
      </c>
      <c r="Q168" s="28">
        <f t="shared" si="219"/>
        <v>5958.5164429100287</v>
      </c>
      <c r="R168" s="28">
        <f t="shared" si="219"/>
        <v>5982.5242310853282</v>
      </c>
      <c r="S168" s="28">
        <f t="shared" si="219"/>
        <v>6380.9254599818305</v>
      </c>
      <c r="T168" s="28">
        <f t="shared" si="219"/>
        <v>6651.5419527701733</v>
      </c>
      <c r="U168" s="28">
        <f t="shared" si="219"/>
        <v>6617.3900847586719</v>
      </c>
      <c r="V168" s="28">
        <f t="shared" si="219"/>
        <v>6505.6535654539539</v>
      </c>
      <c r="W168" s="28">
        <f t="shared" si="221"/>
        <v>6275.1979085007142</v>
      </c>
      <c r="X168" s="28">
        <f t="shared" si="221"/>
        <v>6474.878033128286</v>
      </c>
      <c r="Y168" s="28">
        <f t="shared" si="221"/>
        <v>6514.3021908327682</v>
      </c>
      <c r="DA168" s="173" t="s">
        <v>578</v>
      </c>
    </row>
    <row r="169" spans="1:105" ht="11.45" customHeight="1" x14ac:dyDescent="0.25">
      <c r="A169" s="136" t="s">
        <v>173</v>
      </c>
      <c r="B169" s="137">
        <f t="shared" si="219"/>
        <v>2708.3084637226029</v>
      </c>
      <c r="C169" s="137">
        <f t="shared" si="219"/>
        <v>2416.8957519330306</v>
      </c>
      <c r="D169" s="137">
        <f t="shared" si="219"/>
        <v>2123.5101293649859</v>
      </c>
      <c r="E169" s="137">
        <f t="shared" si="219"/>
        <v>2010.6820831544546</v>
      </c>
      <c r="F169" s="137">
        <f t="shared" si="219"/>
        <v>1934.5708239800795</v>
      </c>
      <c r="G169" s="137">
        <f t="shared" si="219"/>
        <v>1645.8301439438605</v>
      </c>
      <c r="H169" s="137">
        <f t="shared" si="219"/>
        <v>1600.881345984413</v>
      </c>
      <c r="I169" s="137">
        <f t="shared" si="219"/>
        <v>1529.3950558982272</v>
      </c>
      <c r="J169" s="137">
        <f t="shared" si="219"/>
        <v>1299.0144164847002</v>
      </c>
      <c r="K169" s="137">
        <f t="shared" si="219"/>
        <v>1272.9960358581498</v>
      </c>
      <c r="L169" s="137">
        <f t="shared" si="219"/>
        <v>1283.5241359317522</v>
      </c>
      <c r="M169" s="137">
        <f t="shared" si="222"/>
        <v>1180.1110754337767</v>
      </c>
      <c r="N169" s="137">
        <f t="shared" si="219"/>
        <v>1132.3291458970918</v>
      </c>
      <c r="O169" s="137">
        <f t="shared" si="219"/>
        <v>1048.4285227120661</v>
      </c>
      <c r="P169" s="137">
        <f t="shared" si="219"/>
        <v>1021.4018091479799</v>
      </c>
      <c r="Q169" s="137">
        <f t="shared" si="219"/>
        <v>1013.6992794842624</v>
      </c>
      <c r="R169" s="137">
        <f t="shared" si="219"/>
        <v>1032.2835901035967</v>
      </c>
      <c r="S169" s="137">
        <f t="shared" si="219"/>
        <v>942.49840295938452</v>
      </c>
      <c r="T169" s="137">
        <f t="shared" si="219"/>
        <v>872.0241565717871</v>
      </c>
      <c r="U169" s="137">
        <f t="shared" si="219"/>
        <v>896.83773987832217</v>
      </c>
      <c r="V169" s="137">
        <f t="shared" si="219"/>
        <v>778.8131213947745</v>
      </c>
      <c r="W169" s="137">
        <f t="shared" si="221"/>
        <v>785.76145060391173</v>
      </c>
      <c r="X169" s="137">
        <f t="shared" si="221"/>
        <v>772.72936823370799</v>
      </c>
      <c r="Y169" s="137">
        <f t="shared" si="221"/>
        <v>809.58026505465091</v>
      </c>
      <c r="DA169" s="174" t="s">
        <v>579</v>
      </c>
    </row>
    <row r="170" spans="1:105" ht="11.45" customHeight="1" x14ac:dyDescent="0.25">
      <c r="A170" s="109" t="s">
        <v>20</v>
      </c>
      <c r="B170" s="110">
        <f t="shared" si="219"/>
        <v>6956.1868734689442</v>
      </c>
      <c r="C170" s="110">
        <f t="shared" si="219"/>
        <v>6295.994825115652</v>
      </c>
      <c r="D170" s="110">
        <f t="shared" si="219"/>
        <v>6143.7220628606183</v>
      </c>
      <c r="E170" s="110">
        <f t="shared" si="219"/>
        <v>6286.8595725440418</v>
      </c>
      <c r="F170" s="110">
        <f t="shared" si="219"/>
        <v>6864.6144849949451</v>
      </c>
      <c r="G170" s="110">
        <f t="shared" si="219"/>
        <v>6611.0645364544962</v>
      </c>
      <c r="H170" s="110">
        <f t="shared" si="219"/>
        <v>6820.6783886363819</v>
      </c>
      <c r="I170" s="110">
        <f t="shared" si="219"/>
        <v>6944.3553537292983</v>
      </c>
      <c r="J170" s="110">
        <f t="shared" si="219"/>
        <v>6946.3002987689542</v>
      </c>
      <c r="K170" s="110">
        <f t="shared" si="219"/>
        <v>7212.8374297915407</v>
      </c>
      <c r="L170" s="110">
        <f t="shared" si="219"/>
        <v>7362.5146310098671</v>
      </c>
      <c r="M170" s="110">
        <f t="shared" si="222"/>
        <v>7169.333212035619</v>
      </c>
      <c r="N170" s="110">
        <f t="shared" si="219"/>
        <v>6904.2191323861989</v>
      </c>
      <c r="O170" s="110">
        <f t="shared" si="219"/>
        <v>6413.1747742075659</v>
      </c>
      <c r="P170" s="110">
        <f t="shared" si="219"/>
        <v>6267.0586853169325</v>
      </c>
      <c r="Q170" s="110">
        <f t="shared" si="219"/>
        <v>6488.0059474705722</v>
      </c>
      <c r="R170" s="110">
        <f t="shared" si="219"/>
        <v>6518.397579721418</v>
      </c>
      <c r="S170" s="110">
        <f t="shared" si="219"/>
        <v>6983.568617127481</v>
      </c>
      <c r="T170" s="110">
        <f t="shared" si="219"/>
        <v>7298.2069011905342</v>
      </c>
      <c r="U170" s="110">
        <f t="shared" si="219"/>
        <v>7252.2969680741171</v>
      </c>
      <c r="V170" s="110">
        <f t="shared" si="219"/>
        <v>7149.7224383275006</v>
      </c>
      <c r="W170" s="110">
        <f t="shared" si="221"/>
        <v>6892.9609520482927</v>
      </c>
      <c r="X170" s="110">
        <f t="shared" si="221"/>
        <v>7138.0757301221292</v>
      </c>
      <c r="Y170" s="110">
        <f t="shared" si="221"/>
        <v>7192.0677439888314</v>
      </c>
      <c r="DA170" s="176" t="s">
        <v>580</v>
      </c>
    </row>
    <row r="171" spans="1:105" ht="11.45" customHeight="1" x14ac:dyDescent="0.25">
      <c r="A171" s="111" t="s">
        <v>110</v>
      </c>
      <c r="B171" s="84">
        <f t="shared" si="219"/>
        <v>6803.8047549028506</v>
      </c>
      <c r="C171" s="84">
        <f t="shared" si="219"/>
        <v>5886.7971651372382</v>
      </c>
      <c r="D171" s="84">
        <f t="shared" si="219"/>
        <v>5731.3903326527052</v>
      </c>
      <c r="E171" s="84">
        <f t="shared" si="219"/>
        <v>5597.6322481926163</v>
      </c>
      <c r="F171" s="84">
        <f t="shared" si="219"/>
        <v>5811.4550499623647</v>
      </c>
      <c r="G171" s="84">
        <f t="shared" si="219"/>
        <v>5565.8849755401279</v>
      </c>
      <c r="H171" s="84">
        <f t="shared" si="219"/>
        <v>5545.5628738767</v>
      </c>
      <c r="I171" s="84">
        <f t="shared" si="219"/>
        <v>5303.1005448472797</v>
      </c>
      <c r="J171" s="84">
        <f t="shared" si="219"/>
        <v>4997.808680913884</v>
      </c>
      <c r="K171" s="84">
        <f t="shared" si="219"/>
        <v>5060.7451515807352</v>
      </c>
      <c r="L171" s="84">
        <f t="shared" si="219"/>
        <v>4884.5527168388908</v>
      </c>
      <c r="M171" s="84">
        <f t="shared" si="222"/>
        <v>4552.7897712283848</v>
      </c>
      <c r="N171" s="84">
        <f t="shared" si="219"/>
        <v>4380.04686620958</v>
      </c>
      <c r="O171" s="84">
        <f t="shared" si="219"/>
        <v>4237.6307075838831</v>
      </c>
      <c r="P171" s="84">
        <f t="shared" si="219"/>
        <v>4112.0429888575291</v>
      </c>
      <c r="Q171" s="84">
        <f t="shared" si="219"/>
        <v>4268.5868167880308</v>
      </c>
      <c r="R171" s="84">
        <f t="shared" si="219"/>
        <v>4200.584567989883</v>
      </c>
      <c r="S171" s="84">
        <f t="shared" si="219"/>
        <v>4493.0097678294487</v>
      </c>
      <c r="T171" s="84">
        <f t="shared" si="219"/>
        <v>4680.9849457260052</v>
      </c>
      <c r="U171" s="84">
        <f t="shared" si="219"/>
        <v>4737.4764061640308</v>
      </c>
      <c r="V171" s="84">
        <f t="shared" si="219"/>
        <v>4578.3110913195796</v>
      </c>
      <c r="W171" s="84">
        <f t="shared" si="221"/>
        <v>4926.9822287458774</v>
      </c>
      <c r="X171" s="84">
        <f t="shared" si="221"/>
        <v>5227.9654828331113</v>
      </c>
      <c r="Y171" s="84">
        <f t="shared" si="221"/>
        <v>5575.7899118789192</v>
      </c>
      <c r="DA171" s="171" t="s">
        <v>581</v>
      </c>
    </row>
    <row r="172" spans="1:105" ht="11.45" customHeight="1" x14ac:dyDescent="0.25">
      <c r="A172" s="111" t="s">
        <v>111</v>
      </c>
      <c r="B172" s="84">
        <f t="shared" si="219"/>
        <v>7198.6131685289583</v>
      </c>
      <c r="C172" s="84">
        <f t="shared" si="219"/>
        <v>8059.1180864162025</v>
      </c>
      <c r="D172" s="84">
        <f t="shared" si="219"/>
        <v>7789.8170068161689</v>
      </c>
      <c r="E172" s="84">
        <f t="shared" si="219"/>
        <v>9053.9466173188212</v>
      </c>
      <c r="F172" s="84">
        <f t="shared" si="219"/>
        <v>10793.333380174225</v>
      </c>
      <c r="G172" s="84">
        <f t="shared" si="219"/>
        <v>11237.979798594126</v>
      </c>
      <c r="H172" s="84">
        <f t="shared" si="219"/>
        <v>11808.434618543562</v>
      </c>
      <c r="I172" s="84">
        <f t="shared" si="219"/>
        <v>12577.935091579275</v>
      </c>
      <c r="J172" s="84">
        <f t="shared" si="219"/>
        <v>12677.532658853999</v>
      </c>
      <c r="K172" s="84">
        <f t="shared" si="219"/>
        <v>12894.794155439638</v>
      </c>
      <c r="L172" s="84">
        <f t="shared" si="219"/>
        <v>12897.993904504045</v>
      </c>
      <c r="M172" s="84">
        <f t="shared" si="222"/>
        <v>12616.611585108925</v>
      </c>
      <c r="N172" s="84">
        <f t="shared" si="219"/>
        <v>11969.644958282999</v>
      </c>
      <c r="O172" s="84">
        <f t="shared" si="219"/>
        <v>10474.901256205605</v>
      </c>
      <c r="P172" s="84">
        <f t="shared" si="219"/>
        <v>10087.981543795257</v>
      </c>
      <c r="Q172" s="84">
        <f t="shared" si="219"/>
        <v>10348.16424990415</v>
      </c>
      <c r="R172" s="84">
        <f t="shared" si="219"/>
        <v>10053.549812832833</v>
      </c>
      <c r="S172" s="84">
        <f t="shared" si="219"/>
        <v>10668.602421832968</v>
      </c>
      <c r="T172" s="84">
        <f t="shared" si="219"/>
        <v>11058.94630189998</v>
      </c>
      <c r="U172" s="84">
        <f t="shared" si="219"/>
        <v>10838.05726027922</v>
      </c>
      <c r="V172" s="84">
        <f t="shared" si="219"/>
        <v>10868.582822049257</v>
      </c>
      <c r="W172" s="84">
        <f t="shared" si="221"/>
        <v>9571.7701625851041</v>
      </c>
      <c r="X172" s="84">
        <f t="shared" si="221"/>
        <v>9644.0462117420502</v>
      </c>
      <c r="Y172" s="84">
        <f t="shared" si="221"/>
        <v>9204.8900830450184</v>
      </c>
      <c r="DA172" s="171" t="s">
        <v>582</v>
      </c>
    </row>
    <row r="173" spans="1:105" ht="11.45" customHeight="1" x14ac:dyDescent="0.25">
      <c r="A173" s="111" t="s">
        <v>112</v>
      </c>
      <c r="B173" s="84">
        <f t="shared" si="219"/>
        <v>8487.6555986232925</v>
      </c>
      <c r="C173" s="84">
        <f t="shared" si="219"/>
        <v>7568.2270598172045</v>
      </c>
      <c r="D173" s="84">
        <f t="shared" si="219"/>
        <v>7084.6201705081867</v>
      </c>
      <c r="E173" s="84">
        <f t="shared" si="219"/>
        <v>7249.8569527360523</v>
      </c>
      <c r="F173" s="84">
        <f t="shared" si="219"/>
        <v>8043.765689011293</v>
      </c>
      <c r="G173" s="84">
        <f t="shared" si="219"/>
        <v>8008.8200569301271</v>
      </c>
      <c r="H173" s="84">
        <f t="shared" si="219"/>
        <v>8234.4629831531638</v>
      </c>
      <c r="I173" s="84">
        <f t="shared" si="219"/>
        <v>8307.2290425282918</v>
      </c>
      <c r="J173" s="84">
        <f t="shared" si="219"/>
        <v>8188.7330053800433</v>
      </c>
      <c r="K173" s="84">
        <f t="shared" si="219"/>
        <v>8209.087678006319</v>
      </c>
      <c r="L173" s="84">
        <f t="shared" si="219"/>
        <v>8758.2917429330137</v>
      </c>
      <c r="M173" s="84">
        <f t="shared" si="222"/>
        <v>8500.706947397879</v>
      </c>
      <c r="N173" s="84">
        <f t="shared" si="219"/>
        <v>7951.5171752594888</v>
      </c>
      <c r="O173" s="84">
        <f t="shared" si="219"/>
        <v>7285.9358899054669</v>
      </c>
      <c r="P173" s="84">
        <f t="shared" si="219"/>
        <v>7041.0621236920106</v>
      </c>
      <c r="Q173" s="84">
        <f t="shared" si="219"/>
        <v>7269.4922331793896</v>
      </c>
      <c r="R173" s="84">
        <f t="shared" si="219"/>
        <v>7814.2179919242681</v>
      </c>
      <c r="S173" s="84">
        <f t="shared" si="219"/>
        <v>8639.7221709328969</v>
      </c>
      <c r="T173" s="84">
        <f t="shared" si="219"/>
        <v>8850.7119659602304</v>
      </c>
      <c r="U173" s="84">
        <f t="shared" si="219"/>
        <v>8776.3576899802138</v>
      </c>
      <c r="V173" s="84">
        <f t="shared" si="219"/>
        <v>8503.375155330501</v>
      </c>
      <c r="W173" s="84">
        <f t="shared" si="221"/>
        <v>8334.7894155483064</v>
      </c>
      <c r="X173" s="84">
        <f t="shared" si="221"/>
        <v>8767.7253471725799</v>
      </c>
      <c r="Y173" s="84">
        <f t="shared" si="221"/>
        <v>8714.3154302273269</v>
      </c>
      <c r="DA173" s="171" t="s">
        <v>583</v>
      </c>
    </row>
    <row r="174" spans="1:105" ht="11.45" customHeight="1" x14ac:dyDescent="0.25">
      <c r="A174" s="111" t="s">
        <v>113</v>
      </c>
      <c r="B174" s="84">
        <f t="shared" si="219"/>
        <v>0</v>
      </c>
      <c r="C174" s="84">
        <f t="shared" si="219"/>
        <v>0</v>
      </c>
      <c r="D174" s="84">
        <f t="shared" si="219"/>
        <v>0</v>
      </c>
      <c r="E174" s="84">
        <f t="shared" si="219"/>
        <v>0</v>
      </c>
      <c r="F174" s="84">
        <f t="shared" si="219"/>
        <v>0</v>
      </c>
      <c r="G174" s="84">
        <f t="shared" si="219"/>
        <v>0</v>
      </c>
      <c r="H174" s="84">
        <f t="shared" si="219"/>
        <v>0</v>
      </c>
      <c r="I174" s="84">
        <f t="shared" si="219"/>
        <v>0</v>
      </c>
      <c r="J174" s="84">
        <f t="shared" si="219"/>
        <v>0</v>
      </c>
      <c r="K174" s="84">
        <f t="shared" si="219"/>
        <v>0</v>
      </c>
      <c r="L174" s="84">
        <f t="shared" si="219"/>
        <v>0</v>
      </c>
      <c r="M174" s="84">
        <f t="shared" si="222"/>
        <v>0</v>
      </c>
      <c r="N174" s="84">
        <f t="shared" si="219"/>
        <v>0</v>
      </c>
      <c r="O174" s="84">
        <f t="shared" si="219"/>
        <v>0</v>
      </c>
      <c r="P174" s="84">
        <f t="shared" si="219"/>
        <v>0</v>
      </c>
      <c r="Q174" s="84">
        <f t="shared" si="219"/>
        <v>8070.8022348890936</v>
      </c>
      <c r="R174" s="84">
        <f t="shared" si="219"/>
        <v>7841.0247787409853</v>
      </c>
      <c r="S174" s="84">
        <f t="shared" si="219"/>
        <v>8756.9301633000487</v>
      </c>
      <c r="T174" s="84">
        <f t="shared" si="219"/>
        <v>9061.3962454955417</v>
      </c>
      <c r="U174" s="84">
        <f t="shared" si="219"/>
        <v>9076.032347576107</v>
      </c>
      <c r="V174" s="84">
        <f t="shared" si="219"/>
        <v>8647.8050509568129</v>
      </c>
      <c r="W174" s="84">
        <f t="shared" si="221"/>
        <v>8445.0788730806453</v>
      </c>
      <c r="X174" s="84">
        <f t="shared" si="221"/>
        <v>8648.0807362144042</v>
      </c>
      <c r="Y174" s="84">
        <f t="shared" si="221"/>
        <v>8682.2218711133046</v>
      </c>
      <c r="DA174" s="171" t="s">
        <v>584</v>
      </c>
    </row>
    <row r="175" spans="1:105" ht="11.45" customHeight="1" x14ac:dyDescent="0.25">
      <c r="A175" s="111" t="s">
        <v>114</v>
      </c>
      <c r="B175" s="84">
        <f t="shared" si="219"/>
        <v>0</v>
      </c>
      <c r="C175" s="84">
        <f t="shared" si="219"/>
        <v>0</v>
      </c>
      <c r="D175" s="84">
        <f t="shared" si="219"/>
        <v>0</v>
      </c>
      <c r="E175" s="84">
        <f t="shared" si="219"/>
        <v>0</v>
      </c>
      <c r="F175" s="84">
        <f t="shared" si="219"/>
        <v>0</v>
      </c>
      <c r="G175" s="84">
        <f t="shared" si="219"/>
        <v>0</v>
      </c>
      <c r="H175" s="84">
        <f t="shared" si="219"/>
        <v>0</v>
      </c>
      <c r="I175" s="84">
        <f t="shared" si="219"/>
        <v>0</v>
      </c>
      <c r="J175" s="84">
        <f t="shared" si="219"/>
        <v>0</v>
      </c>
      <c r="K175" s="84">
        <f t="shared" si="219"/>
        <v>0</v>
      </c>
      <c r="L175" s="84">
        <f t="shared" si="219"/>
        <v>0</v>
      </c>
      <c r="M175" s="84">
        <f t="shared" si="222"/>
        <v>0</v>
      </c>
      <c r="N175" s="84">
        <f t="shared" si="219"/>
        <v>8913.3719720131248</v>
      </c>
      <c r="O175" s="84">
        <f t="shared" si="219"/>
        <v>8290.5875209107744</v>
      </c>
      <c r="P175" s="84">
        <f t="shared" si="219"/>
        <v>8163.0119006415789</v>
      </c>
      <c r="Q175" s="84">
        <f t="shared" si="219"/>
        <v>8685.8360684641339</v>
      </c>
      <c r="R175" s="84">
        <f t="shared" si="219"/>
        <v>9188.6416654463155</v>
      </c>
      <c r="S175" s="84">
        <f t="shared" si="219"/>
        <v>10056.722140006545</v>
      </c>
      <c r="T175" s="84">
        <f t="shared" si="219"/>
        <v>10198.252548694931</v>
      </c>
      <c r="U175" s="84">
        <f t="shared" si="219"/>
        <v>10010.430419636836</v>
      </c>
      <c r="V175" s="84">
        <f t="shared" si="219"/>
        <v>9600.4383397324618</v>
      </c>
      <c r="W175" s="84">
        <f t="shared" si="221"/>
        <v>9215.7125237296914</v>
      </c>
      <c r="X175" s="84">
        <f t="shared" si="221"/>
        <v>9596.4831545534853</v>
      </c>
      <c r="Y175" s="84">
        <f t="shared" si="221"/>
        <v>9441.6810506526726</v>
      </c>
      <c r="DA175" s="171" t="s">
        <v>585</v>
      </c>
    </row>
    <row r="176" spans="1:105" ht="11.45" customHeight="1" x14ac:dyDescent="0.25">
      <c r="A176" s="111" t="s">
        <v>115</v>
      </c>
      <c r="B176" s="84">
        <f t="shared" si="219"/>
        <v>0</v>
      </c>
      <c r="C176" s="84">
        <f t="shared" si="219"/>
        <v>0</v>
      </c>
      <c r="D176" s="84">
        <f t="shared" si="219"/>
        <v>0</v>
      </c>
      <c r="E176" s="84">
        <f t="shared" si="219"/>
        <v>0</v>
      </c>
      <c r="F176" s="84">
        <f t="shared" si="219"/>
        <v>0</v>
      </c>
      <c r="G176" s="84">
        <f t="shared" si="219"/>
        <v>0</v>
      </c>
      <c r="H176" s="84">
        <f t="shared" si="219"/>
        <v>0</v>
      </c>
      <c r="I176" s="84">
        <f t="shared" si="219"/>
        <v>0</v>
      </c>
      <c r="J176" s="84">
        <f t="shared" si="219"/>
        <v>0</v>
      </c>
      <c r="K176" s="84">
        <f t="shared" si="219"/>
        <v>0</v>
      </c>
      <c r="L176" s="84">
        <f t="shared" si="219"/>
        <v>7734.035038464478</v>
      </c>
      <c r="M176" s="84">
        <f t="shared" si="222"/>
        <v>7767.1978470689273</v>
      </c>
      <c r="N176" s="84">
        <f t="shared" si="219"/>
        <v>7784.3634607940212</v>
      </c>
      <c r="O176" s="84">
        <f t="shared" si="219"/>
        <v>7801.3509613741762</v>
      </c>
      <c r="P176" s="84">
        <f t="shared" si="219"/>
        <v>7813.4418050877503</v>
      </c>
      <c r="Q176" s="84">
        <f t="shared" si="219"/>
        <v>7834.7803167530565</v>
      </c>
      <c r="R176" s="84">
        <f t="shared" si="219"/>
        <v>7828.4918587864022</v>
      </c>
      <c r="S176" s="84">
        <f t="shared" si="219"/>
        <v>7802.1936047959398</v>
      </c>
      <c r="T176" s="84">
        <f t="shared" si="219"/>
        <v>7786.2210417938504</v>
      </c>
      <c r="U176" s="84">
        <f t="shared" si="219"/>
        <v>7781.5522496411331</v>
      </c>
      <c r="V176" s="84">
        <f t="shared" si="219"/>
        <v>7669.086407284457</v>
      </c>
      <c r="W176" s="84">
        <f t="shared" si="221"/>
        <v>8167.123740872019</v>
      </c>
      <c r="X176" s="84">
        <f t="shared" si="221"/>
        <v>7743.3155079169355</v>
      </c>
      <c r="Y176" s="84">
        <f t="shared" si="221"/>
        <v>7718.4175771227729</v>
      </c>
      <c r="DA176" s="171" t="s">
        <v>586</v>
      </c>
    </row>
    <row r="177" spans="1:105" ht="11.45" customHeight="1" x14ac:dyDescent="0.25">
      <c r="A177" s="109" t="s">
        <v>21</v>
      </c>
      <c r="B177" s="110">
        <f t="shared" si="219"/>
        <v>48167.534113499918</v>
      </c>
      <c r="C177" s="110">
        <f t="shared" si="219"/>
        <v>47218.509992295883</v>
      </c>
      <c r="D177" s="110">
        <f t="shared" si="219"/>
        <v>46314.326844205178</v>
      </c>
      <c r="E177" s="110">
        <f t="shared" si="219"/>
        <v>45384.417391186114</v>
      </c>
      <c r="F177" s="110">
        <f t="shared" si="219"/>
        <v>44690.835163138785</v>
      </c>
      <c r="G177" s="110">
        <f t="shared" si="219"/>
        <v>43848.862119223159</v>
      </c>
      <c r="H177" s="110">
        <f t="shared" si="219"/>
        <v>42958.653147708334</v>
      </c>
      <c r="I177" s="110">
        <f t="shared" si="219"/>
        <v>42192.713266564897</v>
      </c>
      <c r="J177" s="110">
        <f t="shared" si="219"/>
        <v>41373.046369332675</v>
      </c>
      <c r="K177" s="110">
        <f t="shared" si="219"/>
        <v>40620.400835326887</v>
      </c>
      <c r="L177" s="110">
        <f t="shared" si="219"/>
        <v>39854.059114743955</v>
      </c>
      <c r="M177" s="110">
        <f t="shared" si="222"/>
        <v>39130.027246518672</v>
      </c>
      <c r="N177" s="110">
        <f t="shared" si="219"/>
        <v>38354.270309745902</v>
      </c>
      <c r="O177" s="110">
        <f t="shared" si="219"/>
        <v>37644.856277304098</v>
      </c>
      <c r="P177" s="110">
        <f t="shared" si="219"/>
        <v>36970.525221970871</v>
      </c>
      <c r="Q177" s="110">
        <f t="shared" si="219"/>
        <v>36528.328695755139</v>
      </c>
      <c r="R177" s="110">
        <f t="shared" si="219"/>
        <v>34817.786009539646</v>
      </c>
      <c r="S177" s="110">
        <f t="shared" si="219"/>
        <v>33408.240412028674</v>
      </c>
      <c r="T177" s="110">
        <f t="shared" si="219"/>
        <v>31168.607853399557</v>
      </c>
      <c r="U177" s="110">
        <f t="shared" si="219"/>
        <v>31847.905198683526</v>
      </c>
      <c r="V177" s="110">
        <f t="shared" si="219"/>
        <v>31050.414137143009</v>
      </c>
      <c r="W177" s="110">
        <f t="shared" si="221"/>
        <v>30942.984346988407</v>
      </c>
      <c r="X177" s="110">
        <f t="shared" si="221"/>
        <v>30864.472333439884</v>
      </c>
      <c r="Y177" s="110">
        <f t="shared" si="221"/>
        <v>30348.644983019825</v>
      </c>
      <c r="DA177" s="176" t="s">
        <v>587</v>
      </c>
    </row>
    <row r="178" spans="1:105" ht="11.45" customHeight="1" x14ac:dyDescent="0.25">
      <c r="A178" s="111" t="s">
        <v>110</v>
      </c>
      <c r="B178" s="102">
        <f t="shared" si="219"/>
        <v>0</v>
      </c>
      <c r="C178" s="102">
        <f t="shared" si="219"/>
        <v>0</v>
      </c>
      <c r="D178" s="102">
        <f t="shared" si="219"/>
        <v>0</v>
      </c>
      <c r="E178" s="102">
        <f t="shared" si="219"/>
        <v>0</v>
      </c>
      <c r="F178" s="102">
        <f t="shared" si="219"/>
        <v>0</v>
      </c>
      <c r="G178" s="102">
        <f t="shared" si="219"/>
        <v>0</v>
      </c>
      <c r="H178" s="102">
        <f t="shared" si="219"/>
        <v>0</v>
      </c>
      <c r="I178" s="102">
        <f t="shared" si="219"/>
        <v>0</v>
      </c>
      <c r="J178" s="102">
        <f t="shared" si="219"/>
        <v>0</v>
      </c>
      <c r="K178" s="102">
        <f t="shared" si="219"/>
        <v>0</v>
      </c>
      <c r="L178" s="102">
        <f t="shared" si="219"/>
        <v>0</v>
      </c>
      <c r="M178" s="102">
        <f t="shared" si="222"/>
        <v>0</v>
      </c>
      <c r="N178" s="102">
        <f t="shared" si="219"/>
        <v>0</v>
      </c>
      <c r="O178" s="102">
        <f t="shared" si="219"/>
        <v>0</v>
      </c>
      <c r="P178" s="102">
        <f t="shared" si="219"/>
        <v>0</v>
      </c>
      <c r="Q178" s="102">
        <f t="shared" si="219"/>
        <v>0</v>
      </c>
      <c r="R178" s="102">
        <f t="shared" si="219"/>
        <v>0</v>
      </c>
      <c r="S178" s="102">
        <f t="shared" si="219"/>
        <v>0</v>
      </c>
      <c r="T178" s="102">
        <f t="shared" si="219"/>
        <v>0</v>
      </c>
      <c r="U178" s="102">
        <f t="shared" si="219"/>
        <v>0</v>
      </c>
      <c r="V178" s="102">
        <f t="shared" si="219"/>
        <v>0</v>
      </c>
      <c r="W178" s="102">
        <f t="shared" si="221"/>
        <v>0</v>
      </c>
      <c r="X178" s="102">
        <f t="shared" si="221"/>
        <v>0</v>
      </c>
      <c r="Y178" s="102">
        <f t="shared" si="221"/>
        <v>0</v>
      </c>
      <c r="DA178" s="175" t="s">
        <v>588</v>
      </c>
    </row>
    <row r="179" spans="1:105" ht="11.45" customHeight="1" x14ac:dyDescent="0.25">
      <c r="A179" s="111" t="s">
        <v>111</v>
      </c>
      <c r="B179" s="102">
        <f t="shared" si="219"/>
        <v>48667.195305253015</v>
      </c>
      <c r="C179" s="102">
        <f t="shared" si="219"/>
        <v>47670.534351677081</v>
      </c>
      <c r="D179" s="102">
        <f t="shared" si="219"/>
        <v>46711.150398927828</v>
      </c>
      <c r="E179" s="102">
        <f t="shared" si="219"/>
        <v>45726.918224702444</v>
      </c>
      <c r="F179" s="102">
        <f t="shared" si="219"/>
        <v>45514.88970034635</v>
      </c>
      <c r="G179" s="102">
        <f t="shared" si="219"/>
        <v>44618.623619855323</v>
      </c>
      <c r="H179" s="102">
        <f t="shared" si="219"/>
        <v>43673.394371714705</v>
      </c>
      <c r="I179" s="102">
        <f t="shared" si="219"/>
        <v>42821.56845349347</v>
      </c>
      <c r="J179" s="102">
        <f t="shared" si="219"/>
        <v>41943.88741038493</v>
      </c>
      <c r="K179" s="102">
        <f t="shared" si="219"/>
        <v>41120.631946094276</v>
      </c>
      <c r="L179" s="102">
        <f t="shared" si="219"/>
        <v>40297.357414244158</v>
      </c>
      <c r="M179" s="102">
        <f t="shared" si="222"/>
        <v>39515.317696607672</v>
      </c>
      <c r="N179" s="102">
        <f t="shared" si="219"/>
        <v>38699.646177719114</v>
      </c>
      <c r="O179" s="102">
        <f t="shared" si="219"/>
        <v>37940.843309738761</v>
      </c>
      <c r="P179" s="102">
        <f t="shared" si="219"/>
        <v>37217.977563189255</v>
      </c>
      <c r="Q179" s="102">
        <f t="shared" si="219"/>
        <v>36636.277326373667</v>
      </c>
      <c r="R179" s="102">
        <f t="shared" si="219"/>
        <v>34900.887156068929</v>
      </c>
      <c r="S179" s="102">
        <f t="shared" si="219"/>
        <v>33477.341494637665</v>
      </c>
      <c r="T179" s="102">
        <f t="shared" si="219"/>
        <v>31186.473947000824</v>
      </c>
      <c r="U179" s="102">
        <f t="shared" si="219"/>
        <v>31900.174563141296</v>
      </c>
      <c r="V179" s="102">
        <f t="shared" si="219"/>
        <v>31070.026790510121</v>
      </c>
      <c r="W179" s="102">
        <f t="shared" si="221"/>
        <v>30928.483769590326</v>
      </c>
      <c r="X179" s="102">
        <f t="shared" si="221"/>
        <v>30791.043382005366</v>
      </c>
      <c r="Y179" s="102">
        <f t="shared" si="221"/>
        <v>30216.0055631902</v>
      </c>
      <c r="DA179" s="175" t="s">
        <v>589</v>
      </c>
    </row>
    <row r="180" spans="1:105" ht="11.45" customHeight="1" x14ac:dyDescent="0.25">
      <c r="A180" s="111" t="s">
        <v>112</v>
      </c>
      <c r="B180" s="102">
        <f t="shared" si="219"/>
        <v>30389.932276628388</v>
      </c>
      <c r="C180" s="102">
        <f t="shared" si="219"/>
        <v>29761.546205656978</v>
      </c>
      <c r="D180" s="102">
        <f t="shared" si="219"/>
        <v>29163.438097665046</v>
      </c>
      <c r="E180" s="102">
        <f t="shared" si="219"/>
        <v>28548.921134567794</v>
      </c>
      <c r="F180" s="102">
        <f t="shared" ref="B180:V192" si="223">IF(F43=0,0,F43*1000000/F70)</f>
        <v>28090.98657072839</v>
      </c>
      <c r="G180" s="102">
        <f t="shared" si="223"/>
        <v>27535.555493464064</v>
      </c>
      <c r="H180" s="102">
        <f t="shared" si="223"/>
        <v>26948.884158767378</v>
      </c>
      <c r="I180" s="102">
        <f t="shared" si="223"/>
        <v>26444.595288660632</v>
      </c>
      <c r="J180" s="102">
        <f t="shared" si="223"/>
        <v>25905.439986014608</v>
      </c>
      <c r="K180" s="102">
        <f t="shared" si="223"/>
        <v>25410.83948289659</v>
      </c>
      <c r="L180" s="102">
        <f t="shared" si="223"/>
        <v>24907.70919900325</v>
      </c>
      <c r="M180" s="102">
        <f t="shared" si="222"/>
        <v>24432.800887530007</v>
      </c>
      <c r="N180" s="102">
        <f t="shared" si="223"/>
        <v>23924.452552675713</v>
      </c>
      <c r="O180" s="102">
        <f t="shared" si="223"/>
        <v>23460.027859959868</v>
      </c>
      <c r="P180" s="102">
        <f t="shared" si="223"/>
        <v>23018.975961749471</v>
      </c>
      <c r="Q180" s="102">
        <f t="shared" si="223"/>
        <v>22729.971446700776</v>
      </c>
      <c r="R180" s="102">
        <f t="shared" si="223"/>
        <v>21613.684481961594</v>
      </c>
      <c r="S180" s="102">
        <f t="shared" si="223"/>
        <v>20695.879178497762</v>
      </c>
      <c r="T180" s="102">
        <f t="shared" si="223"/>
        <v>19241.586308250087</v>
      </c>
      <c r="U180" s="102">
        <f t="shared" si="223"/>
        <v>19682.148915338676</v>
      </c>
      <c r="V180" s="102">
        <f t="shared" si="223"/>
        <v>19164.979753375221</v>
      </c>
      <c r="W180" s="102">
        <f t="shared" si="221"/>
        <v>19095.362419592217</v>
      </c>
      <c r="X180" s="102">
        <f t="shared" si="221"/>
        <v>19044.492207195774</v>
      </c>
      <c r="Y180" s="102">
        <f t="shared" si="221"/>
        <v>18710.434309485456</v>
      </c>
      <c r="DA180" s="175" t="s">
        <v>590</v>
      </c>
    </row>
    <row r="181" spans="1:105" ht="11.45" customHeight="1" x14ac:dyDescent="0.25">
      <c r="A181" s="111" t="s">
        <v>113</v>
      </c>
      <c r="B181" s="102">
        <f t="shared" si="223"/>
        <v>0</v>
      </c>
      <c r="C181" s="102">
        <f t="shared" si="223"/>
        <v>0</v>
      </c>
      <c r="D181" s="102">
        <f t="shared" si="223"/>
        <v>0</v>
      </c>
      <c r="E181" s="102">
        <f t="shared" si="223"/>
        <v>0</v>
      </c>
      <c r="F181" s="102">
        <f t="shared" si="223"/>
        <v>0</v>
      </c>
      <c r="G181" s="102">
        <f t="shared" si="223"/>
        <v>0</v>
      </c>
      <c r="H181" s="102">
        <f t="shared" si="223"/>
        <v>0</v>
      </c>
      <c r="I181" s="102">
        <f t="shared" si="223"/>
        <v>0</v>
      </c>
      <c r="J181" s="102">
        <f t="shared" si="223"/>
        <v>0</v>
      </c>
      <c r="K181" s="102">
        <f t="shared" si="223"/>
        <v>0</v>
      </c>
      <c r="L181" s="102">
        <f t="shared" si="223"/>
        <v>0</v>
      </c>
      <c r="M181" s="102">
        <f t="shared" si="222"/>
        <v>0</v>
      </c>
      <c r="N181" s="102">
        <f t="shared" si="223"/>
        <v>0</v>
      </c>
      <c r="O181" s="102">
        <f t="shared" si="223"/>
        <v>0</v>
      </c>
      <c r="P181" s="102">
        <f t="shared" si="223"/>
        <v>0</v>
      </c>
      <c r="Q181" s="102">
        <f t="shared" si="223"/>
        <v>43068.779809312888</v>
      </c>
      <c r="R181" s="102">
        <f t="shared" si="223"/>
        <v>40134.565043527509</v>
      </c>
      <c r="S181" s="102">
        <f t="shared" si="223"/>
        <v>37661.681770237446</v>
      </c>
      <c r="T181" s="102">
        <f t="shared" si="223"/>
        <v>34314.903182649155</v>
      </c>
      <c r="U181" s="102">
        <f t="shared" si="223"/>
        <v>34398.57832737064</v>
      </c>
      <c r="V181" s="102">
        <f t="shared" si="223"/>
        <v>32824.825115599124</v>
      </c>
      <c r="W181" s="102">
        <f t="shared" si="221"/>
        <v>32051.476245106678</v>
      </c>
      <c r="X181" s="102">
        <f t="shared" si="221"/>
        <v>32510.337054797128</v>
      </c>
      <c r="Y181" s="102">
        <f t="shared" si="221"/>
        <v>31301.27434434379</v>
      </c>
      <c r="DA181" s="175" t="s">
        <v>591</v>
      </c>
    </row>
    <row r="182" spans="1:105" ht="11.45" customHeight="1" x14ac:dyDescent="0.25">
      <c r="A182" s="111" t="s">
        <v>115</v>
      </c>
      <c r="B182" s="102">
        <f t="shared" si="223"/>
        <v>40824.300773324736</v>
      </c>
      <c r="C182" s="102">
        <f t="shared" si="223"/>
        <v>40864.939638321594</v>
      </c>
      <c r="D182" s="102">
        <f t="shared" si="223"/>
        <v>40904.464160887452</v>
      </c>
      <c r="E182" s="102">
        <f t="shared" si="223"/>
        <v>40945.967506183159</v>
      </c>
      <c r="F182" s="102">
        <f t="shared" si="223"/>
        <v>40977.50879294992</v>
      </c>
      <c r="G182" s="102">
        <f t="shared" si="223"/>
        <v>41016.496286754133</v>
      </c>
      <c r="H182" s="102">
        <f t="shared" si="223"/>
        <v>41058.581655458169</v>
      </c>
      <c r="I182" s="102">
        <f t="shared" si="223"/>
        <v>41095.531623118557</v>
      </c>
      <c r="J182" s="102">
        <f t="shared" si="223"/>
        <v>41135.861841938604</v>
      </c>
      <c r="K182" s="102">
        <f t="shared" si="223"/>
        <v>41173.640235801366</v>
      </c>
      <c r="L182" s="102">
        <f t="shared" si="223"/>
        <v>41212.868907242169</v>
      </c>
      <c r="M182" s="102">
        <f t="shared" si="222"/>
        <v>41250.666328538864</v>
      </c>
      <c r="N182" s="102">
        <f t="shared" si="223"/>
        <v>41291.987714113158</v>
      </c>
      <c r="O182" s="102">
        <f t="shared" si="223"/>
        <v>41330.55084576126</v>
      </c>
      <c r="P182" s="102">
        <f t="shared" si="223"/>
        <v>41367.920930280081</v>
      </c>
      <c r="Q182" s="102">
        <f t="shared" si="223"/>
        <v>41392.817203774866</v>
      </c>
      <c r="R182" s="102">
        <f t="shared" si="223"/>
        <v>41293.676683066908</v>
      </c>
      <c r="S182" s="102">
        <f t="shared" si="223"/>
        <v>41208.440146466091</v>
      </c>
      <c r="T182" s="102">
        <f t="shared" si="223"/>
        <v>41065.712819463311</v>
      </c>
      <c r="U182" s="102">
        <f t="shared" si="223"/>
        <v>41021.4674657008</v>
      </c>
      <c r="V182" s="102">
        <f t="shared" si="223"/>
        <v>40248.628516926547</v>
      </c>
      <c r="W182" s="102">
        <f t="shared" si="221"/>
        <v>40962.387219995944</v>
      </c>
      <c r="X182" s="102">
        <f t="shared" si="221"/>
        <v>40957.184228075916</v>
      </c>
      <c r="Y182" s="102">
        <f t="shared" si="221"/>
        <v>40922.684373476179</v>
      </c>
      <c r="DA182" s="175" t="s">
        <v>592</v>
      </c>
    </row>
    <row r="183" spans="1:105" ht="11.45" customHeight="1" x14ac:dyDescent="0.25">
      <c r="A183" s="27" t="s">
        <v>34</v>
      </c>
      <c r="B183" s="28">
        <f t="shared" si="223"/>
        <v>12616.515715999629</v>
      </c>
      <c r="C183" s="28">
        <f t="shared" si="223"/>
        <v>12278.466977049009</v>
      </c>
      <c r="D183" s="28">
        <f t="shared" si="223"/>
        <v>12078.67667634986</v>
      </c>
      <c r="E183" s="28">
        <f t="shared" si="223"/>
        <v>12351.382436872851</v>
      </c>
      <c r="F183" s="28">
        <f t="shared" si="223"/>
        <v>12853.244630404659</v>
      </c>
      <c r="G183" s="28">
        <f t="shared" si="223"/>
        <v>12795.649068051955</v>
      </c>
      <c r="H183" s="28">
        <f t="shared" si="223"/>
        <v>13070.874578851664</v>
      </c>
      <c r="I183" s="28">
        <f t="shared" si="223"/>
        <v>12983.239120510805</v>
      </c>
      <c r="J183" s="28">
        <f t="shared" si="223"/>
        <v>12807.162511192999</v>
      </c>
      <c r="K183" s="28">
        <f t="shared" si="223"/>
        <v>13226.995547174236</v>
      </c>
      <c r="L183" s="28">
        <f t="shared" si="223"/>
        <v>13205.517876428597</v>
      </c>
      <c r="M183" s="28">
        <f t="shared" si="222"/>
        <v>13254.3642897195</v>
      </c>
      <c r="N183" s="28">
        <f t="shared" si="223"/>
        <v>13056.386908889757</v>
      </c>
      <c r="O183" s="28">
        <f t="shared" si="223"/>
        <v>13085.190296552693</v>
      </c>
      <c r="P183" s="28">
        <f t="shared" si="223"/>
        <v>12919.623966453151</v>
      </c>
      <c r="Q183" s="28">
        <f t="shared" si="223"/>
        <v>12974.778229498421</v>
      </c>
      <c r="R183" s="28">
        <f t="shared" si="223"/>
        <v>13191.438247171864</v>
      </c>
      <c r="S183" s="28">
        <f t="shared" si="223"/>
        <v>13717.782411423423</v>
      </c>
      <c r="T183" s="28">
        <f t="shared" si="223"/>
        <v>13474.906799450728</v>
      </c>
      <c r="U183" s="28">
        <f t="shared" si="223"/>
        <v>13632.983405647976</v>
      </c>
      <c r="V183" s="28">
        <f t="shared" si="223"/>
        <v>13415.552762261921</v>
      </c>
      <c r="W183" s="28">
        <f t="shared" si="221"/>
        <v>13561.717094159818</v>
      </c>
      <c r="X183" s="28">
        <f t="shared" si="221"/>
        <v>13368.236324828764</v>
      </c>
      <c r="Y183" s="28">
        <f t="shared" si="221"/>
        <v>12964.190552275568</v>
      </c>
      <c r="DA183" s="173" t="s">
        <v>593</v>
      </c>
    </row>
    <row r="184" spans="1:105" ht="11.45" customHeight="1" x14ac:dyDescent="0.25">
      <c r="A184" s="136" t="s">
        <v>153</v>
      </c>
      <c r="B184" s="137">
        <f t="shared" si="223"/>
        <v>12629.378529122418</v>
      </c>
      <c r="C184" s="137">
        <f t="shared" si="223"/>
        <v>12184.0379263304</v>
      </c>
      <c r="D184" s="137">
        <f t="shared" si="223"/>
        <v>12308.754084013119</v>
      </c>
      <c r="E184" s="137">
        <f t="shared" si="223"/>
        <v>12420.665900340824</v>
      </c>
      <c r="F184" s="137">
        <f t="shared" si="223"/>
        <v>12291.053508259452</v>
      </c>
      <c r="G184" s="137">
        <f t="shared" si="223"/>
        <v>12069.505391311372</v>
      </c>
      <c r="H184" s="137">
        <f t="shared" si="223"/>
        <v>12329.322729758016</v>
      </c>
      <c r="I184" s="137">
        <f t="shared" si="223"/>
        <v>12234.05727844148</v>
      </c>
      <c r="J184" s="137">
        <f t="shared" si="223"/>
        <v>12065.895791593015</v>
      </c>
      <c r="K184" s="137">
        <f t="shared" si="223"/>
        <v>12309.157945339339</v>
      </c>
      <c r="L184" s="137">
        <f t="shared" si="223"/>
        <v>12056.457758900073</v>
      </c>
      <c r="M184" s="137">
        <f t="shared" si="222"/>
        <v>11938.152758376533</v>
      </c>
      <c r="N184" s="137">
        <f t="shared" si="223"/>
        <v>11706.514811506297</v>
      </c>
      <c r="O184" s="137">
        <f t="shared" si="223"/>
        <v>11452.823201731662</v>
      </c>
      <c r="P184" s="137">
        <f t="shared" si="223"/>
        <v>11451.884223323304</v>
      </c>
      <c r="Q184" s="137">
        <f t="shared" si="223"/>
        <v>11276.521464224888</v>
      </c>
      <c r="R184" s="137">
        <f t="shared" si="223"/>
        <v>11562.164490219044</v>
      </c>
      <c r="S184" s="137">
        <f t="shared" si="223"/>
        <v>11800.742867300571</v>
      </c>
      <c r="T184" s="137">
        <f t="shared" si="223"/>
        <v>12101.72603744041</v>
      </c>
      <c r="U184" s="137">
        <f t="shared" si="223"/>
        <v>12316.064271514433</v>
      </c>
      <c r="V184" s="137">
        <f t="shared" si="223"/>
        <v>12022.897157794152</v>
      </c>
      <c r="W184" s="137">
        <f t="shared" si="221"/>
        <v>12032.094695799147</v>
      </c>
      <c r="X184" s="137">
        <f t="shared" si="221"/>
        <v>11916.321427277295</v>
      </c>
      <c r="Y184" s="137">
        <f t="shared" si="221"/>
        <v>11678.859934266879</v>
      </c>
      <c r="DA184" s="174" t="s">
        <v>594</v>
      </c>
    </row>
    <row r="185" spans="1:105" ht="11.45" customHeight="1" x14ac:dyDescent="0.25">
      <c r="A185" s="111" t="s">
        <v>110</v>
      </c>
      <c r="B185" s="84">
        <f t="shared" si="223"/>
        <v>11093.435551800598</v>
      </c>
      <c r="C185" s="84">
        <f t="shared" si="223"/>
        <v>10676.475902670605</v>
      </c>
      <c r="D185" s="84">
        <f t="shared" si="223"/>
        <v>10656.547111139853</v>
      </c>
      <c r="E185" s="84">
        <f t="shared" si="223"/>
        <v>10692.00866135911</v>
      </c>
      <c r="F185" s="84">
        <f t="shared" si="223"/>
        <v>10484.321781954086</v>
      </c>
      <c r="G185" s="84">
        <f t="shared" si="223"/>
        <v>9908.936036786461</v>
      </c>
      <c r="H185" s="84">
        <f t="shared" si="223"/>
        <v>9827.3088103794325</v>
      </c>
      <c r="I185" s="84">
        <f t="shared" si="223"/>
        <v>9483.4035272471847</v>
      </c>
      <c r="J185" s="84">
        <f t="shared" si="223"/>
        <v>8971.1593115400665</v>
      </c>
      <c r="K185" s="84">
        <f t="shared" si="223"/>
        <v>9679.6668840117582</v>
      </c>
      <c r="L185" s="84">
        <f t="shared" si="223"/>
        <v>9133.8701970003112</v>
      </c>
      <c r="M185" s="84">
        <f t="shared" si="222"/>
        <v>8860.1234312297602</v>
      </c>
      <c r="N185" s="84">
        <f t="shared" si="223"/>
        <v>8470.319738737222</v>
      </c>
      <c r="O185" s="84">
        <f t="shared" si="223"/>
        <v>8000.4334534279251</v>
      </c>
      <c r="P185" s="84">
        <f t="shared" si="223"/>
        <v>7741.4214928228184</v>
      </c>
      <c r="Q185" s="84">
        <f t="shared" si="223"/>
        <v>7029.3243853840095</v>
      </c>
      <c r="R185" s="84">
        <f t="shared" si="223"/>
        <v>7169.3753925623687</v>
      </c>
      <c r="S185" s="84">
        <f t="shared" si="223"/>
        <v>7328.8555411449688</v>
      </c>
      <c r="T185" s="84">
        <f t="shared" si="223"/>
        <v>7494.1112641731033</v>
      </c>
      <c r="U185" s="84">
        <f t="shared" si="223"/>
        <v>7614.1639886005378</v>
      </c>
      <c r="V185" s="84">
        <f t="shared" si="223"/>
        <v>7110.3368741371114</v>
      </c>
      <c r="W185" s="84">
        <f t="shared" si="221"/>
        <v>7105.3094381276624</v>
      </c>
      <c r="X185" s="84">
        <f t="shared" si="221"/>
        <v>7482.5649727721739</v>
      </c>
      <c r="Y185" s="84">
        <f t="shared" si="221"/>
        <v>7335.5330243143708</v>
      </c>
      <c r="DA185" s="171" t="s">
        <v>595</v>
      </c>
    </row>
    <row r="186" spans="1:105" ht="11.45" customHeight="1" x14ac:dyDescent="0.25">
      <c r="A186" s="111" t="s">
        <v>111</v>
      </c>
      <c r="B186" s="84">
        <f t="shared" si="223"/>
        <v>17134.477423337295</v>
      </c>
      <c r="C186" s="84">
        <f t="shared" si="223"/>
        <v>16706.716216110639</v>
      </c>
      <c r="D186" s="84">
        <f t="shared" si="223"/>
        <v>16296.306516677749</v>
      </c>
      <c r="E186" s="84">
        <f t="shared" si="223"/>
        <v>16308.17091863237</v>
      </c>
      <c r="F186" s="84">
        <f t="shared" si="223"/>
        <v>15873.799616535542</v>
      </c>
      <c r="G186" s="84">
        <f t="shared" si="223"/>
        <v>15493.874106544323</v>
      </c>
      <c r="H186" s="84">
        <f t="shared" si="223"/>
        <v>15766.767223104998</v>
      </c>
      <c r="I186" s="84">
        <f t="shared" si="223"/>
        <v>15438.271744632331</v>
      </c>
      <c r="J186" s="84">
        <f t="shared" si="223"/>
        <v>15096.827813279227</v>
      </c>
      <c r="K186" s="84">
        <f t="shared" si="223"/>
        <v>14738.842547735123</v>
      </c>
      <c r="L186" s="84">
        <f t="shared" si="223"/>
        <v>14420.106461514015</v>
      </c>
      <c r="M186" s="84">
        <f t="shared" si="222"/>
        <v>14088.41488846444</v>
      </c>
      <c r="N186" s="84">
        <f t="shared" si="223"/>
        <v>13738.213499359703</v>
      </c>
      <c r="O186" s="84">
        <f t="shared" si="223"/>
        <v>13418.509320103509</v>
      </c>
      <c r="P186" s="84">
        <f t="shared" si="223"/>
        <v>13465.212830667982</v>
      </c>
      <c r="Q186" s="84">
        <f t="shared" si="223"/>
        <v>13361.547881289116</v>
      </c>
      <c r="R186" s="84">
        <f t="shared" si="223"/>
        <v>13593.606192245146</v>
      </c>
      <c r="S186" s="84">
        <f t="shared" si="223"/>
        <v>13826.511063806753</v>
      </c>
      <c r="T186" s="84">
        <f t="shared" si="223"/>
        <v>14067.588679724999</v>
      </c>
      <c r="U186" s="84">
        <f t="shared" si="223"/>
        <v>14221.481205578062</v>
      </c>
      <c r="V186" s="84">
        <f t="shared" si="223"/>
        <v>13874.749873842778</v>
      </c>
      <c r="W186" s="84">
        <f t="shared" si="221"/>
        <v>13795.614892863761</v>
      </c>
      <c r="X186" s="84">
        <f t="shared" si="221"/>
        <v>13455.066830470281</v>
      </c>
      <c r="Y186" s="84">
        <f t="shared" si="221"/>
        <v>13124.722204382177</v>
      </c>
      <c r="DA186" s="171" t="s">
        <v>596</v>
      </c>
    </row>
    <row r="187" spans="1:105" ht="11.45" customHeight="1" x14ac:dyDescent="0.25">
      <c r="A187" s="111" t="s">
        <v>112</v>
      </c>
      <c r="B187" s="84">
        <f t="shared" si="223"/>
        <v>6568.4895810717835</v>
      </c>
      <c r="C187" s="84">
        <f t="shared" si="223"/>
        <v>6567.8879270199914</v>
      </c>
      <c r="D187" s="84">
        <f t="shared" si="223"/>
        <v>6569.9763855806004</v>
      </c>
      <c r="E187" s="84">
        <f t="shared" si="223"/>
        <v>6742.483066254209</v>
      </c>
      <c r="F187" s="84">
        <f t="shared" si="223"/>
        <v>6730.316528471998</v>
      </c>
      <c r="G187" s="84">
        <f t="shared" si="223"/>
        <v>6736.814745305428</v>
      </c>
      <c r="H187" s="84">
        <f t="shared" si="223"/>
        <v>7030.3544912772841</v>
      </c>
      <c r="I187" s="84">
        <f t="shared" si="223"/>
        <v>7059.488503696055</v>
      </c>
      <c r="J187" s="84">
        <f t="shared" si="223"/>
        <v>7079.4617887248869</v>
      </c>
      <c r="K187" s="84">
        <f t="shared" si="223"/>
        <v>7087.9052889385002</v>
      </c>
      <c r="L187" s="84">
        <f t="shared" si="223"/>
        <v>7111.5288974901059</v>
      </c>
      <c r="M187" s="84">
        <f t="shared" si="222"/>
        <v>7125.1929759889335</v>
      </c>
      <c r="N187" s="84">
        <f t="shared" si="223"/>
        <v>7125.3261096880351</v>
      </c>
      <c r="O187" s="84">
        <f t="shared" si="223"/>
        <v>7137.0500566861292</v>
      </c>
      <c r="P187" s="84">
        <f t="shared" si="223"/>
        <v>7271.5115432784478</v>
      </c>
      <c r="Q187" s="84">
        <f t="shared" si="223"/>
        <v>7325.9719756366221</v>
      </c>
      <c r="R187" s="84">
        <f t="shared" si="223"/>
        <v>7415.7533866731674</v>
      </c>
      <c r="S187" s="84">
        <f t="shared" si="223"/>
        <v>7580.7141241434738</v>
      </c>
      <c r="T187" s="84">
        <f t="shared" si="223"/>
        <v>7751.6489156155958</v>
      </c>
      <c r="U187" s="84">
        <f t="shared" si="223"/>
        <v>7875.8272922529359</v>
      </c>
      <c r="V187" s="84">
        <f t="shared" si="223"/>
        <v>7722.4202892129742</v>
      </c>
      <c r="W187" s="84">
        <f t="shared" si="221"/>
        <v>7716.9600733991047</v>
      </c>
      <c r="X187" s="84">
        <f t="shared" si="221"/>
        <v>7715.5722255291757</v>
      </c>
      <c r="Y187" s="84">
        <f t="shared" si="221"/>
        <v>7715.2409326425195</v>
      </c>
      <c r="DA187" s="171" t="s">
        <v>597</v>
      </c>
    </row>
    <row r="188" spans="1:105" ht="11.45" customHeight="1" x14ac:dyDescent="0.25">
      <c r="A188" s="111" t="s">
        <v>113</v>
      </c>
      <c r="B188" s="84">
        <f t="shared" si="223"/>
        <v>0</v>
      </c>
      <c r="C188" s="84">
        <f t="shared" si="223"/>
        <v>0</v>
      </c>
      <c r="D188" s="84">
        <f t="shared" si="223"/>
        <v>0</v>
      </c>
      <c r="E188" s="84">
        <f t="shared" si="223"/>
        <v>0</v>
      </c>
      <c r="F188" s="84">
        <f t="shared" si="223"/>
        <v>0</v>
      </c>
      <c r="G188" s="84">
        <f t="shared" si="223"/>
        <v>0</v>
      </c>
      <c r="H188" s="84">
        <f t="shared" si="223"/>
        <v>0</v>
      </c>
      <c r="I188" s="84">
        <f t="shared" si="223"/>
        <v>0</v>
      </c>
      <c r="J188" s="84">
        <f t="shared" si="223"/>
        <v>0</v>
      </c>
      <c r="K188" s="84">
        <f t="shared" si="223"/>
        <v>0</v>
      </c>
      <c r="L188" s="84">
        <f t="shared" si="223"/>
        <v>0</v>
      </c>
      <c r="M188" s="84">
        <f t="shared" si="222"/>
        <v>0</v>
      </c>
      <c r="N188" s="84">
        <f t="shared" si="223"/>
        <v>0</v>
      </c>
      <c r="O188" s="84">
        <f t="shared" si="223"/>
        <v>0</v>
      </c>
      <c r="P188" s="84">
        <f t="shared" si="223"/>
        <v>0</v>
      </c>
      <c r="Q188" s="84">
        <f t="shared" si="223"/>
        <v>10915.438138771437</v>
      </c>
      <c r="R188" s="84">
        <f t="shared" si="223"/>
        <v>10937.60107929382</v>
      </c>
      <c r="S188" s="84">
        <f t="shared" si="223"/>
        <v>10957.285957264232</v>
      </c>
      <c r="T188" s="84">
        <f t="shared" si="223"/>
        <v>10980.270693422017</v>
      </c>
      <c r="U188" s="84">
        <f t="shared" si="223"/>
        <v>10933.046918673082</v>
      </c>
      <c r="V188" s="84">
        <f t="shared" si="223"/>
        <v>10505.688940400341</v>
      </c>
      <c r="W188" s="84">
        <f t="shared" si="221"/>
        <v>10288.29557045318</v>
      </c>
      <c r="X188" s="84">
        <f t="shared" si="221"/>
        <v>9883.055272562804</v>
      </c>
      <c r="Y188" s="84">
        <f t="shared" si="221"/>
        <v>9495.0767584215882</v>
      </c>
      <c r="DA188" s="171" t="s">
        <v>598</v>
      </c>
    </row>
    <row r="189" spans="1:105" ht="11.45" customHeight="1" x14ac:dyDescent="0.25">
      <c r="A189" s="111" t="s">
        <v>115</v>
      </c>
      <c r="B189" s="84">
        <f t="shared" si="223"/>
        <v>0</v>
      </c>
      <c r="C189" s="84">
        <f t="shared" si="223"/>
        <v>0</v>
      </c>
      <c r="D189" s="84">
        <f t="shared" si="223"/>
        <v>0</v>
      </c>
      <c r="E189" s="84">
        <f t="shared" si="223"/>
        <v>0</v>
      </c>
      <c r="F189" s="84">
        <f t="shared" si="223"/>
        <v>0</v>
      </c>
      <c r="G189" s="84">
        <f t="shared" si="223"/>
        <v>0</v>
      </c>
      <c r="H189" s="84">
        <f t="shared" si="223"/>
        <v>0</v>
      </c>
      <c r="I189" s="84">
        <f t="shared" si="223"/>
        <v>0</v>
      </c>
      <c r="J189" s="84">
        <f t="shared" si="223"/>
        <v>0</v>
      </c>
      <c r="K189" s="84">
        <f t="shared" si="223"/>
        <v>0</v>
      </c>
      <c r="L189" s="84">
        <f t="shared" si="223"/>
        <v>0</v>
      </c>
      <c r="M189" s="84">
        <f t="shared" si="222"/>
        <v>0</v>
      </c>
      <c r="N189" s="84">
        <f t="shared" si="223"/>
        <v>6811.4893536236068</v>
      </c>
      <c r="O189" s="84">
        <f t="shared" si="223"/>
        <v>6817.5116416171932</v>
      </c>
      <c r="P189" s="84">
        <f t="shared" si="223"/>
        <v>6818.0109796063698</v>
      </c>
      <c r="Q189" s="84">
        <f t="shared" si="223"/>
        <v>6822.1488367321481</v>
      </c>
      <c r="R189" s="84">
        <f t="shared" si="223"/>
        <v>7155.6771074905482</v>
      </c>
      <c r="S189" s="84">
        <f t="shared" si="223"/>
        <v>7362.6298552800563</v>
      </c>
      <c r="T189" s="84">
        <f t="shared" si="223"/>
        <v>7428.3643940289548</v>
      </c>
      <c r="U189" s="84">
        <f t="shared" si="223"/>
        <v>7422.7447882803272</v>
      </c>
      <c r="V189" s="84">
        <f t="shared" si="223"/>
        <v>7319.1823044018074</v>
      </c>
      <c r="W189" s="84">
        <f t="shared" si="221"/>
        <v>7415.5454911470943</v>
      </c>
      <c r="X189" s="84">
        <f t="shared" si="221"/>
        <v>7413.9768448837831</v>
      </c>
      <c r="Y189" s="84">
        <f t="shared" si="221"/>
        <v>7420.986564644285</v>
      </c>
      <c r="DA189" s="171" t="s">
        <v>599</v>
      </c>
    </row>
    <row r="190" spans="1:105" ht="11.45" customHeight="1" x14ac:dyDescent="0.25">
      <c r="A190" s="109" t="s">
        <v>154</v>
      </c>
      <c r="B190" s="110">
        <f t="shared" si="223"/>
        <v>12574.367092141336</v>
      </c>
      <c r="C190" s="110">
        <f t="shared" si="223"/>
        <v>12578.965309398547</v>
      </c>
      <c r="D190" s="110">
        <f t="shared" si="223"/>
        <v>11432.054219841593</v>
      </c>
      <c r="E190" s="110">
        <f t="shared" si="223"/>
        <v>12152.631445656787</v>
      </c>
      <c r="F190" s="110">
        <f t="shared" si="223"/>
        <v>14466.069364907909</v>
      </c>
      <c r="G190" s="110">
        <f t="shared" si="223"/>
        <v>14905.052404694248</v>
      </c>
      <c r="H190" s="110">
        <f t="shared" si="223"/>
        <v>15254.534337248342</v>
      </c>
      <c r="I190" s="110">
        <f t="shared" si="223"/>
        <v>15104.277903138071</v>
      </c>
      <c r="J190" s="110">
        <f t="shared" si="223"/>
        <v>14856.626896789325</v>
      </c>
      <c r="K190" s="110">
        <f t="shared" si="223"/>
        <v>15806.861358895119</v>
      </c>
      <c r="L190" s="110">
        <f t="shared" si="223"/>
        <v>16594.838070626622</v>
      </c>
      <c r="M190" s="110">
        <f t="shared" si="222"/>
        <v>17091.442994335412</v>
      </c>
      <c r="N190" s="110">
        <f t="shared" si="223"/>
        <v>16983.104530450975</v>
      </c>
      <c r="O190" s="110">
        <f t="shared" si="223"/>
        <v>17903.193209001005</v>
      </c>
      <c r="P190" s="110">
        <f t="shared" si="223"/>
        <v>17082.697918504171</v>
      </c>
      <c r="Q190" s="110">
        <f t="shared" si="223"/>
        <v>17779.152249616563</v>
      </c>
      <c r="R190" s="110">
        <f t="shared" si="223"/>
        <v>17803.969048220002</v>
      </c>
      <c r="S190" s="110">
        <f t="shared" si="223"/>
        <v>19145.008293444487</v>
      </c>
      <c r="T190" s="110">
        <f t="shared" si="223"/>
        <v>17271.025067341441</v>
      </c>
      <c r="U190" s="110">
        <f t="shared" si="223"/>
        <v>17315.907831756609</v>
      </c>
      <c r="V190" s="110">
        <f t="shared" si="223"/>
        <v>17324.036672304606</v>
      </c>
      <c r="W190" s="110">
        <f t="shared" si="221"/>
        <v>17832.573020865693</v>
      </c>
      <c r="X190" s="110">
        <f t="shared" si="221"/>
        <v>17383.696499501868</v>
      </c>
      <c r="Y190" s="110">
        <f t="shared" si="221"/>
        <v>16484.893757766993</v>
      </c>
      <c r="DA190" s="176" t="s">
        <v>600</v>
      </c>
    </row>
    <row r="191" spans="1:105" ht="11.45" customHeight="1" x14ac:dyDescent="0.25">
      <c r="A191" s="128" t="s">
        <v>27</v>
      </c>
      <c r="B191" s="102">
        <f t="shared" si="223"/>
        <v>10258.308274005225</v>
      </c>
      <c r="C191" s="102">
        <f t="shared" si="223"/>
        <v>10188.049227566973</v>
      </c>
      <c r="D191" s="102">
        <f t="shared" si="223"/>
        <v>9220.4630500616622</v>
      </c>
      <c r="E191" s="102">
        <f t="shared" si="223"/>
        <v>9909.9526088549337</v>
      </c>
      <c r="F191" s="102">
        <f t="shared" si="223"/>
        <v>11821.242533623241</v>
      </c>
      <c r="G191" s="102">
        <f t="shared" si="223"/>
        <v>12228.91460480798</v>
      </c>
      <c r="H191" s="102">
        <f t="shared" si="223"/>
        <v>12031.95906996303</v>
      </c>
      <c r="I191" s="102">
        <f t="shared" si="223"/>
        <v>12325.54275140316</v>
      </c>
      <c r="J191" s="102">
        <f t="shared" si="223"/>
        <v>12261.700736762134</v>
      </c>
      <c r="K191" s="102">
        <f t="shared" si="223"/>
        <v>13397.517438141702</v>
      </c>
      <c r="L191" s="102">
        <f t="shared" si="223"/>
        <v>13867.947857420426</v>
      </c>
      <c r="M191" s="102">
        <f t="shared" si="222"/>
        <v>14392.253131123796</v>
      </c>
      <c r="N191" s="102">
        <f t="shared" si="223"/>
        <v>14075.882557441295</v>
      </c>
      <c r="O191" s="102">
        <f t="shared" si="223"/>
        <v>14945.580751907462</v>
      </c>
      <c r="P191" s="102">
        <f t="shared" si="223"/>
        <v>14162.168293807657</v>
      </c>
      <c r="Q191" s="102">
        <f t="shared" si="223"/>
        <v>14870.610137528727</v>
      </c>
      <c r="R191" s="102">
        <f t="shared" si="223"/>
        <v>14622.860550687947</v>
      </c>
      <c r="S191" s="102">
        <f t="shared" si="223"/>
        <v>15691.92984811536</v>
      </c>
      <c r="T191" s="102">
        <f t="shared" si="223"/>
        <v>14376.16768278418</v>
      </c>
      <c r="U191" s="102">
        <f t="shared" si="223"/>
        <v>14054.142180338788</v>
      </c>
      <c r="V191" s="102">
        <f t="shared" si="223"/>
        <v>14251.150068123228</v>
      </c>
      <c r="W191" s="102">
        <f t="shared" si="221"/>
        <v>14718.657373706499</v>
      </c>
      <c r="X191" s="102">
        <f t="shared" si="221"/>
        <v>14249.177221162368</v>
      </c>
      <c r="Y191" s="102">
        <f t="shared" si="221"/>
        <v>13367.238400396205</v>
      </c>
      <c r="DA191" s="175" t="s">
        <v>601</v>
      </c>
    </row>
    <row r="192" spans="1:105" ht="11.45" customHeight="1" x14ac:dyDescent="0.25">
      <c r="A192" s="138" t="s">
        <v>116</v>
      </c>
      <c r="B192" s="86">
        <f t="shared" si="223"/>
        <v>85000.276749038909</v>
      </c>
      <c r="C192" s="86">
        <f t="shared" si="223"/>
        <v>85001.537041086689</v>
      </c>
      <c r="D192" s="86">
        <f t="shared" si="223"/>
        <v>85000.129968504552</v>
      </c>
      <c r="E192" s="86">
        <f t="shared" si="223"/>
        <v>84998.4150207762</v>
      </c>
      <c r="F192" s="86">
        <f t="shared" si="223"/>
        <v>85000.409031434116</v>
      </c>
      <c r="G192" s="86">
        <f t="shared" si="223"/>
        <v>84998.888891734736</v>
      </c>
      <c r="H192" s="86">
        <f t="shared" si="223"/>
        <v>84998.585844500529</v>
      </c>
      <c r="I192" s="86">
        <f t="shared" si="223"/>
        <v>85001.273379886581</v>
      </c>
      <c r="J192" s="86">
        <f t="shared" si="223"/>
        <v>85000.808572207141</v>
      </c>
      <c r="K192" s="86">
        <f t="shared" si="223"/>
        <v>84998.299573371551</v>
      </c>
      <c r="L192" s="86">
        <f t="shared" si="223"/>
        <v>85001.503495323312</v>
      </c>
      <c r="M192" s="86">
        <f t="shared" si="222"/>
        <v>84999.975370962115</v>
      </c>
      <c r="N192" s="86">
        <f t="shared" si="223"/>
        <v>85000.168143488845</v>
      </c>
      <c r="O192" s="86">
        <f t="shared" si="223"/>
        <v>85001.165427501575</v>
      </c>
      <c r="P192" s="86">
        <f t="shared" si="223"/>
        <v>85000.943757532499</v>
      </c>
      <c r="Q192" s="86">
        <f t="shared" si="223"/>
        <v>84999.74678294512</v>
      </c>
      <c r="R192" s="86">
        <f t="shared" si="223"/>
        <v>84999.985740206801</v>
      </c>
      <c r="S192" s="86">
        <f t="shared" si="223"/>
        <v>85000.070994911555</v>
      </c>
      <c r="T192" s="86">
        <f t="shared" si="223"/>
        <v>84999.309184680635</v>
      </c>
      <c r="U192" s="86">
        <f t="shared" si="223"/>
        <v>85000.902766582993</v>
      </c>
      <c r="V192" s="86">
        <f t="shared" ref="V192:W192" si="224">IF(V55=0,0,V55*1000000/V82)</f>
        <v>85000.700891873392</v>
      </c>
      <c r="W192" s="86">
        <f t="shared" si="224"/>
        <v>84999.416128147539</v>
      </c>
      <c r="X192" s="86">
        <f t="shared" ref="X192:Y192" si="225">IF(X55=0,0,X55*1000000/X82)</f>
        <v>84999.57667392178</v>
      </c>
      <c r="Y192" s="86">
        <f t="shared" si="225"/>
        <v>84999.406118997184</v>
      </c>
      <c r="DA192" s="178" t="s">
        <v>602</v>
      </c>
    </row>
    <row r="193" spans="1:105" ht="11.45" customHeight="1" x14ac:dyDescent="0.25">
      <c r="A193" s="106"/>
      <c r="B193" s="106"/>
      <c r="C193" s="106"/>
      <c r="D193" s="106"/>
      <c r="E193" s="106"/>
      <c r="F193" s="106"/>
      <c r="G193" s="106"/>
      <c r="H193" s="106"/>
      <c r="I193" s="106"/>
      <c r="J193" s="106"/>
      <c r="K193" s="106"/>
      <c r="L193" s="106"/>
      <c r="M193" s="106"/>
      <c r="N193" s="106"/>
      <c r="O193" s="106"/>
      <c r="P193" s="106"/>
      <c r="Q193" s="106"/>
      <c r="R193" s="106"/>
      <c r="S193" s="106"/>
      <c r="T193" s="106"/>
      <c r="U193" s="106"/>
      <c r="V193" s="106"/>
      <c r="W193" s="106"/>
      <c r="X193" s="106"/>
      <c r="Y193" s="106"/>
      <c r="DA193" s="171"/>
    </row>
    <row r="194" spans="1:105" ht="11.45" customHeight="1" x14ac:dyDescent="0.25">
      <c r="A194" s="53" t="s">
        <v>137</v>
      </c>
      <c r="B194" s="62"/>
      <c r="C194" s="62"/>
      <c r="D194" s="62"/>
      <c r="E194" s="62"/>
      <c r="F194" s="62"/>
      <c r="G194" s="62"/>
      <c r="H194" s="62"/>
      <c r="I194" s="62"/>
      <c r="J194" s="62"/>
      <c r="K194" s="62"/>
      <c r="L194" s="62"/>
      <c r="M194" s="62"/>
      <c r="N194" s="62"/>
      <c r="O194" s="62"/>
      <c r="P194" s="62"/>
      <c r="Q194" s="62"/>
      <c r="R194" s="62"/>
      <c r="S194" s="62"/>
      <c r="T194" s="62"/>
      <c r="U194" s="62"/>
      <c r="V194" s="62"/>
      <c r="W194" s="62"/>
      <c r="X194" s="62"/>
      <c r="Y194" s="62"/>
      <c r="DA194" s="172"/>
    </row>
    <row r="195" spans="1:105" ht="11.45" customHeight="1" x14ac:dyDescent="0.25">
      <c r="A195" s="27" t="s">
        <v>107</v>
      </c>
      <c r="B195" s="28">
        <f t="shared" ref="B195:L195" si="226">IF(B4=0,0,B4*1000000/B58)</f>
        <v>17714.47298611336</v>
      </c>
      <c r="C195" s="28">
        <f t="shared" si="226"/>
        <v>16042.753850073246</v>
      </c>
      <c r="D195" s="28">
        <f t="shared" si="226"/>
        <v>15417.100639147144</v>
      </c>
      <c r="E195" s="28">
        <f t="shared" si="226"/>
        <v>15437.261094478403</v>
      </c>
      <c r="F195" s="28">
        <f t="shared" si="226"/>
        <v>15549.208794404973</v>
      </c>
      <c r="G195" s="28">
        <f t="shared" si="226"/>
        <v>15115.955428400355</v>
      </c>
      <c r="H195" s="28">
        <f t="shared" si="226"/>
        <v>14201.776776889901</v>
      </c>
      <c r="I195" s="28">
        <f t="shared" si="226"/>
        <v>13292.695563100327</v>
      </c>
      <c r="J195" s="28">
        <f t="shared" si="226"/>
        <v>12564.680972586242</v>
      </c>
      <c r="K195" s="28">
        <f t="shared" si="226"/>
        <v>12501.906830104888</v>
      </c>
      <c r="L195" s="28">
        <f t="shared" si="226"/>
        <v>12145.680198052976</v>
      </c>
      <c r="M195" s="28">
        <f>IF(M4=0,0,M4*1000000/M58)</f>
        <v>11449.760659373311</v>
      </c>
      <c r="N195" s="28">
        <f t="shared" ref="N195:V195" si="227">IF(N4=0,0,N4*1000000/N58)</f>
        <v>11033.044746978572</v>
      </c>
      <c r="O195" s="28">
        <f t="shared" si="227"/>
        <v>10756.027401295678</v>
      </c>
      <c r="P195" s="28">
        <f t="shared" si="227"/>
        <v>10644.953172168865</v>
      </c>
      <c r="Q195" s="28">
        <f t="shared" si="227"/>
        <v>10348.701160521279</v>
      </c>
      <c r="R195" s="28">
        <f t="shared" si="227"/>
        <v>10395.368583680985</v>
      </c>
      <c r="S195" s="28">
        <f t="shared" si="227"/>
        <v>10305.938468929939</v>
      </c>
      <c r="T195" s="28">
        <f t="shared" si="227"/>
        <v>10062.963369711528</v>
      </c>
      <c r="U195" s="28">
        <f t="shared" si="227"/>
        <v>9881.7707814934001</v>
      </c>
      <c r="V195" s="28">
        <f t="shared" si="227"/>
        <v>8717.3964078033241</v>
      </c>
      <c r="W195" s="28">
        <f t="shared" ref="W195:Y195" si="228">IF(W4=0,0,W4*1000000/W58)</f>
        <v>8787.1824704369028</v>
      </c>
      <c r="X195" s="28">
        <f t="shared" si="228"/>
        <v>9079.1124661368867</v>
      </c>
      <c r="Y195" s="28">
        <f t="shared" si="228"/>
        <v>9366.9460222099606</v>
      </c>
      <c r="DA195" s="173" t="s">
        <v>603</v>
      </c>
    </row>
    <row r="196" spans="1:105" ht="11.45" customHeight="1" x14ac:dyDescent="0.25">
      <c r="A196" s="136" t="s">
        <v>173</v>
      </c>
      <c r="B196" s="137">
        <f t="shared" ref="B196:L196" si="229">IF(B5=0,0,B5*1000000/B59)</f>
        <v>3127.9534626399873</v>
      </c>
      <c r="C196" s="137">
        <f t="shared" si="229"/>
        <v>2791.3336076883747</v>
      </c>
      <c r="D196" s="137">
        <f t="shared" si="229"/>
        <v>2452.0690301129252</v>
      </c>
      <c r="E196" s="137">
        <f t="shared" si="229"/>
        <v>2322.7588068536211</v>
      </c>
      <c r="F196" s="137">
        <f t="shared" si="229"/>
        <v>2235.1336511750551</v>
      </c>
      <c r="G196" s="137">
        <f t="shared" si="229"/>
        <v>1899.8111506431646</v>
      </c>
      <c r="H196" s="137">
        <f t="shared" si="229"/>
        <v>1848.4414192589575</v>
      </c>
      <c r="I196" s="137">
        <f t="shared" si="229"/>
        <v>1768.7348894745307</v>
      </c>
      <c r="J196" s="137">
        <f t="shared" si="229"/>
        <v>1503.0918854978981</v>
      </c>
      <c r="K196" s="137">
        <f t="shared" si="229"/>
        <v>1473.6928435001141</v>
      </c>
      <c r="L196" s="137">
        <f t="shared" si="229"/>
        <v>1483.3280423780889</v>
      </c>
      <c r="M196" s="137">
        <f>IF(M5=0,0,M5*1000000/M59)</f>
        <v>1362.622149151485</v>
      </c>
      <c r="N196" s="137">
        <f t="shared" ref="N196:V196" si="230">IF(N5=0,0,N5*1000000/N59)</f>
        <v>1299.3811454937627</v>
      </c>
      <c r="O196" s="137">
        <f t="shared" si="230"/>
        <v>1202.4837803361688</v>
      </c>
      <c r="P196" s="137">
        <f t="shared" si="230"/>
        <v>1174.0294037090987</v>
      </c>
      <c r="Q196" s="137">
        <f t="shared" si="230"/>
        <v>1167.18969113654</v>
      </c>
      <c r="R196" s="137">
        <f t="shared" si="230"/>
        <v>1189.3456112266967</v>
      </c>
      <c r="S196" s="137">
        <f t="shared" si="230"/>
        <v>1085.3368829861799</v>
      </c>
      <c r="T196" s="137">
        <f t="shared" si="230"/>
        <v>1003.7476738762304</v>
      </c>
      <c r="U196" s="137">
        <f t="shared" si="230"/>
        <v>1032.994080865077</v>
      </c>
      <c r="V196" s="137">
        <f t="shared" si="230"/>
        <v>896.09501284347186</v>
      </c>
      <c r="W196" s="137">
        <f t="shared" ref="W196:Y196" si="231">IF(W5=0,0,W5*1000000/W59)</f>
        <v>904.46327165756759</v>
      </c>
      <c r="X196" s="137">
        <f t="shared" si="231"/>
        <v>889.47012420806323</v>
      </c>
      <c r="Y196" s="137">
        <f t="shared" si="231"/>
        <v>933.01295180155876</v>
      </c>
      <c r="DA196" s="174" t="s">
        <v>604</v>
      </c>
    </row>
    <row r="197" spans="1:105" ht="11.45" customHeight="1" x14ac:dyDescent="0.25">
      <c r="A197" s="109" t="s">
        <v>20</v>
      </c>
      <c r="B197" s="110">
        <f t="shared" ref="B197:V210" si="232">IF(B6=0,0,B6*1000000/B60)</f>
        <v>13021.328555843584</v>
      </c>
      <c r="C197" s="110">
        <f t="shared" si="232"/>
        <v>12023.884178095264</v>
      </c>
      <c r="D197" s="110">
        <f t="shared" si="232"/>
        <v>11894.988101946179</v>
      </c>
      <c r="E197" s="110">
        <f t="shared" si="232"/>
        <v>12031.778199746252</v>
      </c>
      <c r="F197" s="110">
        <f t="shared" si="232"/>
        <v>12258.872651356995</v>
      </c>
      <c r="G197" s="110">
        <f t="shared" si="232"/>
        <v>12342.977550855012</v>
      </c>
      <c r="H197" s="110">
        <f t="shared" si="232"/>
        <v>11700.537955768081</v>
      </c>
      <c r="I197" s="110">
        <f t="shared" si="232"/>
        <v>11124.82006991569</v>
      </c>
      <c r="J197" s="110">
        <f t="shared" si="232"/>
        <v>10733.830845771145</v>
      </c>
      <c r="K197" s="110">
        <f t="shared" si="232"/>
        <v>11079.599878751136</v>
      </c>
      <c r="L197" s="110">
        <f t="shared" si="232"/>
        <v>10951.856148491879</v>
      </c>
      <c r="M197" s="110">
        <f>IF(M6=0,0,M6*1000000/M60)</f>
        <v>10433.268965517243</v>
      </c>
      <c r="N197" s="110">
        <f t="shared" ref="N197:V197" si="233">IF(N6=0,0,N6*1000000/N60)</f>
        <v>10100.512163892445</v>
      </c>
      <c r="O197" s="110">
        <f t="shared" si="233"/>
        <v>9971.1977330347654</v>
      </c>
      <c r="P197" s="110">
        <f t="shared" si="233"/>
        <v>9849.6975309219033</v>
      </c>
      <c r="Q197" s="110">
        <f t="shared" si="233"/>
        <v>9681.945881412601</v>
      </c>
      <c r="R197" s="110">
        <f t="shared" si="233"/>
        <v>9847.9645056309637</v>
      </c>
      <c r="S197" s="110">
        <f t="shared" si="233"/>
        <v>9855.9710069982302</v>
      </c>
      <c r="T197" s="110">
        <f t="shared" si="233"/>
        <v>9715.0577804184049</v>
      </c>
      <c r="U197" s="110">
        <f t="shared" si="233"/>
        <v>9494.5554955348143</v>
      </c>
      <c r="V197" s="110">
        <f t="shared" si="233"/>
        <v>8924.5533004840108</v>
      </c>
      <c r="W197" s="110">
        <f t="shared" ref="W197:Y209" si="234">IF(W6=0,0,W6*1000000/W60)</f>
        <v>8957.1610206246642</v>
      </c>
      <c r="X197" s="110">
        <f t="shared" si="234"/>
        <v>9129.8674663647344</v>
      </c>
      <c r="Y197" s="110">
        <f t="shared" si="234"/>
        <v>9389.5620472627179</v>
      </c>
      <c r="DA197" s="176" t="s">
        <v>605</v>
      </c>
    </row>
    <row r="198" spans="1:105" ht="11.45" customHeight="1" x14ac:dyDescent="0.25">
      <c r="A198" s="111" t="s">
        <v>110</v>
      </c>
      <c r="B198" s="84">
        <f t="shared" si="232"/>
        <v>12692.371701460514</v>
      </c>
      <c r="C198" s="84">
        <f t="shared" si="232"/>
        <v>11207.424808999696</v>
      </c>
      <c r="D198" s="84">
        <f t="shared" si="232"/>
        <v>11080.327541299466</v>
      </c>
      <c r="E198" s="84">
        <f t="shared" si="232"/>
        <v>10700.382760581955</v>
      </c>
      <c r="F198" s="84">
        <f t="shared" si="232"/>
        <v>10359.309420750715</v>
      </c>
      <c r="G198" s="84">
        <f t="shared" si="232"/>
        <v>10403.268650090657</v>
      </c>
      <c r="H198" s="84">
        <f t="shared" si="232"/>
        <v>9503.2516128233456</v>
      </c>
      <c r="I198" s="84">
        <f t="shared" si="232"/>
        <v>8458.3497183063482</v>
      </c>
      <c r="J198" s="84">
        <f t="shared" si="232"/>
        <v>7662.2795413555896</v>
      </c>
      <c r="K198" s="84">
        <f t="shared" si="232"/>
        <v>7698.2702237812364</v>
      </c>
      <c r="L198" s="84">
        <f t="shared" si="232"/>
        <v>7186.1315096890185</v>
      </c>
      <c r="M198" s="84">
        <f t="shared" ref="M198:M219" si="235">IF(M7=0,0,M7*1000000/M61)</f>
        <v>6534.6494244887708</v>
      </c>
      <c r="N198" s="84">
        <f t="shared" si="232"/>
        <v>6307.7149171651408</v>
      </c>
      <c r="O198" s="84">
        <f t="shared" si="232"/>
        <v>6486.7404357702217</v>
      </c>
      <c r="P198" s="84">
        <f t="shared" si="232"/>
        <v>6358.3638847557559</v>
      </c>
      <c r="Q198" s="84">
        <f t="shared" si="232"/>
        <v>6266.0200790443741</v>
      </c>
      <c r="R198" s="84">
        <f t="shared" si="232"/>
        <v>6241.9118728709009</v>
      </c>
      <c r="S198" s="84">
        <f t="shared" si="232"/>
        <v>6235.8896689198418</v>
      </c>
      <c r="T198" s="84">
        <f t="shared" si="232"/>
        <v>6126.5469969845535</v>
      </c>
      <c r="U198" s="84">
        <f t="shared" si="232"/>
        <v>6098.136133961435</v>
      </c>
      <c r="V198" s="84">
        <f t="shared" si="232"/>
        <v>5614.8777028453205</v>
      </c>
      <c r="W198" s="84">
        <f t="shared" si="234"/>
        <v>6302.1785785534585</v>
      </c>
      <c r="X198" s="84">
        <f t="shared" si="234"/>
        <v>6586.4654328593851</v>
      </c>
      <c r="Y198" s="84">
        <f t="shared" si="234"/>
        <v>7179.9533394333057</v>
      </c>
      <c r="DA198" s="171" t="s">
        <v>606</v>
      </c>
    </row>
    <row r="199" spans="1:105" ht="11.45" customHeight="1" x14ac:dyDescent="0.25">
      <c r="A199" s="111" t="s">
        <v>111</v>
      </c>
      <c r="B199" s="84">
        <f t="shared" si="232"/>
        <v>13968.297720143235</v>
      </c>
      <c r="C199" s="84">
        <f t="shared" si="232"/>
        <v>15959.452477390196</v>
      </c>
      <c r="D199" s="84">
        <f t="shared" si="232"/>
        <v>15664.753823155414</v>
      </c>
      <c r="E199" s="84">
        <f t="shared" si="232"/>
        <v>18002.65614359266</v>
      </c>
      <c r="F199" s="84">
        <f t="shared" si="232"/>
        <v>20012.678588742001</v>
      </c>
      <c r="G199" s="84">
        <f t="shared" si="232"/>
        <v>21848.797551059204</v>
      </c>
      <c r="H199" s="84">
        <f t="shared" si="232"/>
        <v>21048.571672932205</v>
      </c>
      <c r="I199" s="84">
        <f t="shared" si="232"/>
        <v>20867.423604166612</v>
      </c>
      <c r="J199" s="84">
        <f t="shared" si="232"/>
        <v>20217.004601512464</v>
      </c>
      <c r="K199" s="84">
        <f t="shared" si="232"/>
        <v>20403.130359293711</v>
      </c>
      <c r="L199" s="84">
        <f t="shared" si="232"/>
        <v>19737.685913676429</v>
      </c>
      <c r="M199" s="84">
        <f t="shared" si="235"/>
        <v>18836.106451750715</v>
      </c>
      <c r="N199" s="84">
        <f t="shared" si="232"/>
        <v>17929.916816442928</v>
      </c>
      <c r="O199" s="84">
        <f t="shared" si="232"/>
        <v>16678.502624007378</v>
      </c>
      <c r="P199" s="84">
        <f t="shared" si="232"/>
        <v>16225.411432890243</v>
      </c>
      <c r="Q199" s="84">
        <f t="shared" si="232"/>
        <v>15800.640194079475</v>
      </c>
      <c r="R199" s="84">
        <f t="shared" si="232"/>
        <v>15539.285324476867</v>
      </c>
      <c r="S199" s="84">
        <f t="shared" si="232"/>
        <v>15401.829010668487</v>
      </c>
      <c r="T199" s="84">
        <f t="shared" si="232"/>
        <v>15055.527656727791</v>
      </c>
      <c r="U199" s="84">
        <f t="shared" si="232"/>
        <v>14511.262661105246</v>
      </c>
      <c r="V199" s="84">
        <f t="shared" si="232"/>
        <v>13864.736753326861</v>
      </c>
      <c r="W199" s="84">
        <f t="shared" si="234"/>
        <v>12735.197307862132</v>
      </c>
      <c r="X199" s="84">
        <f t="shared" si="234"/>
        <v>12638.126406890962</v>
      </c>
      <c r="Y199" s="84">
        <f t="shared" si="234"/>
        <v>12329.274838392328</v>
      </c>
      <c r="DA199" s="171" t="s">
        <v>607</v>
      </c>
    </row>
    <row r="200" spans="1:105" ht="11.45" customHeight="1" x14ac:dyDescent="0.25">
      <c r="A200" s="111" t="s">
        <v>112</v>
      </c>
      <c r="B200" s="84">
        <f t="shared" si="232"/>
        <v>15411.451360061305</v>
      </c>
      <c r="C200" s="84">
        <f t="shared" si="232"/>
        <v>14019.944978452873</v>
      </c>
      <c r="D200" s="84">
        <f t="shared" si="232"/>
        <v>13305.180087832885</v>
      </c>
      <c r="E200" s="84">
        <f t="shared" si="232"/>
        <v>13458.517680221243</v>
      </c>
      <c r="F200" s="84">
        <f t="shared" si="232"/>
        <v>13933.670193927335</v>
      </c>
      <c r="G200" s="84">
        <f t="shared" si="232"/>
        <v>14504.034116993244</v>
      </c>
      <c r="H200" s="84">
        <f t="shared" si="232"/>
        <v>13702.041344606288</v>
      </c>
      <c r="I200" s="84">
        <f t="shared" si="232"/>
        <v>12908.892324790515</v>
      </c>
      <c r="J200" s="84">
        <f t="shared" si="232"/>
        <v>12274.099449517686</v>
      </c>
      <c r="K200" s="84">
        <f t="shared" si="232"/>
        <v>12231.636369931211</v>
      </c>
      <c r="L200" s="84">
        <f t="shared" si="232"/>
        <v>12637.253628670998</v>
      </c>
      <c r="M200" s="84">
        <f t="shared" si="235"/>
        <v>11999.645514514881</v>
      </c>
      <c r="N200" s="84">
        <f t="shared" si="232"/>
        <v>11283.674891801968</v>
      </c>
      <c r="O200" s="84">
        <f t="shared" si="232"/>
        <v>10988.320868631818</v>
      </c>
      <c r="P200" s="84">
        <f t="shared" si="232"/>
        <v>10734.184188503574</v>
      </c>
      <c r="Q200" s="84">
        <f t="shared" si="232"/>
        <v>10522.700815648714</v>
      </c>
      <c r="R200" s="84">
        <f t="shared" si="232"/>
        <v>11451.513392377519</v>
      </c>
      <c r="S200" s="84">
        <f t="shared" si="232"/>
        <v>11827.515446172009</v>
      </c>
      <c r="T200" s="84">
        <f t="shared" si="232"/>
        <v>11428.23489823564</v>
      </c>
      <c r="U200" s="84">
        <f t="shared" si="232"/>
        <v>11145.129196710159</v>
      </c>
      <c r="V200" s="84">
        <f t="shared" si="232"/>
        <v>10295.8066831956</v>
      </c>
      <c r="W200" s="84">
        <f t="shared" si="234"/>
        <v>10505.843547612631</v>
      </c>
      <c r="X200" s="84">
        <f t="shared" si="234"/>
        <v>10877.823131166009</v>
      </c>
      <c r="Y200" s="84">
        <f t="shared" si="234"/>
        <v>11035.615916567134</v>
      </c>
      <c r="DA200" s="171" t="s">
        <v>608</v>
      </c>
    </row>
    <row r="201" spans="1:105" ht="11.45" customHeight="1" x14ac:dyDescent="0.25">
      <c r="A201" s="111" t="s">
        <v>113</v>
      </c>
      <c r="B201" s="84">
        <f t="shared" si="232"/>
        <v>0</v>
      </c>
      <c r="C201" s="84">
        <f t="shared" si="232"/>
        <v>0</v>
      </c>
      <c r="D201" s="84">
        <f t="shared" si="232"/>
        <v>0</v>
      </c>
      <c r="E201" s="84">
        <f t="shared" si="232"/>
        <v>0</v>
      </c>
      <c r="F201" s="84">
        <f t="shared" si="232"/>
        <v>0</v>
      </c>
      <c r="G201" s="84">
        <f t="shared" si="232"/>
        <v>0</v>
      </c>
      <c r="H201" s="84">
        <f t="shared" si="232"/>
        <v>0</v>
      </c>
      <c r="I201" s="84">
        <f t="shared" si="232"/>
        <v>0</v>
      </c>
      <c r="J201" s="84">
        <f t="shared" si="232"/>
        <v>0</v>
      </c>
      <c r="K201" s="84">
        <f t="shared" si="232"/>
        <v>0</v>
      </c>
      <c r="L201" s="84">
        <f t="shared" si="232"/>
        <v>0</v>
      </c>
      <c r="M201" s="84">
        <f t="shared" si="235"/>
        <v>0</v>
      </c>
      <c r="N201" s="84">
        <f t="shared" si="232"/>
        <v>0</v>
      </c>
      <c r="O201" s="84">
        <f t="shared" si="232"/>
        <v>0</v>
      </c>
      <c r="P201" s="84">
        <f t="shared" si="232"/>
        <v>0</v>
      </c>
      <c r="Q201" s="84">
        <f t="shared" si="232"/>
        <v>11682.609257409353</v>
      </c>
      <c r="R201" s="84">
        <f t="shared" si="232"/>
        <v>11490.797973196164</v>
      </c>
      <c r="S201" s="84">
        <f t="shared" si="232"/>
        <v>11987.969603459758</v>
      </c>
      <c r="T201" s="84">
        <f t="shared" si="232"/>
        <v>11700.275096262112</v>
      </c>
      <c r="U201" s="84">
        <f t="shared" si="232"/>
        <v>11525.687156386213</v>
      </c>
      <c r="V201" s="84">
        <f t="shared" si="232"/>
        <v>10470.681042785678</v>
      </c>
      <c r="W201" s="84">
        <f t="shared" si="234"/>
        <v>10644.861311351724</v>
      </c>
      <c r="X201" s="84">
        <f t="shared" si="234"/>
        <v>10729.384070284626</v>
      </c>
      <c r="Y201" s="84">
        <f t="shared" si="234"/>
        <v>10994.973344627462</v>
      </c>
      <c r="DA201" s="171" t="s">
        <v>609</v>
      </c>
    </row>
    <row r="202" spans="1:105" ht="11.45" customHeight="1" x14ac:dyDescent="0.25">
      <c r="A202" s="111" t="s">
        <v>114</v>
      </c>
      <c r="B202" s="84">
        <f t="shared" si="232"/>
        <v>0</v>
      </c>
      <c r="C202" s="84">
        <f t="shared" si="232"/>
        <v>0</v>
      </c>
      <c r="D202" s="84">
        <f t="shared" si="232"/>
        <v>0</v>
      </c>
      <c r="E202" s="84">
        <f t="shared" si="232"/>
        <v>0</v>
      </c>
      <c r="F202" s="84">
        <f t="shared" si="232"/>
        <v>0</v>
      </c>
      <c r="G202" s="84">
        <f t="shared" si="232"/>
        <v>0</v>
      </c>
      <c r="H202" s="84">
        <f t="shared" si="232"/>
        <v>0</v>
      </c>
      <c r="I202" s="84">
        <f t="shared" si="232"/>
        <v>0</v>
      </c>
      <c r="J202" s="84">
        <f t="shared" si="232"/>
        <v>0</v>
      </c>
      <c r="K202" s="84">
        <f t="shared" si="232"/>
        <v>0</v>
      </c>
      <c r="L202" s="84">
        <f t="shared" si="232"/>
        <v>0</v>
      </c>
      <c r="M202" s="84">
        <f t="shared" si="235"/>
        <v>0</v>
      </c>
      <c r="N202" s="84">
        <f t="shared" si="232"/>
        <v>12648.603946279436</v>
      </c>
      <c r="O202" s="84">
        <f t="shared" si="232"/>
        <v>12503.491280435135</v>
      </c>
      <c r="P202" s="84">
        <f t="shared" si="232"/>
        <v>12444.610164650516</v>
      </c>
      <c r="Q202" s="84">
        <f t="shared" si="232"/>
        <v>12572.880106406617</v>
      </c>
      <c r="R202" s="84">
        <f t="shared" si="232"/>
        <v>13465.692049845795</v>
      </c>
      <c r="S202" s="84">
        <f t="shared" si="232"/>
        <v>13767.345071461243</v>
      </c>
      <c r="T202" s="84">
        <f t="shared" si="232"/>
        <v>13168.209080383453</v>
      </c>
      <c r="U202" s="84">
        <f t="shared" si="232"/>
        <v>12712.282735342977</v>
      </c>
      <c r="V202" s="84">
        <f t="shared" si="232"/>
        <v>11624.120471488588</v>
      </c>
      <c r="W202" s="84">
        <f t="shared" si="234"/>
        <v>11616.230372115437</v>
      </c>
      <c r="X202" s="84">
        <f t="shared" si="234"/>
        <v>11906.035180505536</v>
      </c>
      <c r="Y202" s="84">
        <f t="shared" si="234"/>
        <v>11956.735616926691</v>
      </c>
      <c r="DA202" s="171" t="s">
        <v>610</v>
      </c>
    </row>
    <row r="203" spans="1:105" ht="11.45" customHeight="1" x14ac:dyDescent="0.25">
      <c r="A203" s="111" t="s">
        <v>115</v>
      </c>
      <c r="B203" s="84">
        <f t="shared" si="232"/>
        <v>0</v>
      </c>
      <c r="C203" s="84">
        <f t="shared" si="232"/>
        <v>0</v>
      </c>
      <c r="D203" s="84">
        <f t="shared" si="232"/>
        <v>0</v>
      </c>
      <c r="E203" s="84">
        <f t="shared" si="232"/>
        <v>0</v>
      </c>
      <c r="F203" s="84">
        <f t="shared" si="232"/>
        <v>0</v>
      </c>
      <c r="G203" s="84">
        <f t="shared" si="232"/>
        <v>0</v>
      </c>
      <c r="H203" s="84">
        <f t="shared" si="232"/>
        <v>0</v>
      </c>
      <c r="I203" s="84">
        <f t="shared" si="232"/>
        <v>0</v>
      </c>
      <c r="J203" s="84">
        <f t="shared" si="232"/>
        <v>0</v>
      </c>
      <c r="K203" s="84">
        <f t="shared" si="232"/>
        <v>0</v>
      </c>
      <c r="L203" s="84">
        <f t="shared" si="232"/>
        <v>10354.048730676235</v>
      </c>
      <c r="M203" s="84">
        <f t="shared" si="235"/>
        <v>10172.987593843834</v>
      </c>
      <c r="N203" s="84">
        <f t="shared" si="232"/>
        <v>10249.305632491134</v>
      </c>
      <c r="O203" s="84">
        <f t="shared" si="232"/>
        <v>10916.579414015294</v>
      </c>
      <c r="P203" s="84">
        <f t="shared" si="232"/>
        <v>11052.080104546609</v>
      </c>
      <c r="Q203" s="84">
        <f t="shared" si="232"/>
        <v>10522.543855592456</v>
      </c>
      <c r="R203" s="84">
        <f t="shared" si="232"/>
        <v>10644.523920727135</v>
      </c>
      <c r="S203" s="84">
        <f t="shared" si="232"/>
        <v>9910.1732020122054</v>
      </c>
      <c r="T203" s="84">
        <f t="shared" si="232"/>
        <v>9328.2130121328282</v>
      </c>
      <c r="U203" s="84">
        <f t="shared" si="232"/>
        <v>9168.7008958373062</v>
      </c>
      <c r="V203" s="84">
        <f t="shared" si="232"/>
        <v>8615.5587015283254</v>
      </c>
      <c r="W203" s="84">
        <f t="shared" si="234"/>
        <v>9551.6017917607569</v>
      </c>
      <c r="X203" s="84">
        <f t="shared" si="234"/>
        <v>8913.5927257368712</v>
      </c>
      <c r="Y203" s="84">
        <f t="shared" si="234"/>
        <v>9069.0614986052315</v>
      </c>
      <c r="DA203" s="171" t="s">
        <v>611</v>
      </c>
    </row>
    <row r="204" spans="1:105" ht="11.45" customHeight="1" x14ac:dyDescent="0.25">
      <c r="A204" s="109" t="s">
        <v>21</v>
      </c>
      <c r="B204" s="110">
        <f t="shared" si="232"/>
        <v>1758346.2041107283</v>
      </c>
      <c r="C204" s="110">
        <f t="shared" si="232"/>
        <v>1648662.3218165045</v>
      </c>
      <c r="D204" s="110">
        <f t="shared" si="232"/>
        <v>1533064.0643886907</v>
      </c>
      <c r="E204" s="110">
        <f t="shared" si="232"/>
        <v>1535942.84863819</v>
      </c>
      <c r="F204" s="110">
        <f t="shared" si="232"/>
        <v>1392863.9572600648</v>
      </c>
      <c r="G204" s="110">
        <f t="shared" si="232"/>
        <v>1320238.2869103204</v>
      </c>
      <c r="H204" s="110">
        <f t="shared" si="232"/>
        <v>1325458.603233357</v>
      </c>
      <c r="I204" s="110">
        <f t="shared" si="232"/>
        <v>1252034.227518505</v>
      </c>
      <c r="J204" s="110">
        <f t="shared" si="232"/>
        <v>1247417.5579905333</v>
      </c>
      <c r="K204" s="110">
        <f t="shared" si="232"/>
        <v>1115373.8662059503</v>
      </c>
      <c r="L204" s="110">
        <f t="shared" si="232"/>
        <v>1043569.6589003729</v>
      </c>
      <c r="M204" s="110">
        <f t="shared" si="235"/>
        <v>974483.59659781307</v>
      </c>
      <c r="N204" s="110">
        <f t="shared" si="232"/>
        <v>962190.00195274362</v>
      </c>
      <c r="O204" s="110">
        <f t="shared" si="232"/>
        <v>901997.27969074377</v>
      </c>
      <c r="P204" s="110">
        <f t="shared" si="232"/>
        <v>902674.04333794396</v>
      </c>
      <c r="Q204" s="110">
        <f t="shared" si="232"/>
        <v>741617.82408777846</v>
      </c>
      <c r="R204" s="110">
        <f t="shared" si="232"/>
        <v>707042.74095864326</v>
      </c>
      <c r="S204" s="110">
        <f t="shared" si="232"/>
        <v>678551.26999059261</v>
      </c>
      <c r="T204" s="110">
        <f t="shared" si="232"/>
        <v>633335.1667491704</v>
      </c>
      <c r="U204" s="110">
        <f t="shared" si="232"/>
        <v>646828.86774602369</v>
      </c>
      <c r="V204" s="110">
        <f t="shared" si="232"/>
        <v>338009.42223156273</v>
      </c>
      <c r="W204" s="110">
        <f t="shared" si="234"/>
        <v>367702.44821092271</v>
      </c>
      <c r="X204" s="110">
        <f t="shared" si="234"/>
        <v>450949.42201548233</v>
      </c>
      <c r="Y204" s="110">
        <f t="shared" si="234"/>
        <v>485548.08021296485</v>
      </c>
      <c r="DA204" s="176" t="s">
        <v>612</v>
      </c>
    </row>
    <row r="205" spans="1:105" ht="11.45" customHeight="1" x14ac:dyDescent="0.25">
      <c r="A205" s="111" t="s">
        <v>110</v>
      </c>
      <c r="B205" s="102">
        <f t="shared" si="232"/>
        <v>0</v>
      </c>
      <c r="C205" s="102">
        <f t="shared" si="232"/>
        <v>0</v>
      </c>
      <c r="D205" s="102">
        <f t="shared" si="232"/>
        <v>0</v>
      </c>
      <c r="E205" s="102">
        <f t="shared" si="232"/>
        <v>0</v>
      </c>
      <c r="F205" s="102">
        <f t="shared" si="232"/>
        <v>0</v>
      </c>
      <c r="G205" s="102">
        <f t="shared" si="232"/>
        <v>0</v>
      </c>
      <c r="H205" s="102">
        <f t="shared" si="232"/>
        <v>0</v>
      </c>
      <c r="I205" s="102">
        <f t="shared" si="232"/>
        <v>0</v>
      </c>
      <c r="J205" s="102">
        <f t="shared" si="232"/>
        <v>0</v>
      </c>
      <c r="K205" s="102">
        <f t="shared" si="232"/>
        <v>0</v>
      </c>
      <c r="L205" s="102">
        <f t="shared" si="232"/>
        <v>0</v>
      </c>
      <c r="M205" s="102">
        <f t="shared" si="235"/>
        <v>0</v>
      </c>
      <c r="N205" s="102">
        <f t="shared" si="232"/>
        <v>0</v>
      </c>
      <c r="O205" s="102">
        <f t="shared" si="232"/>
        <v>0</v>
      </c>
      <c r="P205" s="102">
        <f t="shared" si="232"/>
        <v>0</v>
      </c>
      <c r="Q205" s="102">
        <f t="shared" si="232"/>
        <v>0</v>
      </c>
      <c r="R205" s="102">
        <f t="shared" si="232"/>
        <v>0</v>
      </c>
      <c r="S205" s="102">
        <f t="shared" si="232"/>
        <v>0</v>
      </c>
      <c r="T205" s="102">
        <f t="shared" si="232"/>
        <v>0</v>
      </c>
      <c r="U205" s="102">
        <f t="shared" si="232"/>
        <v>0</v>
      </c>
      <c r="V205" s="102">
        <f t="shared" si="232"/>
        <v>0</v>
      </c>
      <c r="W205" s="102">
        <f t="shared" si="234"/>
        <v>0</v>
      </c>
      <c r="X205" s="102">
        <f t="shared" si="234"/>
        <v>0</v>
      </c>
      <c r="Y205" s="102">
        <f t="shared" si="234"/>
        <v>0</v>
      </c>
      <c r="DA205" s="175" t="s">
        <v>613</v>
      </c>
    </row>
    <row r="206" spans="1:105" ht="11.45" customHeight="1" x14ac:dyDescent="0.25">
      <c r="A206" s="111" t="s">
        <v>111</v>
      </c>
      <c r="B206" s="102">
        <f t="shared" si="232"/>
        <v>1776586.2360332729</v>
      </c>
      <c r="C206" s="102">
        <f t="shared" si="232"/>
        <v>1664445.0208041812</v>
      </c>
      <c r="D206" s="102">
        <f t="shared" si="232"/>
        <v>1546199.4368123189</v>
      </c>
      <c r="E206" s="102">
        <f t="shared" si="232"/>
        <v>1547534.0893355797</v>
      </c>
      <c r="F206" s="102">
        <f t="shared" si="232"/>
        <v>1418546.982862588</v>
      </c>
      <c r="G206" s="102">
        <f t="shared" si="232"/>
        <v>1343414.9112469095</v>
      </c>
      <c r="H206" s="102">
        <f t="shared" si="232"/>
        <v>1347511.433921214</v>
      </c>
      <c r="I206" s="102">
        <f t="shared" si="232"/>
        <v>1270694.9904140509</v>
      </c>
      <c r="J206" s="102">
        <f t="shared" si="232"/>
        <v>1264628.6942233727</v>
      </c>
      <c r="K206" s="102">
        <f t="shared" si="232"/>
        <v>1129109.4447955117</v>
      </c>
      <c r="L206" s="102">
        <f t="shared" si="232"/>
        <v>1055177.3261110985</v>
      </c>
      <c r="M206" s="102">
        <f t="shared" si="235"/>
        <v>984078.76557564503</v>
      </c>
      <c r="N206" s="102">
        <f t="shared" si="232"/>
        <v>970854.41413933481</v>
      </c>
      <c r="O206" s="102">
        <f t="shared" si="232"/>
        <v>909089.33753028349</v>
      </c>
      <c r="P206" s="102">
        <f t="shared" si="232"/>
        <v>908715.85107640398</v>
      </c>
      <c r="Q206" s="102">
        <f t="shared" si="232"/>
        <v>743809.45538904495</v>
      </c>
      <c r="R206" s="102">
        <f t="shared" si="232"/>
        <v>708730.27107336046</v>
      </c>
      <c r="S206" s="102">
        <f t="shared" si="232"/>
        <v>679954.77483801264</v>
      </c>
      <c r="T206" s="102">
        <f t="shared" si="232"/>
        <v>633698.19949748355</v>
      </c>
      <c r="U206" s="102">
        <f t="shared" si="232"/>
        <v>647890.45511320233</v>
      </c>
      <c r="V206" s="102">
        <f t="shared" si="232"/>
        <v>338222.92217406805</v>
      </c>
      <c r="W206" s="102">
        <f t="shared" si="234"/>
        <v>367530.13458564493</v>
      </c>
      <c r="X206" s="102">
        <f t="shared" si="234"/>
        <v>449876.57868769526</v>
      </c>
      <c r="Y206" s="102">
        <f t="shared" si="234"/>
        <v>483425.98165815731</v>
      </c>
      <c r="DA206" s="175" t="s">
        <v>614</v>
      </c>
    </row>
    <row r="207" spans="1:105" ht="11.45" customHeight="1" x14ac:dyDescent="0.25">
      <c r="A207" s="111" t="s">
        <v>112</v>
      </c>
      <c r="B207" s="102">
        <f t="shared" si="232"/>
        <v>1109378.40280296</v>
      </c>
      <c r="C207" s="102">
        <f t="shared" si="232"/>
        <v>1039142.0626418173</v>
      </c>
      <c r="D207" s="102">
        <f t="shared" si="232"/>
        <v>965347.48506548523</v>
      </c>
      <c r="E207" s="102">
        <f t="shared" si="232"/>
        <v>966179.88670029503</v>
      </c>
      <c r="F207" s="102">
        <f t="shared" si="232"/>
        <v>875502.1600159345</v>
      </c>
      <c r="G207" s="102">
        <f t="shared" si="232"/>
        <v>829063.58014425752</v>
      </c>
      <c r="H207" s="102">
        <f t="shared" si="232"/>
        <v>831488.59981618973</v>
      </c>
      <c r="I207" s="102">
        <f t="shared" si="232"/>
        <v>784721.71782597725</v>
      </c>
      <c r="J207" s="102">
        <f t="shared" si="232"/>
        <v>781061.66989863547</v>
      </c>
      <c r="K207" s="102">
        <f t="shared" si="232"/>
        <v>697742.65380779048</v>
      </c>
      <c r="L207" s="102">
        <f t="shared" si="232"/>
        <v>652202.81622901116</v>
      </c>
      <c r="M207" s="102">
        <f t="shared" si="235"/>
        <v>608467.8534425695</v>
      </c>
      <c r="N207" s="102">
        <f t="shared" si="232"/>
        <v>600190.50975212979</v>
      </c>
      <c r="O207" s="102">
        <f t="shared" si="232"/>
        <v>562118.7966630822</v>
      </c>
      <c r="P207" s="102">
        <f t="shared" si="232"/>
        <v>562032.37525397621</v>
      </c>
      <c r="Q207" s="102">
        <f t="shared" si="232"/>
        <v>461476.13558455708</v>
      </c>
      <c r="R207" s="102">
        <f t="shared" si="232"/>
        <v>438907.82470069756</v>
      </c>
      <c r="S207" s="102">
        <f t="shared" si="232"/>
        <v>420351.83316883841</v>
      </c>
      <c r="T207" s="102">
        <f t="shared" si="232"/>
        <v>390982.27711588197</v>
      </c>
      <c r="U207" s="102">
        <f t="shared" si="232"/>
        <v>399743.15479447588</v>
      </c>
      <c r="V207" s="102">
        <f t="shared" si="232"/>
        <v>208626.64520048816</v>
      </c>
      <c r="W207" s="102">
        <f t="shared" si="234"/>
        <v>226914.48996716712</v>
      </c>
      <c r="X207" s="102">
        <f t="shared" si="234"/>
        <v>278252.05176466197</v>
      </c>
      <c r="Y207" s="102">
        <f t="shared" si="234"/>
        <v>299348.30579765397</v>
      </c>
      <c r="DA207" s="175" t="s">
        <v>615</v>
      </c>
    </row>
    <row r="208" spans="1:105" ht="11.45" customHeight="1" x14ac:dyDescent="0.25">
      <c r="A208" s="111" t="s">
        <v>113</v>
      </c>
      <c r="B208" s="102">
        <f t="shared" si="232"/>
        <v>0</v>
      </c>
      <c r="C208" s="102">
        <f t="shared" si="232"/>
        <v>0</v>
      </c>
      <c r="D208" s="102">
        <f t="shared" si="232"/>
        <v>0</v>
      </c>
      <c r="E208" s="102">
        <f t="shared" si="232"/>
        <v>0</v>
      </c>
      <c r="F208" s="102">
        <f t="shared" si="232"/>
        <v>0</v>
      </c>
      <c r="G208" s="102">
        <f t="shared" si="232"/>
        <v>0</v>
      </c>
      <c r="H208" s="102">
        <f t="shared" si="232"/>
        <v>0</v>
      </c>
      <c r="I208" s="102">
        <f t="shared" si="232"/>
        <v>0</v>
      </c>
      <c r="J208" s="102">
        <f t="shared" si="232"/>
        <v>0</v>
      </c>
      <c r="K208" s="102">
        <f t="shared" si="232"/>
        <v>0</v>
      </c>
      <c r="L208" s="102">
        <f t="shared" si="232"/>
        <v>0</v>
      </c>
      <c r="M208" s="102">
        <f t="shared" si="235"/>
        <v>0</v>
      </c>
      <c r="N208" s="102">
        <f t="shared" si="232"/>
        <v>0</v>
      </c>
      <c r="O208" s="102">
        <f t="shared" si="232"/>
        <v>0</v>
      </c>
      <c r="P208" s="102">
        <f t="shared" si="232"/>
        <v>0</v>
      </c>
      <c r="Q208" s="102">
        <f t="shared" si="232"/>
        <v>874405.58899728686</v>
      </c>
      <c r="R208" s="102">
        <f t="shared" si="232"/>
        <v>815010.26135848346</v>
      </c>
      <c r="S208" s="102">
        <f t="shared" si="232"/>
        <v>764942.47167758434</v>
      </c>
      <c r="T208" s="102">
        <f t="shared" si="232"/>
        <v>697266.78302041453</v>
      </c>
      <c r="U208" s="102">
        <f t="shared" si="232"/>
        <v>698632.87185638165</v>
      </c>
      <c r="V208" s="102">
        <f t="shared" si="232"/>
        <v>357325.35235024808</v>
      </c>
      <c r="W208" s="102">
        <f t="shared" si="234"/>
        <v>380874.90695599315</v>
      </c>
      <c r="X208" s="102">
        <f t="shared" si="234"/>
        <v>474996.54444133991</v>
      </c>
      <c r="Y208" s="102">
        <f t="shared" si="234"/>
        <v>500789.2007903136</v>
      </c>
      <c r="DA208" s="175" t="s">
        <v>616</v>
      </c>
    </row>
    <row r="209" spans="1:105" ht="11.45" customHeight="1" x14ac:dyDescent="0.25">
      <c r="A209" s="111" t="s">
        <v>115</v>
      </c>
      <c r="B209" s="102">
        <f t="shared" si="232"/>
        <v>1490282.9389418866</v>
      </c>
      <c r="C209" s="102">
        <f t="shared" si="232"/>
        <v>1426823.6392041803</v>
      </c>
      <c r="D209" s="102">
        <f t="shared" si="232"/>
        <v>1353990.6191247553</v>
      </c>
      <c r="E209" s="102">
        <f t="shared" si="232"/>
        <v>1385732.5837107131</v>
      </c>
      <c r="F209" s="102">
        <f t="shared" si="232"/>
        <v>1277131.9857339333</v>
      </c>
      <c r="G209" s="102">
        <f t="shared" si="232"/>
        <v>1234959.0428470434</v>
      </c>
      <c r="H209" s="102">
        <f t="shared" si="232"/>
        <v>1266833.2525385399</v>
      </c>
      <c r="I209" s="102">
        <f t="shared" si="232"/>
        <v>1219476.2603946319</v>
      </c>
      <c r="J209" s="102">
        <f t="shared" si="232"/>
        <v>1240266.3286294206</v>
      </c>
      <c r="K209" s="102">
        <f t="shared" si="232"/>
        <v>1130564.9710782589</v>
      </c>
      <c r="L209" s="102">
        <f t="shared" si="232"/>
        <v>1079149.7905899768</v>
      </c>
      <c r="M209" s="102">
        <f t="shared" si="235"/>
        <v>1027295.4177272442</v>
      </c>
      <c r="N209" s="102">
        <f t="shared" si="232"/>
        <v>1035888.2444748152</v>
      </c>
      <c r="O209" s="102">
        <f t="shared" si="232"/>
        <v>990309.11836612783</v>
      </c>
      <c r="P209" s="102">
        <f t="shared" si="232"/>
        <v>1010041.0590983109</v>
      </c>
      <c r="Q209" s="102">
        <f t="shared" si="232"/>
        <v>840379.29255421902</v>
      </c>
      <c r="R209" s="102">
        <f t="shared" si="232"/>
        <v>838548.27352480718</v>
      </c>
      <c r="S209" s="102">
        <f t="shared" si="232"/>
        <v>836980.30937445385</v>
      </c>
      <c r="T209" s="102">
        <f t="shared" si="232"/>
        <v>834440.86429903249</v>
      </c>
      <c r="U209" s="102">
        <f t="shared" si="232"/>
        <v>833143.31628996471</v>
      </c>
      <c r="V209" s="102">
        <f t="shared" si="232"/>
        <v>438139.58842968603</v>
      </c>
      <c r="W209" s="102">
        <f t="shared" si="234"/>
        <v>486765.26790223015</v>
      </c>
      <c r="X209" s="102">
        <f t="shared" si="234"/>
        <v>598410.31317492155</v>
      </c>
      <c r="Y209" s="102">
        <f t="shared" si="234"/>
        <v>654722.17444369441</v>
      </c>
      <c r="DA209" s="175" t="s">
        <v>617</v>
      </c>
    </row>
    <row r="210" spans="1:105" ht="11.45" customHeight="1" x14ac:dyDescent="0.25">
      <c r="A210" s="27" t="s">
        <v>108</v>
      </c>
      <c r="B210" s="28">
        <f t="shared" si="232"/>
        <v>33168.594535138174</v>
      </c>
      <c r="C210" s="28">
        <f t="shared" si="232"/>
        <v>33670.594101343915</v>
      </c>
      <c r="D210" s="28">
        <f t="shared" si="232"/>
        <v>33345.79982097022</v>
      </c>
      <c r="E210" s="28">
        <f t="shared" si="232"/>
        <v>34180.640015809782</v>
      </c>
      <c r="F210" s="28">
        <f t="shared" ref="B210:V219" si="236">IF(F19=0,0,F19*1000000/F73)</f>
        <v>39076.473575129821</v>
      </c>
      <c r="G210" s="28">
        <f t="shared" si="236"/>
        <v>39423.183679191628</v>
      </c>
      <c r="H210" s="28">
        <f t="shared" si="236"/>
        <v>40519.595949502982</v>
      </c>
      <c r="I210" s="28">
        <f t="shared" si="236"/>
        <v>40492.614562019684</v>
      </c>
      <c r="J210" s="28">
        <f t="shared" si="236"/>
        <v>40206.14397968648</v>
      </c>
      <c r="K210" s="28">
        <f t="shared" si="236"/>
        <v>41233.481493509033</v>
      </c>
      <c r="L210" s="28">
        <f t="shared" si="236"/>
        <v>41921.095376358666</v>
      </c>
      <c r="M210" s="28">
        <f t="shared" si="235"/>
        <v>43010.102964189085</v>
      </c>
      <c r="N210" s="28">
        <f t="shared" si="236"/>
        <v>43229.999610536572</v>
      </c>
      <c r="O210" s="28">
        <f t="shared" si="236"/>
        <v>45886.733183617849</v>
      </c>
      <c r="P210" s="28">
        <f t="shared" si="236"/>
        <v>44578.077622913304</v>
      </c>
      <c r="Q210" s="28">
        <f t="shared" si="236"/>
        <v>46366.660025865371</v>
      </c>
      <c r="R210" s="28">
        <f t="shared" si="236"/>
        <v>47217.664239564918</v>
      </c>
      <c r="S210" s="28">
        <f t="shared" si="236"/>
        <v>51901.978723587694</v>
      </c>
      <c r="T210" s="28">
        <f t="shared" si="236"/>
        <v>46875.823591552573</v>
      </c>
      <c r="U210" s="28">
        <f t="shared" si="236"/>
        <v>48676.397853406641</v>
      </c>
      <c r="V210" s="28">
        <f t="shared" si="236"/>
        <v>47882.763893222495</v>
      </c>
      <c r="W210" s="28">
        <f t="shared" ref="W210:Y210" si="237">IF(W19=0,0,W19*1000000/W73)</f>
        <v>50095.982787049281</v>
      </c>
      <c r="X210" s="28">
        <f t="shared" si="237"/>
        <v>50555.677407572861</v>
      </c>
      <c r="Y210" s="28">
        <f t="shared" si="237"/>
        <v>47989.809001729038</v>
      </c>
      <c r="DA210" s="173" t="s">
        <v>618</v>
      </c>
    </row>
    <row r="211" spans="1:105" ht="11.45" customHeight="1" x14ac:dyDescent="0.25">
      <c r="A211" s="136" t="s">
        <v>153</v>
      </c>
      <c r="B211" s="137">
        <f t="shared" si="236"/>
        <v>2374.3605304271227</v>
      </c>
      <c r="C211" s="137">
        <f t="shared" si="236"/>
        <v>2305.4456462116336</v>
      </c>
      <c r="D211" s="137">
        <f t="shared" si="236"/>
        <v>2383.3941315215166</v>
      </c>
      <c r="E211" s="137">
        <f t="shared" si="236"/>
        <v>2421.4997422417046</v>
      </c>
      <c r="F211" s="137">
        <f t="shared" si="236"/>
        <v>2431.654692107873</v>
      </c>
      <c r="G211" s="137">
        <f t="shared" si="236"/>
        <v>2447.0648977567362</v>
      </c>
      <c r="H211" s="137">
        <f t="shared" si="236"/>
        <v>2524.8865335968221</v>
      </c>
      <c r="I211" s="137">
        <f t="shared" si="236"/>
        <v>2546.9039986665257</v>
      </c>
      <c r="J211" s="137">
        <f t="shared" si="236"/>
        <v>2554.5201678897538</v>
      </c>
      <c r="K211" s="137">
        <f t="shared" si="236"/>
        <v>2612.2907556005994</v>
      </c>
      <c r="L211" s="137">
        <f t="shared" si="236"/>
        <v>2591.9272514728195</v>
      </c>
      <c r="M211" s="137">
        <f t="shared" si="235"/>
        <v>2599.5654658833396</v>
      </c>
      <c r="N211" s="137">
        <f t="shared" si="236"/>
        <v>2575.3717966122786</v>
      </c>
      <c r="O211" s="137">
        <f t="shared" si="236"/>
        <v>2545.9542896593598</v>
      </c>
      <c r="P211" s="137">
        <f t="shared" si="236"/>
        <v>2553.9611523953431</v>
      </c>
      <c r="Q211" s="137">
        <f t="shared" si="236"/>
        <v>2538.607892999989</v>
      </c>
      <c r="R211" s="137">
        <f t="shared" si="236"/>
        <v>2600.4672569509053</v>
      </c>
      <c r="S211" s="137">
        <f t="shared" si="236"/>
        <v>2646.5216790914333</v>
      </c>
      <c r="T211" s="137">
        <f t="shared" si="236"/>
        <v>2710.0781468678128</v>
      </c>
      <c r="U211" s="137">
        <f t="shared" si="236"/>
        <v>2756.6359924790136</v>
      </c>
      <c r="V211" s="137">
        <f t="shared" si="236"/>
        <v>2715.8363165710939</v>
      </c>
      <c r="W211" s="137">
        <f t="shared" ref="W211:Y211" si="238">IF(W20=0,0,W20*1000000/W74)</f>
        <v>2725.042082117061</v>
      </c>
      <c r="X211" s="137">
        <f t="shared" si="238"/>
        <v>2706.1351801445867</v>
      </c>
      <c r="Y211" s="137">
        <f t="shared" si="238"/>
        <v>2667.2024634189411</v>
      </c>
      <c r="DA211" s="174" t="s">
        <v>619</v>
      </c>
    </row>
    <row r="212" spans="1:105" ht="11.45" customHeight="1" x14ac:dyDescent="0.25">
      <c r="A212" s="111" t="s">
        <v>110</v>
      </c>
      <c r="B212" s="84">
        <f t="shared" si="236"/>
        <v>1821.972330776797</v>
      </c>
      <c r="C212" s="84">
        <f t="shared" si="236"/>
        <v>1766.9784989577633</v>
      </c>
      <c r="D212" s="84">
        <f t="shared" si="236"/>
        <v>1764.3394016073901</v>
      </c>
      <c r="E212" s="84">
        <f t="shared" si="236"/>
        <v>1769.0347624808862</v>
      </c>
      <c r="F212" s="84">
        <f t="shared" si="236"/>
        <v>1741.4908580667236</v>
      </c>
      <c r="G212" s="84">
        <f t="shared" si="236"/>
        <v>1664.6025116961682</v>
      </c>
      <c r="H212" s="84">
        <f t="shared" si="236"/>
        <v>1653.623396446651</v>
      </c>
      <c r="I212" s="84">
        <f t="shared" si="236"/>
        <v>1607.1644228688772</v>
      </c>
      <c r="J212" s="84">
        <f t="shared" si="236"/>
        <v>1537.3324020520845</v>
      </c>
      <c r="K212" s="84">
        <f t="shared" si="236"/>
        <v>1633.7186054696908</v>
      </c>
      <c r="L212" s="84">
        <f t="shared" si="236"/>
        <v>1559.598446716876</v>
      </c>
      <c r="M212" s="84">
        <f t="shared" si="235"/>
        <v>1522.0914390748278</v>
      </c>
      <c r="N212" s="84">
        <f t="shared" si="236"/>
        <v>1468.2796146191395</v>
      </c>
      <c r="O212" s="84">
        <f t="shared" si="236"/>
        <v>1402.7482621146523</v>
      </c>
      <c r="P212" s="84">
        <f t="shared" si="236"/>
        <v>1366.2982016420663</v>
      </c>
      <c r="Q212" s="84">
        <f t="shared" si="236"/>
        <v>1264.7939918032962</v>
      </c>
      <c r="R212" s="84">
        <f t="shared" si="236"/>
        <v>1284.9137669580205</v>
      </c>
      <c r="S212" s="84">
        <f t="shared" si="236"/>
        <v>1307.7293012119812</v>
      </c>
      <c r="T212" s="84">
        <f t="shared" si="236"/>
        <v>1331.2665963135182</v>
      </c>
      <c r="U212" s="84">
        <f t="shared" si="236"/>
        <v>1348.3005338804142</v>
      </c>
      <c r="V212" s="84">
        <f t="shared" si="236"/>
        <v>1276.4419460240695</v>
      </c>
      <c r="W212" s="84">
        <f t="shared" ref="W212:Y212" si="239">IF(W21=0,0,W21*1000000/W75)</f>
        <v>1275.7198779496948</v>
      </c>
      <c r="X212" s="84">
        <f t="shared" si="239"/>
        <v>1329.6254611624456</v>
      </c>
      <c r="Y212" s="84">
        <f t="shared" si="239"/>
        <v>1308.6824153801438</v>
      </c>
      <c r="DA212" s="171" t="s">
        <v>620</v>
      </c>
    </row>
    <row r="213" spans="1:105" ht="11.45" customHeight="1" x14ac:dyDescent="0.25">
      <c r="A213" s="111" t="s">
        <v>111</v>
      </c>
      <c r="B213" s="84">
        <f t="shared" si="236"/>
        <v>3865.7712597777063</v>
      </c>
      <c r="C213" s="84">
        <f t="shared" si="236"/>
        <v>3788.3695621389666</v>
      </c>
      <c r="D213" s="84">
        <f t="shared" si="236"/>
        <v>3713.7341376567488</v>
      </c>
      <c r="E213" s="84">
        <f t="shared" si="236"/>
        <v>3715.8969849304322</v>
      </c>
      <c r="F213" s="84">
        <f t="shared" si="236"/>
        <v>3636.5048992519428</v>
      </c>
      <c r="G213" s="84">
        <f t="shared" si="236"/>
        <v>3566.7073796259133</v>
      </c>
      <c r="H213" s="84">
        <f t="shared" si="236"/>
        <v>3616.8757248782854</v>
      </c>
      <c r="I213" s="84">
        <f t="shared" si="236"/>
        <v>3556.4639182393394</v>
      </c>
      <c r="J213" s="84">
        <f t="shared" si="236"/>
        <v>3493.3976475481713</v>
      </c>
      <c r="K213" s="84">
        <f t="shared" si="236"/>
        <v>3426.9689188716065</v>
      </c>
      <c r="L213" s="84">
        <f t="shared" si="236"/>
        <v>3367.5514173059833</v>
      </c>
      <c r="M213" s="84">
        <f t="shared" si="235"/>
        <v>3305.4391619176081</v>
      </c>
      <c r="N213" s="84">
        <f t="shared" si="236"/>
        <v>3239.5424194073571</v>
      </c>
      <c r="O213" s="84">
        <f t="shared" si="236"/>
        <v>3179.09041608907</v>
      </c>
      <c r="P213" s="84">
        <f t="shared" si="236"/>
        <v>3187.9392724892468</v>
      </c>
      <c r="Q213" s="84">
        <f t="shared" si="236"/>
        <v>3168.2896595296884</v>
      </c>
      <c r="R213" s="84">
        <f t="shared" si="236"/>
        <v>3212.234257830919</v>
      </c>
      <c r="S213" s="84">
        <f t="shared" si="236"/>
        <v>3256.1885623401595</v>
      </c>
      <c r="T213" s="84">
        <f t="shared" si="236"/>
        <v>3301.5295696023995</v>
      </c>
      <c r="U213" s="84">
        <f t="shared" si="236"/>
        <v>3330.3917911753733</v>
      </c>
      <c r="V213" s="84">
        <f t="shared" si="236"/>
        <v>3265.2737139536707</v>
      </c>
      <c r="W213" s="84">
        <f t="shared" ref="W213:Y213" si="240">IF(W22=0,0,W22*1000000/W76)</f>
        <v>3250.3663410371073</v>
      </c>
      <c r="X213" s="84">
        <f t="shared" si="240"/>
        <v>3186.0174449887277</v>
      </c>
      <c r="Y213" s="84">
        <f t="shared" si="240"/>
        <v>3123.2845872288785</v>
      </c>
      <c r="DA213" s="171" t="s">
        <v>621</v>
      </c>
    </row>
    <row r="214" spans="1:105" ht="11.45" customHeight="1" x14ac:dyDescent="0.25">
      <c r="A214" s="111" t="s">
        <v>112</v>
      </c>
      <c r="B214" s="84">
        <f t="shared" si="236"/>
        <v>1207.9575467417603</v>
      </c>
      <c r="C214" s="84">
        <f t="shared" si="236"/>
        <v>1207.8690296845971</v>
      </c>
      <c r="D214" s="84">
        <f t="shared" si="236"/>
        <v>1208.176282699895</v>
      </c>
      <c r="E214" s="84">
        <f t="shared" si="236"/>
        <v>1233.4886300514272</v>
      </c>
      <c r="F214" s="84">
        <f t="shared" si="236"/>
        <v>1231.707684268159</v>
      </c>
      <c r="G214" s="84">
        <f t="shared" si="236"/>
        <v>1232.6589775494044</v>
      </c>
      <c r="H214" s="84">
        <f t="shared" si="236"/>
        <v>1275.4429521504237</v>
      </c>
      <c r="I214" s="84">
        <f t="shared" si="236"/>
        <v>1279.669583693154</v>
      </c>
      <c r="J214" s="84">
        <f t="shared" si="236"/>
        <v>1282.565202215681</v>
      </c>
      <c r="K214" s="84">
        <f t="shared" si="236"/>
        <v>1283.7888035468632</v>
      </c>
      <c r="L214" s="84">
        <f t="shared" si="236"/>
        <v>1287.2107036208934</v>
      </c>
      <c r="M214" s="84">
        <f t="shared" si="235"/>
        <v>1289.1889191620496</v>
      </c>
      <c r="N214" s="84">
        <f t="shared" si="236"/>
        <v>1289.208189845051</v>
      </c>
      <c r="O214" s="84">
        <f t="shared" si="236"/>
        <v>1290.9049119819415</v>
      </c>
      <c r="P214" s="84">
        <f t="shared" si="236"/>
        <v>1310.3249708074993</v>
      </c>
      <c r="Q214" s="84">
        <f t="shared" si="236"/>
        <v>1318.170115775406</v>
      </c>
      <c r="R214" s="84">
        <f t="shared" si="236"/>
        <v>1331.0779284198986</v>
      </c>
      <c r="S214" s="84">
        <f t="shared" si="236"/>
        <v>1354.7131752757659</v>
      </c>
      <c r="T214" s="84">
        <f t="shared" si="236"/>
        <v>1379.0961142791623</v>
      </c>
      <c r="U214" s="84">
        <f t="shared" si="236"/>
        <v>1396.742044233712</v>
      </c>
      <c r="V214" s="84">
        <f t="shared" si="236"/>
        <v>1374.9344905950588</v>
      </c>
      <c r="W214" s="84">
        <f t="shared" ref="W214:Y214" si="241">IF(W23=0,0,W23*1000000/W77)</f>
        <v>1374.1567064560247</v>
      </c>
      <c r="X214" s="84">
        <f t="shared" si="241"/>
        <v>1373.9589959855055</v>
      </c>
      <c r="Y214" s="84">
        <f t="shared" si="241"/>
        <v>1373.9117995072008</v>
      </c>
      <c r="DA214" s="171" t="s">
        <v>622</v>
      </c>
    </row>
    <row r="215" spans="1:105" ht="11.45" customHeight="1" x14ac:dyDescent="0.25">
      <c r="A215" s="111" t="s">
        <v>113</v>
      </c>
      <c r="B215" s="84">
        <f t="shared" si="236"/>
        <v>0</v>
      </c>
      <c r="C215" s="84">
        <f t="shared" si="236"/>
        <v>0</v>
      </c>
      <c r="D215" s="84">
        <f t="shared" si="236"/>
        <v>0</v>
      </c>
      <c r="E215" s="84">
        <f t="shared" si="236"/>
        <v>0</v>
      </c>
      <c r="F215" s="84">
        <f t="shared" si="236"/>
        <v>0</v>
      </c>
      <c r="G215" s="84">
        <f t="shared" si="236"/>
        <v>0</v>
      </c>
      <c r="H215" s="84">
        <f t="shared" si="236"/>
        <v>0</v>
      </c>
      <c r="I215" s="84">
        <f t="shared" si="236"/>
        <v>0</v>
      </c>
      <c r="J215" s="84">
        <f t="shared" si="236"/>
        <v>0</v>
      </c>
      <c r="K215" s="84">
        <f t="shared" si="236"/>
        <v>0</v>
      </c>
      <c r="L215" s="84">
        <f t="shared" si="236"/>
        <v>0</v>
      </c>
      <c r="M215" s="84">
        <f t="shared" si="235"/>
        <v>0</v>
      </c>
      <c r="N215" s="84">
        <f t="shared" si="236"/>
        <v>0</v>
      </c>
      <c r="O215" s="84">
        <f t="shared" si="236"/>
        <v>0</v>
      </c>
      <c r="P215" s="84">
        <f t="shared" si="236"/>
        <v>0</v>
      </c>
      <c r="Q215" s="84">
        <f t="shared" si="236"/>
        <v>1964.0266715425544</v>
      </c>
      <c r="R215" s="84">
        <f t="shared" si="236"/>
        <v>1967.2162659339583</v>
      </c>
      <c r="S215" s="84">
        <f t="shared" si="236"/>
        <v>1970.0481445125588</v>
      </c>
      <c r="T215" s="84">
        <f t="shared" si="236"/>
        <v>1973.3534554447542</v>
      </c>
      <c r="U215" s="84">
        <f t="shared" si="236"/>
        <v>1966.5609564648694</v>
      </c>
      <c r="V215" s="84">
        <f t="shared" si="236"/>
        <v>1904.820574153558</v>
      </c>
      <c r="W215" s="84">
        <f t="shared" ref="W215:Y215" si="242">IF(W24=0,0,W24*1000000/W78)</f>
        <v>1873.2217385379354</v>
      </c>
      <c r="X215" s="84">
        <f t="shared" si="242"/>
        <v>1813.9588151910118</v>
      </c>
      <c r="Y215" s="84">
        <f t="shared" si="242"/>
        <v>1756.76320638621</v>
      </c>
      <c r="DA215" s="171" t="s">
        <v>623</v>
      </c>
    </row>
    <row r="216" spans="1:105" ht="11.45" customHeight="1" x14ac:dyDescent="0.25">
      <c r="A216" s="111" t="s">
        <v>115</v>
      </c>
      <c r="B216" s="84">
        <f t="shared" si="236"/>
        <v>0</v>
      </c>
      <c r="C216" s="84">
        <f t="shared" si="236"/>
        <v>0</v>
      </c>
      <c r="D216" s="84">
        <f t="shared" si="236"/>
        <v>0</v>
      </c>
      <c r="E216" s="84">
        <f t="shared" si="236"/>
        <v>0</v>
      </c>
      <c r="F216" s="84">
        <f t="shared" si="236"/>
        <v>0</v>
      </c>
      <c r="G216" s="84">
        <f t="shared" si="236"/>
        <v>0</v>
      </c>
      <c r="H216" s="84">
        <f t="shared" si="236"/>
        <v>0</v>
      </c>
      <c r="I216" s="84">
        <f t="shared" si="236"/>
        <v>0</v>
      </c>
      <c r="J216" s="84">
        <f t="shared" si="236"/>
        <v>0</v>
      </c>
      <c r="K216" s="84">
        <f t="shared" si="236"/>
        <v>0</v>
      </c>
      <c r="L216" s="84">
        <f t="shared" si="236"/>
        <v>0</v>
      </c>
      <c r="M216" s="84">
        <f t="shared" si="235"/>
        <v>0</v>
      </c>
      <c r="N216" s="84">
        <f t="shared" si="236"/>
        <v>1225.9820518970098</v>
      </c>
      <c r="O216" s="84">
        <f t="shared" si="236"/>
        <v>1226.8491238763227</v>
      </c>
      <c r="P216" s="84">
        <f t="shared" si="236"/>
        <v>1226.9210102677089</v>
      </c>
      <c r="Q216" s="84">
        <f t="shared" si="236"/>
        <v>1227.5166697140967</v>
      </c>
      <c r="R216" s="84">
        <f t="shared" si="236"/>
        <v>1275.296109291814</v>
      </c>
      <c r="S216" s="84">
        <f t="shared" si="236"/>
        <v>1304.718500446618</v>
      </c>
      <c r="T216" s="84">
        <f t="shared" si="236"/>
        <v>1314.0291701869144</v>
      </c>
      <c r="U216" s="84">
        <f t="shared" si="236"/>
        <v>1313.2338527485047</v>
      </c>
      <c r="V216" s="84">
        <f t="shared" si="236"/>
        <v>1298.5554467363004</v>
      </c>
      <c r="W216" s="84">
        <f t="shared" ref="W216:Y216" si="243">IF(W25=0,0,W25*1000000/W79)</f>
        <v>1312.2147927309509</v>
      </c>
      <c r="X216" s="84">
        <f t="shared" si="243"/>
        <v>1311.9927247112996</v>
      </c>
      <c r="Y216" s="84">
        <f t="shared" si="243"/>
        <v>1312.9849945632548</v>
      </c>
      <c r="DA216" s="171" t="s">
        <v>624</v>
      </c>
    </row>
    <row r="217" spans="1:105" ht="11.45" customHeight="1" x14ac:dyDescent="0.25">
      <c r="A217" s="109" t="s">
        <v>154</v>
      </c>
      <c r="B217" s="110">
        <f t="shared" si="236"/>
        <v>134074.56072456716</v>
      </c>
      <c r="C217" s="110">
        <f t="shared" si="236"/>
        <v>133482.83125650915</v>
      </c>
      <c r="D217" s="110">
        <f t="shared" si="236"/>
        <v>120364.28212071738</v>
      </c>
      <c r="E217" s="110">
        <f t="shared" si="236"/>
        <v>125286.94870171345</v>
      </c>
      <c r="F217" s="110">
        <f t="shared" si="236"/>
        <v>144203.83677576104</v>
      </c>
      <c r="G217" s="110">
        <f t="shared" si="236"/>
        <v>146836.56595051498</v>
      </c>
      <c r="H217" s="110">
        <f t="shared" si="236"/>
        <v>152403.23306118406</v>
      </c>
      <c r="I217" s="110">
        <f t="shared" si="236"/>
        <v>147922.23874633564</v>
      </c>
      <c r="J217" s="110">
        <f t="shared" si="236"/>
        <v>144305.8695194888</v>
      </c>
      <c r="K217" s="110">
        <f t="shared" si="236"/>
        <v>149790.25601820799</v>
      </c>
      <c r="L217" s="110">
        <f t="shared" si="236"/>
        <v>157928.20563390871</v>
      </c>
      <c r="M217" s="110">
        <f t="shared" si="235"/>
        <v>160816.70865364189</v>
      </c>
      <c r="N217" s="110">
        <f t="shared" si="236"/>
        <v>161492.49554951314</v>
      </c>
      <c r="O217" s="110">
        <f t="shared" si="236"/>
        <v>173808.93867365454</v>
      </c>
      <c r="P217" s="110">
        <f t="shared" si="236"/>
        <v>163774.62146201724</v>
      </c>
      <c r="Q217" s="110">
        <f t="shared" si="236"/>
        <v>170356.36483684953</v>
      </c>
      <c r="R217" s="110">
        <f t="shared" si="236"/>
        <v>173530.50421535716</v>
      </c>
      <c r="S217" s="110">
        <f t="shared" si="236"/>
        <v>191346.4112196218</v>
      </c>
      <c r="T217" s="110">
        <f t="shared" si="236"/>
        <v>168970.74199991234</v>
      </c>
      <c r="U217" s="110">
        <f t="shared" si="236"/>
        <v>177096.59330449055</v>
      </c>
      <c r="V217" s="110">
        <f t="shared" si="236"/>
        <v>174643.61498452409</v>
      </c>
      <c r="W217" s="110">
        <f t="shared" ref="W217:Y217" si="244">IF(W26=0,0,W26*1000000/W80)</f>
        <v>182360.30049063225</v>
      </c>
      <c r="X217" s="110">
        <f t="shared" si="244"/>
        <v>182889.83247038085</v>
      </c>
      <c r="Y217" s="110">
        <f t="shared" si="244"/>
        <v>172134.8685568074</v>
      </c>
      <c r="DA217" s="176" t="s">
        <v>625</v>
      </c>
    </row>
    <row r="218" spans="1:105" ht="11.45" customHeight="1" x14ac:dyDescent="0.25">
      <c r="A218" s="111" t="s">
        <v>27</v>
      </c>
      <c r="B218" s="163">
        <f t="shared" si="236"/>
        <v>99608.001012681358</v>
      </c>
      <c r="C218" s="163">
        <f t="shared" si="236"/>
        <v>97915.205432095812</v>
      </c>
      <c r="D218" s="163">
        <f t="shared" si="236"/>
        <v>87343.79729320707</v>
      </c>
      <c r="E218" s="163">
        <f t="shared" si="236"/>
        <v>91843.595555463151</v>
      </c>
      <c r="F218" s="163">
        <f t="shared" si="236"/>
        <v>105011.26427671204</v>
      </c>
      <c r="G218" s="163">
        <f t="shared" si="236"/>
        <v>107011.78288584122</v>
      </c>
      <c r="H218" s="163">
        <f t="shared" si="236"/>
        <v>104112.27725894906</v>
      </c>
      <c r="I218" s="163">
        <f t="shared" si="236"/>
        <v>106104.53157291026</v>
      </c>
      <c r="J218" s="163">
        <f t="shared" si="236"/>
        <v>105886.7353369023</v>
      </c>
      <c r="K218" s="163">
        <f t="shared" si="236"/>
        <v>114363.31110280093</v>
      </c>
      <c r="L218" s="163">
        <f t="shared" si="236"/>
        <v>116180.45006535483</v>
      </c>
      <c r="M218" s="163">
        <f t="shared" si="235"/>
        <v>119459.29539064495</v>
      </c>
      <c r="N218" s="163">
        <f t="shared" si="236"/>
        <v>117217.37618912171</v>
      </c>
      <c r="O218" s="163">
        <f t="shared" si="236"/>
        <v>128621.4858909974</v>
      </c>
      <c r="P218" s="163">
        <f t="shared" si="236"/>
        <v>119140.50459043642</v>
      </c>
      <c r="Q218" s="163">
        <f t="shared" si="236"/>
        <v>126217.51387224274</v>
      </c>
      <c r="R218" s="163">
        <f t="shared" si="236"/>
        <v>125678.57757411611</v>
      </c>
      <c r="S218" s="163">
        <f t="shared" si="236"/>
        <v>138928.78678627935</v>
      </c>
      <c r="T218" s="163">
        <f t="shared" si="236"/>
        <v>124798.01876126879</v>
      </c>
      <c r="U218" s="163">
        <f t="shared" si="236"/>
        <v>128029.66353935278</v>
      </c>
      <c r="V218" s="163">
        <f t="shared" si="236"/>
        <v>129073.45112171385</v>
      </c>
      <c r="W218" s="163">
        <f t="shared" ref="W218:Y218" si="245">IF(W27=0,0,W27*1000000/W81)</f>
        <v>135463.12644029487</v>
      </c>
      <c r="X218" s="163">
        <f t="shared" si="245"/>
        <v>136228.63280083353</v>
      </c>
      <c r="Y218" s="163">
        <f t="shared" si="245"/>
        <v>126448.0158782269</v>
      </c>
      <c r="DA218" s="207" t="s">
        <v>626</v>
      </c>
    </row>
    <row r="219" spans="1:105" ht="11.45" customHeight="1" x14ac:dyDescent="0.25">
      <c r="A219" s="138" t="s">
        <v>116</v>
      </c>
      <c r="B219" s="86">
        <f t="shared" si="236"/>
        <v>1211884.8133527921</v>
      </c>
      <c r="C219" s="86">
        <f t="shared" si="236"/>
        <v>1210851.8582033431</v>
      </c>
      <c r="D219" s="86">
        <f t="shared" si="236"/>
        <v>1218783.1771869254</v>
      </c>
      <c r="E219" s="86">
        <f t="shared" si="236"/>
        <v>1211580.3694717451</v>
      </c>
      <c r="F219" s="86">
        <f t="shared" si="236"/>
        <v>1189422.4455533028</v>
      </c>
      <c r="G219" s="86">
        <f t="shared" si="236"/>
        <v>1189933.7608654159</v>
      </c>
      <c r="H219" s="86">
        <f t="shared" si="236"/>
        <v>1197532.2461820203</v>
      </c>
      <c r="I219" s="86">
        <f t="shared" si="236"/>
        <v>1199815.2510487016</v>
      </c>
      <c r="J219" s="86">
        <f t="shared" si="236"/>
        <v>1182824.3327528948</v>
      </c>
      <c r="K219" s="86">
        <f t="shared" si="236"/>
        <v>1167179.7823235814</v>
      </c>
      <c r="L219" s="86">
        <f t="shared" si="236"/>
        <v>1205210.8331410468</v>
      </c>
      <c r="M219" s="86">
        <f t="shared" si="235"/>
        <v>1201321.9639016204</v>
      </c>
      <c r="N219" s="86">
        <f t="shared" si="236"/>
        <v>1197348.5939034317</v>
      </c>
      <c r="O219" s="86">
        <f t="shared" si="236"/>
        <v>1198955.5714461855</v>
      </c>
      <c r="P219" s="86">
        <f t="shared" si="236"/>
        <v>1201761.3266326452</v>
      </c>
      <c r="Q219" s="86">
        <f t="shared" si="236"/>
        <v>1190468.7405620972</v>
      </c>
      <c r="R219" s="86">
        <f t="shared" si="236"/>
        <v>1184328.7413151464</v>
      </c>
      <c r="S219" s="86">
        <f t="shared" si="236"/>
        <v>1191024.2344642945</v>
      </c>
      <c r="T219" s="86">
        <f t="shared" si="236"/>
        <v>1202438.8381151194</v>
      </c>
      <c r="U219" s="86">
        <f t="shared" si="236"/>
        <v>1195285.8955240489</v>
      </c>
      <c r="V219" s="86">
        <f t="shared" si="236"/>
        <v>1178272.1491379112</v>
      </c>
      <c r="W219" s="86">
        <f t="shared" ref="W219:Y219" si="246">IF(W28=0,0,W28*1000000/W82)</f>
        <v>1193927.564519627</v>
      </c>
      <c r="X219" s="86">
        <f t="shared" si="246"/>
        <v>1189435.9103500377</v>
      </c>
      <c r="Y219" s="86">
        <f t="shared" si="246"/>
        <v>1176162.5989445911</v>
      </c>
      <c r="DA219" s="178" t="s">
        <v>627</v>
      </c>
    </row>
    <row r="220" spans="1:105" ht="11.45" customHeight="1" x14ac:dyDescent="0.25">
      <c r="A220" s="106"/>
      <c r="B220" s="106"/>
      <c r="C220" s="106"/>
      <c r="D220" s="106"/>
      <c r="E220" s="106"/>
      <c r="F220" s="106"/>
      <c r="G220" s="106"/>
      <c r="H220" s="106"/>
      <c r="I220" s="106"/>
      <c r="J220" s="106"/>
      <c r="K220" s="106"/>
      <c r="L220" s="106"/>
      <c r="M220" s="106"/>
      <c r="N220" s="106"/>
      <c r="O220" s="106"/>
      <c r="P220" s="106"/>
      <c r="Q220" s="106"/>
      <c r="R220" s="106"/>
      <c r="S220" s="106"/>
      <c r="T220" s="106"/>
      <c r="U220" s="106"/>
      <c r="V220" s="106"/>
      <c r="W220" s="106"/>
      <c r="X220" s="106"/>
      <c r="Y220" s="106"/>
      <c r="DA220" s="171"/>
    </row>
    <row r="221" spans="1:105" ht="11.45" customHeight="1" x14ac:dyDescent="0.25">
      <c r="A221" s="53" t="s">
        <v>37</v>
      </c>
      <c r="B221" s="76"/>
      <c r="C221" s="76"/>
      <c r="D221" s="76"/>
      <c r="E221" s="76"/>
      <c r="F221" s="76"/>
      <c r="G221" s="76"/>
      <c r="H221" s="76"/>
      <c r="I221" s="76"/>
      <c r="J221" s="76"/>
      <c r="K221" s="76"/>
      <c r="L221" s="76"/>
      <c r="M221" s="76"/>
      <c r="N221" s="76"/>
      <c r="O221" s="76"/>
      <c r="P221" s="76"/>
      <c r="Q221" s="76"/>
      <c r="R221" s="76"/>
      <c r="S221" s="76"/>
      <c r="T221" s="76"/>
      <c r="U221" s="76"/>
      <c r="V221" s="76"/>
      <c r="W221" s="76"/>
      <c r="X221" s="76"/>
      <c r="Y221" s="76"/>
      <c r="DA221" s="183"/>
    </row>
    <row r="222" spans="1:105" ht="11.45" customHeight="1" x14ac:dyDescent="0.25">
      <c r="A222" s="27" t="s">
        <v>38</v>
      </c>
      <c r="B222" s="46">
        <f t="shared" ref="B222:K222" si="247">IF(B4=0,0,B4/B$4)</f>
        <v>1</v>
      </c>
      <c r="C222" s="46">
        <f t="shared" si="247"/>
        <v>1</v>
      </c>
      <c r="D222" s="46">
        <f t="shared" si="247"/>
        <v>1</v>
      </c>
      <c r="E222" s="46">
        <f t="shared" si="247"/>
        <v>1</v>
      </c>
      <c r="F222" s="46">
        <f t="shared" si="247"/>
        <v>1</v>
      </c>
      <c r="G222" s="46">
        <f t="shared" si="247"/>
        <v>1</v>
      </c>
      <c r="H222" s="46">
        <f t="shared" si="247"/>
        <v>1</v>
      </c>
      <c r="I222" s="46">
        <f t="shared" si="247"/>
        <v>1</v>
      </c>
      <c r="J222" s="46">
        <f t="shared" si="247"/>
        <v>1</v>
      </c>
      <c r="K222" s="46">
        <f t="shared" si="247"/>
        <v>1</v>
      </c>
      <c r="L222" s="46">
        <f t="shared" ref="L222" si="248">IF(L4=0,0,L4/L$4)</f>
        <v>1</v>
      </c>
      <c r="M222" s="46">
        <f t="shared" ref="M222:V222" si="249">IF(M4=0,0,M4/M$4)</f>
        <v>1</v>
      </c>
      <c r="N222" s="46">
        <f t="shared" si="249"/>
        <v>1</v>
      </c>
      <c r="O222" s="46">
        <f t="shared" si="249"/>
        <v>1</v>
      </c>
      <c r="P222" s="46">
        <f t="shared" si="249"/>
        <v>1</v>
      </c>
      <c r="Q222" s="46">
        <f t="shared" si="249"/>
        <v>1</v>
      </c>
      <c r="R222" s="46">
        <f t="shared" si="249"/>
        <v>1</v>
      </c>
      <c r="S222" s="46">
        <f t="shared" si="249"/>
        <v>1</v>
      </c>
      <c r="T222" s="46">
        <f t="shared" si="249"/>
        <v>1</v>
      </c>
      <c r="U222" s="46">
        <f t="shared" si="249"/>
        <v>1</v>
      </c>
      <c r="V222" s="46">
        <f t="shared" si="249"/>
        <v>1</v>
      </c>
      <c r="W222" s="46">
        <f t="shared" ref="W222:Y222" si="250">IF(W4=0,0,W4/W$4)</f>
        <v>1</v>
      </c>
      <c r="X222" s="46">
        <f t="shared" si="250"/>
        <v>1</v>
      </c>
      <c r="Y222" s="46">
        <f t="shared" si="250"/>
        <v>1</v>
      </c>
      <c r="DA222" s="211"/>
    </row>
    <row r="223" spans="1:105" ht="11.45" customHeight="1" x14ac:dyDescent="0.25">
      <c r="A223" s="153" t="s">
        <v>173</v>
      </c>
      <c r="B223" s="154">
        <f t="shared" ref="B223:K223" si="251">IF(B5=0,0,B5/B$4)</f>
        <v>1.3094853024504591E-2</v>
      </c>
      <c r="C223" s="154">
        <f t="shared" si="251"/>
        <v>1.1800694342987285E-2</v>
      </c>
      <c r="D223" s="154">
        <f t="shared" si="251"/>
        <v>1.121907267697817E-2</v>
      </c>
      <c r="E223" s="154">
        <f t="shared" si="251"/>
        <v>1.0077759270105579E-2</v>
      </c>
      <c r="F223" s="154">
        <f t="shared" si="251"/>
        <v>9.351354557106761E-3</v>
      </c>
      <c r="G223" s="154">
        <f t="shared" si="251"/>
        <v>1.018306001138251E-2</v>
      </c>
      <c r="H223" s="154">
        <f t="shared" si="251"/>
        <v>1.0601537985519133E-2</v>
      </c>
      <c r="I223" s="154">
        <f t="shared" si="251"/>
        <v>1.1249101987014164E-2</v>
      </c>
      <c r="J223" s="154">
        <f t="shared" si="251"/>
        <v>1.0847645649331238E-2</v>
      </c>
      <c r="K223" s="154">
        <f t="shared" si="251"/>
        <v>1.1623327378523415E-2</v>
      </c>
      <c r="L223" s="154">
        <f t="shared" ref="L223" si="252">IF(L5=0,0,L5/L$4)</f>
        <v>1.2299434076687103E-2</v>
      </c>
      <c r="M223" s="154">
        <f t="shared" ref="M223:V223" si="253">IF(M5=0,0,M5/M$4)</f>
        <v>1.2343264714014129E-2</v>
      </c>
      <c r="N223" s="154">
        <f t="shared" si="253"/>
        <v>1.2384778739293292E-2</v>
      </c>
      <c r="O223" s="154">
        <f t="shared" si="253"/>
        <v>1.1908626338114124E-2</v>
      </c>
      <c r="P223" s="154">
        <f t="shared" si="253"/>
        <v>1.1818672187179783E-2</v>
      </c>
      <c r="Q223" s="154">
        <f t="shared" si="253"/>
        <v>1.2255104367540145E-2</v>
      </c>
      <c r="R223" s="154">
        <f t="shared" si="253"/>
        <v>1.2435493528132033E-2</v>
      </c>
      <c r="S223" s="154">
        <f t="shared" si="253"/>
        <v>1.1473913774065751E-2</v>
      </c>
      <c r="T223" s="154">
        <f t="shared" si="253"/>
        <v>1.0804833068299803E-2</v>
      </c>
      <c r="U223" s="154">
        <f t="shared" si="253"/>
        <v>1.1267744454967173E-2</v>
      </c>
      <c r="V223" s="154">
        <f t="shared" si="253"/>
        <v>1.1171695920594001E-2</v>
      </c>
      <c r="W223" s="154">
        <f t="shared" ref="W223:Y223" si="254">IF(W5=0,0,W5/W$4)</f>
        <v>1.1210596102170145E-2</v>
      </c>
      <c r="X223" s="154">
        <f t="shared" si="254"/>
        <v>1.0924802282600917E-2</v>
      </c>
      <c r="Y223" s="154">
        <f t="shared" si="254"/>
        <v>1.1287562309306307E-2</v>
      </c>
      <c r="DA223" s="212"/>
    </row>
    <row r="224" spans="1:105" ht="11.45" customHeight="1" x14ac:dyDescent="0.25">
      <c r="A224" s="155" t="s">
        <v>20</v>
      </c>
      <c r="B224" s="156">
        <f t="shared" ref="B224:K224" si="255">IF(B6=0,0,B6/B$4)</f>
        <v>0.67826920032494431</v>
      </c>
      <c r="C224" s="156">
        <f t="shared" si="255"/>
        <v>0.69653046424306231</v>
      </c>
      <c r="D224" s="156">
        <f t="shared" si="255"/>
        <v>0.71499707098224907</v>
      </c>
      <c r="E224" s="156">
        <f t="shared" si="255"/>
        <v>0.72512189017695217</v>
      </c>
      <c r="F224" s="156">
        <f t="shared" si="255"/>
        <v>0.73485205230427852</v>
      </c>
      <c r="G224" s="156">
        <f t="shared" si="255"/>
        <v>0.74813459037353069</v>
      </c>
      <c r="H224" s="156">
        <f t="shared" si="255"/>
        <v>0.75469946006560018</v>
      </c>
      <c r="I224" s="156">
        <f t="shared" si="255"/>
        <v>0.7641631940357505</v>
      </c>
      <c r="J224" s="156">
        <f t="shared" si="255"/>
        <v>0.77497819501100973</v>
      </c>
      <c r="K224" s="156">
        <f t="shared" si="255"/>
        <v>0.79694404757368298</v>
      </c>
      <c r="L224" s="156">
        <f t="shared" ref="L224" si="256">IF(L6=0,0,L6/L$4)</f>
        <v>0.8090223584746028</v>
      </c>
      <c r="M224" s="156">
        <f t="shared" ref="M224:V224" si="257">IF(M6=0,0,M6/M$4)</f>
        <v>0.8148621598006387</v>
      </c>
      <c r="N224" s="156">
        <f t="shared" si="257"/>
        <v>0.81742070423996382</v>
      </c>
      <c r="O224" s="156">
        <f t="shared" si="257"/>
        <v>0.82649883107042765</v>
      </c>
      <c r="P224" s="156">
        <f t="shared" si="257"/>
        <v>0.82435049486267664</v>
      </c>
      <c r="Q224" s="156">
        <f t="shared" si="257"/>
        <v>0.83187904143188107</v>
      </c>
      <c r="R224" s="156">
        <f t="shared" si="257"/>
        <v>0.84235115634073032</v>
      </c>
      <c r="S224" s="156">
        <f t="shared" si="257"/>
        <v>0.85013396907311278</v>
      </c>
      <c r="T224" s="156">
        <f t="shared" si="257"/>
        <v>0.85885003713688846</v>
      </c>
      <c r="U224" s="156">
        <f t="shared" si="257"/>
        <v>0.85529127610091815</v>
      </c>
      <c r="V224" s="156">
        <f t="shared" si="257"/>
        <v>0.91043046376090564</v>
      </c>
      <c r="W224" s="156">
        <f t="shared" ref="W224:Y224" si="258">IF(W6=0,0,W6/W$4)</f>
        <v>0.90631303987312506</v>
      </c>
      <c r="X224" s="156">
        <f t="shared" si="258"/>
        <v>0.8914779401921018</v>
      </c>
      <c r="Y224" s="156">
        <f t="shared" si="258"/>
        <v>0.88684999124452712</v>
      </c>
      <c r="DA224" s="213"/>
    </row>
    <row r="225" spans="1:105" ht="11.45" customHeight="1" x14ac:dyDescent="0.25">
      <c r="A225" s="157" t="s">
        <v>110</v>
      </c>
      <c r="B225" s="103">
        <f t="shared" ref="B225:K225" si="259">IF(B7=0,0,B7/B$4)</f>
        <v>0.535587931168372</v>
      </c>
      <c r="C225" s="103">
        <f t="shared" si="259"/>
        <v>0.51360481561139115</v>
      </c>
      <c r="D225" s="103">
        <f t="shared" si="259"/>
        <v>0.50263426967296643</v>
      </c>
      <c r="E225" s="103">
        <f t="shared" si="259"/>
        <v>0.45896083403041416</v>
      </c>
      <c r="F225" s="103">
        <f t="shared" si="259"/>
        <v>0.42531298937852929</v>
      </c>
      <c r="G225" s="103">
        <f t="shared" si="259"/>
        <v>0.44102760653569267</v>
      </c>
      <c r="H225" s="103">
        <f t="shared" si="259"/>
        <v>0.41741958862724943</v>
      </c>
      <c r="I225" s="103">
        <f t="shared" si="259"/>
        <v>0.38254252547964046</v>
      </c>
      <c r="J225" s="103">
        <f t="shared" si="259"/>
        <v>0.3519857028693294</v>
      </c>
      <c r="K225" s="103">
        <f t="shared" si="259"/>
        <v>0.33865332364160966</v>
      </c>
      <c r="L225" s="103">
        <f t="shared" ref="L225" si="260">IF(L7=0,0,L7/L$4)</f>
        <v>0.31528926817828357</v>
      </c>
      <c r="M225" s="103">
        <f t="shared" ref="M225:V225" si="261">IF(M7=0,0,M7/M$4)</f>
        <v>0.30134354511805317</v>
      </c>
      <c r="N225" s="103">
        <f t="shared" si="261"/>
        <v>0.30094460287799463</v>
      </c>
      <c r="O225" s="103">
        <f t="shared" si="261"/>
        <v>0.30977098647203832</v>
      </c>
      <c r="P225" s="103">
        <f t="shared" si="261"/>
        <v>0.30085021536734435</v>
      </c>
      <c r="Q225" s="103">
        <f t="shared" si="261"/>
        <v>0.30259793306378602</v>
      </c>
      <c r="R225" s="103">
        <f t="shared" si="261"/>
        <v>0.29332649180161913</v>
      </c>
      <c r="S225" s="103">
        <f t="shared" si="261"/>
        <v>0.29698714302249857</v>
      </c>
      <c r="T225" s="103">
        <f t="shared" si="261"/>
        <v>0.29297075897742286</v>
      </c>
      <c r="U225" s="103">
        <f t="shared" si="261"/>
        <v>0.29749368511489815</v>
      </c>
      <c r="V225" s="103">
        <f t="shared" si="261"/>
        <v>0.30980294494352018</v>
      </c>
      <c r="W225" s="103">
        <f t="shared" ref="W225:Y225" si="262">IF(W7=0,0,W7/W$4)</f>
        <v>0.34564391167772346</v>
      </c>
      <c r="X225" s="103">
        <f t="shared" si="262"/>
        <v>0.34815669289996681</v>
      </c>
      <c r="Y225" s="103">
        <f t="shared" si="262"/>
        <v>0.36335693625141791</v>
      </c>
      <c r="DA225" s="191"/>
    </row>
    <row r="226" spans="1:105" ht="11.45" customHeight="1" x14ac:dyDescent="0.25">
      <c r="A226" s="157" t="s">
        <v>111</v>
      </c>
      <c r="B226" s="103">
        <f t="shared" ref="B226:K226" si="263">IF(B8=0,0,B8/B$4)</f>
        <v>9.4473216321050893E-2</v>
      </c>
      <c r="C226" s="103">
        <f t="shared" si="263"/>
        <v>0.1091137152642942</v>
      </c>
      <c r="D226" s="103">
        <f t="shared" si="263"/>
        <v>0.10728366148941676</v>
      </c>
      <c r="E226" s="103">
        <f t="shared" si="263"/>
        <v>0.12802849026880331</v>
      </c>
      <c r="F226" s="103">
        <f t="shared" si="263"/>
        <v>0.15260330808370887</v>
      </c>
      <c r="G226" s="103">
        <f t="shared" si="263"/>
        <v>0.12749208775031515</v>
      </c>
      <c r="H226" s="103">
        <f t="shared" si="263"/>
        <v>0.15851931673738864</v>
      </c>
      <c r="I226" s="103">
        <f t="shared" si="263"/>
        <v>0.20644513233231743</v>
      </c>
      <c r="J226" s="103">
        <f t="shared" si="263"/>
        <v>0.25617985733938009</v>
      </c>
      <c r="K226" s="103">
        <f t="shared" si="263"/>
        <v>0.29103919884980733</v>
      </c>
      <c r="L226" s="103">
        <f t="shared" ref="L226" si="264">IF(L8=0,0,L8/L$4)</f>
        <v>0.31874356459331682</v>
      </c>
      <c r="M226" s="103">
        <f t="shared" ref="M226:V226" si="265">IF(M8=0,0,M8/M$4)</f>
        <v>0.35729984340190696</v>
      </c>
      <c r="N226" s="103">
        <f t="shared" si="265"/>
        <v>0.38215007314448973</v>
      </c>
      <c r="O226" s="103">
        <f t="shared" si="265"/>
        <v>0.38298562698404881</v>
      </c>
      <c r="P226" s="103">
        <f t="shared" si="265"/>
        <v>0.39302906292129614</v>
      </c>
      <c r="Q226" s="103">
        <f t="shared" si="265"/>
        <v>0.39905271660793018</v>
      </c>
      <c r="R226" s="103">
        <f t="shared" si="265"/>
        <v>0.4092339852627454</v>
      </c>
      <c r="S226" s="103">
        <f t="shared" si="265"/>
        <v>0.41475903445909906</v>
      </c>
      <c r="T226" s="103">
        <f t="shared" si="265"/>
        <v>0.42375835760334735</v>
      </c>
      <c r="U226" s="103">
        <f t="shared" si="265"/>
        <v>0.42054284949243831</v>
      </c>
      <c r="V226" s="103">
        <f t="shared" si="265"/>
        <v>0.4600608728408333</v>
      </c>
      <c r="W226" s="103">
        <f t="shared" ref="W226:Y226" si="266">IF(W8=0,0,W8/W$4)</f>
        <v>0.42174699625328693</v>
      </c>
      <c r="X226" s="103">
        <f t="shared" si="266"/>
        <v>0.40386677104743052</v>
      </c>
      <c r="Y226" s="103">
        <f t="shared" si="266"/>
        <v>0.37988089566816152</v>
      </c>
      <c r="DA226" s="191"/>
    </row>
    <row r="227" spans="1:105" ht="11.45" customHeight="1" x14ac:dyDescent="0.25">
      <c r="A227" s="157" t="s">
        <v>112</v>
      </c>
      <c r="B227" s="103">
        <f t="shared" ref="B227:K227" si="267">IF(B9=0,0,B9/B$4)</f>
        <v>4.820805283552141E-2</v>
      </c>
      <c r="C227" s="103">
        <f t="shared" si="267"/>
        <v>7.3811933367376945E-2</v>
      </c>
      <c r="D227" s="103">
        <f t="shared" si="267"/>
        <v>0.10507913981986587</v>
      </c>
      <c r="E227" s="103">
        <f t="shared" si="267"/>
        <v>0.1381325658777347</v>
      </c>
      <c r="F227" s="103">
        <f t="shared" si="267"/>
        <v>0.15693575484204039</v>
      </c>
      <c r="G227" s="103">
        <f t="shared" si="267"/>
        <v>0.17961489608752293</v>
      </c>
      <c r="H227" s="103">
        <f t="shared" si="267"/>
        <v>0.17876055470096208</v>
      </c>
      <c r="I227" s="103">
        <f t="shared" si="267"/>
        <v>0.17517553622379262</v>
      </c>
      <c r="J227" s="103">
        <f t="shared" si="267"/>
        <v>0.16681263480230019</v>
      </c>
      <c r="K227" s="103">
        <f t="shared" si="267"/>
        <v>0.16725152508226593</v>
      </c>
      <c r="L227" s="103">
        <f t="shared" ref="L227" si="268">IF(L9=0,0,L9/L$4)</f>
        <v>0.17498886021995674</v>
      </c>
      <c r="M227" s="103">
        <f t="shared" ref="M227:V227" si="269">IF(M9=0,0,M9/M$4)</f>
        <v>0.15621421230173685</v>
      </c>
      <c r="N227" s="103">
        <f t="shared" si="269"/>
        <v>0.13431585866890672</v>
      </c>
      <c r="O227" s="103">
        <f t="shared" si="269"/>
        <v>0.1337297947710494</v>
      </c>
      <c r="P227" s="103">
        <f t="shared" si="269"/>
        <v>0.13042221145397961</v>
      </c>
      <c r="Q227" s="103">
        <f t="shared" si="269"/>
        <v>0.12993877763073419</v>
      </c>
      <c r="R227" s="103">
        <f t="shared" si="269"/>
        <v>0.13939217878402874</v>
      </c>
      <c r="S227" s="103">
        <f t="shared" si="269"/>
        <v>0.13790877553545802</v>
      </c>
      <c r="T227" s="103">
        <f t="shared" si="269"/>
        <v>0.14152508843577621</v>
      </c>
      <c r="U227" s="103">
        <f t="shared" si="269"/>
        <v>0.13657409306011495</v>
      </c>
      <c r="V227" s="103">
        <f t="shared" si="269"/>
        <v>0.1395508225114428</v>
      </c>
      <c r="W227" s="103">
        <f t="shared" ref="W227:Y227" si="270">IF(W9=0,0,W9/W$4)</f>
        <v>0.13736851734521954</v>
      </c>
      <c r="X227" s="103">
        <f t="shared" si="270"/>
        <v>0.13709809300344003</v>
      </c>
      <c r="Y227" s="103">
        <f t="shared" si="270"/>
        <v>0.13963466109556291</v>
      </c>
      <c r="DA227" s="191"/>
    </row>
    <row r="228" spans="1:105" ht="11.45" customHeight="1" x14ac:dyDescent="0.25">
      <c r="A228" s="157" t="s">
        <v>113</v>
      </c>
      <c r="B228" s="103">
        <f t="shared" ref="B228:K228" si="271">IF(B10=0,0,B10/B$4)</f>
        <v>0</v>
      </c>
      <c r="C228" s="103">
        <f t="shared" si="271"/>
        <v>0</v>
      </c>
      <c r="D228" s="103">
        <f t="shared" si="271"/>
        <v>0</v>
      </c>
      <c r="E228" s="103">
        <f t="shared" si="271"/>
        <v>0</v>
      </c>
      <c r="F228" s="103">
        <f t="shared" si="271"/>
        <v>0</v>
      </c>
      <c r="G228" s="103">
        <f t="shared" si="271"/>
        <v>0</v>
      </c>
      <c r="H228" s="103">
        <f t="shared" si="271"/>
        <v>0</v>
      </c>
      <c r="I228" s="103">
        <f t="shared" si="271"/>
        <v>0</v>
      </c>
      <c r="J228" s="103">
        <f t="shared" si="271"/>
        <v>0</v>
      </c>
      <c r="K228" s="103">
        <f t="shared" si="271"/>
        <v>0</v>
      </c>
      <c r="L228" s="103">
        <f t="shared" ref="L228" si="272">IF(L10=0,0,L10/L$4)</f>
        <v>0</v>
      </c>
      <c r="M228" s="103">
        <f t="shared" ref="M228:V228" si="273">IF(M10=0,0,M10/M$4)</f>
        <v>0</v>
      </c>
      <c r="N228" s="103">
        <f t="shared" si="273"/>
        <v>0</v>
      </c>
      <c r="O228" s="103">
        <f t="shared" si="273"/>
        <v>0</v>
      </c>
      <c r="P228" s="103">
        <f t="shared" si="273"/>
        <v>0</v>
      </c>
      <c r="Q228" s="103">
        <f t="shared" si="273"/>
        <v>2.5947381347162516E-4</v>
      </c>
      <c r="R228" s="103">
        <f t="shared" si="273"/>
        <v>3.3386865361421161E-4</v>
      </c>
      <c r="S228" s="103">
        <f t="shared" si="273"/>
        <v>3.4616053558139876E-4</v>
      </c>
      <c r="T228" s="103">
        <f t="shared" si="273"/>
        <v>3.4281492147941289E-4</v>
      </c>
      <c r="U228" s="103">
        <f t="shared" si="273"/>
        <v>3.3708985324837153E-4</v>
      </c>
      <c r="V228" s="103">
        <f t="shared" si="273"/>
        <v>3.3958011310152275E-4</v>
      </c>
      <c r="W228" s="103">
        <f t="shared" ref="W228:Y228" si="274">IF(W10=0,0,W10/W$4)</f>
        <v>3.347007957919155E-4</v>
      </c>
      <c r="X228" s="103">
        <f t="shared" si="274"/>
        <v>3.1615068556917192E-4</v>
      </c>
      <c r="Y228" s="103">
        <f t="shared" si="274"/>
        <v>3.0005291864619604E-4</v>
      </c>
      <c r="DA228" s="191"/>
    </row>
    <row r="229" spans="1:105" ht="11.45" customHeight="1" x14ac:dyDescent="0.25">
      <c r="A229" s="157" t="s">
        <v>114</v>
      </c>
      <c r="B229" s="103">
        <f t="shared" ref="B229:K229" si="275">IF(B11=0,0,B11/B$4)</f>
        <v>0</v>
      </c>
      <c r="C229" s="103">
        <f t="shared" si="275"/>
        <v>0</v>
      </c>
      <c r="D229" s="103">
        <f t="shared" si="275"/>
        <v>0</v>
      </c>
      <c r="E229" s="103">
        <f t="shared" si="275"/>
        <v>0</v>
      </c>
      <c r="F229" s="103">
        <f t="shared" si="275"/>
        <v>0</v>
      </c>
      <c r="G229" s="103">
        <f t="shared" si="275"/>
        <v>0</v>
      </c>
      <c r="H229" s="103">
        <f t="shared" si="275"/>
        <v>0</v>
      </c>
      <c r="I229" s="103">
        <f t="shared" si="275"/>
        <v>0</v>
      </c>
      <c r="J229" s="103">
        <f t="shared" si="275"/>
        <v>0</v>
      </c>
      <c r="K229" s="103">
        <f t="shared" si="275"/>
        <v>0</v>
      </c>
      <c r="L229" s="103">
        <f t="shared" ref="L229" si="276">IF(L11=0,0,L11/L$4)</f>
        <v>0</v>
      </c>
      <c r="M229" s="103">
        <f t="shared" ref="M229:V229" si="277">IF(M11=0,0,M11/M$4)</f>
        <v>0</v>
      </c>
      <c r="N229" s="103">
        <f t="shared" si="277"/>
        <v>6.5533566238322384E-7</v>
      </c>
      <c r="O229" s="103">
        <f t="shared" si="277"/>
        <v>1.1759354719593678E-6</v>
      </c>
      <c r="P229" s="103">
        <f t="shared" si="277"/>
        <v>3.5040597103702186E-5</v>
      </c>
      <c r="Q229" s="103">
        <f t="shared" si="277"/>
        <v>1.407967877428322E-5</v>
      </c>
      <c r="R229" s="103">
        <f t="shared" si="277"/>
        <v>2.2598690871723006E-5</v>
      </c>
      <c r="S229" s="103">
        <f t="shared" si="277"/>
        <v>4.3108784087691497E-5</v>
      </c>
      <c r="T229" s="103">
        <f t="shared" si="277"/>
        <v>7.9102818996714213E-5</v>
      </c>
      <c r="U229" s="103">
        <f t="shared" si="277"/>
        <v>1.1146330313210358E-4</v>
      </c>
      <c r="V229" s="103">
        <f t="shared" si="277"/>
        <v>2.7948289441527096E-4</v>
      </c>
      <c r="W229" s="103">
        <f t="shared" ref="W229:Y229" si="278">IF(W11=0,0,W11/W$4)</f>
        <v>7.1031344095711312E-4</v>
      </c>
      <c r="X229" s="103">
        <f t="shared" si="278"/>
        <v>1.1814069674152018E-3</v>
      </c>
      <c r="Y229" s="103">
        <f t="shared" si="278"/>
        <v>2.0160932933710116E-3</v>
      </c>
      <c r="DA229" s="191"/>
    </row>
    <row r="230" spans="1:105" ht="11.45" customHeight="1" x14ac:dyDescent="0.25">
      <c r="A230" s="157" t="s">
        <v>115</v>
      </c>
      <c r="B230" s="103">
        <f t="shared" ref="B230:K230" si="279">IF(B12=0,0,B12/B$4)</f>
        <v>0</v>
      </c>
      <c r="C230" s="103">
        <f t="shared" si="279"/>
        <v>0</v>
      </c>
      <c r="D230" s="103">
        <f t="shared" si="279"/>
        <v>0</v>
      </c>
      <c r="E230" s="103">
        <f t="shared" si="279"/>
        <v>0</v>
      </c>
      <c r="F230" s="103">
        <f t="shared" si="279"/>
        <v>0</v>
      </c>
      <c r="G230" s="103">
        <f t="shared" si="279"/>
        <v>0</v>
      </c>
      <c r="H230" s="103">
        <f t="shared" si="279"/>
        <v>0</v>
      </c>
      <c r="I230" s="103">
        <f t="shared" si="279"/>
        <v>0</v>
      </c>
      <c r="J230" s="103">
        <f t="shared" si="279"/>
        <v>0</v>
      </c>
      <c r="K230" s="103">
        <f t="shared" si="279"/>
        <v>0</v>
      </c>
      <c r="L230" s="103">
        <f t="shared" ref="L230" si="280">IF(L12=0,0,L12/L$4)</f>
        <v>6.6548304569561907E-7</v>
      </c>
      <c r="M230" s="103">
        <f t="shared" ref="M230:V230" si="281">IF(M12=0,0,M12/M$4)</f>
        <v>4.5589789416553287E-6</v>
      </c>
      <c r="N230" s="103">
        <f t="shared" si="281"/>
        <v>9.5142129103416845E-6</v>
      </c>
      <c r="O230" s="103">
        <f t="shared" si="281"/>
        <v>1.1246907819123408E-5</v>
      </c>
      <c r="P230" s="103">
        <f t="shared" si="281"/>
        <v>1.3964522952821733E-5</v>
      </c>
      <c r="Q230" s="103">
        <f t="shared" si="281"/>
        <v>1.6060637184691561E-5</v>
      </c>
      <c r="R230" s="103">
        <f t="shared" si="281"/>
        <v>4.2033147851194309E-5</v>
      </c>
      <c r="S230" s="103">
        <f t="shared" si="281"/>
        <v>8.9746736388054719E-5</v>
      </c>
      <c r="T230" s="103">
        <f t="shared" si="281"/>
        <v>1.7391437986588514E-4</v>
      </c>
      <c r="U230" s="103">
        <f t="shared" si="281"/>
        <v>2.3209527708619975E-4</v>
      </c>
      <c r="V230" s="103">
        <f t="shared" si="281"/>
        <v>3.9676045759256574E-4</v>
      </c>
      <c r="W230" s="103">
        <f t="shared" ref="W230:Y230" si="282">IF(W12=0,0,W12/W$4)</f>
        <v>5.0860036014601371E-4</v>
      </c>
      <c r="X230" s="103">
        <f t="shared" si="282"/>
        <v>8.5882558828002465E-4</v>
      </c>
      <c r="Y230" s="103">
        <f t="shared" si="282"/>
        <v>1.6613520173675283E-3</v>
      </c>
      <c r="DA230" s="191"/>
    </row>
    <row r="231" spans="1:105" ht="11.45" customHeight="1" x14ac:dyDescent="0.25">
      <c r="A231" s="155" t="s">
        <v>21</v>
      </c>
      <c r="B231" s="156">
        <f t="shared" ref="B231:K231" si="283">IF(B13=0,0,B13/B$4)</f>
        <v>0.30863594665055116</v>
      </c>
      <c r="C231" s="156">
        <f t="shared" si="283"/>
        <v>0.2916688414139505</v>
      </c>
      <c r="D231" s="156">
        <f t="shared" si="283"/>
        <v>0.27378385634077285</v>
      </c>
      <c r="E231" s="156">
        <f t="shared" si="283"/>
        <v>0.26480035055294215</v>
      </c>
      <c r="F231" s="156">
        <f t="shared" si="283"/>
        <v>0.25579659313861469</v>
      </c>
      <c r="G231" s="156">
        <f t="shared" si="283"/>
        <v>0.24168234961508675</v>
      </c>
      <c r="H231" s="156">
        <f t="shared" si="283"/>
        <v>0.23469900194888077</v>
      </c>
      <c r="I231" s="156">
        <f t="shared" si="283"/>
        <v>0.22458770397723535</v>
      </c>
      <c r="J231" s="156">
        <f t="shared" si="283"/>
        <v>0.21417415933965911</v>
      </c>
      <c r="K231" s="156">
        <f t="shared" si="283"/>
        <v>0.19143262504779371</v>
      </c>
      <c r="L231" s="156">
        <f t="shared" ref="L231" si="284">IF(L13=0,0,L13/L$4)</f>
        <v>0.17867820744871002</v>
      </c>
      <c r="M231" s="156">
        <f t="shared" ref="M231:V231" si="285">IF(M13=0,0,M13/M$4)</f>
        <v>0.17279457548534721</v>
      </c>
      <c r="N231" s="156">
        <f t="shared" si="285"/>
        <v>0.17019451702074292</v>
      </c>
      <c r="O231" s="156">
        <f t="shared" si="285"/>
        <v>0.16159254259145822</v>
      </c>
      <c r="P231" s="156">
        <f t="shared" si="285"/>
        <v>0.16383083295014361</v>
      </c>
      <c r="Q231" s="156">
        <f t="shared" si="285"/>
        <v>0.15586585420057877</v>
      </c>
      <c r="R231" s="156">
        <f t="shared" si="285"/>
        <v>0.14521335013113762</v>
      </c>
      <c r="S231" s="156">
        <f t="shared" si="285"/>
        <v>0.13839211715282138</v>
      </c>
      <c r="T231" s="156">
        <f t="shared" si="285"/>
        <v>0.13034512979481166</v>
      </c>
      <c r="U231" s="156">
        <f t="shared" si="285"/>
        <v>0.1334409794441147</v>
      </c>
      <c r="V231" s="156">
        <f t="shared" si="285"/>
        <v>7.8397840318500334E-2</v>
      </c>
      <c r="W231" s="156">
        <f t="shared" ref="W231:Y231" si="286">IF(W13=0,0,W13/W$4)</f>
        <v>8.2476364024704749E-2</v>
      </c>
      <c r="X231" s="156">
        <f t="shared" si="286"/>
        <v>9.7597257525297368E-2</v>
      </c>
      <c r="Y231" s="156">
        <f t="shared" si="286"/>
        <v>0.10186244644616652</v>
      </c>
      <c r="DA231" s="213"/>
    </row>
    <row r="232" spans="1:105" ht="11.45" customHeight="1" x14ac:dyDescent="0.25">
      <c r="A232" s="157" t="s">
        <v>110</v>
      </c>
      <c r="B232" s="103">
        <f t="shared" ref="B232:K232" si="287">IF(B14=0,0,B14/B$4)</f>
        <v>0</v>
      </c>
      <c r="C232" s="103">
        <f t="shared" si="287"/>
        <v>0</v>
      </c>
      <c r="D232" s="103">
        <f t="shared" si="287"/>
        <v>0</v>
      </c>
      <c r="E232" s="103">
        <f t="shared" si="287"/>
        <v>0</v>
      </c>
      <c r="F232" s="103">
        <f t="shared" si="287"/>
        <v>0</v>
      </c>
      <c r="G232" s="103">
        <f t="shared" si="287"/>
        <v>0</v>
      </c>
      <c r="H232" s="103">
        <f t="shared" si="287"/>
        <v>0</v>
      </c>
      <c r="I232" s="103">
        <f t="shared" si="287"/>
        <v>0</v>
      </c>
      <c r="J232" s="103">
        <f t="shared" si="287"/>
        <v>0</v>
      </c>
      <c r="K232" s="103">
        <f t="shared" si="287"/>
        <v>0</v>
      </c>
      <c r="L232" s="103">
        <f t="shared" ref="L232" si="288">IF(L14=0,0,L14/L$4)</f>
        <v>0</v>
      </c>
      <c r="M232" s="103">
        <f t="shared" ref="M232:V232" si="289">IF(M14=0,0,M14/M$4)</f>
        <v>0</v>
      </c>
      <c r="N232" s="103">
        <f t="shared" si="289"/>
        <v>0</v>
      </c>
      <c r="O232" s="103">
        <f t="shared" si="289"/>
        <v>0</v>
      </c>
      <c r="P232" s="103">
        <f t="shared" si="289"/>
        <v>0</v>
      </c>
      <c r="Q232" s="103">
        <f t="shared" si="289"/>
        <v>0</v>
      </c>
      <c r="R232" s="103">
        <f t="shared" si="289"/>
        <v>0</v>
      </c>
      <c r="S232" s="103">
        <f t="shared" si="289"/>
        <v>0</v>
      </c>
      <c r="T232" s="103">
        <f t="shared" si="289"/>
        <v>0</v>
      </c>
      <c r="U232" s="103">
        <f t="shared" si="289"/>
        <v>0</v>
      </c>
      <c r="V232" s="103">
        <f t="shared" si="289"/>
        <v>0</v>
      </c>
      <c r="W232" s="103">
        <f t="shared" ref="W232:Y232" si="290">IF(W14=0,0,W14/W$4)</f>
        <v>0</v>
      </c>
      <c r="X232" s="103">
        <f t="shared" si="290"/>
        <v>0</v>
      </c>
      <c r="Y232" s="103">
        <f t="shared" si="290"/>
        <v>0</v>
      </c>
      <c r="DA232" s="191"/>
    </row>
    <row r="233" spans="1:105" ht="11.45" customHeight="1" x14ac:dyDescent="0.25">
      <c r="A233" s="157" t="s">
        <v>111</v>
      </c>
      <c r="B233" s="103">
        <f t="shared" ref="B233:K233" si="291">IF(B15=0,0,B15/B$4)</f>
        <v>0.30207526139473623</v>
      </c>
      <c r="C233" s="103">
        <f t="shared" si="291"/>
        <v>0.28565424445980231</v>
      </c>
      <c r="D233" s="103">
        <f t="shared" si="291"/>
        <v>0.26848538805826555</v>
      </c>
      <c r="E233" s="103">
        <f t="shared" si="291"/>
        <v>0.26035011406895525</v>
      </c>
      <c r="F233" s="103">
        <f t="shared" si="291"/>
        <v>0.24726282078131326</v>
      </c>
      <c r="G233" s="103">
        <f t="shared" si="291"/>
        <v>0.23167742386107698</v>
      </c>
      <c r="H233" s="103">
        <f t="shared" si="291"/>
        <v>0.22524566391239936</v>
      </c>
      <c r="I233" s="103">
        <f t="shared" si="291"/>
        <v>0.21619068272927436</v>
      </c>
      <c r="J233" s="103">
        <f t="shared" si="291"/>
        <v>0.20651094945931189</v>
      </c>
      <c r="K233" s="103">
        <f t="shared" si="291"/>
        <v>0.18508505557889085</v>
      </c>
      <c r="L233" s="103">
        <f t="shared" ref="L233" si="292">IF(L15=0,0,L15/L$4)</f>
        <v>0.1730473029110467</v>
      </c>
      <c r="M233" s="103">
        <f t="shared" ref="M233:V233" si="293">IF(M15=0,0,M15/M$4)</f>
        <v>0.16774512934683422</v>
      </c>
      <c r="N233" s="103">
        <f t="shared" si="293"/>
        <v>0.16545626019617277</v>
      </c>
      <c r="O233" s="103">
        <f t="shared" si="293"/>
        <v>0.15725126858179833</v>
      </c>
      <c r="P233" s="103">
        <f t="shared" si="293"/>
        <v>0.15969974768480291</v>
      </c>
      <c r="Q233" s="103">
        <f t="shared" si="293"/>
        <v>0.15052665964633144</v>
      </c>
      <c r="R233" s="103">
        <f t="shared" si="293"/>
        <v>0.14045242372703418</v>
      </c>
      <c r="S233" s="103">
        <f t="shared" si="293"/>
        <v>0.13407575684928097</v>
      </c>
      <c r="T233" s="103">
        <f t="shared" si="293"/>
        <v>0.12481740812161941</v>
      </c>
      <c r="U233" s="103">
        <f t="shared" si="293"/>
        <v>0.12770241603889534</v>
      </c>
      <c r="V233" s="103">
        <f t="shared" si="293"/>
        <v>7.4217172940128875E-2</v>
      </c>
      <c r="W233" s="103">
        <f t="shared" ref="W233:Y233" si="294">IF(W15=0,0,W15/W$4)</f>
        <v>7.7199466051733154E-2</v>
      </c>
      <c r="X233" s="103">
        <f t="shared" si="294"/>
        <v>9.0703263623351571E-2</v>
      </c>
      <c r="Y233" s="103">
        <f t="shared" si="294"/>
        <v>9.3661420567571194E-2</v>
      </c>
      <c r="DA233" s="191"/>
    </row>
    <row r="234" spans="1:105" ht="11.45" customHeight="1" x14ac:dyDescent="0.25">
      <c r="A234" s="157" t="s">
        <v>112</v>
      </c>
      <c r="B234" s="103">
        <f t="shared" ref="B234:K234" si="295">IF(B16=0,0,B16/B$4)</f>
        <v>4.7426203362342873E-3</v>
      </c>
      <c r="C234" s="103">
        <f t="shared" si="295"/>
        <v>4.1140828850068896E-3</v>
      </c>
      <c r="D234" s="103">
        <f t="shared" si="295"/>
        <v>3.4663509998077865E-3</v>
      </c>
      <c r="E234" s="103">
        <f t="shared" si="295"/>
        <v>3.0493126978235591E-3</v>
      </c>
      <c r="F234" s="103">
        <f t="shared" si="295"/>
        <v>7.4021985033636594E-3</v>
      </c>
      <c r="G234" s="103">
        <f t="shared" si="295"/>
        <v>6.3165431459318595E-3</v>
      </c>
      <c r="H234" s="103">
        <f t="shared" si="295"/>
        <v>5.9306227078629037E-3</v>
      </c>
      <c r="I234" s="103">
        <f t="shared" si="295"/>
        <v>5.1874076270465811E-3</v>
      </c>
      <c r="J234" s="103">
        <f t="shared" si="295"/>
        <v>4.67831916579293E-3</v>
      </c>
      <c r="K234" s="103">
        <f t="shared" si="295"/>
        <v>3.8184792328457931E-3</v>
      </c>
      <c r="L234" s="103">
        <f t="shared" ref="L234" si="296">IF(L16=0,0,L16/L$4)</f>
        <v>3.3004115574177696E-3</v>
      </c>
      <c r="M234" s="103">
        <f t="shared" ref="M234:V234" si="297">IF(M16=0,0,M16/M$4)</f>
        <v>2.9024917328260048E-3</v>
      </c>
      <c r="N234" s="103">
        <f t="shared" si="297"/>
        <v>2.6898399507077736E-3</v>
      </c>
      <c r="O234" s="103">
        <f t="shared" si="297"/>
        <v>2.3261246299555219E-3</v>
      </c>
      <c r="P234" s="103">
        <f t="shared" si="297"/>
        <v>2.1069027027885673E-3</v>
      </c>
      <c r="Q234" s="103">
        <f t="shared" si="297"/>
        <v>1.5733135135260457E-3</v>
      </c>
      <c r="R234" s="103">
        <f t="shared" si="297"/>
        <v>1.3553321786485737E-3</v>
      </c>
      <c r="S234" s="103">
        <f t="shared" si="297"/>
        <v>1.2468604699633675E-3</v>
      </c>
      <c r="T234" s="103">
        <f t="shared" si="297"/>
        <v>1.1477805275021259E-3</v>
      </c>
      <c r="U234" s="103">
        <f t="shared" si="297"/>
        <v>1.1408583046952701E-3</v>
      </c>
      <c r="V234" s="103">
        <f t="shared" si="297"/>
        <v>6.5338768182425283E-4</v>
      </c>
      <c r="W234" s="103">
        <f t="shared" ref="W234:Y234" si="298">IF(W16=0,0,W16/W$4)</f>
        <v>6.8605104782712097E-4</v>
      </c>
      <c r="X234" s="103">
        <f t="shared" si="298"/>
        <v>8.048424082146156E-4</v>
      </c>
      <c r="Y234" s="103">
        <f t="shared" si="298"/>
        <v>8.0632075819618543E-4</v>
      </c>
      <c r="DA234" s="191"/>
    </row>
    <row r="235" spans="1:105" ht="11.45" customHeight="1" x14ac:dyDescent="0.25">
      <c r="A235" s="157" t="s">
        <v>113</v>
      </c>
      <c r="B235" s="103">
        <f t="shared" ref="B235:K235" si="299">IF(B17=0,0,B17/B$4)</f>
        <v>0</v>
      </c>
      <c r="C235" s="103">
        <f t="shared" si="299"/>
        <v>0</v>
      </c>
      <c r="D235" s="103">
        <f t="shared" si="299"/>
        <v>0</v>
      </c>
      <c r="E235" s="103">
        <f t="shared" si="299"/>
        <v>0</v>
      </c>
      <c r="F235" s="103">
        <f t="shared" si="299"/>
        <v>0</v>
      </c>
      <c r="G235" s="103">
        <f t="shared" si="299"/>
        <v>0</v>
      </c>
      <c r="H235" s="103">
        <f t="shared" si="299"/>
        <v>0</v>
      </c>
      <c r="I235" s="103">
        <f t="shared" si="299"/>
        <v>0</v>
      </c>
      <c r="J235" s="103">
        <f t="shared" si="299"/>
        <v>0</v>
      </c>
      <c r="K235" s="103">
        <f t="shared" si="299"/>
        <v>0</v>
      </c>
      <c r="L235" s="103">
        <f t="shared" ref="L235" si="300">IF(L17=0,0,L17/L$4)</f>
        <v>0</v>
      </c>
      <c r="M235" s="103">
        <f t="shared" ref="M235:V235" si="301">IF(M17=0,0,M17/M$4)</f>
        <v>0</v>
      </c>
      <c r="N235" s="103">
        <f t="shared" si="301"/>
        <v>0</v>
      </c>
      <c r="O235" s="103">
        <f t="shared" si="301"/>
        <v>0</v>
      </c>
      <c r="P235" s="103">
        <f t="shared" si="301"/>
        <v>0</v>
      </c>
      <c r="Q235" s="103">
        <f t="shared" si="301"/>
        <v>2.0091709851500685E-3</v>
      </c>
      <c r="R235" s="103">
        <f t="shared" si="301"/>
        <v>1.6638696230786088E-3</v>
      </c>
      <c r="S235" s="103">
        <f t="shared" si="301"/>
        <v>1.203477702586578E-3</v>
      </c>
      <c r="T235" s="103">
        <f t="shared" si="301"/>
        <v>2.7836000010364264E-3</v>
      </c>
      <c r="U235" s="103">
        <f t="shared" si="301"/>
        <v>3.5606892729396302E-3</v>
      </c>
      <c r="V235" s="103">
        <f t="shared" si="301"/>
        <v>2.5662140672674662E-3</v>
      </c>
      <c r="W235" s="103">
        <f t="shared" ref="W235:Y235" si="302">IF(W17=0,0,W17/W$4)</f>
        <v>3.1477234316173767E-3</v>
      </c>
      <c r="X235" s="103">
        <f t="shared" si="302"/>
        <v>4.0075777191223086E-3</v>
      </c>
      <c r="Y235" s="103">
        <f t="shared" si="302"/>
        <v>4.3781659234612049E-3</v>
      </c>
      <c r="DA235" s="191"/>
    </row>
    <row r="236" spans="1:105" ht="11.45" customHeight="1" x14ac:dyDescent="0.25">
      <c r="A236" s="157" t="s">
        <v>115</v>
      </c>
      <c r="B236" s="103">
        <f t="shared" ref="B236:K236" si="303">IF(B18=0,0,B18/B$4)</f>
        <v>1.8180649195806376E-3</v>
      </c>
      <c r="C236" s="103">
        <f t="shared" si="303"/>
        <v>1.9005140691412653E-3</v>
      </c>
      <c r="D236" s="103">
        <f t="shared" si="303"/>
        <v>1.8321172826994993E-3</v>
      </c>
      <c r="E236" s="103">
        <f t="shared" si="303"/>
        <v>1.4009237861633435E-3</v>
      </c>
      <c r="F236" s="103">
        <f t="shared" si="303"/>
        <v>1.1315738539377617E-3</v>
      </c>
      <c r="G236" s="103">
        <f t="shared" si="303"/>
        <v>3.6883826080778984E-3</v>
      </c>
      <c r="H236" s="103">
        <f t="shared" si="303"/>
        <v>3.5227153286185109E-3</v>
      </c>
      <c r="I236" s="103">
        <f t="shared" si="303"/>
        <v>3.2096136209144137E-3</v>
      </c>
      <c r="J236" s="103">
        <f t="shared" si="303"/>
        <v>2.9848907145542864E-3</v>
      </c>
      <c r="K236" s="103">
        <f t="shared" si="303"/>
        <v>2.5290902360570562E-3</v>
      </c>
      <c r="L236" s="103">
        <f t="shared" ref="L236" si="304">IF(L18=0,0,L18/L$4)</f>
        <v>2.3304929802455397E-3</v>
      </c>
      <c r="M236" s="103">
        <f t="shared" ref="M236:V236" si="305">IF(M18=0,0,M18/M$4)</f>
        <v>2.1469544056869688E-3</v>
      </c>
      <c r="N236" s="103">
        <f t="shared" si="305"/>
        <v>2.0484168738624077E-3</v>
      </c>
      <c r="O236" s="103">
        <f t="shared" si="305"/>
        <v>2.0151493797043668E-3</v>
      </c>
      <c r="P236" s="103">
        <f t="shared" si="305"/>
        <v>2.0241825625521323E-3</v>
      </c>
      <c r="Q236" s="103">
        <f t="shared" si="305"/>
        <v>1.7567100555712209E-3</v>
      </c>
      <c r="R236" s="103">
        <f t="shared" si="305"/>
        <v>1.7417246023762737E-3</v>
      </c>
      <c r="S236" s="103">
        <f t="shared" si="305"/>
        <v>1.86602213099046E-3</v>
      </c>
      <c r="T236" s="103">
        <f t="shared" si="305"/>
        <v>1.5963411446537222E-3</v>
      </c>
      <c r="U236" s="103">
        <f t="shared" si="305"/>
        <v>1.0370158275844782E-3</v>
      </c>
      <c r="V236" s="103">
        <f t="shared" si="305"/>
        <v>9.6106562927973833E-4</v>
      </c>
      <c r="W236" s="103">
        <f t="shared" ref="W236:Y236" si="306">IF(W18=0,0,W18/W$4)</f>
        <v>1.4431234935271093E-3</v>
      </c>
      <c r="X236" s="103">
        <f t="shared" si="306"/>
        <v>2.0815737746088638E-3</v>
      </c>
      <c r="Y236" s="103">
        <f t="shared" si="306"/>
        <v>3.016539196937949E-3</v>
      </c>
      <c r="DA236" s="191"/>
    </row>
    <row r="237" spans="1:105" ht="11.45" customHeight="1" x14ac:dyDescent="0.25">
      <c r="A237" s="27" t="s">
        <v>39</v>
      </c>
      <c r="B237" s="46">
        <f t="shared" ref="B237:K237" si="307">IF(B19=0,0,B19/B$19)</f>
        <v>1</v>
      </c>
      <c r="C237" s="46">
        <f t="shared" si="307"/>
        <v>1</v>
      </c>
      <c r="D237" s="46">
        <f t="shared" si="307"/>
        <v>1</v>
      </c>
      <c r="E237" s="46">
        <f t="shared" si="307"/>
        <v>1</v>
      </c>
      <c r="F237" s="46">
        <f t="shared" si="307"/>
        <v>1</v>
      </c>
      <c r="G237" s="46">
        <f t="shared" si="307"/>
        <v>1</v>
      </c>
      <c r="H237" s="46">
        <f t="shared" si="307"/>
        <v>1</v>
      </c>
      <c r="I237" s="46">
        <f t="shared" si="307"/>
        <v>1</v>
      </c>
      <c r="J237" s="46">
        <f t="shared" si="307"/>
        <v>1</v>
      </c>
      <c r="K237" s="46">
        <f t="shared" si="307"/>
        <v>1</v>
      </c>
      <c r="L237" s="46">
        <f t="shared" ref="L237" si="308">IF(L19=0,0,L19/L$19)</f>
        <v>1</v>
      </c>
      <c r="M237" s="46">
        <f t="shared" ref="M237:V237" si="309">IF(M19=0,0,M19/M$19)</f>
        <v>1</v>
      </c>
      <c r="N237" s="46">
        <f t="shared" si="309"/>
        <v>1</v>
      </c>
      <c r="O237" s="46">
        <f t="shared" si="309"/>
        <v>1</v>
      </c>
      <c r="P237" s="46">
        <f t="shared" si="309"/>
        <v>1</v>
      </c>
      <c r="Q237" s="46">
        <f t="shared" si="309"/>
        <v>1</v>
      </c>
      <c r="R237" s="46">
        <f t="shared" si="309"/>
        <v>1</v>
      </c>
      <c r="S237" s="46">
        <f t="shared" si="309"/>
        <v>1</v>
      </c>
      <c r="T237" s="46">
        <f t="shared" si="309"/>
        <v>1</v>
      </c>
      <c r="U237" s="46">
        <f t="shared" si="309"/>
        <v>1</v>
      </c>
      <c r="V237" s="46">
        <f t="shared" si="309"/>
        <v>1</v>
      </c>
      <c r="W237" s="46">
        <f t="shared" ref="W237:Y237" si="310">IF(W19=0,0,W19/W$19)</f>
        <v>1</v>
      </c>
      <c r="X237" s="46">
        <f t="shared" si="310"/>
        <v>1</v>
      </c>
      <c r="Y237" s="46">
        <f t="shared" si="310"/>
        <v>1</v>
      </c>
      <c r="DA237" s="211"/>
    </row>
    <row r="238" spans="1:105" ht="11.45" customHeight="1" x14ac:dyDescent="0.25">
      <c r="A238" s="153" t="s">
        <v>153</v>
      </c>
      <c r="B238" s="154">
        <f t="shared" ref="B238:K238" si="311">IF(B20=0,0,B20/B$19)</f>
        <v>5.4846637203792563E-2</v>
      </c>
      <c r="C238" s="154">
        <f t="shared" si="311"/>
        <v>5.2098944765153962E-2</v>
      </c>
      <c r="D238" s="154">
        <f t="shared" si="311"/>
        <v>5.2717471365031326E-2</v>
      </c>
      <c r="E238" s="154">
        <f t="shared" si="311"/>
        <v>5.2531876632476271E-2</v>
      </c>
      <c r="F238" s="154">
        <f t="shared" si="311"/>
        <v>4.6143580062037497E-2</v>
      </c>
      <c r="G238" s="154">
        <f t="shared" si="311"/>
        <v>4.6176027723592868E-2</v>
      </c>
      <c r="H238" s="154">
        <f t="shared" si="311"/>
        <v>4.6516222874426562E-2</v>
      </c>
      <c r="I238" s="154">
        <f t="shared" si="311"/>
        <v>4.6480424353133369E-2</v>
      </c>
      <c r="J238" s="154">
        <f t="shared" si="311"/>
        <v>4.6659415598464545E-2</v>
      </c>
      <c r="K238" s="154">
        <f t="shared" si="311"/>
        <v>4.6728909330688427E-2</v>
      </c>
      <c r="L238" s="154">
        <f t="shared" ref="L238" si="312">IF(L20=0,0,L20/L$19)</f>
        <v>4.6174467805215634E-2</v>
      </c>
      <c r="M238" s="154">
        <f t="shared" ref="M238:V238" si="313">IF(M20=0,0,M20/M$19)</f>
        <v>4.5003509355610864E-2</v>
      </c>
      <c r="N238" s="154">
        <f t="shared" si="313"/>
        <v>4.4333400902012959E-2</v>
      </c>
      <c r="O238" s="154">
        <f t="shared" si="313"/>
        <v>4.1442494903184933E-2</v>
      </c>
      <c r="P238" s="154">
        <f t="shared" si="313"/>
        <v>4.235804607158497E-2</v>
      </c>
      <c r="Q238" s="154">
        <f t="shared" si="313"/>
        <v>4.0451769788269872E-2</v>
      </c>
      <c r="R238" s="154">
        <f t="shared" si="313"/>
        <v>4.0698275137987371E-2</v>
      </c>
      <c r="S238" s="154">
        <f t="shared" si="313"/>
        <v>3.7680883213143689E-2</v>
      </c>
      <c r="T238" s="154">
        <f t="shared" si="313"/>
        <v>4.2456186439278593E-2</v>
      </c>
      <c r="U238" s="154">
        <f t="shared" si="313"/>
        <v>4.1715493087521455E-2</v>
      </c>
      <c r="V238" s="154">
        <f t="shared" si="313"/>
        <v>4.1818020868640227E-2</v>
      </c>
      <c r="W238" s="154">
        <f t="shared" ref="W238:Y238" si="314">IF(W20=0,0,W20/W$19)</f>
        <v>4.0051743407990753E-2</v>
      </c>
      <c r="X238" s="154">
        <f t="shared" si="314"/>
        <v>3.9312983837902951E-2</v>
      </c>
      <c r="Y238" s="154">
        <f t="shared" si="314"/>
        <v>4.0714542107933217E-2</v>
      </c>
      <c r="DA238" s="212"/>
    </row>
    <row r="239" spans="1:105" ht="11.45" customHeight="1" x14ac:dyDescent="0.25">
      <c r="A239" s="157" t="s">
        <v>110</v>
      </c>
      <c r="B239" s="103">
        <f t="shared" ref="B239:K239" si="315">IF(B21=0,0,B21/B$19)</f>
        <v>2.8756781714240769E-2</v>
      </c>
      <c r="C239" s="103">
        <f t="shared" si="315"/>
        <v>2.7230136506847628E-2</v>
      </c>
      <c r="D239" s="103">
        <f t="shared" si="315"/>
        <v>2.3822570603608848E-2</v>
      </c>
      <c r="E239" s="103">
        <f t="shared" si="315"/>
        <v>2.2391442098726975E-2</v>
      </c>
      <c r="F239" s="103">
        <f t="shared" si="315"/>
        <v>1.8169843824326026E-2</v>
      </c>
      <c r="G239" s="103">
        <f t="shared" si="315"/>
        <v>1.5718233763907508E-2</v>
      </c>
      <c r="H239" s="103">
        <f t="shared" si="315"/>
        <v>1.4003045019410205E-2</v>
      </c>
      <c r="I239" s="103">
        <f t="shared" si="315"/>
        <v>1.229923272107478E-2</v>
      </c>
      <c r="J239" s="103">
        <f t="shared" si="315"/>
        <v>1.0845865914985483E-2</v>
      </c>
      <c r="K239" s="103">
        <f t="shared" si="315"/>
        <v>1.0418751554571021E-2</v>
      </c>
      <c r="L239" s="103">
        <f t="shared" ref="L239" si="316">IF(L21=0,0,L21/L$19)</f>
        <v>9.4206923078684734E-3</v>
      </c>
      <c r="M239" s="103">
        <f t="shared" ref="M239:V239" si="317">IF(M21=0,0,M21/M$19)</f>
        <v>8.141012343954309E-3</v>
      </c>
      <c r="N239" s="103">
        <f t="shared" si="317"/>
        <v>7.5456304944775858E-3</v>
      </c>
      <c r="O239" s="103">
        <f t="shared" si="317"/>
        <v>6.5333952338338525E-3</v>
      </c>
      <c r="P239" s="103">
        <f t="shared" si="317"/>
        <v>6.1944223378955186E-3</v>
      </c>
      <c r="Q239" s="103">
        <f t="shared" si="317"/>
        <v>5.2780712544945717E-3</v>
      </c>
      <c r="R239" s="103">
        <f t="shared" si="317"/>
        <v>5.0350676283985327E-3</v>
      </c>
      <c r="S239" s="103">
        <f t="shared" si="317"/>
        <v>4.6613502430595671E-3</v>
      </c>
      <c r="T239" s="103">
        <f t="shared" si="317"/>
        <v>4.9585477795154147E-3</v>
      </c>
      <c r="U239" s="103">
        <f t="shared" si="317"/>
        <v>4.6831898387883356E-3</v>
      </c>
      <c r="V239" s="103">
        <f t="shared" si="317"/>
        <v>4.3362925243351485E-3</v>
      </c>
      <c r="W239" s="103">
        <f t="shared" ref="W239:Y239" si="318">IF(W21=0,0,W21/W$19)</f>
        <v>3.9759952607118908E-3</v>
      </c>
      <c r="X239" s="103">
        <f t="shared" si="318"/>
        <v>3.9925434965129326E-3</v>
      </c>
      <c r="Y239" s="103">
        <f t="shared" si="318"/>
        <v>4.0097083473519058E-3</v>
      </c>
      <c r="DA239" s="191"/>
    </row>
    <row r="240" spans="1:105" ht="11.45" customHeight="1" x14ac:dyDescent="0.25">
      <c r="A240" s="157" t="s">
        <v>111</v>
      </c>
      <c r="B240" s="103">
        <f t="shared" ref="B240:K240" si="319">IF(B22=0,0,B22/B$19)</f>
        <v>2.509317090409344E-2</v>
      </c>
      <c r="C240" s="103">
        <f t="shared" si="319"/>
        <v>2.3763846707846398E-2</v>
      </c>
      <c r="D240" s="103">
        <f t="shared" si="319"/>
        <v>2.739811075286356E-2</v>
      </c>
      <c r="E240" s="103">
        <f t="shared" si="319"/>
        <v>2.8431972057338377E-2</v>
      </c>
      <c r="F240" s="103">
        <f t="shared" si="319"/>
        <v>2.6390124576702409E-2</v>
      </c>
      <c r="G240" s="103">
        <f t="shared" si="319"/>
        <v>2.878537760546095E-2</v>
      </c>
      <c r="H240" s="103">
        <f t="shared" si="319"/>
        <v>3.0610549769186302E-2</v>
      </c>
      <c r="I240" s="103">
        <f t="shared" si="319"/>
        <v>3.2210236377840165E-2</v>
      </c>
      <c r="J240" s="103">
        <f t="shared" si="319"/>
        <v>3.3870712986421012E-2</v>
      </c>
      <c r="K240" s="103">
        <f t="shared" si="319"/>
        <v>3.4431116767909026E-2</v>
      </c>
      <c r="L240" s="103">
        <f t="shared" ref="L240" si="320">IF(L22=0,0,L22/L$19)</f>
        <v>3.4961465867991891E-2</v>
      </c>
      <c r="M240" s="103">
        <f t="shared" ref="M240:V240" si="321">IF(M22=0,0,M22/M$19)</f>
        <v>3.5147832802333322E-2</v>
      </c>
      <c r="N240" s="103">
        <f t="shared" si="321"/>
        <v>3.5247212713756915E-2</v>
      </c>
      <c r="O240" s="103">
        <f t="shared" si="321"/>
        <v>3.351945857451364E-2</v>
      </c>
      <c r="P240" s="103">
        <f t="shared" si="321"/>
        <v>3.4589354565347882E-2</v>
      </c>
      <c r="Q240" s="103">
        <f t="shared" si="321"/>
        <v>3.3669556199977448E-2</v>
      </c>
      <c r="R240" s="103">
        <f t="shared" si="321"/>
        <v>3.4216185962027225E-2</v>
      </c>
      <c r="S240" s="103">
        <f t="shared" si="321"/>
        <v>3.1769727549459913E-2</v>
      </c>
      <c r="T240" s="103">
        <f t="shared" si="321"/>
        <v>3.610074058584526E-2</v>
      </c>
      <c r="U240" s="103">
        <f t="shared" si="321"/>
        <v>3.5720510891573395E-2</v>
      </c>
      <c r="V240" s="103">
        <f t="shared" si="321"/>
        <v>3.6233532096332392E-2</v>
      </c>
      <c r="W240" s="103">
        <f t="shared" ref="W240:Y240" si="322">IF(W22=0,0,W22/W$19)</f>
        <v>3.4921272240673956E-2</v>
      </c>
      <c r="X240" s="103">
        <f t="shared" si="322"/>
        <v>3.4255816031529565E-2</v>
      </c>
      <c r="Y240" s="103">
        <f t="shared" si="322"/>
        <v>3.5600121429192756E-2</v>
      </c>
      <c r="DA240" s="191"/>
    </row>
    <row r="241" spans="1:105" ht="11.45" customHeight="1" x14ac:dyDescent="0.25">
      <c r="A241" s="157" t="s">
        <v>112</v>
      </c>
      <c r="B241" s="103">
        <f t="shared" ref="B241:K241" si="323">IF(B23=0,0,B23/B$19)</f>
        <v>9.9668458545835114E-4</v>
      </c>
      <c r="C241" s="103">
        <f t="shared" si="323"/>
        <v>1.1049615504599363E-3</v>
      </c>
      <c r="D241" s="103">
        <f t="shared" si="323"/>
        <v>1.4967900085589131E-3</v>
      </c>
      <c r="E241" s="103">
        <f t="shared" si="323"/>
        <v>1.7084624764109179E-3</v>
      </c>
      <c r="F241" s="103">
        <f t="shared" si="323"/>
        <v>1.5836116610090567E-3</v>
      </c>
      <c r="G241" s="103">
        <f t="shared" si="323"/>
        <v>1.6724163542244151E-3</v>
      </c>
      <c r="H241" s="103">
        <f t="shared" si="323"/>
        <v>1.9026280858300535E-3</v>
      </c>
      <c r="I241" s="103">
        <f t="shared" si="323"/>
        <v>1.9709552542184227E-3</v>
      </c>
      <c r="J241" s="103">
        <f t="shared" si="323"/>
        <v>1.9428366970580485E-3</v>
      </c>
      <c r="K241" s="103">
        <f t="shared" si="323"/>
        <v>1.8790410082083807E-3</v>
      </c>
      <c r="L241" s="103">
        <f t="shared" ref="L241" si="324">IF(L23=0,0,L23/L$19)</f>
        <v>1.7923096293552664E-3</v>
      </c>
      <c r="M241" s="103">
        <f t="shared" ref="M241:V241" si="325">IF(M23=0,0,M23/M$19)</f>
        <v>1.7146642093232316E-3</v>
      </c>
      <c r="N241" s="103">
        <f t="shared" si="325"/>
        <v>1.5404935583972197E-3</v>
      </c>
      <c r="O241" s="103">
        <f t="shared" si="325"/>
        <v>1.3895330825394135E-3</v>
      </c>
      <c r="P241" s="103">
        <f t="shared" si="325"/>
        <v>1.5741249905267161E-3</v>
      </c>
      <c r="Q241" s="103">
        <f t="shared" si="325"/>
        <v>1.4775739410731214E-3</v>
      </c>
      <c r="R241" s="103">
        <f t="shared" si="325"/>
        <v>1.4172367984663259E-3</v>
      </c>
      <c r="S241" s="103">
        <f t="shared" si="325"/>
        <v>1.2240714220137431E-3</v>
      </c>
      <c r="T241" s="103">
        <f t="shared" si="325"/>
        <v>1.3681881429779925E-3</v>
      </c>
      <c r="U241" s="103">
        <f t="shared" si="325"/>
        <v>1.283798174111454E-3</v>
      </c>
      <c r="V241" s="103">
        <f t="shared" si="325"/>
        <v>1.2261109881410845E-3</v>
      </c>
      <c r="W241" s="103">
        <f t="shared" ref="W241:Y241" si="326">IF(W23=0,0,W23/W$19)</f>
        <v>1.1329654632547268E-3</v>
      </c>
      <c r="X241" s="103">
        <f t="shared" si="326"/>
        <v>1.0394099640851611E-3</v>
      </c>
      <c r="Y241" s="103">
        <f t="shared" si="326"/>
        <v>1.0635300893373932E-3</v>
      </c>
      <c r="DA241" s="191"/>
    </row>
    <row r="242" spans="1:105" ht="11.45" customHeight="1" x14ac:dyDescent="0.25">
      <c r="A242" s="157" t="s">
        <v>113</v>
      </c>
      <c r="B242" s="103">
        <f t="shared" ref="B242:K242" si="327">IF(B24=0,0,B24/B$19)</f>
        <v>0</v>
      </c>
      <c r="C242" s="103">
        <f t="shared" si="327"/>
        <v>0</v>
      </c>
      <c r="D242" s="103">
        <f t="shared" si="327"/>
        <v>0</v>
      </c>
      <c r="E242" s="103">
        <f t="shared" si="327"/>
        <v>0</v>
      </c>
      <c r="F242" s="103">
        <f t="shared" si="327"/>
        <v>0</v>
      </c>
      <c r="G242" s="103">
        <f t="shared" si="327"/>
        <v>0</v>
      </c>
      <c r="H242" s="103">
        <f t="shared" si="327"/>
        <v>0</v>
      </c>
      <c r="I242" s="103">
        <f t="shared" si="327"/>
        <v>0</v>
      </c>
      <c r="J242" s="103">
        <f t="shared" si="327"/>
        <v>0</v>
      </c>
      <c r="K242" s="103">
        <f t="shared" si="327"/>
        <v>0</v>
      </c>
      <c r="L242" s="103">
        <f t="shared" ref="L242" si="328">IF(L24=0,0,L24/L$19)</f>
        <v>0</v>
      </c>
      <c r="M242" s="103">
        <f t="shared" ref="M242:V242" si="329">IF(M24=0,0,M24/M$19)</f>
        <v>0</v>
      </c>
      <c r="N242" s="103">
        <f t="shared" si="329"/>
        <v>0</v>
      </c>
      <c r="O242" s="103">
        <f t="shared" si="329"/>
        <v>0</v>
      </c>
      <c r="P242" s="103">
        <f t="shared" si="329"/>
        <v>0</v>
      </c>
      <c r="Q242" s="103">
        <f t="shared" si="329"/>
        <v>2.6376609331630453E-5</v>
      </c>
      <c r="R242" s="103">
        <f t="shared" si="329"/>
        <v>2.9554675916844673E-5</v>
      </c>
      <c r="S242" s="103">
        <f t="shared" si="329"/>
        <v>2.5430923307661117E-5</v>
      </c>
      <c r="T242" s="103">
        <f t="shared" si="329"/>
        <v>2.8064978265972899E-5</v>
      </c>
      <c r="U242" s="103">
        <f t="shared" si="329"/>
        <v>2.6568982985932798E-5</v>
      </c>
      <c r="V242" s="103">
        <f t="shared" si="329"/>
        <v>1.9279065342325842E-5</v>
      </c>
      <c r="W242" s="103">
        <f t="shared" ref="W242:Y242" si="330">IF(W24=0,0,W24/W$19)</f>
        <v>1.6107602942342077E-5</v>
      </c>
      <c r="X242" s="103">
        <f t="shared" si="330"/>
        <v>1.4475472534558252E-5</v>
      </c>
      <c r="Y242" s="103">
        <f t="shared" si="330"/>
        <v>1.4510190339037703E-5</v>
      </c>
      <c r="DA242" s="191"/>
    </row>
    <row r="243" spans="1:105" ht="11.45" customHeight="1" x14ac:dyDescent="0.25">
      <c r="A243" s="157" t="s">
        <v>115</v>
      </c>
      <c r="B243" s="103">
        <f t="shared" ref="B243:K243" si="331">IF(B25=0,0,B25/B$19)</f>
        <v>0</v>
      </c>
      <c r="C243" s="103">
        <f t="shared" si="331"/>
        <v>0</v>
      </c>
      <c r="D243" s="103">
        <f t="shared" si="331"/>
        <v>0</v>
      </c>
      <c r="E243" s="103">
        <f t="shared" si="331"/>
        <v>0</v>
      </c>
      <c r="F243" s="103">
        <f t="shared" si="331"/>
        <v>0</v>
      </c>
      <c r="G243" s="103">
        <f t="shared" si="331"/>
        <v>0</v>
      </c>
      <c r="H243" s="103">
        <f t="shared" si="331"/>
        <v>0</v>
      </c>
      <c r="I243" s="103">
        <f t="shared" si="331"/>
        <v>0</v>
      </c>
      <c r="J243" s="103">
        <f t="shared" si="331"/>
        <v>0</v>
      </c>
      <c r="K243" s="103">
        <f t="shared" si="331"/>
        <v>0</v>
      </c>
      <c r="L243" s="103">
        <f t="shared" ref="L243" si="332">IF(L25=0,0,L25/L$19)</f>
        <v>0</v>
      </c>
      <c r="M243" s="103">
        <f t="shared" ref="M243:V243" si="333">IF(M25=0,0,M25/M$19)</f>
        <v>0</v>
      </c>
      <c r="N243" s="103">
        <f t="shared" si="333"/>
        <v>6.4135381237660244E-8</v>
      </c>
      <c r="O243" s="103">
        <f t="shared" si="333"/>
        <v>1.0801229802832864E-7</v>
      </c>
      <c r="P243" s="103">
        <f t="shared" si="333"/>
        <v>1.4417781484401727E-7</v>
      </c>
      <c r="Q243" s="103">
        <f t="shared" si="333"/>
        <v>1.9178339310443859E-7</v>
      </c>
      <c r="R243" s="103">
        <f t="shared" si="333"/>
        <v>2.3007317843865323E-7</v>
      </c>
      <c r="S243" s="103">
        <f t="shared" si="333"/>
        <v>3.0307530280827176E-7</v>
      </c>
      <c r="T243" s="103">
        <f t="shared" si="333"/>
        <v>6.449526739435979E-7</v>
      </c>
      <c r="U243" s="103">
        <f t="shared" si="333"/>
        <v>1.4252000623350796E-6</v>
      </c>
      <c r="V243" s="103">
        <f t="shared" si="333"/>
        <v>2.8061944892766983E-6</v>
      </c>
      <c r="W243" s="103">
        <f t="shared" ref="W243:Y243" si="334">IF(W25=0,0,W25/W$19)</f>
        <v>5.4028404078408139E-6</v>
      </c>
      <c r="X243" s="103">
        <f t="shared" si="334"/>
        <v>1.0738873240731174E-5</v>
      </c>
      <c r="Y243" s="103">
        <f t="shared" si="334"/>
        <v>2.6672051712122761E-5</v>
      </c>
      <c r="DA243" s="191"/>
    </row>
    <row r="244" spans="1:105" ht="11.45" customHeight="1" x14ac:dyDescent="0.25">
      <c r="A244" s="155" t="s">
        <v>154</v>
      </c>
      <c r="B244" s="156">
        <f t="shared" ref="B244:K244" si="335">IF(B26=0,0,B26/B$19)</f>
        <v>0.94515336279620743</v>
      </c>
      <c r="C244" s="156">
        <f t="shared" si="335"/>
        <v>0.94790105523484602</v>
      </c>
      <c r="D244" s="156">
        <f t="shared" si="335"/>
        <v>0.94728252863496865</v>
      </c>
      <c r="E244" s="156">
        <f t="shared" si="335"/>
        <v>0.94746812336752373</v>
      </c>
      <c r="F244" s="156">
        <f t="shared" si="335"/>
        <v>0.95385641993796244</v>
      </c>
      <c r="G244" s="156">
        <f t="shared" si="335"/>
        <v>0.95382397227640703</v>
      </c>
      <c r="H244" s="156">
        <f t="shared" si="335"/>
        <v>0.95348377712557342</v>
      </c>
      <c r="I244" s="156">
        <f t="shared" si="335"/>
        <v>0.95351957564686662</v>
      </c>
      <c r="J244" s="156">
        <f t="shared" si="335"/>
        <v>0.95334058440153535</v>
      </c>
      <c r="K244" s="156">
        <f t="shared" si="335"/>
        <v>0.95327109066931159</v>
      </c>
      <c r="L244" s="156">
        <f t="shared" ref="L244" si="336">IF(L26=0,0,L26/L$19)</f>
        <v>0.95382553219478439</v>
      </c>
      <c r="M244" s="156">
        <f t="shared" ref="M244:V244" si="337">IF(M26=0,0,M26/M$19)</f>
        <v>0.95499649064438907</v>
      </c>
      <c r="N244" s="156">
        <f t="shared" si="337"/>
        <v>0.95566659909798701</v>
      </c>
      <c r="O244" s="156">
        <f t="shared" si="337"/>
        <v>0.95855750509681514</v>
      </c>
      <c r="P244" s="156">
        <f t="shared" si="337"/>
        <v>0.95764195392841489</v>
      </c>
      <c r="Q244" s="156">
        <f t="shared" si="337"/>
        <v>0.95954823021173019</v>
      </c>
      <c r="R244" s="156">
        <f t="shared" si="337"/>
        <v>0.95930172486201271</v>
      </c>
      <c r="S244" s="156">
        <f t="shared" si="337"/>
        <v>0.96231911678685633</v>
      </c>
      <c r="T244" s="156">
        <f t="shared" si="337"/>
        <v>0.95754381356072138</v>
      </c>
      <c r="U244" s="156">
        <f t="shared" si="337"/>
        <v>0.95828450691247857</v>
      </c>
      <c r="V244" s="156">
        <f t="shared" si="337"/>
        <v>0.95818197913135983</v>
      </c>
      <c r="W244" s="156">
        <f t="shared" ref="W244:Y244" si="338">IF(W26=0,0,W26/W$19)</f>
        <v>0.95994825659200922</v>
      </c>
      <c r="X244" s="156">
        <f t="shared" si="338"/>
        <v>0.96068701616209706</v>
      </c>
      <c r="Y244" s="156">
        <f t="shared" si="338"/>
        <v>0.95928545789206676</v>
      </c>
      <c r="DA244" s="213"/>
    </row>
    <row r="245" spans="1:105" ht="11.45" customHeight="1" x14ac:dyDescent="0.25">
      <c r="A245" s="157" t="s">
        <v>27</v>
      </c>
      <c r="B245" s="103">
        <f t="shared" ref="B245:K245" si="339">IF(B27=0,0,B27/B$19)</f>
        <v>0.68042388857298841</v>
      </c>
      <c r="C245" s="103">
        <f t="shared" si="339"/>
        <v>0.67310338861200725</v>
      </c>
      <c r="D245" s="103">
        <f t="shared" si="339"/>
        <v>0.66734539996815589</v>
      </c>
      <c r="E245" s="103">
        <f t="shared" si="339"/>
        <v>0.67381218508872898</v>
      </c>
      <c r="F245" s="103">
        <f t="shared" si="339"/>
        <v>0.66950715841087438</v>
      </c>
      <c r="G245" s="103">
        <f t="shared" si="339"/>
        <v>0.6695657395917276</v>
      </c>
      <c r="H245" s="103">
        <f t="shared" si="339"/>
        <v>0.62259263233559636</v>
      </c>
      <c r="I245" s="103">
        <f t="shared" si="339"/>
        <v>0.65780803840641389</v>
      </c>
      <c r="J245" s="103">
        <f t="shared" si="339"/>
        <v>0.67457357883420732</v>
      </c>
      <c r="K245" s="103">
        <f t="shared" si="339"/>
        <v>0.70332195058785441</v>
      </c>
      <c r="L245" s="103">
        <f t="shared" ref="L245" si="340">IF(L27=0,0,L27/L$19)</f>
        <v>0.67478621220230073</v>
      </c>
      <c r="M245" s="103">
        <f t="shared" ref="M245:V245" si="341">IF(M27=0,0,M27/M$19)</f>
        <v>0.68228009006508106</v>
      </c>
      <c r="N245" s="103">
        <f t="shared" si="341"/>
        <v>0.66522561953779646</v>
      </c>
      <c r="O245" s="103">
        <f t="shared" si="341"/>
        <v>0.67940106002009815</v>
      </c>
      <c r="P245" s="103">
        <f t="shared" si="341"/>
        <v>0.66793070757395478</v>
      </c>
      <c r="Q245" s="103">
        <f t="shared" si="341"/>
        <v>0.68144674739445688</v>
      </c>
      <c r="R245" s="103">
        <f t="shared" si="341"/>
        <v>0.66336516242223242</v>
      </c>
      <c r="S245" s="103">
        <f t="shared" si="341"/>
        <v>0.66388973186900901</v>
      </c>
      <c r="T245" s="103">
        <f t="shared" si="341"/>
        <v>0.67823137294986113</v>
      </c>
      <c r="U245" s="103">
        <f t="shared" si="341"/>
        <v>0.66092882663235264</v>
      </c>
      <c r="V245" s="103">
        <f t="shared" si="341"/>
        <v>0.67740354613748832</v>
      </c>
      <c r="W245" s="103">
        <f t="shared" ref="W245:Y245" si="342">IF(W27=0,0,W27/W$19)</f>
        <v>0.68148627694218311</v>
      </c>
      <c r="X245" s="103">
        <f t="shared" si="342"/>
        <v>0.68388104502143132</v>
      </c>
      <c r="Y245" s="103">
        <f t="shared" si="342"/>
        <v>0.67400870403048863</v>
      </c>
      <c r="DA245" s="191"/>
    </row>
    <row r="246" spans="1:105" ht="11.45" customHeight="1" x14ac:dyDescent="0.25">
      <c r="A246" s="158" t="s">
        <v>116</v>
      </c>
      <c r="B246" s="105">
        <f t="shared" ref="B246:K246" si="343">IF(B28=0,0,B28/B$19)</f>
        <v>0.26472947422321907</v>
      </c>
      <c r="C246" s="105">
        <f t="shared" si="343"/>
        <v>0.27479766662283878</v>
      </c>
      <c r="D246" s="105">
        <f t="shared" si="343"/>
        <v>0.27993712866681275</v>
      </c>
      <c r="E246" s="105">
        <f t="shared" si="343"/>
        <v>0.27365593827879486</v>
      </c>
      <c r="F246" s="105">
        <f t="shared" si="343"/>
        <v>0.28434926152708812</v>
      </c>
      <c r="G246" s="105">
        <f t="shared" si="343"/>
        <v>0.28425823268467948</v>
      </c>
      <c r="H246" s="105">
        <f t="shared" si="343"/>
        <v>0.33089114478997705</v>
      </c>
      <c r="I246" s="105">
        <f t="shared" si="343"/>
        <v>0.29571153724045279</v>
      </c>
      <c r="J246" s="105">
        <f t="shared" si="343"/>
        <v>0.27876700556732809</v>
      </c>
      <c r="K246" s="105">
        <f t="shared" si="343"/>
        <v>0.24994914008145716</v>
      </c>
      <c r="L246" s="105">
        <f t="shared" ref="L246" si="344">IF(L28=0,0,L28/L$19)</f>
        <v>0.27903931999248371</v>
      </c>
      <c r="M246" s="105">
        <f t="shared" ref="M246:V246" si="345">IF(M28=0,0,M28/M$19)</f>
        <v>0.27271640057930807</v>
      </c>
      <c r="N246" s="105">
        <f t="shared" si="345"/>
        <v>0.2904409795601906</v>
      </c>
      <c r="O246" s="105">
        <f t="shared" si="345"/>
        <v>0.27915644507671705</v>
      </c>
      <c r="P246" s="105">
        <f t="shared" si="345"/>
        <v>0.28971124635445999</v>
      </c>
      <c r="Q246" s="105">
        <f t="shared" si="345"/>
        <v>0.27810148281727332</v>
      </c>
      <c r="R246" s="105">
        <f t="shared" si="345"/>
        <v>0.29593656243978028</v>
      </c>
      <c r="S246" s="105">
        <f t="shared" si="345"/>
        <v>0.29842938491784732</v>
      </c>
      <c r="T246" s="105">
        <f t="shared" si="345"/>
        <v>0.2793124406108603</v>
      </c>
      <c r="U246" s="105">
        <f t="shared" si="345"/>
        <v>0.29735568028012593</v>
      </c>
      <c r="V246" s="105">
        <f t="shared" si="345"/>
        <v>0.28077843299387151</v>
      </c>
      <c r="W246" s="105">
        <f t="shared" ref="W246:Y246" si="346">IF(W28=0,0,W28/W$19)</f>
        <v>0.27846197964982605</v>
      </c>
      <c r="X246" s="105">
        <f t="shared" si="346"/>
        <v>0.27680597114066574</v>
      </c>
      <c r="Y246" s="105">
        <f t="shared" si="346"/>
        <v>0.28527675386157808</v>
      </c>
      <c r="DA246" s="192"/>
    </row>
    <row r="247" spans="1:105" ht="11.45" customHeight="1" x14ac:dyDescent="0.25">
      <c r="A247" s="106"/>
      <c r="B247" s="106"/>
      <c r="C247" s="106"/>
      <c r="D247" s="106"/>
      <c r="E247" s="106"/>
      <c r="F247" s="106"/>
      <c r="G247" s="106"/>
      <c r="H247" s="106"/>
      <c r="I247" s="106"/>
      <c r="J247" s="106"/>
      <c r="K247" s="106"/>
      <c r="L247" s="106"/>
      <c r="M247" s="106"/>
      <c r="N247" s="106"/>
      <c r="O247" s="106"/>
      <c r="P247" s="106"/>
      <c r="Q247" s="106"/>
      <c r="R247" s="106"/>
      <c r="S247" s="106"/>
      <c r="T247" s="106"/>
      <c r="U247" s="106"/>
      <c r="V247" s="106"/>
      <c r="W247" s="106"/>
      <c r="X247" s="106"/>
      <c r="Y247" s="106"/>
      <c r="DA247" s="171"/>
    </row>
    <row r="248" spans="1:105" ht="11.45" customHeight="1" x14ac:dyDescent="0.25">
      <c r="A248" s="53" t="s">
        <v>66</v>
      </c>
      <c r="B248" s="76"/>
      <c r="C248" s="76"/>
      <c r="D248" s="76"/>
      <c r="E248" s="76"/>
      <c r="F248" s="76"/>
      <c r="G248" s="76"/>
      <c r="H248" s="76"/>
      <c r="I248" s="76"/>
      <c r="J248" s="76"/>
      <c r="K248" s="76"/>
      <c r="L248" s="76"/>
      <c r="M248" s="76"/>
      <c r="N248" s="76"/>
      <c r="O248" s="76"/>
      <c r="P248" s="76"/>
      <c r="Q248" s="76"/>
      <c r="R248" s="76"/>
      <c r="S248" s="76"/>
      <c r="T248" s="76"/>
      <c r="U248" s="76"/>
      <c r="V248" s="76"/>
      <c r="W248" s="76"/>
      <c r="X248" s="76"/>
      <c r="Y248" s="76"/>
      <c r="DA248" s="183"/>
    </row>
    <row r="249" spans="1:105" ht="11.45" customHeight="1" x14ac:dyDescent="0.25">
      <c r="A249" s="27" t="s">
        <v>33</v>
      </c>
      <c r="B249" s="46">
        <f t="shared" ref="B249:K249" si="347">IF(B31=0,0,B31/B$31)</f>
        <v>1</v>
      </c>
      <c r="C249" s="46">
        <f t="shared" si="347"/>
        <v>1</v>
      </c>
      <c r="D249" s="46">
        <f t="shared" si="347"/>
        <v>1</v>
      </c>
      <c r="E249" s="46">
        <f t="shared" si="347"/>
        <v>1</v>
      </c>
      <c r="F249" s="46">
        <f t="shared" si="347"/>
        <v>1</v>
      </c>
      <c r="G249" s="46">
        <f t="shared" si="347"/>
        <v>1</v>
      </c>
      <c r="H249" s="46">
        <f t="shared" si="347"/>
        <v>1</v>
      </c>
      <c r="I249" s="46">
        <f t="shared" si="347"/>
        <v>1</v>
      </c>
      <c r="J249" s="46">
        <f t="shared" si="347"/>
        <v>1</v>
      </c>
      <c r="K249" s="46">
        <f t="shared" si="347"/>
        <v>1</v>
      </c>
      <c r="L249" s="46">
        <f t="shared" ref="L249" si="348">IF(L31=0,0,L31/L$31)</f>
        <v>1</v>
      </c>
      <c r="M249" s="46">
        <f t="shared" ref="M249:V249" si="349">IF(M31=0,0,M31/M$31)</f>
        <v>1</v>
      </c>
      <c r="N249" s="46">
        <f t="shared" si="349"/>
        <v>1</v>
      </c>
      <c r="O249" s="46">
        <f t="shared" si="349"/>
        <v>1</v>
      </c>
      <c r="P249" s="46">
        <f t="shared" si="349"/>
        <v>1</v>
      </c>
      <c r="Q249" s="46">
        <f t="shared" si="349"/>
        <v>1</v>
      </c>
      <c r="R249" s="46">
        <f t="shared" si="349"/>
        <v>1</v>
      </c>
      <c r="S249" s="46">
        <f t="shared" si="349"/>
        <v>1</v>
      </c>
      <c r="T249" s="46">
        <f t="shared" si="349"/>
        <v>1</v>
      </c>
      <c r="U249" s="46">
        <f t="shared" si="349"/>
        <v>1</v>
      </c>
      <c r="V249" s="46">
        <f t="shared" si="349"/>
        <v>1</v>
      </c>
      <c r="W249" s="46">
        <f t="shared" ref="W249:Y249" si="350">IF(W31=0,0,W31/W$31)</f>
        <v>1</v>
      </c>
      <c r="X249" s="46">
        <f t="shared" si="350"/>
        <v>1</v>
      </c>
      <c r="Y249" s="46">
        <f t="shared" si="350"/>
        <v>1</v>
      </c>
      <c r="DA249" s="211"/>
    </row>
    <row r="250" spans="1:105" ht="11.45" customHeight="1" x14ac:dyDescent="0.25">
      <c r="A250" s="153" t="s">
        <v>173</v>
      </c>
      <c r="B250" s="154">
        <f t="shared" ref="B250:K250" si="351">IF(B32=0,0,B32/B$31)</f>
        <v>2.9670343730288363E-2</v>
      </c>
      <c r="C250" s="154">
        <f t="shared" si="351"/>
        <v>2.6657825185024686E-2</v>
      </c>
      <c r="D250" s="154">
        <f t="shared" si="351"/>
        <v>2.5087244043381519E-2</v>
      </c>
      <c r="E250" s="154">
        <f t="shared" si="351"/>
        <v>2.2060887594134146E-2</v>
      </c>
      <c r="F250" s="154">
        <f t="shared" si="351"/>
        <v>1.8919853400908127E-2</v>
      </c>
      <c r="G250" s="154">
        <f t="shared" si="351"/>
        <v>2.1126833381765204E-2</v>
      </c>
      <c r="H250" s="154">
        <f t="shared" si="351"/>
        <v>2.0103056274532304E-2</v>
      </c>
      <c r="I250" s="154">
        <f t="shared" si="351"/>
        <v>1.967803883835997E-2</v>
      </c>
      <c r="J250" s="154">
        <f t="shared" si="351"/>
        <v>1.8098205866212164E-2</v>
      </c>
      <c r="K250" s="154">
        <f t="shared" si="351"/>
        <v>1.8738223313735328E-2</v>
      </c>
      <c r="L250" s="154">
        <f t="shared" ref="L250" si="352">IF(L32=0,0,L32/L$31)</f>
        <v>1.8959417045418942E-2</v>
      </c>
      <c r="M250" s="154">
        <f t="shared" ref="M250:V250" si="353">IF(M32=0,0,M32/M$31)</f>
        <v>1.8508575703595744E-2</v>
      </c>
      <c r="N250" s="154">
        <f t="shared" si="353"/>
        <v>1.872648665920456E-2</v>
      </c>
      <c r="O250" s="154">
        <f t="shared" si="353"/>
        <v>1.892262439832388E-2</v>
      </c>
      <c r="P250" s="154">
        <f t="shared" si="353"/>
        <v>1.8988344528055961E-2</v>
      </c>
      <c r="Q250" s="154">
        <f t="shared" si="353"/>
        <v>1.8485551534683436E-2</v>
      </c>
      <c r="R250" s="154">
        <f t="shared" si="353"/>
        <v>1.8754668892718387E-2</v>
      </c>
      <c r="S250" s="154">
        <f t="shared" si="353"/>
        <v>1.6092796400169845E-2</v>
      </c>
      <c r="T250" s="154">
        <f t="shared" si="353"/>
        <v>1.4201217622663378E-2</v>
      </c>
      <c r="U250" s="154">
        <f t="shared" si="353"/>
        <v>1.4608346814304727E-2</v>
      </c>
      <c r="V250" s="154">
        <f t="shared" si="353"/>
        <v>1.3010505427350744E-2</v>
      </c>
      <c r="W250" s="154">
        <f t="shared" ref="W250:Y250" si="354">IF(W32=0,0,W32/W$31)</f>
        <v>1.3638000636373902E-2</v>
      </c>
      <c r="X250" s="154">
        <f t="shared" si="354"/>
        <v>1.3308265072584985E-2</v>
      </c>
      <c r="Y250" s="154">
        <f t="shared" si="354"/>
        <v>1.4083237963185256E-2</v>
      </c>
      <c r="DA250" s="212"/>
    </row>
    <row r="251" spans="1:105" ht="11.45" customHeight="1" x14ac:dyDescent="0.25">
      <c r="A251" s="155" t="s">
        <v>20</v>
      </c>
      <c r="B251" s="156">
        <f t="shared" ref="B251:K251" si="355">IF(B33=0,0,B33/B$31)</f>
        <v>0.94820479085621467</v>
      </c>
      <c r="C251" s="156">
        <f t="shared" si="355"/>
        <v>0.95154794217095884</v>
      </c>
      <c r="D251" s="156">
        <f t="shared" si="355"/>
        <v>0.95355590399777801</v>
      </c>
      <c r="E251" s="156">
        <f t="shared" si="355"/>
        <v>0.95815256712246044</v>
      </c>
      <c r="F251" s="156">
        <f t="shared" si="355"/>
        <v>0.96189493325594022</v>
      </c>
      <c r="G251" s="156">
        <f t="shared" si="355"/>
        <v>0.95964966656122763</v>
      </c>
      <c r="H251" s="156">
        <f t="shared" si="355"/>
        <v>0.96324229438506936</v>
      </c>
      <c r="I251" s="156">
        <f t="shared" si="355"/>
        <v>0.96501058423413977</v>
      </c>
      <c r="J251" s="156">
        <f t="shared" si="355"/>
        <v>0.96818842041943498</v>
      </c>
      <c r="K251" s="156">
        <f t="shared" si="355"/>
        <v>0.9682505705244534</v>
      </c>
      <c r="L251" s="156">
        <f t="shared" ref="L251" si="356">IF(L33=0,0,L33/L$31)</f>
        <v>0.96888444215219571</v>
      </c>
      <c r="M251" s="156">
        <f t="shared" ref="M251:V251" si="357">IF(M33=0,0,M33/M$31)</f>
        <v>0.96947815434503759</v>
      </c>
      <c r="N251" s="156">
        <f t="shared" si="357"/>
        <v>0.96950205208213935</v>
      </c>
      <c r="O251" s="156">
        <f t="shared" si="357"/>
        <v>0.9687865280987753</v>
      </c>
      <c r="P251" s="156">
        <f t="shared" si="357"/>
        <v>0.96862023560315913</v>
      </c>
      <c r="Q251" s="156">
        <f t="shared" si="357"/>
        <v>0.96818082057555765</v>
      </c>
      <c r="R251" s="156">
        <f t="shared" si="357"/>
        <v>0.96881972864189991</v>
      </c>
      <c r="S251" s="156">
        <f t="shared" si="357"/>
        <v>0.97290230204862538</v>
      </c>
      <c r="T251" s="156">
        <f t="shared" si="357"/>
        <v>0.97609408119550067</v>
      </c>
      <c r="U251" s="156">
        <f t="shared" si="357"/>
        <v>0.9755803038742854</v>
      </c>
      <c r="V251" s="156">
        <f t="shared" si="357"/>
        <v>0.97733924485369161</v>
      </c>
      <c r="W251" s="156">
        <f t="shared" ref="W251:Y251" si="358">IF(W33=0,0,W33/W$31)</f>
        <v>0.97664309294150575</v>
      </c>
      <c r="X251" s="156">
        <f t="shared" si="358"/>
        <v>0.97732516801467861</v>
      </c>
      <c r="Y251" s="156">
        <f t="shared" si="358"/>
        <v>0.97676191098162146</v>
      </c>
      <c r="DA251" s="213"/>
    </row>
    <row r="252" spans="1:105" ht="11.45" customHeight="1" x14ac:dyDescent="0.25">
      <c r="A252" s="157" t="s">
        <v>110</v>
      </c>
      <c r="B252" s="103">
        <f t="shared" ref="B252:K252" si="359">IF(B34=0,0,B34/B$31)</f>
        <v>0.75131826663112067</v>
      </c>
      <c r="C252" s="103">
        <f t="shared" si="359"/>
        <v>0.7038389641878291</v>
      </c>
      <c r="D252" s="103">
        <f t="shared" si="359"/>
        <v>0.67132656373997857</v>
      </c>
      <c r="E252" s="103">
        <f t="shared" si="359"/>
        <v>0.60715613138375513</v>
      </c>
      <c r="F252" s="103">
        <f t="shared" si="359"/>
        <v>0.55773106033636344</v>
      </c>
      <c r="G252" s="103">
        <f t="shared" si="359"/>
        <v>0.56508231120560459</v>
      </c>
      <c r="H252" s="103">
        <f t="shared" si="359"/>
        <v>0.53331769480644531</v>
      </c>
      <c r="I252" s="103">
        <f t="shared" si="359"/>
        <v>0.48521136464801906</v>
      </c>
      <c r="J252" s="103">
        <f t="shared" si="359"/>
        <v>0.44321887962279505</v>
      </c>
      <c r="K252" s="103">
        <f t="shared" si="359"/>
        <v>0.41548420836274785</v>
      </c>
      <c r="L252" s="103">
        <f t="shared" ref="L252" si="360">IF(L34=0,0,L34/L$31)</f>
        <v>0.38177883373096322</v>
      </c>
      <c r="M252" s="103">
        <f t="shared" ref="M252:V252" si="361">IF(M34=0,0,M34/M$31)</f>
        <v>0.36350694377556053</v>
      </c>
      <c r="N252" s="103">
        <f t="shared" si="361"/>
        <v>0.3625978192713385</v>
      </c>
      <c r="O252" s="103">
        <f t="shared" si="361"/>
        <v>0.36880553118951231</v>
      </c>
      <c r="P252" s="103">
        <f t="shared" si="361"/>
        <v>0.35930508356091057</v>
      </c>
      <c r="Q252" s="103">
        <f t="shared" si="361"/>
        <v>0.35801893603797397</v>
      </c>
      <c r="R252" s="103">
        <f t="shared" si="361"/>
        <v>0.34300370731222019</v>
      </c>
      <c r="S252" s="103">
        <f t="shared" si="361"/>
        <v>0.34560535453495078</v>
      </c>
      <c r="T252" s="103">
        <f t="shared" si="361"/>
        <v>0.33864861862382178</v>
      </c>
      <c r="U252" s="103">
        <f t="shared" si="361"/>
        <v>0.34512445639118233</v>
      </c>
      <c r="V252" s="103">
        <f t="shared" si="361"/>
        <v>0.33849043577435761</v>
      </c>
      <c r="W252" s="103">
        <f t="shared" ref="W252:Y252" si="362">IF(W34=0,0,W34/W$31)</f>
        <v>0.37839154147919196</v>
      </c>
      <c r="X252" s="103">
        <f t="shared" si="362"/>
        <v>0.38749566369245708</v>
      </c>
      <c r="Y252" s="103">
        <f t="shared" si="362"/>
        <v>0.40574049188842154</v>
      </c>
      <c r="DA252" s="191"/>
    </row>
    <row r="253" spans="1:105" ht="11.45" customHeight="1" x14ac:dyDescent="0.25">
      <c r="A253" s="157" t="s">
        <v>111</v>
      </c>
      <c r="B253" s="103">
        <f t="shared" ref="B253:K253" si="363">IF(B35=0,0,B35/B$31)</f>
        <v>0.12740842880131534</v>
      </c>
      <c r="C253" s="103">
        <f t="shared" si="363"/>
        <v>0.14375397261734207</v>
      </c>
      <c r="D253" s="103">
        <f t="shared" si="363"/>
        <v>0.13775634677314122</v>
      </c>
      <c r="E253" s="103">
        <f t="shared" si="363"/>
        <v>0.16282747060687339</v>
      </c>
      <c r="F253" s="103">
        <f t="shared" si="363"/>
        <v>0.19238731169106221</v>
      </c>
      <c r="G253" s="103">
        <f t="shared" si="363"/>
        <v>0.15704548807009677</v>
      </c>
      <c r="H253" s="103">
        <f t="shared" si="363"/>
        <v>0.19471152242863315</v>
      </c>
      <c r="I253" s="103">
        <f t="shared" si="363"/>
        <v>0.25173997472247833</v>
      </c>
      <c r="J253" s="103">
        <f t="shared" si="363"/>
        <v>0.31012337442219795</v>
      </c>
      <c r="K253" s="103">
        <f t="shared" si="363"/>
        <v>0.34327878079304736</v>
      </c>
      <c r="L253" s="103">
        <f t="shared" ref="L253" si="364">IF(L35=0,0,L35/L$31)</f>
        <v>0.37105678457607316</v>
      </c>
      <c r="M253" s="103">
        <f t="shared" ref="M253:V253" si="365">IF(M35=0,0,M35/M$31)</f>
        <v>0.41436201579880594</v>
      </c>
      <c r="N253" s="103">
        <f t="shared" si="365"/>
        <v>0.44265856214445221</v>
      </c>
      <c r="O253" s="103">
        <f t="shared" si="365"/>
        <v>0.43836458018652019</v>
      </c>
      <c r="P253" s="103">
        <f t="shared" si="365"/>
        <v>0.45126743469807679</v>
      </c>
      <c r="Q253" s="103">
        <f t="shared" si="365"/>
        <v>0.45390671255130965</v>
      </c>
      <c r="R253" s="103">
        <f t="shared" si="365"/>
        <v>0.46006109864101336</v>
      </c>
      <c r="S253" s="103">
        <f t="shared" si="365"/>
        <v>0.46401814328606694</v>
      </c>
      <c r="T253" s="103">
        <f t="shared" si="365"/>
        <v>0.47091183161791883</v>
      </c>
      <c r="U253" s="103">
        <f t="shared" si="365"/>
        <v>0.46903422122817312</v>
      </c>
      <c r="V253" s="103">
        <f t="shared" si="365"/>
        <v>0.48325065625232611</v>
      </c>
      <c r="W253" s="103">
        <f t="shared" ref="W253:Y253" si="366">IF(W35=0,0,W35/W$31)</f>
        <v>0.44387511683901465</v>
      </c>
      <c r="X253" s="103">
        <f t="shared" si="366"/>
        <v>0.432142036140504</v>
      </c>
      <c r="Y253" s="103">
        <f t="shared" si="366"/>
        <v>0.40781072481101743</v>
      </c>
      <c r="DA253" s="191"/>
    </row>
    <row r="254" spans="1:105" ht="11.45" customHeight="1" x14ac:dyDescent="0.25">
      <c r="A254" s="157" t="s">
        <v>112</v>
      </c>
      <c r="B254" s="103">
        <f t="shared" ref="B254:K254" si="367">IF(B36=0,0,B36/B$31)</f>
        <v>6.9478095423778655E-2</v>
      </c>
      <c r="C254" s="103">
        <f t="shared" si="367"/>
        <v>0.10395500536578769</v>
      </c>
      <c r="D254" s="103">
        <f t="shared" si="367"/>
        <v>0.14447299348465822</v>
      </c>
      <c r="E254" s="103">
        <f t="shared" si="367"/>
        <v>0.18816896513183193</v>
      </c>
      <c r="F254" s="103">
        <f t="shared" si="367"/>
        <v>0.21177656122851451</v>
      </c>
      <c r="G254" s="103">
        <f t="shared" si="367"/>
        <v>0.23752186728552629</v>
      </c>
      <c r="H254" s="103">
        <f t="shared" si="367"/>
        <v>0.23521307714999087</v>
      </c>
      <c r="I254" s="103">
        <f t="shared" si="367"/>
        <v>0.22805924486364243</v>
      </c>
      <c r="J254" s="103">
        <f t="shared" si="367"/>
        <v>0.21484616637444193</v>
      </c>
      <c r="K254" s="103">
        <f t="shared" si="367"/>
        <v>0.20948758136865822</v>
      </c>
      <c r="L254" s="103">
        <f t="shared" ref="L254" si="368">IF(L36=0,0,L36/L$31)</f>
        <v>0.21604793830972432</v>
      </c>
      <c r="M254" s="103">
        <f t="shared" ref="M254:V254" si="369">IF(M36=0,0,M36/M$31)</f>
        <v>0.1916031680792758</v>
      </c>
      <c r="N254" s="103">
        <f t="shared" si="369"/>
        <v>0.16423233121646991</v>
      </c>
      <c r="O254" s="103">
        <f t="shared" si="369"/>
        <v>0.16160034777386867</v>
      </c>
      <c r="P254" s="103">
        <f t="shared" si="369"/>
        <v>0.15798703927306218</v>
      </c>
      <c r="Q254" s="103">
        <f t="shared" si="369"/>
        <v>0.15590618159439573</v>
      </c>
      <c r="R254" s="103">
        <f t="shared" si="369"/>
        <v>0.16527854075348442</v>
      </c>
      <c r="S254" s="103">
        <f t="shared" si="369"/>
        <v>0.16270542343387442</v>
      </c>
      <c r="T254" s="103">
        <f t="shared" si="369"/>
        <v>0.16581966798031325</v>
      </c>
      <c r="U254" s="103">
        <f t="shared" si="369"/>
        <v>0.16060001161404386</v>
      </c>
      <c r="V254" s="103">
        <f t="shared" si="369"/>
        <v>0.15443979741486033</v>
      </c>
      <c r="W254" s="103">
        <f t="shared" ref="W254:Y254" si="370">IF(W36=0,0,W36/W$31)</f>
        <v>0.15260653476303709</v>
      </c>
      <c r="X254" s="103">
        <f t="shared" si="370"/>
        <v>0.15494878014604535</v>
      </c>
      <c r="Y254" s="103">
        <f t="shared" si="370"/>
        <v>0.15854773818081808</v>
      </c>
      <c r="DA254" s="191"/>
    </row>
    <row r="255" spans="1:105" ht="11.45" customHeight="1" x14ac:dyDescent="0.25">
      <c r="A255" s="157" t="s">
        <v>113</v>
      </c>
      <c r="B255" s="103">
        <f t="shared" ref="B255:K255" si="371">IF(B37=0,0,B37/B$31)</f>
        <v>0</v>
      </c>
      <c r="C255" s="103">
        <f t="shared" si="371"/>
        <v>0</v>
      </c>
      <c r="D255" s="103">
        <f t="shared" si="371"/>
        <v>0</v>
      </c>
      <c r="E255" s="103">
        <f t="shared" si="371"/>
        <v>0</v>
      </c>
      <c r="F255" s="103">
        <f t="shared" si="371"/>
        <v>0</v>
      </c>
      <c r="G255" s="103">
        <f t="shared" si="371"/>
        <v>0</v>
      </c>
      <c r="H255" s="103">
        <f t="shared" si="371"/>
        <v>0</v>
      </c>
      <c r="I255" s="103">
        <f t="shared" si="371"/>
        <v>0</v>
      </c>
      <c r="J255" s="103">
        <f t="shared" si="371"/>
        <v>0</v>
      </c>
      <c r="K255" s="103">
        <f t="shared" si="371"/>
        <v>0</v>
      </c>
      <c r="L255" s="103">
        <f t="shared" ref="L255" si="372">IF(L37=0,0,L37/L$31)</f>
        <v>0</v>
      </c>
      <c r="M255" s="103">
        <f t="shared" ref="M255:V255" si="373">IF(M37=0,0,M37/M$31)</f>
        <v>0</v>
      </c>
      <c r="N255" s="103">
        <f t="shared" si="373"/>
        <v>0</v>
      </c>
      <c r="O255" s="103">
        <f t="shared" si="373"/>
        <v>0</v>
      </c>
      <c r="P255" s="103">
        <f t="shared" si="373"/>
        <v>0</v>
      </c>
      <c r="Q255" s="103">
        <f t="shared" si="373"/>
        <v>3.1132793627673119E-4</v>
      </c>
      <c r="R255" s="103">
        <f t="shared" si="373"/>
        <v>3.9587101912069407E-4</v>
      </c>
      <c r="S255" s="103">
        <f t="shared" si="373"/>
        <v>4.0840183156718048E-4</v>
      </c>
      <c r="T255" s="103">
        <f t="shared" si="373"/>
        <v>4.0166345830767498E-4</v>
      </c>
      <c r="U255" s="103">
        <f t="shared" si="373"/>
        <v>3.9639021672167234E-4</v>
      </c>
      <c r="V255" s="103">
        <f t="shared" si="373"/>
        <v>3.7581063966293863E-4</v>
      </c>
      <c r="W255" s="103">
        <f t="shared" ref="W255:Y255" si="374">IF(W37=0,0,W37/W$31)</f>
        <v>3.7182849182154794E-4</v>
      </c>
      <c r="X255" s="103">
        <f t="shared" si="374"/>
        <v>3.5731469342939693E-4</v>
      </c>
      <c r="Y255" s="103">
        <f t="shared" si="374"/>
        <v>3.4069414579915557E-4</v>
      </c>
      <c r="DA255" s="191"/>
    </row>
    <row r="256" spans="1:105" ht="11.45" customHeight="1" x14ac:dyDescent="0.25">
      <c r="A256" s="157" t="s">
        <v>114</v>
      </c>
      <c r="B256" s="103">
        <f t="shared" ref="B256:K256" si="375">IF(B38=0,0,B38/B$31)</f>
        <v>0</v>
      </c>
      <c r="C256" s="103">
        <f t="shared" si="375"/>
        <v>0</v>
      </c>
      <c r="D256" s="103">
        <f t="shared" si="375"/>
        <v>0</v>
      </c>
      <c r="E256" s="103">
        <f t="shared" si="375"/>
        <v>0</v>
      </c>
      <c r="F256" s="103">
        <f t="shared" si="375"/>
        <v>0</v>
      </c>
      <c r="G256" s="103">
        <f t="shared" si="375"/>
        <v>0</v>
      </c>
      <c r="H256" s="103">
        <f t="shared" si="375"/>
        <v>0</v>
      </c>
      <c r="I256" s="103">
        <f t="shared" si="375"/>
        <v>0</v>
      </c>
      <c r="J256" s="103">
        <f t="shared" si="375"/>
        <v>0</v>
      </c>
      <c r="K256" s="103">
        <f t="shared" si="375"/>
        <v>0</v>
      </c>
      <c r="L256" s="103">
        <f t="shared" ref="L256" si="376">IF(L38=0,0,L38/L$31)</f>
        <v>0</v>
      </c>
      <c r="M256" s="103">
        <f t="shared" ref="M256:V256" si="377">IF(M38=0,0,M38/M$31)</f>
        <v>0</v>
      </c>
      <c r="N256" s="103">
        <f t="shared" si="377"/>
        <v>8.0130004475339992E-7</v>
      </c>
      <c r="O256" s="103">
        <f t="shared" si="377"/>
        <v>1.4210115371342912E-6</v>
      </c>
      <c r="P256" s="103">
        <f t="shared" si="377"/>
        <v>4.2446452402990795E-5</v>
      </c>
      <c r="Q256" s="103">
        <f t="shared" si="377"/>
        <v>1.6893409310131557E-5</v>
      </c>
      <c r="R256" s="103">
        <f t="shared" si="377"/>
        <v>2.6795467886361962E-5</v>
      </c>
      <c r="S256" s="103">
        <f t="shared" si="377"/>
        <v>5.0859946667454234E-5</v>
      </c>
      <c r="T256" s="103">
        <f t="shared" si="377"/>
        <v>9.2681822900215636E-5</v>
      </c>
      <c r="U256" s="103">
        <f t="shared" si="377"/>
        <v>1.3107176753995471E-4</v>
      </c>
      <c r="V256" s="103">
        <f t="shared" si="377"/>
        <v>3.0930152053295116E-4</v>
      </c>
      <c r="W256" s="103">
        <f t="shared" ref="W256:Y256" si="378">IF(W38=0,0,W38/W$31)</f>
        <v>7.8910710339588934E-4</v>
      </c>
      <c r="X256" s="103">
        <f t="shared" si="378"/>
        <v>1.3352305961865641E-3</v>
      </c>
      <c r="Y256" s="103">
        <f t="shared" si="378"/>
        <v>2.2891668094265718E-3</v>
      </c>
      <c r="DA256" s="191"/>
    </row>
    <row r="257" spans="1:105" ht="11.45" customHeight="1" x14ac:dyDescent="0.25">
      <c r="A257" s="157" t="s">
        <v>115</v>
      </c>
      <c r="B257" s="103">
        <f t="shared" ref="B257:K257" si="379">IF(B39=0,0,B39/B$31)</f>
        <v>0</v>
      </c>
      <c r="C257" s="103">
        <f t="shared" si="379"/>
        <v>0</v>
      </c>
      <c r="D257" s="103">
        <f t="shared" si="379"/>
        <v>0</v>
      </c>
      <c r="E257" s="103">
        <f t="shared" si="379"/>
        <v>0</v>
      </c>
      <c r="F257" s="103">
        <f t="shared" si="379"/>
        <v>0</v>
      </c>
      <c r="G257" s="103">
        <f t="shared" si="379"/>
        <v>0</v>
      </c>
      <c r="H257" s="103">
        <f t="shared" si="379"/>
        <v>0</v>
      </c>
      <c r="I257" s="103">
        <f t="shared" si="379"/>
        <v>0</v>
      </c>
      <c r="J257" s="103">
        <f t="shared" si="379"/>
        <v>0</v>
      </c>
      <c r="K257" s="103">
        <f t="shared" si="379"/>
        <v>0</v>
      </c>
      <c r="L257" s="103">
        <f t="shared" ref="L257" si="380">IF(L39=0,0,L39/L$31)</f>
        <v>8.8553543495558989E-7</v>
      </c>
      <c r="M257" s="103">
        <f t="shared" ref="M257:V257" si="381">IF(M39=0,0,M39/M$31)</f>
        <v>6.0266913951778622E-6</v>
      </c>
      <c r="N257" s="103">
        <f t="shared" si="381"/>
        <v>1.2538149834089207E-5</v>
      </c>
      <c r="O257" s="103">
        <f t="shared" si="381"/>
        <v>1.4647937336965719E-5</v>
      </c>
      <c r="P257" s="103">
        <f t="shared" si="381"/>
        <v>1.8231618706610656E-5</v>
      </c>
      <c r="Q257" s="103">
        <f t="shared" si="381"/>
        <v>2.0769046291575262E-5</v>
      </c>
      <c r="R257" s="103">
        <f t="shared" si="381"/>
        <v>5.3715448174926515E-5</v>
      </c>
      <c r="S257" s="103">
        <f t="shared" si="381"/>
        <v>1.1411901549860362E-4</v>
      </c>
      <c r="T257" s="103">
        <f t="shared" si="381"/>
        <v>2.1961769223904126E-4</v>
      </c>
      <c r="U257" s="103">
        <f t="shared" si="381"/>
        <v>2.9415265662447642E-4</v>
      </c>
      <c r="V257" s="103">
        <f t="shared" si="381"/>
        <v>4.7324325195149069E-4</v>
      </c>
      <c r="W257" s="103">
        <f t="shared" ref="W257:Y257" si="382">IF(W39=0,0,W39/W$31)</f>
        <v>6.0896426504479517E-4</v>
      </c>
      <c r="X257" s="103">
        <f t="shared" si="382"/>
        <v>1.0461427460563236E-3</v>
      </c>
      <c r="Y257" s="103">
        <f t="shared" si="382"/>
        <v>2.0330951461386025E-3</v>
      </c>
      <c r="DA257" s="191"/>
    </row>
    <row r="258" spans="1:105" ht="11.45" customHeight="1" x14ac:dyDescent="0.25">
      <c r="A258" s="155" t="s">
        <v>21</v>
      </c>
      <c r="B258" s="156">
        <f t="shared" ref="B258:K258" si="383">IF(B40=0,0,B40/B$31)</f>
        <v>2.2124865413496959E-2</v>
      </c>
      <c r="C258" s="156">
        <f t="shared" si="383"/>
        <v>2.1794232644016406E-2</v>
      </c>
      <c r="D258" s="156">
        <f t="shared" si="383"/>
        <v>2.1356851958840611E-2</v>
      </c>
      <c r="E258" s="156">
        <f t="shared" si="383"/>
        <v>1.9786545283405507E-2</v>
      </c>
      <c r="F258" s="156">
        <f t="shared" si="383"/>
        <v>1.9185213343151708E-2</v>
      </c>
      <c r="G258" s="156">
        <f t="shared" si="383"/>
        <v>1.9223500057007226E-2</v>
      </c>
      <c r="H258" s="156">
        <f t="shared" si="383"/>
        <v>1.6654649340398387E-2</v>
      </c>
      <c r="I258" s="156">
        <f t="shared" si="383"/>
        <v>1.5311376927500262E-2</v>
      </c>
      <c r="J258" s="156">
        <f t="shared" si="383"/>
        <v>1.3713373714352928E-2</v>
      </c>
      <c r="K258" s="156">
        <f t="shared" si="383"/>
        <v>1.3011206161811249E-2</v>
      </c>
      <c r="L258" s="156">
        <f t="shared" ref="L258" si="384">IF(L40=0,0,L40/L$31)</f>
        <v>1.2156140802385296E-2</v>
      </c>
      <c r="M258" s="156">
        <f t="shared" ref="M258:V258" si="385">IF(M40=0,0,M40/M$31)</f>
        <v>1.2013269951366718E-2</v>
      </c>
      <c r="N258" s="156">
        <f t="shared" si="385"/>
        <v>1.1771461258656041E-2</v>
      </c>
      <c r="O258" s="156">
        <f t="shared" si="385"/>
        <v>1.2290847502900881E-2</v>
      </c>
      <c r="P258" s="156">
        <f t="shared" si="385"/>
        <v>1.2391419868784889E-2</v>
      </c>
      <c r="Q258" s="156">
        <f t="shared" si="385"/>
        <v>1.3333627889758806E-2</v>
      </c>
      <c r="R258" s="156">
        <f t="shared" si="385"/>
        <v>1.2425602465381739E-2</v>
      </c>
      <c r="S258" s="156">
        <f t="shared" si="385"/>
        <v>1.1004901551204817E-2</v>
      </c>
      <c r="T258" s="156">
        <f t="shared" si="385"/>
        <v>9.7047011818359504E-3</v>
      </c>
      <c r="U258" s="156">
        <f t="shared" si="385"/>
        <v>9.8113493114098255E-3</v>
      </c>
      <c r="V258" s="156">
        <f t="shared" si="385"/>
        <v>9.6502497189575615E-3</v>
      </c>
      <c r="W258" s="156">
        <f t="shared" ref="W258:Y258" si="386">IF(W40=0,0,W40/W$31)</f>
        <v>9.7189064221204335E-3</v>
      </c>
      <c r="X258" s="156">
        <f t="shared" si="386"/>
        <v>9.3665669127364765E-3</v>
      </c>
      <c r="Y258" s="156">
        <f t="shared" si="386"/>
        <v>9.154851055193371E-3</v>
      </c>
      <c r="DA258" s="213"/>
    </row>
    <row r="259" spans="1:105" ht="11.45" customHeight="1" x14ac:dyDescent="0.25">
      <c r="A259" s="157" t="s">
        <v>110</v>
      </c>
      <c r="B259" s="103">
        <f t="shared" ref="B259:K259" si="387">IF(B41=0,0,B41/B$31)</f>
        <v>0</v>
      </c>
      <c r="C259" s="103">
        <f t="shared" si="387"/>
        <v>0</v>
      </c>
      <c r="D259" s="103">
        <f t="shared" si="387"/>
        <v>0</v>
      </c>
      <c r="E259" s="103">
        <f t="shared" si="387"/>
        <v>0</v>
      </c>
      <c r="F259" s="103">
        <f t="shared" si="387"/>
        <v>0</v>
      </c>
      <c r="G259" s="103">
        <f t="shared" si="387"/>
        <v>0</v>
      </c>
      <c r="H259" s="103">
        <f t="shared" si="387"/>
        <v>0</v>
      </c>
      <c r="I259" s="103">
        <f t="shared" si="387"/>
        <v>0</v>
      </c>
      <c r="J259" s="103">
        <f t="shared" si="387"/>
        <v>0</v>
      </c>
      <c r="K259" s="103">
        <f t="shared" si="387"/>
        <v>0</v>
      </c>
      <c r="L259" s="103">
        <f t="shared" ref="L259" si="388">IF(L41=0,0,L41/L$31)</f>
        <v>0</v>
      </c>
      <c r="M259" s="103">
        <f t="shared" ref="M259:V259" si="389">IF(M41=0,0,M41/M$31)</f>
        <v>0</v>
      </c>
      <c r="N259" s="103">
        <f t="shared" si="389"/>
        <v>0</v>
      </c>
      <c r="O259" s="103">
        <f t="shared" si="389"/>
        <v>0</v>
      </c>
      <c r="P259" s="103">
        <f t="shared" si="389"/>
        <v>0</v>
      </c>
      <c r="Q259" s="103">
        <f t="shared" si="389"/>
        <v>0</v>
      </c>
      <c r="R259" s="103">
        <f t="shared" si="389"/>
        <v>0</v>
      </c>
      <c r="S259" s="103">
        <f t="shared" si="389"/>
        <v>0</v>
      </c>
      <c r="T259" s="103">
        <f t="shared" si="389"/>
        <v>0</v>
      </c>
      <c r="U259" s="103">
        <f t="shared" si="389"/>
        <v>0</v>
      </c>
      <c r="V259" s="103">
        <f t="shared" si="389"/>
        <v>0</v>
      </c>
      <c r="W259" s="103">
        <f t="shared" ref="W259:Y259" si="390">IF(W41=0,0,W41/W$31)</f>
        <v>0</v>
      </c>
      <c r="X259" s="103">
        <f t="shared" si="390"/>
        <v>0</v>
      </c>
      <c r="Y259" s="103">
        <f t="shared" si="390"/>
        <v>0</v>
      </c>
      <c r="DA259" s="191"/>
    </row>
    <row r="260" spans="1:105" ht="11.45" customHeight="1" x14ac:dyDescent="0.25">
      <c r="A260" s="157" t="s">
        <v>111</v>
      </c>
      <c r="B260" s="103">
        <f t="shared" ref="B260:K260" si="391">IF(B42=0,0,B42/B$31)</f>
        <v>2.1654556365310915E-2</v>
      </c>
      <c r="C260" s="103">
        <f t="shared" si="391"/>
        <v>2.134480676553302E-2</v>
      </c>
      <c r="D260" s="103">
        <f t="shared" si="391"/>
        <v>2.0943538317084925E-2</v>
      </c>
      <c r="E260" s="103">
        <f t="shared" si="391"/>
        <v>1.9454012469425467E-2</v>
      </c>
      <c r="F260" s="103">
        <f t="shared" si="391"/>
        <v>1.8545164774529849E-2</v>
      </c>
      <c r="G260" s="103">
        <f t="shared" si="391"/>
        <v>1.8427704703689648E-2</v>
      </c>
      <c r="H260" s="103">
        <f t="shared" si="391"/>
        <v>1.598382403314744E-2</v>
      </c>
      <c r="I260" s="103">
        <f t="shared" si="391"/>
        <v>1.4738905883365131E-2</v>
      </c>
      <c r="J260" s="103">
        <f t="shared" si="391"/>
        <v>1.3222705459766421E-2</v>
      </c>
      <c r="K260" s="103">
        <f t="shared" si="391"/>
        <v>1.2579777428251889E-2</v>
      </c>
      <c r="L260" s="103">
        <f t="shared" ref="L260" si="392">IF(L42=0,0,L42/L$31)</f>
        <v>1.1773049493254752E-2</v>
      </c>
      <c r="M260" s="103">
        <f t="shared" ref="M260:V260" si="393">IF(M42=0,0,M42/M$31)</f>
        <v>1.1662215183608764E-2</v>
      </c>
      <c r="N260" s="103">
        <f t="shared" si="393"/>
        <v>1.1443740908903571E-2</v>
      </c>
      <c r="O260" s="103">
        <f t="shared" si="393"/>
        <v>1.1960647012424429E-2</v>
      </c>
      <c r="P260" s="103">
        <f t="shared" si="393"/>
        <v>1.2078963348148355E-2</v>
      </c>
      <c r="Q260" s="103">
        <f t="shared" si="393"/>
        <v>1.2876883635011724E-2</v>
      </c>
      <c r="R260" s="103">
        <f t="shared" si="393"/>
        <v>1.2018219956742513E-2</v>
      </c>
      <c r="S260" s="103">
        <f t="shared" si="393"/>
        <v>1.0661665815114898E-2</v>
      </c>
      <c r="T260" s="103">
        <f t="shared" si="393"/>
        <v>9.2931408332511088E-3</v>
      </c>
      <c r="U260" s="103">
        <f t="shared" si="393"/>
        <v>9.3894170807800256E-3</v>
      </c>
      <c r="V260" s="103">
        <f t="shared" si="393"/>
        <v>9.1356375302890976E-3</v>
      </c>
      <c r="W260" s="103">
        <f t="shared" ref="W260:Y260" si="394">IF(W42=0,0,W42/W$31)</f>
        <v>9.0970836950294807E-3</v>
      </c>
      <c r="X260" s="103">
        <f t="shared" si="394"/>
        <v>8.7049391496629592E-3</v>
      </c>
      <c r="Y260" s="103">
        <f t="shared" si="394"/>
        <v>8.4177867784384873E-3</v>
      </c>
      <c r="DA260" s="191"/>
    </row>
    <row r="261" spans="1:105" ht="11.45" customHeight="1" x14ac:dyDescent="0.25">
      <c r="A261" s="157" t="s">
        <v>112</v>
      </c>
      <c r="B261" s="103">
        <f t="shared" ref="B261:K261" si="395">IF(B43=0,0,B43/B$31)</f>
        <v>3.3997931150029866E-4</v>
      </c>
      <c r="C261" s="103">
        <f t="shared" si="395"/>
        <v>3.0741466616021531E-4</v>
      </c>
      <c r="D261" s="103">
        <f t="shared" si="395"/>
        <v>2.7039704287067264E-4</v>
      </c>
      <c r="E261" s="103">
        <f t="shared" si="395"/>
        <v>2.2785228060597396E-4</v>
      </c>
      <c r="F261" s="103">
        <f t="shared" si="395"/>
        <v>5.5517845547862403E-4</v>
      </c>
      <c r="G261" s="103">
        <f t="shared" si="395"/>
        <v>5.0242008867961525E-4</v>
      </c>
      <c r="H261" s="103">
        <f t="shared" si="395"/>
        <v>4.2084730122190291E-4</v>
      </c>
      <c r="I261" s="103">
        <f t="shared" si="395"/>
        <v>3.5365406051949627E-4</v>
      </c>
      <c r="J261" s="103">
        <f t="shared" si="395"/>
        <v>2.9954845754194797E-4</v>
      </c>
      <c r="K261" s="103">
        <f t="shared" si="395"/>
        <v>2.5953267114603613E-4</v>
      </c>
      <c r="L261" s="103">
        <f t="shared" ref="L261" si="396">IF(L43=0,0,L43/L$31)</f>
        <v>2.2453923268346402E-4</v>
      </c>
      <c r="M261" s="103">
        <f t="shared" ref="M261:V261" si="397">IF(M43=0,0,M43/M$31)</f>
        <v>2.0179115357128654E-4</v>
      </c>
      <c r="N261" s="103">
        <f t="shared" si="397"/>
        <v>1.8604210832410522E-4</v>
      </c>
      <c r="O261" s="103">
        <f t="shared" si="397"/>
        <v>1.7692674823371668E-4</v>
      </c>
      <c r="P261" s="103">
        <f t="shared" si="397"/>
        <v>1.5935654811006047E-4</v>
      </c>
      <c r="Q261" s="103">
        <f t="shared" si="397"/>
        <v>1.3458994627706857E-4</v>
      </c>
      <c r="R261" s="103">
        <f t="shared" si="397"/>
        <v>1.1597293806126298E-4</v>
      </c>
      <c r="S261" s="103">
        <f t="shared" si="397"/>
        <v>9.9149987747377185E-5</v>
      </c>
      <c r="T261" s="103">
        <f t="shared" si="397"/>
        <v>8.5456718323675718E-5</v>
      </c>
      <c r="U261" s="103">
        <f t="shared" si="397"/>
        <v>8.3882472901631504E-5</v>
      </c>
      <c r="V261" s="103">
        <f t="shared" si="397"/>
        <v>8.042765294654283E-5</v>
      </c>
      <c r="W261" s="103">
        <f t="shared" ref="W261:Y261" si="398">IF(W43=0,0,W43/W$31)</f>
        <v>8.0843354498899133E-5</v>
      </c>
      <c r="X261" s="103">
        <f t="shared" si="398"/>
        <v>7.7242029764987435E-5</v>
      </c>
      <c r="Y261" s="103">
        <f t="shared" si="398"/>
        <v>7.2467790648419778E-5</v>
      </c>
      <c r="DA261" s="191"/>
    </row>
    <row r="262" spans="1:105" ht="11.45" customHeight="1" x14ac:dyDescent="0.25">
      <c r="A262" s="157" t="s">
        <v>113</v>
      </c>
      <c r="B262" s="103">
        <f t="shared" ref="B262:K262" si="399">IF(B44=0,0,B44/B$31)</f>
        <v>0</v>
      </c>
      <c r="C262" s="103">
        <f t="shared" si="399"/>
        <v>0</v>
      </c>
      <c r="D262" s="103">
        <f t="shared" si="399"/>
        <v>0</v>
      </c>
      <c r="E262" s="103">
        <f t="shared" si="399"/>
        <v>0</v>
      </c>
      <c r="F262" s="103">
        <f t="shared" si="399"/>
        <v>0</v>
      </c>
      <c r="G262" s="103">
        <f t="shared" si="399"/>
        <v>0</v>
      </c>
      <c r="H262" s="103">
        <f t="shared" si="399"/>
        <v>0</v>
      </c>
      <c r="I262" s="103">
        <f t="shared" si="399"/>
        <v>0</v>
      </c>
      <c r="J262" s="103">
        <f t="shared" si="399"/>
        <v>0</v>
      </c>
      <c r="K262" s="103">
        <f t="shared" si="399"/>
        <v>0</v>
      </c>
      <c r="L262" s="103">
        <f t="shared" ref="L262" si="400">IF(L44=0,0,L44/L$31)</f>
        <v>0</v>
      </c>
      <c r="M262" s="103">
        <f t="shared" ref="M262:V262" si="401">IF(M44=0,0,M44/M$31)</f>
        <v>0</v>
      </c>
      <c r="N262" s="103">
        <f t="shared" si="401"/>
        <v>0</v>
      </c>
      <c r="O262" s="103">
        <f t="shared" si="401"/>
        <v>0</v>
      </c>
      <c r="P262" s="103">
        <f t="shared" si="401"/>
        <v>0</v>
      </c>
      <c r="Q262" s="103">
        <f t="shared" si="401"/>
        <v>1.7187560688190583E-4</v>
      </c>
      <c r="R262" s="103">
        <f t="shared" si="401"/>
        <v>1.4237384146794198E-4</v>
      </c>
      <c r="S262" s="103">
        <f t="shared" si="401"/>
        <v>9.5700202500771057E-5</v>
      </c>
      <c r="T262" s="103">
        <f t="shared" si="401"/>
        <v>2.0724983175314654E-4</v>
      </c>
      <c r="U262" s="103">
        <f t="shared" si="401"/>
        <v>2.6180238178506097E-4</v>
      </c>
      <c r="V262" s="103">
        <f t="shared" si="401"/>
        <v>3.1588378558419105E-4</v>
      </c>
      <c r="W262" s="103">
        <f t="shared" ref="W262:Y262" si="402">IF(W44=0,0,W44/W$31)</f>
        <v>3.7092359533989045E-4</v>
      </c>
      <c r="X262" s="103">
        <f t="shared" si="402"/>
        <v>3.8461372599963905E-4</v>
      </c>
      <c r="Y262" s="103">
        <f t="shared" si="402"/>
        <v>3.9348610133169338E-4</v>
      </c>
      <c r="DA262" s="191"/>
    </row>
    <row r="263" spans="1:105" ht="11.45" customHeight="1" x14ac:dyDescent="0.25">
      <c r="A263" s="157" t="s">
        <v>115</v>
      </c>
      <c r="B263" s="103">
        <f t="shared" ref="B263:K263" si="403">IF(B45=0,0,B45/B$31)</f>
        <v>1.3032973668574438E-4</v>
      </c>
      <c r="C263" s="103">
        <f t="shared" si="403"/>
        <v>1.4201121232317515E-4</v>
      </c>
      <c r="D263" s="103">
        <f t="shared" si="403"/>
        <v>1.4291659888501407E-4</v>
      </c>
      <c r="E263" s="103">
        <f t="shared" si="403"/>
        <v>1.0468053337406314E-4</v>
      </c>
      <c r="F263" s="103">
        <f t="shared" si="403"/>
        <v>8.4870113143235292E-5</v>
      </c>
      <c r="G263" s="103">
        <f t="shared" si="403"/>
        <v>2.9337526463795951E-4</v>
      </c>
      <c r="H263" s="103">
        <f t="shared" si="403"/>
        <v>2.4997800602904248E-4</v>
      </c>
      <c r="I263" s="103">
        <f t="shared" si="403"/>
        <v>2.1881698361563386E-4</v>
      </c>
      <c r="J263" s="103">
        <f t="shared" si="403"/>
        <v>1.9111979704455987E-4</v>
      </c>
      <c r="K263" s="103">
        <f t="shared" si="403"/>
        <v>1.7189606241332526E-4</v>
      </c>
      <c r="L263" s="103">
        <f t="shared" ref="L263" si="404">IF(L45=0,0,L45/L$31)</f>
        <v>1.5855207644708126E-4</v>
      </c>
      <c r="M263" s="103">
        <f t="shared" ref="M263:V263" si="405">IF(M45=0,0,M45/M$31)</f>
        <v>1.4926361418666633E-4</v>
      </c>
      <c r="N263" s="103">
        <f t="shared" si="405"/>
        <v>1.4167824142836415E-4</v>
      </c>
      <c r="O263" s="103">
        <f t="shared" si="405"/>
        <v>1.532737422427371E-4</v>
      </c>
      <c r="P263" s="103">
        <f t="shared" si="405"/>
        <v>1.5309997252647441E-4</v>
      </c>
      <c r="Q263" s="103">
        <f t="shared" si="405"/>
        <v>1.50278701588107E-4</v>
      </c>
      <c r="R263" s="103">
        <f t="shared" si="405"/>
        <v>1.4903572911001954E-4</v>
      </c>
      <c r="S263" s="103">
        <f t="shared" si="405"/>
        <v>1.483855458417689E-4</v>
      </c>
      <c r="T263" s="103">
        <f t="shared" si="405"/>
        <v>1.1885379850802055E-4</v>
      </c>
      <c r="U263" s="103">
        <f t="shared" si="405"/>
        <v>7.6247375943108746E-5</v>
      </c>
      <c r="V263" s="103">
        <f t="shared" si="405"/>
        <v>1.1830075013773005E-4</v>
      </c>
      <c r="W263" s="103">
        <f t="shared" ref="W263:Y263" si="406">IF(W45=0,0,W45/W$31)</f>
        <v>1.7005577725216292E-4</v>
      </c>
      <c r="X263" s="103">
        <f t="shared" si="406"/>
        <v>1.9977200730889039E-4</v>
      </c>
      <c r="Y263" s="103">
        <f t="shared" si="406"/>
        <v>2.7111038477476936E-4</v>
      </c>
      <c r="DA263" s="191"/>
    </row>
    <row r="264" spans="1:105" ht="11.45" customHeight="1" x14ac:dyDescent="0.25">
      <c r="A264" s="27" t="s">
        <v>34</v>
      </c>
      <c r="B264" s="46">
        <f t="shared" ref="B264:K264" si="407">IF(B46=0,0,B46/B$46)</f>
        <v>1</v>
      </c>
      <c r="C264" s="46">
        <f t="shared" si="407"/>
        <v>1</v>
      </c>
      <c r="D264" s="46">
        <f t="shared" si="407"/>
        <v>1</v>
      </c>
      <c r="E264" s="46">
        <f t="shared" si="407"/>
        <v>1</v>
      </c>
      <c r="F264" s="46">
        <f t="shared" si="407"/>
        <v>1</v>
      </c>
      <c r="G264" s="46">
        <f t="shared" si="407"/>
        <v>1</v>
      </c>
      <c r="H264" s="46">
        <f t="shared" si="407"/>
        <v>1</v>
      </c>
      <c r="I264" s="46">
        <f t="shared" si="407"/>
        <v>1</v>
      </c>
      <c r="J264" s="46">
        <f t="shared" si="407"/>
        <v>1</v>
      </c>
      <c r="K264" s="46">
        <f t="shared" si="407"/>
        <v>1</v>
      </c>
      <c r="L264" s="46">
        <f t="shared" ref="L264" si="408">IF(L46=0,0,L46/L$46)</f>
        <v>1</v>
      </c>
      <c r="M264" s="46">
        <f t="shared" ref="M264:V264" si="409">IF(M46=0,0,M46/M$46)</f>
        <v>1</v>
      </c>
      <c r="N264" s="46">
        <f t="shared" si="409"/>
        <v>1</v>
      </c>
      <c r="O264" s="46">
        <f t="shared" si="409"/>
        <v>1</v>
      </c>
      <c r="P264" s="46">
        <f t="shared" si="409"/>
        <v>1</v>
      </c>
      <c r="Q264" s="46">
        <f t="shared" si="409"/>
        <v>1</v>
      </c>
      <c r="R264" s="46">
        <f t="shared" si="409"/>
        <v>1</v>
      </c>
      <c r="S264" s="46">
        <f t="shared" si="409"/>
        <v>1</v>
      </c>
      <c r="T264" s="46">
        <f t="shared" si="409"/>
        <v>1</v>
      </c>
      <c r="U264" s="46">
        <f t="shared" si="409"/>
        <v>1</v>
      </c>
      <c r="V264" s="46">
        <f t="shared" si="409"/>
        <v>1</v>
      </c>
      <c r="W264" s="46">
        <f t="shared" ref="W264:Y264" si="410">IF(W46=0,0,W46/W$46)</f>
        <v>1</v>
      </c>
      <c r="X264" s="46">
        <f t="shared" si="410"/>
        <v>1</v>
      </c>
      <c r="Y264" s="46">
        <f t="shared" si="410"/>
        <v>1</v>
      </c>
      <c r="DA264" s="211"/>
    </row>
    <row r="265" spans="1:105" ht="11.45" customHeight="1" x14ac:dyDescent="0.25">
      <c r="A265" s="153" t="s">
        <v>153</v>
      </c>
      <c r="B265" s="154">
        <f t="shared" ref="B265:K265" si="411">IF(B47=0,0,B47/B$46)</f>
        <v>0.76696042887780791</v>
      </c>
      <c r="C265" s="154">
        <f t="shared" si="411"/>
        <v>0.75504339781924279</v>
      </c>
      <c r="D265" s="154">
        <f t="shared" si="411"/>
        <v>0.75161351850352975</v>
      </c>
      <c r="E265" s="154">
        <f t="shared" si="411"/>
        <v>0.74567226488916749</v>
      </c>
      <c r="F265" s="154">
        <f t="shared" si="411"/>
        <v>0.70908954771664845</v>
      </c>
      <c r="G265" s="154">
        <f t="shared" si="411"/>
        <v>0.70169749921780467</v>
      </c>
      <c r="H265" s="154">
        <f t="shared" si="411"/>
        <v>0.70414525329348476</v>
      </c>
      <c r="I265" s="154">
        <f t="shared" si="411"/>
        <v>0.69633910079325656</v>
      </c>
      <c r="J265" s="154">
        <f t="shared" si="411"/>
        <v>0.69187722138652619</v>
      </c>
      <c r="K265" s="154">
        <f t="shared" si="411"/>
        <v>0.68640631985446299</v>
      </c>
      <c r="L265" s="154">
        <f t="shared" ref="L265" si="412">IF(L47=0,0,L47/L$46)</f>
        <v>0.68182984018155268</v>
      </c>
      <c r="M265" s="154">
        <f t="shared" ref="M265:V265" si="413">IF(M47=0,0,M47/M$46)</f>
        <v>0.6706475362694998</v>
      </c>
      <c r="N265" s="154">
        <f t="shared" si="413"/>
        <v>0.66723827672140279</v>
      </c>
      <c r="O265" s="154">
        <f t="shared" si="413"/>
        <v>0.65375488099371448</v>
      </c>
      <c r="P265" s="154">
        <f t="shared" si="413"/>
        <v>0.65534507913945728</v>
      </c>
      <c r="Q265" s="154">
        <f t="shared" si="413"/>
        <v>0.64212994248103028</v>
      </c>
      <c r="R265" s="154">
        <f t="shared" si="413"/>
        <v>0.6477032975500705</v>
      </c>
      <c r="S265" s="154">
        <f t="shared" si="413"/>
        <v>0.63570403894082639</v>
      </c>
      <c r="T265" s="154">
        <f t="shared" si="413"/>
        <v>0.65952251424749497</v>
      </c>
      <c r="U265" s="154">
        <f t="shared" si="413"/>
        <v>0.66545306816823069</v>
      </c>
      <c r="V265" s="154">
        <f t="shared" si="413"/>
        <v>0.66075377796234158</v>
      </c>
      <c r="W265" s="154">
        <f t="shared" ref="W265:Y265" si="414">IF(W47=0,0,W47/W$46)</f>
        <v>0.65324737564512081</v>
      </c>
      <c r="X265" s="154">
        <f t="shared" si="414"/>
        <v>0.65467317975755801</v>
      </c>
      <c r="Y265" s="154">
        <f t="shared" si="414"/>
        <v>0.65992964337985327</v>
      </c>
      <c r="DA265" s="212"/>
    </row>
    <row r="266" spans="1:105" ht="11.45" customHeight="1" x14ac:dyDescent="0.25">
      <c r="A266" s="157" t="s">
        <v>110</v>
      </c>
      <c r="B266" s="103">
        <f t="shared" ref="B266:K266" si="415">IF(B48=0,0,B48/B$46)</f>
        <v>0.46031190220454138</v>
      </c>
      <c r="C266" s="103">
        <f t="shared" si="415"/>
        <v>0.45118339784957456</v>
      </c>
      <c r="D266" s="103">
        <f t="shared" si="415"/>
        <v>0.3972325073286509</v>
      </c>
      <c r="E266" s="103">
        <f t="shared" si="415"/>
        <v>0.3745153486524635</v>
      </c>
      <c r="F266" s="103">
        <f t="shared" si="415"/>
        <v>0.33256223336419138</v>
      </c>
      <c r="G266" s="103">
        <f t="shared" si="415"/>
        <v>0.28827673563605222</v>
      </c>
      <c r="H266" s="103">
        <f t="shared" si="415"/>
        <v>0.25797697071954317</v>
      </c>
      <c r="I266" s="103">
        <f t="shared" si="415"/>
        <v>0.22634697948757662</v>
      </c>
      <c r="J266" s="103">
        <f t="shared" si="415"/>
        <v>0.19869389459414086</v>
      </c>
      <c r="K266" s="103">
        <f t="shared" si="415"/>
        <v>0.1924365830252692</v>
      </c>
      <c r="L266" s="103">
        <f t="shared" ref="L266" si="416">IF(L48=0,0,L48/L$46)</f>
        <v>0.17514673485076082</v>
      </c>
      <c r="M266" s="103">
        <f t="shared" ref="M266:V266" si="417">IF(M48=0,0,M48/M$46)</f>
        <v>0.15377616345115053</v>
      </c>
      <c r="N266" s="103">
        <f t="shared" si="417"/>
        <v>0.14412814257658335</v>
      </c>
      <c r="O266" s="103">
        <f t="shared" si="417"/>
        <v>0.13067117801552522</v>
      </c>
      <c r="P266" s="103">
        <f t="shared" si="417"/>
        <v>0.12110093387502961</v>
      </c>
      <c r="Q266" s="103">
        <f t="shared" si="417"/>
        <v>0.10482742312137741</v>
      </c>
      <c r="R266" s="103">
        <f t="shared" si="417"/>
        <v>0.10055993815854748</v>
      </c>
      <c r="S266" s="103">
        <f t="shared" si="417"/>
        <v>9.8839388114544749E-2</v>
      </c>
      <c r="T266" s="103">
        <f t="shared" si="417"/>
        <v>9.7103021828346986E-2</v>
      </c>
      <c r="U266" s="103">
        <f t="shared" si="417"/>
        <v>9.4428873437931646E-2</v>
      </c>
      <c r="V266" s="103">
        <f t="shared" si="417"/>
        <v>8.6214104361661159E-2</v>
      </c>
      <c r="W266" s="103">
        <f t="shared" ref="W266:Y266" si="418">IF(W48=0,0,W48/W$46)</f>
        <v>8.1801591325509099E-2</v>
      </c>
      <c r="X266" s="103">
        <f t="shared" si="418"/>
        <v>8.4970201761703848E-2</v>
      </c>
      <c r="Y266" s="103">
        <f t="shared" si="418"/>
        <v>8.3198176938626689E-2</v>
      </c>
      <c r="DA266" s="191"/>
    </row>
    <row r="267" spans="1:105" ht="11.45" customHeight="1" x14ac:dyDescent="0.25">
      <c r="A267" s="157" t="s">
        <v>111</v>
      </c>
      <c r="B267" s="103">
        <f t="shared" ref="B267:K267" si="419">IF(B49=0,0,B49/B$46)</f>
        <v>0.29240035228659883</v>
      </c>
      <c r="C267" s="103">
        <f t="shared" si="419"/>
        <v>0.28738370014054027</v>
      </c>
      <c r="D267" s="103">
        <f t="shared" si="419"/>
        <v>0.33191033399306685</v>
      </c>
      <c r="E267" s="103">
        <f t="shared" si="419"/>
        <v>0.34531321095146966</v>
      </c>
      <c r="F267" s="103">
        <f t="shared" si="419"/>
        <v>0.3502198421153232</v>
      </c>
      <c r="G267" s="103">
        <f t="shared" si="419"/>
        <v>0.38525993425760185</v>
      </c>
      <c r="H267" s="103">
        <f t="shared" si="419"/>
        <v>0.41365726613863835</v>
      </c>
      <c r="I267" s="103">
        <f t="shared" si="419"/>
        <v>0.43608078401722333</v>
      </c>
      <c r="J267" s="103">
        <f t="shared" si="419"/>
        <v>0.45951693366269714</v>
      </c>
      <c r="K267" s="103">
        <f t="shared" si="419"/>
        <v>0.46162903961676133</v>
      </c>
      <c r="L267" s="103">
        <f t="shared" ref="L267" si="420">IF(L49=0,0,L49/L$46)</f>
        <v>0.47524882228920229</v>
      </c>
      <c r="M267" s="103">
        <f t="shared" ref="M267:V267" si="421">IF(M49=0,0,M49/M$46)</f>
        <v>0.48611955951667668</v>
      </c>
      <c r="N267" s="103">
        <f t="shared" si="421"/>
        <v>0.49491838822906514</v>
      </c>
      <c r="O267" s="103">
        <f t="shared" si="421"/>
        <v>0.49614141911825033</v>
      </c>
      <c r="P267" s="103">
        <f t="shared" si="421"/>
        <v>0.50410047102970068</v>
      </c>
      <c r="Q267" s="103">
        <f t="shared" si="421"/>
        <v>0.50742884822921208</v>
      </c>
      <c r="R267" s="103">
        <f t="shared" si="421"/>
        <v>0.51828832172392458</v>
      </c>
      <c r="S267" s="103">
        <f t="shared" si="421"/>
        <v>0.51040692122427689</v>
      </c>
      <c r="T267" s="103">
        <f t="shared" si="421"/>
        <v>0.53511080788584475</v>
      </c>
      <c r="U267" s="103">
        <f t="shared" si="421"/>
        <v>0.54462138725177012</v>
      </c>
      <c r="V267" s="103">
        <f t="shared" si="421"/>
        <v>0.54952427428876527</v>
      </c>
      <c r="W267" s="103">
        <f t="shared" ref="W267:Y267" si="422">IF(W49=0,0,W49/W$46)</f>
        <v>0.54750366208854984</v>
      </c>
      <c r="X267" s="103">
        <f t="shared" si="422"/>
        <v>0.54710142620355251</v>
      </c>
      <c r="Y267" s="103">
        <f t="shared" si="422"/>
        <v>0.55377539670658327</v>
      </c>
      <c r="DA267" s="191"/>
    </row>
    <row r="268" spans="1:105" ht="11.45" customHeight="1" x14ac:dyDescent="0.25">
      <c r="A268" s="157" t="s">
        <v>112</v>
      </c>
      <c r="B268" s="103">
        <f t="shared" ref="B268:K268" si="423">IF(B50=0,0,B50/B$46)</f>
        <v>1.4248174386667692E-2</v>
      </c>
      <c r="C268" s="103">
        <f t="shared" si="423"/>
        <v>1.6476299829127843E-2</v>
      </c>
      <c r="D268" s="103">
        <f t="shared" si="423"/>
        <v>2.2470677181812063E-2</v>
      </c>
      <c r="E268" s="103">
        <f t="shared" si="423"/>
        <v>2.5843705285234289E-2</v>
      </c>
      <c r="F268" s="103">
        <f t="shared" si="423"/>
        <v>2.6307472237133828E-2</v>
      </c>
      <c r="G268" s="103">
        <f t="shared" si="423"/>
        <v>2.8160829324150493E-2</v>
      </c>
      <c r="H268" s="103">
        <f t="shared" si="423"/>
        <v>3.251101643530329E-2</v>
      </c>
      <c r="I268" s="103">
        <f t="shared" si="423"/>
        <v>3.3911337288456661E-2</v>
      </c>
      <c r="J268" s="103">
        <f t="shared" si="423"/>
        <v>3.3666393129688166E-2</v>
      </c>
      <c r="K268" s="103">
        <f t="shared" si="423"/>
        <v>3.2340697212432372E-2</v>
      </c>
      <c r="L268" s="103">
        <f t="shared" ref="L268" si="424">IF(L50=0,0,L50/L$46)</f>
        <v>3.1434283041589489E-2</v>
      </c>
      <c r="M268" s="103">
        <f t="shared" ref="M268:V268" si="425">IF(M50=0,0,M50/M$46)</f>
        <v>3.0751813301672565E-2</v>
      </c>
      <c r="N268" s="103">
        <f t="shared" si="425"/>
        <v>2.8190566090003581E-2</v>
      </c>
      <c r="O268" s="103">
        <f t="shared" si="425"/>
        <v>2.6940179039587342E-2</v>
      </c>
      <c r="P268" s="103">
        <f t="shared" si="425"/>
        <v>3.0140909770372214E-2</v>
      </c>
      <c r="Q268" s="103">
        <f t="shared" si="425"/>
        <v>2.9345998044663681E-2</v>
      </c>
      <c r="R268" s="103">
        <f t="shared" si="425"/>
        <v>2.8262239198423213E-2</v>
      </c>
      <c r="S268" s="103">
        <f t="shared" si="425"/>
        <v>2.5916092948657651E-2</v>
      </c>
      <c r="T268" s="103">
        <f t="shared" si="425"/>
        <v>2.6752755681154976E-2</v>
      </c>
      <c r="U268" s="103">
        <f t="shared" si="425"/>
        <v>2.5846649731341639E-2</v>
      </c>
      <c r="V268" s="103">
        <f t="shared" si="425"/>
        <v>2.4579432495090456E-2</v>
      </c>
      <c r="W268" s="103">
        <f t="shared" ref="W268:Y268" si="426">IF(W50=0,0,W50/W$46)</f>
        <v>2.3502544483460935E-2</v>
      </c>
      <c r="X268" s="103">
        <f t="shared" si="426"/>
        <v>2.2073798022598862E-2</v>
      </c>
      <c r="Y268" s="103">
        <f t="shared" si="426"/>
        <v>2.2107724124803215E-2</v>
      </c>
      <c r="DA268" s="191"/>
    </row>
    <row r="269" spans="1:105" ht="11.45" customHeight="1" x14ac:dyDescent="0.25">
      <c r="A269" s="157" t="s">
        <v>113</v>
      </c>
      <c r="B269" s="103">
        <f t="shared" ref="B269:K269" si="427">IF(B51=0,0,B51/B$46)</f>
        <v>0</v>
      </c>
      <c r="C269" s="103">
        <f t="shared" si="427"/>
        <v>0</v>
      </c>
      <c r="D269" s="103">
        <f t="shared" si="427"/>
        <v>0</v>
      </c>
      <c r="E269" s="103">
        <f t="shared" si="427"/>
        <v>0</v>
      </c>
      <c r="F269" s="103">
        <f t="shared" si="427"/>
        <v>0</v>
      </c>
      <c r="G269" s="103">
        <f t="shared" si="427"/>
        <v>0</v>
      </c>
      <c r="H269" s="103">
        <f t="shared" si="427"/>
        <v>0</v>
      </c>
      <c r="I269" s="103">
        <f t="shared" si="427"/>
        <v>0</v>
      </c>
      <c r="J269" s="103">
        <f t="shared" si="427"/>
        <v>0</v>
      </c>
      <c r="K269" s="103">
        <f t="shared" si="427"/>
        <v>0</v>
      </c>
      <c r="L269" s="103">
        <f t="shared" ref="L269" si="428">IF(L51=0,0,L51/L$46)</f>
        <v>0</v>
      </c>
      <c r="M269" s="103">
        <f t="shared" ref="M269:V269" si="429">IF(M51=0,0,M51/M$46)</f>
        <v>0</v>
      </c>
      <c r="N269" s="103">
        <f t="shared" si="429"/>
        <v>0</v>
      </c>
      <c r="O269" s="103">
        <f t="shared" si="429"/>
        <v>0</v>
      </c>
      <c r="P269" s="103">
        <f t="shared" si="429"/>
        <v>0</v>
      </c>
      <c r="Q269" s="103">
        <f t="shared" si="429"/>
        <v>5.2386408852657168E-4</v>
      </c>
      <c r="R269" s="103">
        <f t="shared" si="429"/>
        <v>5.8817765989621997E-4</v>
      </c>
      <c r="S269" s="103">
        <f t="shared" si="429"/>
        <v>5.3516572337200942E-4</v>
      </c>
      <c r="T269" s="103">
        <f t="shared" si="429"/>
        <v>5.4324535013331105E-4</v>
      </c>
      <c r="U269" s="103">
        <f t="shared" si="429"/>
        <v>5.273953010799863E-4</v>
      </c>
      <c r="V269" s="103">
        <f t="shared" si="429"/>
        <v>3.7951336874732336E-4</v>
      </c>
      <c r="W269" s="103">
        <f t="shared" ref="W269:Y269" si="430">IF(W51=0,0,W51/W$46)</f>
        <v>3.2679347731187544E-4</v>
      </c>
      <c r="X269" s="103">
        <f t="shared" si="430"/>
        <v>2.9825818518296773E-4</v>
      </c>
      <c r="Y269" s="103">
        <f t="shared" si="430"/>
        <v>2.9030998808004675E-4</v>
      </c>
      <c r="DA269" s="191"/>
    </row>
    <row r="270" spans="1:105" ht="11.45" customHeight="1" x14ac:dyDescent="0.25">
      <c r="A270" s="157" t="s">
        <v>115</v>
      </c>
      <c r="B270" s="103">
        <f t="shared" ref="B270:K270" si="431">IF(B52=0,0,B52/B$46)</f>
        <v>0</v>
      </c>
      <c r="C270" s="103">
        <f t="shared" si="431"/>
        <v>0</v>
      </c>
      <c r="D270" s="103">
        <f t="shared" si="431"/>
        <v>0</v>
      </c>
      <c r="E270" s="103">
        <f t="shared" si="431"/>
        <v>0</v>
      </c>
      <c r="F270" s="103">
        <f t="shared" si="431"/>
        <v>0</v>
      </c>
      <c r="G270" s="103">
        <f t="shared" si="431"/>
        <v>0</v>
      </c>
      <c r="H270" s="103">
        <f t="shared" si="431"/>
        <v>0</v>
      </c>
      <c r="I270" s="103">
        <f t="shared" si="431"/>
        <v>0</v>
      </c>
      <c r="J270" s="103">
        <f t="shared" si="431"/>
        <v>0</v>
      </c>
      <c r="K270" s="103">
        <f t="shared" si="431"/>
        <v>0</v>
      </c>
      <c r="L270" s="103">
        <f t="shared" ref="L270" si="432">IF(L52=0,0,L52/L$46)</f>
        <v>0</v>
      </c>
      <c r="M270" s="103">
        <f t="shared" ref="M270:V270" si="433">IF(M52=0,0,M52/M$46)</f>
        <v>0</v>
      </c>
      <c r="N270" s="103">
        <f t="shared" si="433"/>
        <v>1.1798257507899465E-6</v>
      </c>
      <c r="O270" s="103">
        <f t="shared" si="433"/>
        <v>2.1048203515358461E-6</v>
      </c>
      <c r="P270" s="103">
        <f t="shared" si="433"/>
        <v>2.7644643547260343E-6</v>
      </c>
      <c r="Q270" s="103">
        <f t="shared" si="433"/>
        <v>3.8089972505567499E-6</v>
      </c>
      <c r="R270" s="103">
        <f t="shared" si="433"/>
        <v>4.6208092790001662E-6</v>
      </c>
      <c r="S270" s="103">
        <f t="shared" si="433"/>
        <v>6.4709299750813255E-6</v>
      </c>
      <c r="T270" s="103">
        <f t="shared" si="433"/>
        <v>1.2683502014873662E-5</v>
      </c>
      <c r="U270" s="103">
        <f t="shared" si="433"/>
        <v>2.8762446107341358E-5</v>
      </c>
      <c r="V270" s="103">
        <f t="shared" si="433"/>
        <v>5.645344807752106E-5</v>
      </c>
      <c r="W270" s="103">
        <f t="shared" ref="W270:Y270" si="434">IF(W52=0,0,W52/W$46)</f>
        <v>1.1278427028906997E-4</v>
      </c>
      <c r="X270" s="103">
        <f t="shared" si="434"/>
        <v>2.294955845197972E-4</v>
      </c>
      <c r="Y270" s="103">
        <f t="shared" si="434"/>
        <v>5.5803562176020552E-4</v>
      </c>
      <c r="DA270" s="191"/>
    </row>
    <row r="271" spans="1:105" ht="11.45" customHeight="1" x14ac:dyDescent="0.25">
      <c r="A271" s="155" t="s">
        <v>154</v>
      </c>
      <c r="B271" s="156">
        <f t="shared" ref="B271:K271" si="435">IF(B53=0,0,B53/B$46)</f>
        <v>0.23303957112219217</v>
      </c>
      <c r="C271" s="156">
        <f t="shared" si="435"/>
        <v>0.24495660218075718</v>
      </c>
      <c r="D271" s="156">
        <f t="shared" si="435"/>
        <v>0.24838648149647027</v>
      </c>
      <c r="E271" s="156">
        <f t="shared" si="435"/>
        <v>0.25432773511083251</v>
      </c>
      <c r="F271" s="156">
        <f t="shared" si="435"/>
        <v>0.29091045228335155</v>
      </c>
      <c r="G271" s="156">
        <f t="shared" si="435"/>
        <v>0.29830250078219533</v>
      </c>
      <c r="H271" s="156">
        <f t="shared" si="435"/>
        <v>0.29585474670651524</v>
      </c>
      <c r="I271" s="156">
        <f t="shared" si="435"/>
        <v>0.30366089920674338</v>
      </c>
      <c r="J271" s="156">
        <f t="shared" si="435"/>
        <v>0.30812277861347381</v>
      </c>
      <c r="K271" s="156">
        <f t="shared" si="435"/>
        <v>0.31359368014553707</v>
      </c>
      <c r="L271" s="156">
        <f t="shared" ref="L271" si="436">IF(L53=0,0,L53/L$46)</f>
        <v>0.31817015981844732</v>
      </c>
      <c r="M271" s="156">
        <f t="shared" ref="M271:V271" si="437">IF(M53=0,0,M53/M$46)</f>
        <v>0.32935246373050037</v>
      </c>
      <c r="N271" s="156">
        <f t="shared" si="437"/>
        <v>0.33276172327859715</v>
      </c>
      <c r="O271" s="156">
        <f t="shared" si="437"/>
        <v>0.34624511900628552</v>
      </c>
      <c r="P271" s="156">
        <f t="shared" si="437"/>
        <v>0.34465492086054261</v>
      </c>
      <c r="Q271" s="156">
        <f t="shared" si="437"/>
        <v>0.35787005751896961</v>
      </c>
      <c r="R271" s="156">
        <f t="shared" si="437"/>
        <v>0.35229670244992944</v>
      </c>
      <c r="S271" s="156">
        <f t="shared" si="437"/>
        <v>0.3642959610591735</v>
      </c>
      <c r="T271" s="156">
        <f t="shared" si="437"/>
        <v>0.34047748575250492</v>
      </c>
      <c r="U271" s="156">
        <f t="shared" si="437"/>
        <v>0.33454693183176942</v>
      </c>
      <c r="V271" s="156">
        <f t="shared" si="437"/>
        <v>0.33924622203765842</v>
      </c>
      <c r="W271" s="156">
        <f t="shared" ref="W271:Y271" si="438">IF(W53=0,0,W53/W$46)</f>
        <v>0.34675262435487914</v>
      </c>
      <c r="X271" s="156">
        <f t="shared" si="438"/>
        <v>0.34532682024244199</v>
      </c>
      <c r="Y271" s="156">
        <f t="shared" si="438"/>
        <v>0.34007035662014679</v>
      </c>
      <c r="DA271" s="213"/>
    </row>
    <row r="272" spans="1:105" ht="11.45" customHeight="1" x14ac:dyDescent="0.25">
      <c r="A272" s="162" t="s">
        <v>27</v>
      </c>
      <c r="B272" s="104">
        <f t="shared" ref="B272:K272" si="439">IF(B54=0,0,B54/B$46)</f>
        <v>0.18422506159506927</v>
      </c>
      <c r="C272" s="104">
        <f t="shared" si="439"/>
        <v>0.19205663046020777</v>
      </c>
      <c r="D272" s="104">
        <f t="shared" si="439"/>
        <v>0.19448813711564039</v>
      </c>
      <c r="E272" s="104">
        <f t="shared" si="439"/>
        <v>0.20119916869023291</v>
      </c>
      <c r="F272" s="104">
        <f t="shared" si="439"/>
        <v>0.22913163618930493</v>
      </c>
      <c r="G272" s="104">
        <f t="shared" si="439"/>
        <v>0.23574305588368891</v>
      </c>
      <c r="H272" s="104">
        <f t="shared" si="439"/>
        <v>0.22304825789264904</v>
      </c>
      <c r="I272" s="104">
        <f t="shared" si="439"/>
        <v>0.23832195892819355</v>
      </c>
      <c r="J272" s="104">
        <f t="shared" si="439"/>
        <v>0.24523247663635356</v>
      </c>
      <c r="K272" s="104">
        <f t="shared" si="439"/>
        <v>0.25685059741265687</v>
      </c>
      <c r="L272" s="104">
        <f t="shared" ref="L272" si="440">IF(L54=0,0,L54/L$46)</f>
        <v>0.25569517341800374</v>
      </c>
      <c r="M272" s="104">
        <f t="shared" ref="M272:V272" si="441">IF(M54=0,0,M54/M$46)</f>
        <v>0.26673691106123482</v>
      </c>
      <c r="N272" s="104">
        <f t="shared" si="441"/>
        <v>0.26449339166886138</v>
      </c>
      <c r="O272" s="104">
        <f t="shared" si="441"/>
        <v>0.27684239023150459</v>
      </c>
      <c r="P272" s="104">
        <f t="shared" si="441"/>
        <v>0.27395118841550575</v>
      </c>
      <c r="Q272" s="104">
        <f t="shared" si="441"/>
        <v>0.28691084128669225</v>
      </c>
      <c r="R272" s="104">
        <f t="shared" si="441"/>
        <v>0.2762715044936343</v>
      </c>
      <c r="S272" s="104">
        <f t="shared" si="441"/>
        <v>0.28371354596384513</v>
      </c>
      <c r="T272" s="104">
        <f t="shared" si="441"/>
        <v>0.27179186593849758</v>
      </c>
      <c r="U272" s="104">
        <f t="shared" si="441"/>
        <v>0.25904544423800002</v>
      </c>
      <c r="V272" s="104">
        <f t="shared" si="441"/>
        <v>0.26695071972644047</v>
      </c>
      <c r="W272" s="104">
        <f t="shared" ref="W272:Y272" si="442">IF(W54=0,0,W54/W$46)</f>
        <v>0.27352210901205454</v>
      </c>
      <c r="X272" s="104">
        <f t="shared" si="442"/>
        <v>0.27051900171739091</v>
      </c>
      <c r="Y272" s="104">
        <f t="shared" si="442"/>
        <v>0.26375384233360094</v>
      </c>
      <c r="DA272" s="195"/>
    </row>
    <row r="273" spans="1:105" ht="11.45" customHeight="1" x14ac:dyDescent="0.25">
      <c r="A273" s="158" t="s">
        <v>116</v>
      </c>
      <c r="B273" s="105">
        <f t="shared" ref="B273:K273" si="443">IF(B55=0,0,B55/B$46)</f>
        <v>4.8814509527122907E-2</v>
      </c>
      <c r="C273" s="105">
        <f t="shared" si="443"/>
        <v>5.2899971720549409E-2</v>
      </c>
      <c r="D273" s="105">
        <f t="shared" si="443"/>
        <v>5.3898344380829882E-2</v>
      </c>
      <c r="E273" s="105">
        <f t="shared" si="443"/>
        <v>5.3128566420599599E-2</v>
      </c>
      <c r="F273" s="105">
        <f t="shared" si="443"/>
        <v>6.1778816094046625E-2</v>
      </c>
      <c r="G273" s="105">
        <f t="shared" si="443"/>
        <v>6.2559444898506428E-2</v>
      </c>
      <c r="H273" s="105">
        <f t="shared" si="443"/>
        <v>7.2806488813866227E-2</v>
      </c>
      <c r="I273" s="105">
        <f t="shared" si="443"/>
        <v>6.5338940278549848E-2</v>
      </c>
      <c r="J273" s="105">
        <f t="shared" si="443"/>
        <v>6.2890301977120297E-2</v>
      </c>
      <c r="K273" s="105">
        <f t="shared" si="443"/>
        <v>5.674308273288018E-2</v>
      </c>
      <c r="L273" s="105">
        <f t="shared" ref="L273" si="444">IF(L55=0,0,L55/L$46)</f>
        <v>6.2474986400443536E-2</v>
      </c>
      <c r="M273" s="105">
        <f t="shared" ref="M273:V273" si="445">IF(M55=0,0,M55/M$46)</f>
        <v>6.2615552669265523E-2</v>
      </c>
      <c r="N273" s="105">
        <f t="shared" si="445"/>
        <v>6.8268331609735805E-2</v>
      </c>
      <c r="O273" s="105">
        <f t="shared" si="445"/>
        <v>6.9402728774780931E-2</v>
      </c>
      <c r="P273" s="105">
        <f t="shared" si="445"/>
        <v>7.0703732445036888E-2</v>
      </c>
      <c r="Q273" s="105">
        <f t="shared" si="445"/>
        <v>7.0959216232277356E-2</v>
      </c>
      <c r="R273" s="105">
        <f t="shared" si="445"/>
        <v>7.6025197956295157E-2</v>
      </c>
      <c r="S273" s="105">
        <f t="shared" si="445"/>
        <v>8.0582415095328389E-2</v>
      </c>
      <c r="T273" s="105">
        <f t="shared" si="445"/>
        <v>6.8685619814007323E-2</v>
      </c>
      <c r="U273" s="105">
        <f t="shared" si="445"/>
        <v>7.5501487593769373E-2</v>
      </c>
      <c r="V273" s="105">
        <f t="shared" si="445"/>
        <v>7.229550231121791E-2</v>
      </c>
      <c r="W273" s="105">
        <f t="shared" ref="W273:Y273" si="446">IF(W55=0,0,W55/W$46)</f>
        <v>7.3230515342824584E-2</v>
      </c>
      <c r="X273" s="105">
        <f t="shared" si="446"/>
        <v>7.4807818525051056E-2</v>
      </c>
      <c r="Y273" s="105">
        <f t="shared" si="446"/>
        <v>7.6316514286545831E-2</v>
      </c>
      <c r="DA273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6:V26 W6:Y28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DA166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628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ht="11.45" customHeight="1" x14ac:dyDescent="0.25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DA2" s="208"/>
    </row>
    <row r="3" spans="1:105" ht="11.45" customHeight="1" x14ac:dyDescent="0.25">
      <c r="A3" s="53" t="s">
        <v>32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X3" s="132"/>
      <c r="Y3" s="132"/>
      <c r="DA3" s="172"/>
    </row>
    <row r="4" spans="1:105" ht="11.45" customHeight="1" x14ac:dyDescent="0.25">
      <c r="A4" s="133" t="s">
        <v>51</v>
      </c>
      <c r="B4" s="145">
        <f t="shared" ref="B4:K4" si="0">B5+B9+B10+B15</f>
        <v>8958.2298430352785</v>
      </c>
      <c r="C4" s="145">
        <f t="shared" si="0"/>
        <v>8899.1223948086736</v>
      </c>
      <c r="D4" s="145">
        <f t="shared" si="0"/>
        <v>8625.5355050587987</v>
      </c>
      <c r="E4" s="145">
        <f t="shared" si="0"/>
        <v>9427.9193106251005</v>
      </c>
      <c r="F4" s="145">
        <f t="shared" si="0"/>
        <v>10664.73095057876</v>
      </c>
      <c r="G4" s="145">
        <f t="shared" si="0"/>
        <v>11480.708722586407</v>
      </c>
      <c r="H4" s="145">
        <f t="shared" si="0"/>
        <v>12732.316243380839</v>
      </c>
      <c r="I4" s="145">
        <f t="shared" si="0"/>
        <v>14091.651656750973</v>
      </c>
      <c r="J4" s="145">
        <f t="shared" si="0"/>
        <v>15048.420581552489</v>
      </c>
      <c r="K4" s="145">
        <f t="shared" si="0"/>
        <v>15492.998125416771</v>
      </c>
      <c r="L4" s="145">
        <f t="shared" ref="L4" si="1">L5+L9+L10+L15</f>
        <v>16561.708347838539</v>
      </c>
      <c r="M4" s="145">
        <f t="shared" ref="M4:V4" si="2">M5+M9+M10+M15</f>
        <v>16778.54597169202</v>
      </c>
      <c r="N4" s="145">
        <f t="shared" si="2"/>
        <v>16019.121743147871</v>
      </c>
      <c r="O4" s="145">
        <f t="shared" si="2"/>
        <v>14986.921766334457</v>
      </c>
      <c r="P4" s="145">
        <f t="shared" si="2"/>
        <v>15067.462585100946</v>
      </c>
      <c r="Q4" s="145">
        <f t="shared" si="2"/>
        <v>15850.671420125165</v>
      </c>
      <c r="R4" s="145">
        <f t="shared" si="2"/>
        <v>17800.844557843102</v>
      </c>
      <c r="S4" s="145">
        <f t="shared" si="2"/>
        <v>20662.148176185881</v>
      </c>
      <c r="T4" s="145">
        <f t="shared" si="2"/>
        <v>21510.1025819407</v>
      </c>
      <c r="U4" s="145">
        <f t="shared" si="2"/>
        <v>22000.880626142269</v>
      </c>
      <c r="V4" s="145">
        <f t="shared" si="2"/>
        <v>21081.803721433094</v>
      </c>
      <c r="W4" s="145">
        <f t="shared" ref="W4:Y4" si="3">W5+W9+W10+W15</f>
        <v>22856.162186720321</v>
      </c>
      <c r="X4" s="145">
        <f t="shared" si="3"/>
        <v>23429.44626585794</v>
      </c>
      <c r="Y4" s="145">
        <f t="shared" si="3"/>
        <v>23269.985037107537</v>
      </c>
      <c r="DA4" s="206" t="s">
        <v>629</v>
      </c>
    </row>
    <row r="5" spans="1:105" ht="11.45" customHeight="1" x14ac:dyDescent="0.25">
      <c r="A5" s="92" t="s">
        <v>46</v>
      </c>
      <c r="B5" s="97">
        <f t="shared" ref="B5:K5" si="4">SUM(B6:B8)</f>
        <v>8955.2044711951839</v>
      </c>
      <c r="C5" s="97">
        <f t="shared" si="4"/>
        <v>8895.8894239036963</v>
      </c>
      <c r="D5" s="97">
        <f t="shared" si="4"/>
        <v>8622.2557179707655</v>
      </c>
      <c r="E5" s="97">
        <f t="shared" si="4"/>
        <v>9397.0383490971617</v>
      </c>
      <c r="F5" s="97">
        <f t="shared" si="4"/>
        <v>10648.939466895958</v>
      </c>
      <c r="G5" s="97">
        <f t="shared" si="4"/>
        <v>11423.846431642303</v>
      </c>
      <c r="H5" s="97">
        <f t="shared" si="4"/>
        <v>12634.91203783319</v>
      </c>
      <c r="I5" s="97">
        <f t="shared" si="4"/>
        <v>13988.361049011179</v>
      </c>
      <c r="J5" s="97">
        <f t="shared" si="4"/>
        <v>14605.044368013756</v>
      </c>
      <c r="K5" s="97">
        <f t="shared" si="4"/>
        <v>14851.07007738607</v>
      </c>
      <c r="L5" s="97">
        <f t="shared" ref="L5" si="5">SUM(L6:L8)</f>
        <v>15688.351504729149</v>
      </c>
      <c r="M5" s="97">
        <f t="shared" ref="M5:V5" si="6">SUM(M6:M8)</f>
        <v>15857.294411006025</v>
      </c>
      <c r="N5" s="97">
        <f t="shared" si="6"/>
        <v>15206.360447119518</v>
      </c>
      <c r="O5" s="97">
        <f t="shared" si="6"/>
        <v>14233.748925193464</v>
      </c>
      <c r="P5" s="97">
        <f t="shared" si="6"/>
        <v>14356.340154772141</v>
      </c>
      <c r="Q5" s="97">
        <f t="shared" si="6"/>
        <v>15175.217368873602</v>
      </c>
      <c r="R5" s="97">
        <f t="shared" si="6"/>
        <v>17322.441874462602</v>
      </c>
      <c r="S5" s="97">
        <f t="shared" si="6"/>
        <v>20038.785898538266</v>
      </c>
      <c r="T5" s="97">
        <f t="shared" si="6"/>
        <v>20578.015219260531</v>
      </c>
      <c r="U5" s="97">
        <f t="shared" si="6"/>
        <v>20953.353138435083</v>
      </c>
      <c r="V5" s="97">
        <f t="shared" si="6"/>
        <v>20013.88056749785</v>
      </c>
      <c r="W5" s="97">
        <f t="shared" ref="W5:Y5" si="7">SUM(W6:W8)</f>
        <v>21694.908082545138</v>
      </c>
      <c r="X5" s="97">
        <f t="shared" si="7"/>
        <v>22168.572312983662</v>
      </c>
      <c r="Y5" s="97">
        <f t="shared" si="7"/>
        <v>21910.802063628544</v>
      </c>
      <c r="DA5" s="175"/>
    </row>
    <row r="6" spans="1:105" ht="11.45" customHeight="1" x14ac:dyDescent="0.25">
      <c r="A6" s="128" t="s">
        <v>52</v>
      </c>
      <c r="B6" s="97">
        <v>480.13998280309539</v>
      </c>
      <c r="C6" s="97">
        <v>662.02828890799651</v>
      </c>
      <c r="D6" s="97">
        <v>936.55537403267397</v>
      </c>
      <c r="E6" s="97">
        <v>1208.8229578675839</v>
      </c>
      <c r="F6" s="97">
        <v>1514.9828030954429</v>
      </c>
      <c r="G6" s="97">
        <v>1749.968959587274</v>
      </c>
      <c r="H6" s="97">
        <v>1920.5598452278589</v>
      </c>
      <c r="I6" s="97">
        <v>1977.046947549441</v>
      </c>
      <c r="J6" s="97">
        <v>1942.024935511608</v>
      </c>
      <c r="K6" s="97">
        <v>1816.136457437661</v>
      </c>
      <c r="L6" s="97">
        <v>1823.8272570937229</v>
      </c>
      <c r="M6" s="97">
        <v>1766.6953568357701</v>
      </c>
      <c r="N6" s="97">
        <v>1764.4979363714531</v>
      </c>
      <c r="O6" s="97">
        <v>1750.2149613069651</v>
      </c>
      <c r="P6" s="97">
        <v>1763.399226139295</v>
      </c>
      <c r="Q6" s="97">
        <v>1790.8665520206359</v>
      </c>
      <c r="R6" s="97">
        <v>1896.3408426483229</v>
      </c>
      <c r="S6" s="97">
        <v>2012.302235597592</v>
      </c>
      <c r="T6" s="97">
        <v>2039.494840928633</v>
      </c>
      <c r="U6" s="97">
        <v>2125.9673258813409</v>
      </c>
      <c r="V6" s="97">
        <v>1906.2290627687009</v>
      </c>
      <c r="W6" s="97">
        <v>1994.1244196044711</v>
      </c>
      <c r="X6" s="97">
        <v>2065.539294926913</v>
      </c>
      <c r="Y6" s="97">
        <v>2076.52622527945</v>
      </c>
      <c r="DA6" s="175" t="s">
        <v>630</v>
      </c>
    </row>
    <row r="7" spans="1:105" ht="11.45" customHeight="1" x14ac:dyDescent="0.25">
      <c r="A7" s="128" t="s">
        <v>53</v>
      </c>
      <c r="B7" s="97">
        <v>5248.113155631986</v>
      </c>
      <c r="C7" s="97">
        <v>4868.2597592433358</v>
      </c>
      <c r="D7" s="97">
        <v>4457.7219260533102</v>
      </c>
      <c r="E7" s="97">
        <v>4257.7434221840067</v>
      </c>
      <c r="F7" s="97">
        <v>4322.2866723989682</v>
      </c>
      <c r="G7" s="97">
        <v>4172.0383490971617</v>
      </c>
      <c r="H7" s="97">
        <v>4279.9631986242484</v>
      </c>
      <c r="I7" s="97">
        <v>4273.6147033533962</v>
      </c>
      <c r="J7" s="97">
        <v>4222.8264832330178</v>
      </c>
      <c r="K7" s="97">
        <v>4293.8521066208077</v>
      </c>
      <c r="L7" s="97">
        <v>4243.3361994840934</v>
      </c>
      <c r="M7" s="97">
        <v>4013.3276010318141</v>
      </c>
      <c r="N7" s="97">
        <v>3841.3585554600172</v>
      </c>
      <c r="O7" s="97">
        <v>3659.7162510748062</v>
      </c>
      <c r="P7" s="97">
        <v>3535.3933791917452</v>
      </c>
      <c r="Q7" s="97">
        <v>3654.198882201204</v>
      </c>
      <c r="R7" s="97">
        <v>3859.6063628546858</v>
      </c>
      <c r="S7" s="97">
        <v>4218.9072226999142</v>
      </c>
      <c r="T7" s="97">
        <v>4386.9828890799654</v>
      </c>
      <c r="U7" s="97">
        <v>4535.6978503869304</v>
      </c>
      <c r="V7" s="97">
        <v>4226.9263112639719</v>
      </c>
      <c r="W7" s="97">
        <v>4673.9576956147876</v>
      </c>
      <c r="X7" s="97">
        <v>4951.4898538263114</v>
      </c>
      <c r="Y7" s="97">
        <v>5195.6741186586414</v>
      </c>
      <c r="DA7" s="175" t="s">
        <v>631</v>
      </c>
    </row>
    <row r="8" spans="1:105" ht="11.45" customHeight="1" x14ac:dyDescent="0.25">
      <c r="A8" s="128" t="s">
        <v>54</v>
      </c>
      <c r="B8" s="97">
        <v>3226.951332760103</v>
      </c>
      <c r="C8" s="97">
        <v>3365.6013757523651</v>
      </c>
      <c r="D8" s="97">
        <v>3227.9784178847808</v>
      </c>
      <c r="E8" s="97">
        <v>3930.4719690455722</v>
      </c>
      <c r="F8" s="97">
        <v>4811.6699914015471</v>
      </c>
      <c r="G8" s="97">
        <v>5501.8391229578674</v>
      </c>
      <c r="H8" s="97">
        <v>6434.3889939810833</v>
      </c>
      <c r="I8" s="97">
        <v>7737.6993981083406</v>
      </c>
      <c r="J8" s="97">
        <v>8440.1929492691306</v>
      </c>
      <c r="K8" s="97">
        <v>8741.081513327601</v>
      </c>
      <c r="L8" s="97">
        <v>9621.1880481513326</v>
      </c>
      <c r="M8" s="97">
        <v>10077.271453138441</v>
      </c>
      <c r="N8" s="97">
        <v>9600.503955288048</v>
      </c>
      <c r="O8" s="97">
        <v>8823.8177128116931</v>
      </c>
      <c r="P8" s="97">
        <v>9057.5475494411003</v>
      </c>
      <c r="Q8" s="97">
        <v>9730.1519346517616</v>
      </c>
      <c r="R8" s="97">
        <v>11566.494668959591</v>
      </c>
      <c r="S8" s="97">
        <v>13807.57644024076</v>
      </c>
      <c r="T8" s="97">
        <v>14151.53748925193</v>
      </c>
      <c r="U8" s="97">
        <v>14291.68796216681</v>
      </c>
      <c r="V8" s="97">
        <v>13880.725193465179</v>
      </c>
      <c r="W8" s="97">
        <v>15026.82596732588</v>
      </c>
      <c r="X8" s="97">
        <v>15151.543164230439</v>
      </c>
      <c r="Y8" s="97">
        <v>14638.60171969045</v>
      </c>
      <c r="DA8" s="175" t="s">
        <v>632</v>
      </c>
    </row>
    <row r="9" spans="1:105" ht="11.45" customHeight="1" x14ac:dyDescent="0.25">
      <c r="A9" s="92" t="s">
        <v>55</v>
      </c>
      <c r="B9" s="97">
        <v>0</v>
      </c>
      <c r="C9" s="97">
        <v>0</v>
      </c>
      <c r="D9" s="97">
        <v>0</v>
      </c>
      <c r="E9" s="97">
        <v>0</v>
      </c>
      <c r="F9" s="97">
        <v>0</v>
      </c>
      <c r="G9" s="97">
        <v>0</v>
      </c>
      <c r="H9" s="97">
        <v>0</v>
      </c>
      <c r="I9" s="97">
        <v>0</v>
      </c>
      <c r="J9" s="97">
        <v>0</v>
      </c>
      <c r="K9" s="97">
        <v>0</v>
      </c>
      <c r="L9" s="97">
        <v>0</v>
      </c>
      <c r="M9" s="97">
        <v>0</v>
      </c>
      <c r="N9" s="97">
        <v>0</v>
      </c>
      <c r="O9" s="97">
        <v>0</v>
      </c>
      <c r="P9" s="97">
        <v>0</v>
      </c>
      <c r="Q9" s="97">
        <v>15.97231298366294</v>
      </c>
      <c r="R9" s="97">
        <v>14.595356835769561</v>
      </c>
      <c r="S9" s="97">
        <v>11.133018056749791</v>
      </c>
      <c r="T9" s="97">
        <v>12.769389509888221</v>
      </c>
      <c r="U9" s="97">
        <v>17.157953568357691</v>
      </c>
      <c r="V9" s="97">
        <v>19.759845227858978</v>
      </c>
      <c r="W9" s="97">
        <v>28.38194325021496</v>
      </c>
      <c r="X9" s="97">
        <v>38.935855546001719</v>
      </c>
      <c r="Y9" s="97">
        <v>39.110146173688733</v>
      </c>
      <c r="DA9" s="175" t="s">
        <v>633</v>
      </c>
    </row>
    <row r="10" spans="1:105" ht="11.45" customHeight="1" x14ac:dyDescent="0.25">
      <c r="A10" s="92" t="s">
        <v>56</v>
      </c>
      <c r="B10" s="97">
        <f>SUM(B11:B13)</f>
        <v>0</v>
      </c>
      <c r="C10" s="97">
        <f t="shared" ref="C10:W10" si="8">SUM(C11:C13)</f>
        <v>0</v>
      </c>
      <c r="D10" s="97">
        <f t="shared" si="8"/>
        <v>0</v>
      </c>
      <c r="E10" s="97">
        <f t="shared" si="8"/>
        <v>28.37489251934652</v>
      </c>
      <c r="F10" s="97">
        <f t="shared" si="8"/>
        <v>13.542562338779019</v>
      </c>
      <c r="G10" s="97">
        <f t="shared" si="8"/>
        <v>49.664058469475492</v>
      </c>
      <c r="H10" s="97">
        <f t="shared" si="8"/>
        <v>90.592089423903673</v>
      </c>
      <c r="I10" s="97">
        <f t="shared" si="8"/>
        <v>96.698882201203787</v>
      </c>
      <c r="J10" s="97">
        <f t="shared" si="8"/>
        <v>437.06036113499567</v>
      </c>
      <c r="K10" s="97">
        <f t="shared" si="8"/>
        <v>635.88787618228707</v>
      </c>
      <c r="L10" s="97">
        <f t="shared" si="8"/>
        <v>867.42476354256223</v>
      </c>
      <c r="M10" s="97">
        <f t="shared" si="8"/>
        <v>915.53447979363716</v>
      </c>
      <c r="N10" s="97">
        <f t="shared" si="8"/>
        <v>807.3490971625107</v>
      </c>
      <c r="O10" s="97">
        <f t="shared" si="8"/>
        <v>747.53069647463451</v>
      </c>
      <c r="P10" s="97">
        <f t="shared" si="8"/>
        <v>705.37042132416161</v>
      </c>
      <c r="Q10" s="97">
        <f t="shared" si="8"/>
        <v>653.42777300085982</v>
      </c>
      <c r="R10" s="97">
        <f t="shared" si="8"/>
        <v>457.41745485812567</v>
      </c>
      <c r="S10" s="97">
        <f t="shared" si="8"/>
        <v>604.88710232158212</v>
      </c>
      <c r="T10" s="97">
        <f t="shared" si="8"/>
        <v>912.40447119518467</v>
      </c>
      <c r="U10" s="97">
        <f t="shared" si="8"/>
        <v>1025.1036973344799</v>
      </c>
      <c r="V10" s="97">
        <f t="shared" si="8"/>
        <v>1039.5315563198624</v>
      </c>
      <c r="W10" s="97">
        <f t="shared" si="8"/>
        <v>1119.6875322441961</v>
      </c>
      <c r="X10" s="97">
        <f t="shared" ref="X10:Y10" si="9">SUM(X11:X13)</f>
        <v>1203.4208082545142</v>
      </c>
      <c r="Y10" s="97">
        <f t="shared" si="9"/>
        <v>1290.6081685296647</v>
      </c>
      <c r="DA10" s="175"/>
    </row>
    <row r="11" spans="1:105" ht="11.45" customHeight="1" x14ac:dyDescent="0.25">
      <c r="A11" s="128" t="s">
        <v>57</v>
      </c>
      <c r="B11" s="97">
        <v>0</v>
      </c>
      <c r="C11" s="97">
        <v>0</v>
      </c>
      <c r="D11" s="97">
        <v>0</v>
      </c>
      <c r="E11" s="97">
        <v>0</v>
      </c>
      <c r="F11" s="97">
        <v>0</v>
      </c>
      <c r="G11" s="97">
        <v>0</v>
      </c>
      <c r="H11" s="97">
        <v>0</v>
      </c>
      <c r="I11" s="97">
        <v>0</v>
      </c>
      <c r="J11" s="97">
        <v>0</v>
      </c>
      <c r="K11" s="97">
        <v>0</v>
      </c>
      <c r="L11" s="97">
        <v>0</v>
      </c>
      <c r="M11" s="97">
        <v>0</v>
      </c>
      <c r="N11" s="97">
        <v>0</v>
      </c>
      <c r="O11" s="97">
        <v>0</v>
      </c>
      <c r="P11" s="97">
        <v>0</v>
      </c>
      <c r="Q11" s="97">
        <v>0</v>
      </c>
      <c r="R11" s="97">
        <v>0</v>
      </c>
      <c r="S11" s="97">
        <v>0</v>
      </c>
      <c r="T11" s="97">
        <v>0</v>
      </c>
      <c r="U11" s="97">
        <v>0</v>
      </c>
      <c r="V11" s="97">
        <v>0</v>
      </c>
      <c r="W11" s="97">
        <v>0</v>
      </c>
      <c r="X11" s="97">
        <v>0</v>
      </c>
      <c r="Y11" s="97">
        <v>0</v>
      </c>
      <c r="DA11" s="175" t="s">
        <v>634</v>
      </c>
    </row>
    <row r="12" spans="1:105" ht="11.45" customHeight="1" x14ac:dyDescent="0.25">
      <c r="A12" s="128" t="s">
        <v>58</v>
      </c>
      <c r="B12" s="97">
        <v>0</v>
      </c>
      <c r="C12" s="97">
        <v>0</v>
      </c>
      <c r="D12" s="97">
        <v>0</v>
      </c>
      <c r="E12" s="97">
        <v>28.37489251934652</v>
      </c>
      <c r="F12" s="97">
        <v>13.542562338779019</v>
      </c>
      <c r="G12" s="97">
        <v>34.178847807394668</v>
      </c>
      <c r="H12" s="97">
        <v>55.460017196904552</v>
      </c>
      <c r="I12" s="97">
        <v>72.226999140154774</v>
      </c>
      <c r="J12" s="97">
        <v>127.6870163370593</v>
      </c>
      <c r="K12" s="97">
        <v>168.35769561478929</v>
      </c>
      <c r="L12" s="97">
        <v>169.63310404127259</v>
      </c>
      <c r="M12" s="97">
        <v>160.70507308684441</v>
      </c>
      <c r="N12" s="97">
        <v>138.38495270851249</v>
      </c>
      <c r="O12" s="97">
        <v>144.1244196044712</v>
      </c>
      <c r="P12" s="97">
        <v>132.8460877042132</v>
      </c>
      <c r="Q12" s="97">
        <v>153.48237317282889</v>
      </c>
      <c r="R12" s="97">
        <v>167.66981943250221</v>
      </c>
      <c r="S12" s="97">
        <v>176.1597592433362</v>
      </c>
      <c r="T12" s="97">
        <v>172.83920894239029</v>
      </c>
      <c r="U12" s="97">
        <v>187.3181427343078</v>
      </c>
      <c r="V12" s="97">
        <v>183.01616509028369</v>
      </c>
      <c r="W12" s="97">
        <v>208.00799656061909</v>
      </c>
      <c r="X12" s="97">
        <v>231.9383490971625</v>
      </c>
      <c r="Y12" s="97">
        <v>243.63843508168529</v>
      </c>
      <c r="DA12" s="175" t="s">
        <v>635</v>
      </c>
    </row>
    <row r="13" spans="1:105" ht="11.45" customHeight="1" x14ac:dyDescent="0.25">
      <c r="A13" s="128" t="s">
        <v>177</v>
      </c>
      <c r="B13" s="97">
        <v>0</v>
      </c>
      <c r="C13" s="97">
        <v>0</v>
      </c>
      <c r="D13" s="97">
        <v>0</v>
      </c>
      <c r="E13" s="97">
        <v>0</v>
      </c>
      <c r="F13" s="97">
        <v>0</v>
      </c>
      <c r="G13" s="97">
        <v>15.485210662080826</v>
      </c>
      <c r="H13" s="97">
        <v>35.132072226999128</v>
      </c>
      <c r="I13" s="97">
        <v>24.471883061049006</v>
      </c>
      <c r="J13" s="97">
        <v>309.3733447979364</v>
      </c>
      <c r="K13" s="97">
        <v>467.53018056749784</v>
      </c>
      <c r="L13" s="97">
        <v>697.7916595012897</v>
      </c>
      <c r="M13" s="97">
        <v>754.82940670679272</v>
      </c>
      <c r="N13" s="97">
        <v>668.96414445399819</v>
      </c>
      <c r="O13" s="97">
        <v>603.40627687016331</v>
      </c>
      <c r="P13" s="97">
        <v>572.52433361994838</v>
      </c>
      <c r="Q13" s="97">
        <v>499.94539982803093</v>
      </c>
      <c r="R13" s="97">
        <v>289.74763542562346</v>
      </c>
      <c r="S13" s="97">
        <v>428.72734307824589</v>
      </c>
      <c r="T13" s="97">
        <v>739.56526225279435</v>
      </c>
      <c r="U13" s="97">
        <v>837.78555460017196</v>
      </c>
      <c r="V13" s="97">
        <v>856.51539122957865</v>
      </c>
      <c r="W13" s="97">
        <v>911.67953568357689</v>
      </c>
      <c r="X13" s="97">
        <v>971.48245915735163</v>
      </c>
      <c r="Y13" s="97">
        <v>1046.9697334479795</v>
      </c>
      <c r="DA13" s="175" t="s">
        <v>636</v>
      </c>
    </row>
    <row r="14" spans="1:105" ht="11.45" hidden="1" customHeight="1" x14ac:dyDescent="0.25">
      <c r="A14" s="92" t="s">
        <v>178</v>
      </c>
      <c r="B14" s="97">
        <v>0</v>
      </c>
      <c r="C14" s="97">
        <v>0</v>
      </c>
      <c r="D14" s="97">
        <v>0</v>
      </c>
      <c r="E14" s="97">
        <v>0</v>
      </c>
      <c r="F14" s="97">
        <v>0</v>
      </c>
      <c r="G14" s="97">
        <v>0</v>
      </c>
      <c r="H14" s="97">
        <v>0</v>
      </c>
      <c r="I14" s="97">
        <v>0</v>
      </c>
      <c r="J14" s="97">
        <v>0</v>
      </c>
      <c r="K14" s="97">
        <v>0</v>
      </c>
      <c r="L14" s="97">
        <v>0</v>
      </c>
      <c r="M14" s="97">
        <v>0</v>
      </c>
      <c r="N14" s="97">
        <v>0</v>
      </c>
      <c r="O14" s="97">
        <v>0</v>
      </c>
      <c r="P14" s="97">
        <v>0</v>
      </c>
      <c r="Q14" s="97">
        <v>0</v>
      </c>
      <c r="R14" s="97">
        <v>0</v>
      </c>
      <c r="S14" s="97">
        <v>0</v>
      </c>
      <c r="T14" s="97">
        <v>0</v>
      </c>
      <c r="U14" s="97">
        <v>0</v>
      </c>
      <c r="V14" s="97">
        <v>0</v>
      </c>
      <c r="W14" s="97">
        <v>0</v>
      </c>
      <c r="X14" s="97">
        <v>0</v>
      </c>
      <c r="Y14" s="97">
        <v>0</v>
      </c>
      <c r="DA14" s="175" t="s">
        <v>637</v>
      </c>
    </row>
    <row r="15" spans="1:105" ht="11.45" customHeight="1" x14ac:dyDescent="0.25">
      <c r="A15" s="85" t="s">
        <v>91</v>
      </c>
      <c r="B15" s="98">
        <v>3.0253718400948322</v>
      </c>
      <c r="C15" s="98">
        <v>3.2329709049772783</v>
      </c>
      <c r="D15" s="98">
        <v>3.2797870880337694</v>
      </c>
      <c r="E15" s="98">
        <v>2.5060690085916253</v>
      </c>
      <c r="F15" s="98">
        <v>2.2489213440240987</v>
      </c>
      <c r="G15" s="98">
        <v>7.1982324746268533</v>
      </c>
      <c r="H15" s="98">
        <v>6.8121161237443371</v>
      </c>
      <c r="I15" s="98">
        <v>6.5917255385909153</v>
      </c>
      <c r="J15" s="98">
        <v>6.3158524037370141</v>
      </c>
      <c r="K15" s="98">
        <v>6.0401718484140101</v>
      </c>
      <c r="L15" s="98">
        <v>5.9320795668267392</v>
      </c>
      <c r="M15" s="98">
        <v>5.7170808923600136</v>
      </c>
      <c r="N15" s="98">
        <v>5.4121988658429769</v>
      </c>
      <c r="O15" s="98">
        <v>5.642144666359056</v>
      </c>
      <c r="P15" s="98">
        <v>5.7520090046436589</v>
      </c>
      <c r="Q15" s="98">
        <v>6.053965267040998</v>
      </c>
      <c r="R15" s="98">
        <v>6.3898716866063676</v>
      </c>
      <c r="S15" s="98">
        <v>7.3421572692806008</v>
      </c>
      <c r="T15" s="98">
        <v>6.9135019750959898</v>
      </c>
      <c r="U15" s="98">
        <v>5.2658368043531159</v>
      </c>
      <c r="V15" s="98">
        <v>8.6317523875215834</v>
      </c>
      <c r="W15" s="98">
        <v>13.184628680775356</v>
      </c>
      <c r="X15" s="98">
        <v>18.517289073760331</v>
      </c>
      <c r="Y15" s="98">
        <v>29.464658775643372</v>
      </c>
      <c r="DA15" s="178" t="s">
        <v>638</v>
      </c>
    </row>
    <row r="16" spans="1:105" x14ac:dyDescent="0.25">
      <c r="A16" s="106"/>
      <c r="B16" s="106"/>
      <c r="C16" s="106"/>
      <c r="D16" s="106"/>
      <c r="E16" s="106"/>
      <c r="F16" s="106"/>
      <c r="G16" s="106"/>
      <c r="H16" s="106"/>
      <c r="I16" s="106"/>
      <c r="J16" s="106"/>
      <c r="K16" s="106"/>
      <c r="L16" s="106"/>
      <c r="M16" s="106"/>
      <c r="N16" s="106"/>
      <c r="O16" s="106"/>
      <c r="P16" s="106"/>
      <c r="Q16" s="106"/>
      <c r="R16" s="106"/>
      <c r="S16" s="106"/>
      <c r="T16" s="106"/>
      <c r="U16" s="106"/>
      <c r="V16" s="106"/>
      <c r="W16" s="96"/>
      <c r="X16" s="96"/>
      <c r="Y16" s="96"/>
      <c r="DA16" s="171"/>
    </row>
    <row r="17" spans="1:105" ht="11.45" customHeight="1" x14ac:dyDescent="0.25">
      <c r="A17" s="53" t="s">
        <v>61</v>
      </c>
      <c r="B17" s="79">
        <f t="shared" ref="B17:K17" si="10">B18+B42</f>
        <v>8958.2298430352785</v>
      </c>
      <c r="C17" s="79">
        <f t="shared" si="10"/>
        <v>8899.1223948086754</v>
      </c>
      <c r="D17" s="79">
        <f t="shared" si="10"/>
        <v>8625.5355050587987</v>
      </c>
      <c r="E17" s="79">
        <f t="shared" si="10"/>
        <v>9427.9193106251023</v>
      </c>
      <c r="F17" s="79">
        <f t="shared" si="10"/>
        <v>10664.730950578762</v>
      </c>
      <c r="G17" s="79">
        <f t="shared" si="10"/>
        <v>11480.708722586405</v>
      </c>
      <c r="H17" s="79">
        <f t="shared" si="10"/>
        <v>12732.316243380839</v>
      </c>
      <c r="I17" s="79">
        <f t="shared" si="10"/>
        <v>14091.651656750972</v>
      </c>
      <c r="J17" s="79">
        <f t="shared" si="10"/>
        <v>15048.420581552487</v>
      </c>
      <c r="K17" s="79">
        <f t="shared" si="10"/>
        <v>15492.998125416772</v>
      </c>
      <c r="L17" s="79">
        <f t="shared" ref="L17" si="11">L18+L42</f>
        <v>16561.708347838539</v>
      </c>
      <c r="M17" s="79">
        <f t="shared" ref="M17:V17" si="12">M18+M42</f>
        <v>16778.545971692023</v>
      </c>
      <c r="N17" s="79">
        <f t="shared" si="12"/>
        <v>16019.121743147871</v>
      </c>
      <c r="O17" s="79">
        <f t="shared" si="12"/>
        <v>14986.921766334457</v>
      </c>
      <c r="P17" s="79">
        <f t="shared" si="12"/>
        <v>15067.462585100948</v>
      </c>
      <c r="Q17" s="79">
        <f t="shared" si="12"/>
        <v>15850.671420125163</v>
      </c>
      <c r="R17" s="79">
        <f t="shared" si="12"/>
        <v>17800.844557843102</v>
      </c>
      <c r="S17" s="79">
        <f t="shared" si="12"/>
        <v>20662.148176185881</v>
      </c>
      <c r="T17" s="79">
        <f t="shared" si="12"/>
        <v>21510.102581940693</v>
      </c>
      <c r="U17" s="79">
        <f t="shared" si="12"/>
        <v>22000.880626142269</v>
      </c>
      <c r="V17" s="79">
        <f t="shared" si="12"/>
        <v>21081.803721433091</v>
      </c>
      <c r="W17" s="79">
        <f t="shared" ref="W17:Y17" si="13">W18+W42</f>
        <v>22856.162186720321</v>
      </c>
      <c r="X17" s="79">
        <f t="shared" si="13"/>
        <v>23429.446265857943</v>
      </c>
      <c r="Y17" s="79">
        <f t="shared" si="13"/>
        <v>23269.985037107544</v>
      </c>
      <c r="DA17" s="172" t="s">
        <v>639</v>
      </c>
    </row>
    <row r="18" spans="1:105" ht="11.45" customHeight="1" x14ac:dyDescent="0.25">
      <c r="A18" s="27" t="s">
        <v>33</v>
      </c>
      <c r="B18" s="32">
        <f t="shared" ref="B18:K18" si="14">B19+B21+B33</f>
        <v>6299.3300917437027</v>
      </c>
      <c r="C18" s="32">
        <f t="shared" si="14"/>
        <v>6117.099155151067</v>
      </c>
      <c r="D18" s="32">
        <f t="shared" si="14"/>
        <v>6025.634755723233</v>
      </c>
      <c r="E18" s="32">
        <f t="shared" si="14"/>
        <v>6297.5544936990254</v>
      </c>
      <c r="F18" s="32">
        <f t="shared" si="14"/>
        <v>7005.1946377804625</v>
      </c>
      <c r="G18" s="32">
        <f t="shared" si="14"/>
        <v>7056.5997984743535</v>
      </c>
      <c r="H18" s="32">
        <f t="shared" si="14"/>
        <v>7801.8699426259527</v>
      </c>
      <c r="I18" s="32">
        <f t="shared" si="14"/>
        <v>8543.5326093116364</v>
      </c>
      <c r="J18" s="32">
        <f t="shared" si="14"/>
        <v>9091.3753068342648</v>
      </c>
      <c r="K18" s="32">
        <f t="shared" si="14"/>
        <v>9496.7215281518656</v>
      </c>
      <c r="L18" s="32">
        <f t="shared" ref="L18" si="15">L19+L21+L33</f>
        <v>9994.7880687220331</v>
      </c>
      <c r="M18" s="32">
        <f t="shared" ref="M18:V18" si="16">M19+M21+M33</f>
        <v>10104.633400293449</v>
      </c>
      <c r="N18" s="32">
        <f t="shared" si="16"/>
        <v>10009.738209890662</v>
      </c>
      <c r="O18" s="32">
        <f t="shared" si="16"/>
        <v>9551.3005938299466</v>
      </c>
      <c r="P18" s="32">
        <f t="shared" si="16"/>
        <v>9577.2357234938027</v>
      </c>
      <c r="Q18" s="32">
        <f t="shared" si="16"/>
        <v>10185.671327950253</v>
      </c>
      <c r="R18" s="32">
        <f t="shared" si="16"/>
        <v>10917.996062941864</v>
      </c>
      <c r="S18" s="32">
        <f t="shared" si="16"/>
        <v>12089.156501379091</v>
      </c>
      <c r="T18" s="32">
        <f t="shared" si="16"/>
        <v>12616.888990184287</v>
      </c>
      <c r="U18" s="32">
        <f t="shared" si="16"/>
        <v>13013.392814141303</v>
      </c>
      <c r="V18" s="32">
        <f t="shared" si="16"/>
        <v>12510.122668671152</v>
      </c>
      <c r="W18" s="32">
        <f t="shared" ref="W18:Y18" si="17">W19+W21+W33</f>
        <v>12482.169934056687</v>
      </c>
      <c r="X18" s="32">
        <f t="shared" si="17"/>
        <v>12921.50409453306</v>
      </c>
      <c r="Y18" s="32">
        <f t="shared" si="17"/>
        <v>12969.33848080845</v>
      </c>
      <c r="DA18" s="173" t="s">
        <v>391</v>
      </c>
    </row>
    <row r="19" spans="1:105" ht="11.45" customHeight="1" x14ac:dyDescent="0.25">
      <c r="A19" s="107" t="s">
        <v>174</v>
      </c>
      <c r="B19" s="129">
        <v>103.84491730023861</v>
      </c>
      <c r="C19" s="129">
        <v>89.388993770675611</v>
      </c>
      <c r="D19" s="129">
        <v>86.801581928956665</v>
      </c>
      <c r="E19" s="129">
        <v>76.080387353032648</v>
      </c>
      <c r="F19" s="129">
        <v>72.319207218547191</v>
      </c>
      <c r="G19" s="129">
        <v>77.765116251238538</v>
      </c>
      <c r="H19" s="129">
        <v>81.543365925719286</v>
      </c>
      <c r="I19" s="129">
        <v>87.097366612430093</v>
      </c>
      <c r="J19" s="129">
        <v>90.275815950229145</v>
      </c>
      <c r="K19" s="129">
        <v>92.636797565340871</v>
      </c>
      <c r="L19" s="129">
        <v>98.401749127177169</v>
      </c>
      <c r="M19" s="129">
        <v>96.694842739253943</v>
      </c>
      <c r="N19" s="129">
        <v>96.326700228316128</v>
      </c>
      <c r="O19" s="129">
        <v>92.557048029166623</v>
      </c>
      <c r="P19" s="129">
        <v>93.039851446850491</v>
      </c>
      <c r="Q19" s="129">
        <v>95.938094770976505</v>
      </c>
      <c r="R19" s="129">
        <v>101.00054111077523</v>
      </c>
      <c r="S19" s="129">
        <v>95.38509866860467</v>
      </c>
      <c r="T19" s="129">
        <v>90.752327193073469</v>
      </c>
      <c r="U19" s="129">
        <v>96.538033024643283</v>
      </c>
      <c r="V19" s="129">
        <v>86.536647261517629</v>
      </c>
      <c r="W19" s="129">
        <v>89.862927622549989</v>
      </c>
      <c r="X19" s="129">
        <v>90.910017749550036</v>
      </c>
      <c r="Y19" s="129">
        <v>98.229044915409432</v>
      </c>
      <c r="DA19" s="203" t="s">
        <v>392</v>
      </c>
    </row>
    <row r="20" spans="1:105" ht="11.45" customHeight="1" x14ac:dyDescent="0.25">
      <c r="A20" s="159" t="s">
        <v>131</v>
      </c>
      <c r="B20" s="97">
        <v>0</v>
      </c>
      <c r="C20" s="97">
        <v>0</v>
      </c>
      <c r="D20" s="97">
        <v>0</v>
      </c>
      <c r="E20" s="97">
        <v>0.5036661742553793</v>
      </c>
      <c r="F20" s="97">
        <v>0.22588236736853204</v>
      </c>
      <c r="G20" s="97">
        <v>0.63190319202523737</v>
      </c>
      <c r="H20" s="97">
        <v>1.0431268762944303</v>
      </c>
      <c r="I20" s="97">
        <v>1.4475403970227951</v>
      </c>
      <c r="J20" s="97">
        <v>2.6495836841369149</v>
      </c>
      <c r="K20" s="97">
        <v>3.4951556422606473</v>
      </c>
      <c r="L20" s="97">
        <v>3.7825312163850411</v>
      </c>
      <c r="M20" s="97">
        <v>3.7228629919179648</v>
      </c>
      <c r="N20" s="97">
        <v>3.349503762818399</v>
      </c>
      <c r="O20" s="97">
        <v>3.5069110360830753</v>
      </c>
      <c r="P20" s="97">
        <v>3.369458394643523</v>
      </c>
      <c r="Q20" s="97">
        <v>3.8671321141566524</v>
      </c>
      <c r="R20" s="97">
        <v>4.2050114578958544</v>
      </c>
      <c r="S20" s="97">
        <v>3.8231535687389964</v>
      </c>
      <c r="T20" s="97">
        <v>3.4399500911526331</v>
      </c>
      <c r="U20" s="97">
        <v>3.8287664229248048</v>
      </c>
      <c r="V20" s="97">
        <v>3.5913405688381377</v>
      </c>
      <c r="W20" s="97">
        <v>3.8288281234334698</v>
      </c>
      <c r="X20" s="97">
        <v>4.0678714178643514</v>
      </c>
      <c r="Y20" s="97">
        <v>4.3998888731448069</v>
      </c>
      <c r="DA20" s="175" t="s">
        <v>640</v>
      </c>
    </row>
    <row r="21" spans="1:105" ht="11.45" customHeight="1" x14ac:dyDescent="0.25">
      <c r="A21" s="109" t="s">
        <v>20</v>
      </c>
      <c r="B21" s="130">
        <f t="shared" ref="B21:K21" si="18">B22+B24+B26+B27+B29+B32</f>
        <v>5203.9780211812504</v>
      </c>
      <c r="C21" s="130">
        <f t="shared" si="18"/>
        <v>5107.2072875738722</v>
      </c>
      <c r="D21" s="130">
        <f t="shared" si="18"/>
        <v>5042.7503299431773</v>
      </c>
      <c r="E21" s="130">
        <f t="shared" si="18"/>
        <v>5361.6223811934506</v>
      </c>
      <c r="F21" s="130">
        <f t="shared" si="18"/>
        <v>6026.1517599296012</v>
      </c>
      <c r="G21" s="130">
        <f t="shared" si="18"/>
        <v>6092.5560431489594</v>
      </c>
      <c r="H21" s="130">
        <f t="shared" si="18"/>
        <v>6876.1863770632835</v>
      </c>
      <c r="I21" s="130">
        <f t="shared" si="18"/>
        <v>7603.0502665614513</v>
      </c>
      <c r="J21" s="130">
        <f t="shared" si="18"/>
        <v>8167.9555426844554</v>
      </c>
      <c r="K21" s="130">
        <f t="shared" si="18"/>
        <v>8564.1869868354588</v>
      </c>
      <c r="L21" s="130">
        <f t="shared" ref="L21" si="19">L22+L24+L26+L27+L29+L32</f>
        <v>9060.8084304485837</v>
      </c>
      <c r="M21" s="130">
        <f t="shared" ref="M21:V21" si="20">M22+M24+M26+M27+M29+M32</f>
        <v>9161.1645777909325</v>
      </c>
      <c r="N21" s="130">
        <f t="shared" si="20"/>
        <v>9082.962447158241</v>
      </c>
      <c r="O21" s="130">
        <f t="shared" si="20"/>
        <v>8619.7866206713188</v>
      </c>
      <c r="P21" s="130">
        <f t="shared" si="20"/>
        <v>8625.5004874542483</v>
      </c>
      <c r="Q21" s="130">
        <f t="shared" si="20"/>
        <v>9088.5072841465699</v>
      </c>
      <c r="R21" s="130">
        <f t="shared" si="20"/>
        <v>9833.4622813151182</v>
      </c>
      <c r="S21" s="130">
        <f t="shared" si="20"/>
        <v>11027.734810478805</v>
      </c>
      <c r="T21" s="130">
        <f t="shared" si="20"/>
        <v>11610.183295047904</v>
      </c>
      <c r="U21" s="130">
        <f t="shared" si="20"/>
        <v>11957.956781177825</v>
      </c>
      <c r="V21" s="130">
        <f t="shared" si="20"/>
        <v>11480.053530493875</v>
      </c>
      <c r="W21" s="130">
        <f t="shared" ref="W21:Y21" si="21">W22+W24+W26+W27+W29+W32</f>
        <v>11455.032150740639</v>
      </c>
      <c r="X21" s="130">
        <f t="shared" si="21"/>
        <v>11897.442997476885</v>
      </c>
      <c r="Y21" s="130">
        <f t="shared" si="21"/>
        <v>11958.96175118053</v>
      </c>
      <c r="DA21" s="176" t="s">
        <v>393</v>
      </c>
    </row>
    <row r="22" spans="1:105" ht="11.45" customHeight="1" x14ac:dyDescent="0.25">
      <c r="A22" s="111" t="s">
        <v>110</v>
      </c>
      <c r="B22" s="96">
        <v>4085.2018971441876</v>
      </c>
      <c r="C22" s="96">
        <v>3758.9161108296184</v>
      </c>
      <c r="D22" s="96">
        <v>3449.5687554718384</v>
      </c>
      <c r="E22" s="96">
        <v>3318.384102719876</v>
      </c>
      <c r="F22" s="96">
        <v>3463.961202276515</v>
      </c>
      <c r="G22" s="96">
        <v>3422.2765632576989</v>
      </c>
      <c r="H22" s="96">
        <v>3600.3276657001757</v>
      </c>
      <c r="I22" s="96">
        <v>3668.2819257936699</v>
      </c>
      <c r="J22" s="96">
        <v>3719.1107691641082</v>
      </c>
      <c r="K22" s="96">
        <v>3819.1891463926622</v>
      </c>
      <c r="L22" s="96">
        <v>3789.1194018076294</v>
      </c>
      <c r="M22" s="96">
        <v>3595.7558423154178</v>
      </c>
      <c r="N22" s="96">
        <v>3435.6707672174712</v>
      </c>
      <c r="O22" s="96">
        <v>3293.8730352419111</v>
      </c>
      <c r="P22" s="96">
        <v>3194.3895544780912</v>
      </c>
      <c r="Q22" s="96">
        <v>3377.9016441205913</v>
      </c>
      <c r="R22" s="96">
        <v>3594.133563138867</v>
      </c>
      <c r="S22" s="96">
        <v>3956.7421674867473</v>
      </c>
      <c r="T22" s="96">
        <v>4130.4144989902688</v>
      </c>
      <c r="U22" s="96">
        <v>4283.7750045403363</v>
      </c>
      <c r="V22" s="96">
        <v>4007.9205156212606</v>
      </c>
      <c r="W22" s="96">
        <v>4474.273488335195</v>
      </c>
      <c r="X22" s="96">
        <v>4759.3133019132483</v>
      </c>
      <c r="Y22" s="96">
        <v>5013.141945743484</v>
      </c>
      <c r="DA22" s="171" t="s">
        <v>641</v>
      </c>
    </row>
    <row r="23" spans="1:105" ht="11.45" customHeight="1" x14ac:dyDescent="0.25">
      <c r="A23" s="160" t="s">
        <v>131</v>
      </c>
      <c r="B23" s="96">
        <v>0</v>
      </c>
      <c r="C23" s="96">
        <v>0</v>
      </c>
      <c r="D23" s="96">
        <v>0</v>
      </c>
      <c r="E23" s="96">
        <v>21.968313830623092</v>
      </c>
      <c r="F23" s="96">
        <v>10.8193630286685</v>
      </c>
      <c r="G23" s="96">
        <v>27.808708950284085</v>
      </c>
      <c r="H23" s="96">
        <v>46.056457308609851</v>
      </c>
      <c r="I23" s="96">
        <v>60.966094404249155</v>
      </c>
      <c r="J23" s="96">
        <v>109.15542673032024</v>
      </c>
      <c r="K23" s="96">
        <v>144.096739575432</v>
      </c>
      <c r="L23" s="96">
        <v>145.65251682085341</v>
      </c>
      <c r="M23" s="96">
        <v>138.44074796653587</v>
      </c>
      <c r="N23" s="96">
        <v>119.46627607220034</v>
      </c>
      <c r="O23" s="96">
        <v>124.80216196076455</v>
      </c>
      <c r="P23" s="96">
        <v>115.68551037773761</v>
      </c>
      <c r="Q23" s="96">
        <v>136.15855054892222</v>
      </c>
      <c r="R23" s="96">
        <v>149.63655291342411</v>
      </c>
      <c r="S23" s="96">
        <v>158.59115469139888</v>
      </c>
      <c r="T23" s="96">
        <v>156.56259372910236</v>
      </c>
      <c r="U23" s="96">
        <v>169.89753558125389</v>
      </c>
      <c r="V23" s="96">
        <v>166.33192988088121</v>
      </c>
      <c r="W23" s="96">
        <v>190.63728077084926</v>
      </c>
      <c r="X23" s="96">
        <v>212.96084885661935</v>
      </c>
      <c r="Y23" s="96">
        <v>224.54934266710035</v>
      </c>
      <c r="DA23" s="171" t="s">
        <v>642</v>
      </c>
    </row>
    <row r="24" spans="1:105" ht="11.45" customHeight="1" x14ac:dyDescent="0.25">
      <c r="A24" s="111" t="s">
        <v>111</v>
      </c>
      <c r="B24" s="96">
        <v>690.53356738634511</v>
      </c>
      <c r="C24" s="96">
        <v>741.52154512931418</v>
      </c>
      <c r="D24" s="96">
        <v>725.49822194093906</v>
      </c>
      <c r="E24" s="96">
        <v>912.1443058850715</v>
      </c>
      <c r="F24" s="96">
        <v>1139.7609211225501</v>
      </c>
      <c r="G24" s="96">
        <v>1016.2257255043394</v>
      </c>
      <c r="H24" s="96">
        <v>1463.26226399591</v>
      </c>
      <c r="I24" s="96">
        <v>2071.0409897036302</v>
      </c>
      <c r="J24" s="96">
        <v>2623.3032166598173</v>
      </c>
      <c r="K24" s="96">
        <v>3046.0566590887333</v>
      </c>
      <c r="L24" s="96">
        <v>3566.9319625641606</v>
      </c>
      <c r="M24" s="96">
        <v>3919.8809938326954</v>
      </c>
      <c r="N24" s="96">
        <v>3992.5079523320192</v>
      </c>
      <c r="O24" s="96">
        <v>3683.6734865709623</v>
      </c>
      <c r="P24" s="96">
        <v>3783.8299085461754</v>
      </c>
      <c r="Q24" s="96">
        <v>4032.2008860458068</v>
      </c>
      <c r="R24" s="96">
        <v>4453.5504273889692</v>
      </c>
      <c r="S24" s="96">
        <v>5164.745186617296</v>
      </c>
      <c r="T24" s="96">
        <v>5549.4424512944888</v>
      </c>
      <c r="U24" s="96">
        <v>5657.2736412757204</v>
      </c>
      <c r="V24" s="96">
        <v>5669.0452370239891</v>
      </c>
      <c r="W24" s="96">
        <v>5086.2876385514519</v>
      </c>
      <c r="X24" s="96">
        <v>5161.8979510311628</v>
      </c>
      <c r="Y24" s="96">
        <v>4949.0989821403646</v>
      </c>
      <c r="DA24" s="171" t="s">
        <v>643</v>
      </c>
    </row>
    <row r="25" spans="1:105" ht="11.45" customHeight="1" x14ac:dyDescent="0.25">
      <c r="A25" s="160" t="s">
        <v>131</v>
      </c>
      <c r="B25" s="96">
        <v>0</v>
      </c>
      <c r="C25" s="96">
        <v>0</v>
      </c>
      <c r="D25" s="96">
        <v>0</v>
      </c>
      <c r="E25" s="96">
        <v>0</v>
      </c>
      <c r="F25" s="96">
        <v>0</v>
      </c>
      <c r="G25" s="96">
        <v>2.8521922018921502</v>
      </c>
      <c r="H25" s="96">
        <v>7.9460960123092237</v>
      </c>
      <c r="I25" s="96">
        <v>6.5293937841360075</v>
      </c>
      <c r="J25" s="96">
        <v>92.756607959819902</v>
      </c>
      <c r="K25" s="96">
        <v>154.65126201235259</v>
      </c>
      <c r="L25" s="96">
        <v>241.20363097913614</v>
      </c>
      <c r="M25" s="96">
        <v>273.15490164095843</v>
      </c>
      <c r="N25" s="96">
        <v>260.07624159469964</v>
      </c>
      <c r="O25" s="96">
        <v>235.7800881966877</v>
      </c>
      <c r="P25" s="96">
        <v>224.95519485499733</v>
      </c>
      <c r="Q25" s="96">
        <v>197.05387136119759</v>
      </c>
      <c r="R25" s="96">
        <v>108.83766310236862</v>
      </c>
      <c r="S25" s="96">
        <v>155.53668390590957</v>
      </c>
      <c r="T25" s="96">
        <v>275.61255404229058</v>
      </c>
      <c r="U25" s="96">
        <v>313.26814709239892</v>
      </c>
      <c r="V25" s="96">
        <v>329.47989626569239</v>
      </c>
      <c r="W25" s="96">
        <v>290.93470223994024</v>
      </c>
      <c r="X25" s="96">
        <v>311.02681547021911</v>
      </c>
      <c r="Y25" s="96">
        <v>330.33905443734523</v>
      </c>
      <c r="DA25" s="171" t="s">
        <v>644</v>
      </c>
    </row>
    <row r="26" spans="1:105" ht="11.45" customHeight="1" x14ac:dyDescent="0.25">
      <c r="A26" s="111" t="s">
        <v>112</v>
      </c>
      <c r="B26" s="96">
        <v>428.24255665071752</v>
      </c>
      <c r="C26" s="96">
        <v>606.76963161493973</v>
      </c>
      <c r="D26" s="96">
        <v>867.6833525303997</v>
      </c>
      <c r="E26" s="96">
        <v>1131.0939725885025</v>
      </c>
      <c r="F26" s="96">
        <v>1422.4296365305361</v>
      </c>
      <c r="G26" s="96">
        <v>1654.0537543869218</v>
      </c>
      <c r="H26" s="96">
        <v>1812.5964473671982</v>
      </c>
      <c r="I26" s="96">
        <v>1863.7273510641521</v>
      </c>
      <c r="J26" s="96">
        <v>1825.5415568605301</v>
      </c>
      <c r="K26" s="96">
        <v>1698.9411813540626</v>
      </c>
      <c r="L26" s="96">
        <v>1704.7554683826359</v>
      </c>
      <c r="M26" s="96">
        <v>1645.5165731447439</v>
      </c>
      <c r="N26" s="96">
        <v>1654.75879170658</v>
      </c>
      <c r="O26" s="96">
        <v>1642.2097042441862</v>
      </c>
      <c r="P26" s="96">
        <v>1646.9597689522091</v>
      </c>
      <c r="Q26" s="96">
        <v>1675.7814077024195</v>
      </c>
      <c r="R26" s="96">
        <v>1782.1742206970384</v>
      </c>
      <c r="S26" s="96">
        <v>1901.8293643223935</v>
      </c>
      <c r="T26" s="96">
        <v>1924.9953848617447</v>
      </c>
      <c r="U26" s="96">
        <v>2010.9567722257002</v>
      </c>
      <c r="V26" s="96">
        <v>1795.5283938033615</v>
      </c>
      <c r="W26" s="96">
        <v>1883.7292647816732</v>
      </c>
      <c r="X26" s="96">
        <v>1960.503697221156</v>
      </c>
      <c r="Y26" s="96">
        <v>1971.9714002130054</v>
      </c>
      <c r="DA26" s="171" t="s">
        <v>645</v>
      </c>
    </row>
    <row r="27" spans="1:105" ht="11.45" customHeight="1" x14ac:dyDescent="0.25">
      <c r="A27" s="111" t="s">
        <v>113</v>
      </c>
      <c r="B27" s="96">
        <v>0</v>
      </c>
      <c r="C27" s="96">
        <v>0</v>
      </c>
      <c r="D27" s="96">
        <v>0</v>
      </c>
      <c r="E27" s="96">
        <v>0</v>
      </c>
      <c r="F27" s="96">
        <v>0</v>
      </c>
      <c r="G27" s="96">
        <v>0</v>
      </c>
      <c r="H27" s="96">
        <v>0</v>
      </c>
      <c r="I27" s="96">
        <v>0</v>
      </c>
      <c r="J27" s="96">
        <v>0</v>
      </c>
      <c r="K27" s="96">
        <v>0</v>
      </c>
      <c r="L27" s="96">
        <v>0</v>
      </c>
      <c r="M27" s="96">
        <v>0</v>
      </c>
      <c r="N27" s="96">
        <v>0</v>
      </c>
      <c r="O27" s="96">
        <v>0</v>
      </c>
      <c r="P27" s="96">
        <v>0</v>
      </c>
      <c r="Q27" s="96">
        <v>2.5106665101573786</v>
      </c>
      <c r="R27" s="96">
        <v>3.3845458919210616</v>
      </c>
      <c r="S27" s="96">
        <v>3.8636954181045469</v>
      </c>
      <c r="T27" s="96">
        <v>4.1535648083143926</v>
      </c>
      <c r="U27" s="96">
        <v>4.2736657008513763</v>
      </c>
      <c r="V27" s="96">
        <v>4.1065019525229598</v>
      </c>
      <c r="W27" s="96">
        <v>4.0431149129625377</v>
      </c>
      <c r="X27" s="96">
        <v>4.0415896077159621</v>
      </c>
      <c r="Y27" s="96">
        <v>3.9480073304184398</v>
      </c>
      <c r="DA27" s="171" t="s">
        <v>646</v>
      </c>
    </row>
    <row r="28" spans="1:105" ht="11.45" customHeight="1" x14ac:dyDescent="0.25">
      <c r="A28" s="160" t="s">
        <v>132</v>
      </c>
      <c r="B28" s="96">
        <v>0</v>
      </c>
      <c r="C28" s="96">
        <v>0</v>
      </c>
      <c r="D28" s="96">
        <v>0</v>
      </c>
      <c r="E28" s="96">
        <v>0</v>
      </c>
      <c r="F28" s="96">
        <v>0</v>
      </c>
      <c r="G28" s="96">
        <v>0</v>
      </c>
      <c r="H28" s="96">
        <v>0</v>
      </c>
      <c r="I28" s="96">
        <v>0</v>
      </c>
      <c r="J28" s="96">
        <v>0</v>
      </c>
      <c r="K28" s="96">
        <v>0</v>
      </c>
      <c r="L28" s="96">
        <v>0</v>
      </c>
      <c r="M28" s="96">
        <v>0</v>
      </c>
      <c r="N28" s="96">
        <v>0</v>
      </c>
      <c r="O28" s="96">
        <v>0</v>
      </c>
      <c r="P28" s="96">
        <v>0</v>
      </c>
      <c r="Q28" s="96">
        <v>0</v>
      </c>
      <c r="R28" s="96">
        <v>0</v>
      </c>
      <c r="S28" s="96">
        <v>0</v>
      </c>
      <c r="T28" s="96">
        <v>0</v>
      </c>
      <c r="U28" s="96">
        <v>0</v>
      </c>
      <c r="V28" s="96">
        <v>0</v>
      </c>
      <c r="W28" s="96">
        <v>0</v>
      </c>
      <c r="X28" s="96">
        <v>0</v>
      </c>
      <c r="Y28" s="96">
        <v>0</v>
      </c>
      <c r="DA28" s="171" t="s">
        <v>647</v>
      </c>
    </row>
    <row r="29" spans="1:105" ht="11.45" customHeight="1" x14ac:dyDescent="0.25">
      <c r="A29" s="111" t="s">
        <v>185</v>
      </c>
      <c r="B29" s="96">
        <v>0</v>
      </c>
      <c r="C29" s="96">
        <v>0</v>
      </c>
      <c r="D29" s="96">
        <v>0</v>
      </c>
      <c r="E29" s="96">
        <v>0</v>
      </c>
      <c r="F29" s="96">
        <v>0</v>
      </c>
      <c r="G29" s="96">
        <v>0</v>
      </c>
      <c r="H29" s="96">
        <v>0</v>
      </c>
      <c r="I29" s="96">
        <v>0</v>
      </c>
      <c r="J29" s="96">
        <v>0</v>
      </c>
      <c r="K29" s="96">
        <v>0</v>
      </c>
      <c r="L29" s="96">
        <v>0</v>
      </c>
      <c r="M29" s="96">
        <v>0</v>
      </c>
      <c r="N29" s="96">
        <v>2.6769101876720517E-3</v>
      </c>
      <c r="O29" s="96">
        <v>5.4765733340484471E-3</v>
      </c>
      <c r="P29" s="96">
        <v>0.29048985737902033</v>
      </c>
      <c r="Q29" s="96">
        <v>7.5684874732724547E-2</v>
      </c>
      <c r="R29" s="96">
        <v>0.12417003182710049</v>
      </c>
      <c r="S29" s="96">
        <v>0.26605921476636363</v>
      </c>
      <c r="T29" s="96">
        <v>0.56624611116411061</v>
      </c>
      <c r="U29" s="96">
        <v>0.81825713800967437</v>
      </c>
      <c r="V29" s="96">
        <v>1.9964303038888618</v>
      </c>
      <c r="W29" s="96">
        <v>4.8261685147956461</v>
      </c>
      <c r="X29" s="96">
        <v>8.3713415794281012</v>
      </c>
      <c r="Y29" s="96">
        <v>14.235346322083622</v>
      </c>
      <c r="DA29" s="171" t="s">
        <v>648</v>
      </c>
    </row>
    <row r="30" spans="1:105" ht="11.45" customHeight="1" x14ac:dyDescent="0.25">
      <c r="A30" s="160" t="s">
        <v>131</v>
      </c>
      <c r="B30" s="96">
        <v>0</v>
      </c>
      <c r="C30" s="96">
        <v>0</v>
      </c>
      <c r="D30" s="96">
        <v>0</v>
      </c>
      <c r="E30" s="96">
        <v>0</v>
      </c>
      <c r="F30" s="96">
        <v>0</v>
      </c>
      <c r="G30" s="96">
        <v>0</v>
      </c>
      <c r="H30" s="96">
        <v>0</v>
      </c>
      <c r="I30" s="96">
        <v>0</v>
      </c>
      <c r="J30" s="96">
        <v>0</v>
      </c>
      <c r="K30" s="96">
        <v>0</v>
      </c>
      <c r="L30" s="96">
        <v>0</v>
      </c>
      <c r="M30" s="96">
        <v>0</v>
      </c>
      <c r="N30" s="96">
        <v>5.8104240060050788E-5</v>
      </c>
      <c r="O30" s="96">
        <v>1.382680023147945E-4</v>
      </c>
      <c r="P30" s="96">
        <v>8.3796016516012178E-3</v>
      </c>
      <c r="Q30" s="96">
        <v>2.0069459861062192E-3</v>
      </c>
      <c r="R30" s="96">
        <v>3.3390433570696641E-3</v>
      </c>
      <c r="S30" s="96">
        <v>5.8072808331832921E-3</v>
      </c>
      <c r="T30" s="96">
        <v>1.197578214005653E-2</v>
      </c>
      <c r="U30" s="96">
        <v>1.8578482193407766E-2</v>
      </c>
      <c r="V30" s="96">
        <v>4.4704751371748876E-2</v>
      </c>
      <c r="W30" s="96">
        <v>0.10080907590053058</v>
      </c>
      <c r="X30" s="96">
        <v>0.17859634462394142</v>
      </c>
      <c r="Y30" s="96">
        <v>0.28884625354940946</v>
      </c>
      <c r="DA30" s="171" t="s">
        <v>649</v>
      </c>
    </row>
    <row r="31" spans="1:105" ht="11.45" customHeight="1" x14ac:dyDescent="0.25">
      <c r="A31" s="160" t="s">
        <v>133</v>
      </c>
      <c r="B31" s="96">
        <v>0</v>
      </c>
      <c r="C31" s="96">
        <v>0</v>
      </c>
      <c r="D31" s="96">
        <v>0</v>
      </c>
      <c r="E31" s="96">
        <v>0</v>
      </c>
      <c r="F31" s="96">
        <v>0</v>
      </c>
      <c r="G31" s="96">
        <v>0</v>
      </c>
      <c r="H31" s="96">
        <v>0</v>
      </c>
      <c r="I31" s="96">
        <v>0</v>
      </c>
      <c r="J31" s="96">
        <v>0</v>
      </c>
      <c r="K31" s="96">
        <v>0</v>
      </c>
      <c r="L31" s="96">
        <v>0</v>
      </c>
      <c r="M31" s="96">
        <v>0</v>
      </c>
      <c r="N31" s="96">
        <v>1.0059194646913107E-3</v>
      </c>
      <c r="O31" s="96">
        <v>1.8272996571657609E-3</v>
      </c>
      <c r="P31" s="96">
        <v>5.9106411870935023E-2</v>
      </c>
      <c r="Q31" s="96">
        <v>2.5895374779920578E-2</v>
      </c>
      <c r="R31" s="96">
        <v>4.3969254912896868E-2</v>
      </c>
      <c r="S31" s="96">
        <v>0.1211714812997247</v>
      </c>
      <c r="T31" s="96">
        <v>0.25030254501684457</v>
      </c>
      <c r="U31" s="96">
        <v>0.34982163439781844</v>
      </c>
      <c r="V31" s="96">
        <v>0.91922828803481016</v>
      </c>
      <c r="W31" s="96">
        <v>2.4601707736324965</v>
      </c>
      <c r="X31" s="96">
        <v>4.3800165860999325</v>
      </c>
      <c r="Y31" s="96">
        <v>7.7867535435862205</v>
      </c>
      <c r="DA31" s="171" t="s">
        <v>650</v>
      </c>
    </row>
    <row r="32" spans="1:105" ht="11.45" customHeight="1" x14ac:dyDescent="0.25">
      <c r="A32" s="111" t="s">
        <v>115</v>
      </c>
      <c r="B32" s="96">
        <v>0</v>
      </c>
      <c r="C32" s="96">
        <v>0</v>
      </c>
      <c r="D32" s="96">
        <v>0</v>
      </c>
      <c r="E32" s="96">
        <v>0</v>
      </c>
      <c r="F32" s="96">
        <v>0</v>
      </c>
      <c r="G32" s="96">
        <v>0</v>
      </c>
      <c r="H32" s="96">
        <v>0</v>
      </c>
      <c r="I32" s="96">
        <v>0</v>
      </c>
      <c r="J32" s="96">
        <v>0</v>
      </c>
      <c r="K32" s="96">
        <v>0</v>
      </c>
      <c r="L32" s="96">
        <v>1.5976941581085783E-3</v>
      </c>
      <c r="M32" s="96">
        <v>1.1168498076874393E-2</v>
      </c>
      <c r="N32" s="96">
        <v>2.2258991982686421E-2</v>
      </c>
      <c r="O32" s="96">
        <v>2.4918040924810887E-2</v>
      </c>
      <c r="P32" s="96">
        <v>3.0765620393433547E-2</v>
      </c>
      <c r="Q32" s="96">
        <v>3.6994892862618228E-2</v>
      </c>
      <c r="R32" s="96">
        <v>9.5354166496827139E-2</v>
      </c>
      <c r="S32" s="96">
        <v>0.28833741949841124</v>
      </c>
      <c r="T32" s="96">
        <v>0.61114898192540101</v>
      </c>
      <c r="U32" s="96">
        <v>0.85944029720921977</v>
      </c>
      <c r="V32" s="96">
        <v>1.4564517888525179</v>
      </c>
      <c r="W32" s="96">
        <v>1.872475644560218</v>
      </c>
      <c r="X32" s="96">
        <v>3.315116124172885</v>
      </c>
      <c r="Y32" s="96">
        <v>6.5660694311711074</v>
      </c>
      <c r="DA32" s="171" t="s">
        <v>651</v>
      </c>
    </row>
    <row r="33" spans="1:105" ht="11.45" customHeight="1" x14ac:dyDescent="0.25">
      <c r="A33" s="109" t="s">
        <v>21</v>
      </c>
      <c r="B33" s="130">
        <f t="shared" ref="B33:K33" si="22">B34+B36+B38+B39+B41</f>
        <v>991.50715326221393</v>
      </c>
      <c r="C33" s="130">
        <f t="shared" si="22"/>
        <v>920.50287380651889</v>
      </c>
      <c r="D33" s="130">
        <f t="shared" si="22"/>
        <v>896.08284385109903</v>
      </c>
      <c r="E33" s="130">
        <f t="shared" si="22"/>
        <v>859.8517251525418</v>
      </c>
      <c r="F33" s="130">
        <f t="shared" si="22"/>
        <v>906.72367063231411</v>
      </c>
      <c r="G33" s="130">
        <f t="shared" si="22"/>
        <v>886.27863907415542</v>
      </c>
      <c r="H33" s="130">
        <f t="shared" si="22"/>
        <v>844.14019963694955</v>
      </c>
      <c r="I33" s="130">
        <f t="shared" si="22"/>
        <v>853.38497613775451</v>
      </c>
      <c r="J33" s="130">
        <f t="shared" si="22"/>
        <v>833.1439481995809</v>
      </c>
      <c r="K33" s="130">
        <f t="shared" si="22"/>
        <v>839.89774375106504</v>
      </c>
      <c r="L33" s="130">
        <f t="shared" ref="L33" si="23">L34+L36+L38+L39+L41</f>
        <v>835.57788914627235</v>
      </c>
      <c r="M33" s="130">
        <f t="shared" ref="M33:V33" si="24">M34+M36+M38+M39+M41</f>
        <v>846.7739797632621</v>
      </c>
      <c r="N33" s="130">
        <f t="shared" si="24"/>
        <v>830.44906250410588</v>
      </c>
      <c r="O33" s="130">
        <f t="shared" si="24"/>
        <v>838.95692512946175</v>
      </c>
      <c r="P33" s="130">
        <f t="shared" si="24"/>
        <v>858.6953845927037</v>
      </c>
      <c r="Q33" s="130">
        <f t="shared" si="24"/>
        <v>1001.225949032707</v>
      </c>
      <c r="R33" s="130">
        <f t="shared" si="24"/>
        <v>983.53324051596996</v>
      </c>
      <c r="S33" s="130">
        <f t="shared" si="24"/>
        <v>966.03659223168074</v>
      </c>
      <c r="T33" s="130">
        <f t="shared" si="24"/>
        <v>915.95336794331058</v>
      </c>
      <c r="U33" s="130">
        <f t="shared" si="24"/>
        <v>958.8979999388356</v>
      </c>
      <c r="V33" s="130">
        <f t="shared" si="24"/>
        <v>943.53249091576129</v>
      </c>
      <c r="W33" s="130">
        <f t="shared" ref="W33:Y33" si="25">W34+W36+W38+W39+W41</f>
        <v>937.27485569349903</v>
      </c>
      <c r="X33" s="130">
        <f t="shared" si="25"/>
        <v>933.15107930662634</v>
      </c>
      <c r="Y33" s="130">
        <f t="shared" si="25"/>
        <v>912.14768471251034</v>
      </c>
      <c r="DA33" s="176" t="s">
        <v>394</v>
      </c>
    </row>
    <row r="34" spans="1:105" ht="11.45" customHeight="1" x14ac:dyDescent="0.25">
      <c r="A34" s="111" t="s">
        <v>110</v>
      </c>
      <c r="B34" s="97">
        <v>0</v>
      </c>
      <c r="C34" s="97">
        <v>0</v>
      </c>
      <c r="D34" s="97">
        <v>0</v>
      </c>
      <c r="E34" s="97">
        <v>0</v>
      </c>
      <c r="F34" s="97">
        <v>0</v>
      </c>
      <c r="G34" s="97">
        <v>0</v>
      </c>
      <c r="H34" s="97">
        <v>0</v>
      </c>
      <c r="I34" s="97">
        <v>0</v>
      </c>
      <c r="J34" s="97">
        <v>0</v>
      </c>
      <c r="K34" s="97">
        <v>0</v>
      </c>
      <c r="L34" s="97">
        <v>0</v>
      </c>
      <c r="M34" s="97">
        <v>0</v>
      </c>
      <c r="N34" s="97">
        <v>0</v>
      </c>
      <c r="O34" s="97">
        <v>0</v>
      </c>
      <c r="P34" s="97">
        <v>0</v>
      </c>
      <c r="Q34" s="97">
        <v>0</v>
      </c>
      <c r="R34" s="97">
        <v>0</v>
      </c>
      <c r="S34" s="97">
        <v>0</v>
      </c>
      <c r="T34" s="97">
        <v>0</v>
      </c>
      <c r="U34" s="97">
        <v>0</v>
      </c>
      <c r="V34" s="97">
        <v>0</v>
      </c>
      <c r="W34" s="97">
        <v>0</v>
      </c>
      <c r="X34" s="97">
        <v>0</v>
      </c>
      <c r="Y34" s="97">
        <v>0</v>
      </c>
      <c r="DA34" s="175" t="s">
        <v>652</v>
      </c>
    </row>
    <row r="35" spans="1:105" ht="11.45" customHeight="1" x14ac:dyDescent="0.25">
      <c r="A35" s="160" t="s">
        <v>131</v>
      </c>
      <c r="B35" s="97">
        <v>0</v>
      </c>
      <c r="C35" s="97">
        <v>0</v>
      </c>
      <c r="D35" s="97">
        <v>0</v>
      </c>
      <c r="E35" s="97">
        <v>0</v>
      </c>
      <c r="F35" s="97">
        <v>0</v>
      </c>
      <c r="G35" s="97">
        <v>0</v>
      </c>
      <c r="H35" s="97">
        <v>0</v>
      </c>
      <c r="I35" s="97">
        <v>0</v>
      </c>
      <c r="J35" s="97">
        <v>0</v>
      </c>
      <c r="K35" s="97">
        <v>0</v>
      </c>
      <c r="L35" s="97">
        <v>0</v>
      </c>
      <c r="M35" s="97">
        <v>0</v>
      </c>
      <c r="N35" s="97">
        <v>0</v>
      </c>
      <c r="O35" s="97">
        <v>0</v>
      </c>
      <c r="P35" s="97">
        <v>0</v>
      </c>
      <c r="Q35" s="97">
        <v>0</v>
      </c>
      <c r="R35" s="97">
        <v>0</v>
      </c>
      <c r="S35" s="97">
        <v>0</v>
      </c>
      <c r="T35" s="97">
        <v>0</v>
      </c>
      <c r="U35" s="97">
        <v>0</v>
      </c>
      <c r="V35" s="97">
        <v>0</v>
      </c>
      <c r="W35" s="97">
        <v>0</v>
      </c>
      <c r="X35" s="97">
        <v>0</v>
      </c>
      <c r="Y35" s="97">
        <v>0</v>
      </c>
      <c r="DA35" s="175" t="s">
        <v>653</v>
      </c>
    </row>
    <row r="36" spans="1:105" ht="11.45" customHeight="1" x14ac:dyDescent="0.25">
      <c r="A36" s="111" t="s">
        <v>111</v>
      </c>
      <c r="B36" s="97">
        <v>976.74651869896593</v>
      </c>
      <c r="C36" s="97">
        <v>906.73034089659939</v>
      </c>
      <c r="D36" s="97">
        <v>883.4366647859149</v>
      </c>
      <c r="E36" s="97">
        <v>849.08545191086978</v>
      </c>
      <c r="F36" s="97">
        <v>883.37703645787781</v>
      </c>
      <c r="G36" s="97">
        <v>860.15102241869522</v>
      </c>
      <c r="H36" s="97">
        <v>819.6824394932471</v>
      </c>
      <c r="I36" s="97">
        <v>830.39943971002731</v>
      </c>
      <c r="J36" s="97">
        <v>811.60101519706166</v>
      </c>
      <c r="K36" s="97">
        <v>819.83751291035162</v>
      </c>
      <c r="L36" s="97">
        <v>816.74563057030468</v>
      </c>
      <c r="M36" s="97">
        <v>829.23360438344866</v>
      </c>
      <c r="N36" s="97">
        <v>814.19087470665409</v>
      </c>
      <c r="O36" s="97">
        <v>823.39644382938741</v>
      </c>
      <c r="P36" s="97">
        <v>843.99546812456185</v>
      </c>
      <c r="Q36" s="97">
        <v>975.87845271233437</v>
      </c>
      <c r="R36" s="97">
        <v>961.38053964836161</v>
      </c>
      <c r="S36" s="97">
        <v>947.43932109656078</v>
      </c>
      <c r="T36" s="97">
        <v>897.35090079517579</v>
      </c>
      <c r="U36" s="97">
        <v>937.91591264639897</v>
      </c>
      <c r="V36" s="97">
        <v>917.08120157435258</v>
      </c>
      <c r="W36" s="97">
        <v>899.43112812305151</v>
      </c>
      <c r="X36" s="97">
        <v>882.88559683582776</v>
      </c>
      <c r="Y36" s="97">
        <v>858.09394948361296</v>
      </c>
      <c r="DA36" s="175" t="s">
        <v>654</v>
      </c>
    </row>
    <row r="37" spans="1:105" ht="11.45" customHeight="1" x14ac:dyDescent="0.25">
      <c r="A37" s="160" t="s">
        <v>131</v>
      </c>
      <c r="B37" s="97">
        <v>0</v>
      </c>
      <c r="C37" s="97">
        <v>0</v>
      </c>
      <c r="D37" s="97">
        <v>0</v>
      </c>
      <c r="E37" s="97">
        <v>0</v>
      </c>
      <c r="F37" s="97">
        <v>0</v>
      </c>
      <c r="G37" s="97">
        <v>2.414144787935391</v>
      </c>
      <c r="H37" s="97">
        <v>4.4512016226199869</v>
      </c>
      <c r="I37" s="97">
        <v>2.6180094778175169</v>
      </c>
      <c r="J37" s="97">
        <v>28.697161924834383</v>
      </c>
      <c r="K37" s="97">
        <v>41.62394866764717</v>
      </c>
      <c r="L37" s="97">
        <v>55.230100755351337</v>
      </c>
      <c r="M37" s="97">
        <v>57.784719484880888</v>
      </c>
      <c r="N37" s="97">
        <v>53.037265088156857</v>
      </c>
      <c r="O37" s="97">
        <v>52.702957212326744</v>
      </c>
      <c r="P37" s="97">
        <v>50.176981940936145</v>
      </c>
      <c r="Q37" s="97">
        <v>47.69123179116238</v>
      </c>
      <c r="R37" s="97">
        <v>23.494605706927373</v>
      </c>
      <c r="S37" s="97">
        <v>28.532205342339719</v>
      </c>
      <c r="T37" s="97">
        <v>44.566850780228798</v>
      </c>
      <c r="U37" s="97">
        <v>51.936533163164661</v>
      </c>
      <c r="V37" s="97">
        <v>53.299948497245659</v>
      </c>
      <c r="W37" s="97">
        <v>51.447292414696662</v>
      </c>
      <c r="X37" s="97">
        <v>53.197699414711551</v>
      </c>
      <c r="Y37" s="97">
        <v>57.275464668163373</v>
      </c>
      <c r="DA37" s="175" t="s">
        <v>655</v>
      </c>
    </row>
    <row r="38" spans="1:105" ht="11.45" customHeight="1" x14ac:dyDescent="0.25">
      <c r="A38" s="111" t="s">
        <v>112</v>
      </c>
      <c r="B38" s="97">
        <v>11.735262723153124</v>
      </c>
      <c r="C38" s="97">
        <v>10.539562004942193</v>
      </c>
      <c r="D38" s="97">
        <v>9.3663919771502915</v>
      </c>
      <c r="E38" s="97">
        <v>8.2602042330803798</v>
      </c>
      <c r="F38" s="97">
        <v>21.09771283041222</v>
      </c>
      <c r="G38" s="97">
        <v>18.929384180833335</v>
      </c>
      <c r="H38" s="97">
        <v>17.645644019958155</v>
      </c>
      <c r="I38" s="97">
        <v>16.393810889136262</v>
      </c>
      <c r="J38" s="97">
        <v>15.227080598782216</v>
      </c>
      <c r="K38" s="97">
        <v>14.02005899229939</v>
      </c>
      <c r="L38" s="97">
        <v>12.901776703298985</v>
      </c>
      <c r="M38" s="97">
        <v>11.834462985530285</v>
      </c>
      <c r="N38" s="97">
        <v>10.870039278646283</v>
      </c>
      <c r="O38" s="97">
        <v>9.9465530496096637</v>
      </c>
      <c r="P38" s="97">
        <v>9.0397150134131543</v>
      </c>
      <c r="Q38" s="97">
        <v>8.1927058935268597</v>
      </c>
      <c r="R38" s="97">
        <v>7.4155955596087413</v>
      </c>
      <c r="S38" s="97">
        <v>7.0272047465499092</v>
      </c>
      <c r="T38" s="97">
        <v>6.6719739493496899</v>
      </c>
      <c r="U38" s="97">
        <v>6.8113028002415081</v>
      </c>
      <c r="V38" s="97">
        <v>6.609409759671852</v>
      </c>
      <c r="W38" s="97">
        <v>6.6169245319872836</v>
      </c>
      <c r="X38" s="97">
        <v>6.5859114454033838</v>
      </c>
      <c r="Y38" s="97">
        <v>6.3307279796062357</v>
      </c>
      <c r="DA38" s="175" t="s">
        <v>656</v>
      </c>
    </row>
    <row r="39" spans="1:105" ht="11.45" customHeight="1" x14ac:dyDescent="0.25">
      <c r="A39" s="111" t="s">
        <v>113</v>
      </c>
      <c r="B39" s="97">
        <v>0</v>
      </c>
      <c r="C39" s="97">
        <v>0</v>
      </c>
      <c r="D39" s="97">
        <v>0</v>
      </c>
      <c r="E39" s="97">
        <v>0</v>
      </c>
      <c r="F39" s="97">
        <v>0</v>
      </c>
      <c r="G39" s="97">
        <v>0</v>
      </c>
      <c r="H39" s="97">
        <v>0</v>
      </c>
      <c r="I39" s="97">
        <v>0</v>
      </c>
      <c r="J39" s="97">
        <v>0</v>
      </c>
      <c r="K39" s="97">
        <v>0</v>
      </c>
      <c r="L39" s="97">
        <v>0</v>
      </c>
      <c r="M39" s="97">
        <v>0</v>
      </c>
      <c r="N39" s="97">
        <v>0</v>
      </c>
      <c r="O39" s="97">
        <v>0</v>
      </c>
      <c r="P39" s="97">
        <v>0</v>
      </c>
      <c r="Q39" s="97">
        <v>11.166528678756633</v>
      </c>
      <c r="R39" s="97">
        <v>8.4901967122054636</v>
      </c>
      <c r="S39" s="97">
        <v>4.6428319341635689</v>
      </c>
      <c r="T39" s="97">
        <v>5.8901420601609136</v>
      </c>
      <c r="U39" s="97">
        <v>10.146427985955398</v>
      </c>
      <c r="V39" s="97">
        <v>13.657025459623094</v>
      </c>
      <c r="W39" s="97">
        <v>22.543265838103103</v>
      </c>
      <c r="X39" s="97">
        <v>33.216998280550527</v>
      </c>
      <c r="Y39" s="97">
        <v>33.54904188062681</v>
      </c>
      <c r="DA39" s="175" t="s">
        <v>657</v>
      </c>
    </row>
    <row r="40" spans="1:105" ht="11.45" customHeight="1" x14ac:dyDescent="0.25">
      <c r="A40" s="160" t="s">
        <v>132</v>
      </c>
      <c r="B40" s="97">
        <v>0</v>
      </c>
      <c r="C40" s="97">
        <v>0</v>
      </c>
      <c r="D40" s="97">
        <v>0</v>
      </c>
      <c r="E40" s="97">
        <v>0</v>
      </c>
      <c r="F40" s="97">
        <v>0</v>
      </c>
      <c r="G40" s="97">
        <v>0</v>
      </c>
      <c r="H40" s="97">
        <v>0</v>
      </c>
      <c r="I40" s="97">
        <v>0</v>
      </c>
      <c r="J40" s="97">
        <v>0</v>
      </c>
      <c r="K40" s="97">
        <v>0</v>
      </c>
      <c r="L40" s="97">
        <v>0</v>
      </c>
      <c r="M40" s="97">
        <v>0</v>
      </c>
      <c r="N40" s="97">
        <v>0</v>
      </c>
      <c r="O40" s="97">
        <v>0</v>
      </c>
      <c r="P40" s="97">
        <v>0</v>
      </c>
      <c r="Q40" s="97">
        <v>0</v>
      </c>
      <c r="R40" s="97">
        <v>0</v>
      </c>
      <c r="S40" s="97">
        <v>0</v>
      </c>
      <c r="T40" s="97">
        <v>0</v>
      </c>
      <c r="U40" s="97">
        <v>0</v>
      </c>
      <c r="V40" s="97">
        <v>0</v>
      </c>
      <c r="W40" s="97">
        <v>0</v>
      </c>
      <c r="X40" s="97">
        <v>0</v>
      </c>
      <c r="Y40" s="97">
        <v>0</v>
      </c>
      <c r="DA40" s="175" t="s">
        <v>658</v>
      </c>
    </row>
    <row r="41" spans="1:105" ht="11.45" customHeight="1" x14ac:dyDescent="0.25">
      <c r="A41" s="111" t="s">
        <v>115</v>
      </c>
      <c r="B41" s="97">
        <v>3.0253718400948322</v>
      </c>
      <c r="C41" s="97">
        <v>3.2329709049772783</v>
      </c>
      <c r="D41" s="97">
        <v>3.2797870880337694</v>
      </c>
      <c r="E41" s="97">
        <v>2.5060690085916253</v>
      </c>
      <c r="F41" s="97">
        <v>2.2489213440240987</v>
      </c>
      <c r="G41" s="97">
        <v>7.1982324746268533</v>
      </c>
      <c r="H41" s="97">
        <v>6.8121161237443371</v>
      </c>
      <c r="I41" s="97">
        <v>6.5917255385909153</v>
      </c>
      <c r="J41" s="97">
        <v>6.3158524037370141</v>
      </c>
      <c r="K41" s="97">
        <v>6.0401718484140101</v>
      </c>
      <c r="L41" s="97">
        <v>5.930481872668631</v>
      </c>
      <c r="M41" s="97">
        <v>5.7059123942831391</v>
      </c>
      <c r="N41" s="97">
        <v>5.3881485188055205</v>
      </c>
      <c r="O41" s="97">
        <v>5.613928250464709</v>
      </c>
      <c r="P41" s="97">
        <v>5.6602014547287895</v>
      </c>
      <c r="Q41" s="97">
        <v>5.9882617480891671</v>
      </c>
      <c r="R41" s="97">
        <v>6.2469085957941628</v>
      </c>
      <c r="S41" s="97">
        <v>6.9272344544064479</v>
      </c>
      <c r="T41" s="97">
        <v>6.0403511386243096</v>
      </c>
      <c r="U41" s="97">
        <v>4.0243565062397542</v>
      </c>
      <c r="V41" s="97">
        <v>6.1848541221136895</v>
      </c>
      <c r="W41" s="97">
        <v>8.6835372003571187</v>
      </c>
      <c r="X41" s="97">
        <v>10.46257274484454</v>
      </c>
      <c r="Y41" s="97">
        <v>14.173965368664424</v>
      </c>
      <c r="DA41" s="175" t="s">
        <v>659</v>
      </c>
    </row>
    <row r="42" spans="1:105" ht="11.45" customHeight="1" x14ac:dyDescent="0.25">
      <c r="A42" s="27" t="s">
        <v>34</v>
      </c>
      <c r="B42" s="32">
        <f t="shared" ref="B42:K42" si="26">B43+B52</f>
        <v>2658.8997512915766</v>
      </c>
      <c r="C42" s="32">
        <f t="shared" si="26"/>
        <v>2782.023239657608</v>
      </c>
      <c r="D42" s="32">
        <f t="shared" si="26"/>
        <v>2599.9007493355662</v>
      </c>
      <c r="E42" s="32">
        <f t="shared" si="26"/>
        <v>3130.3648169260769</v>
      </c>
      <c r="F42" s="32">
        <f t="shared" si="26"/>
        <v>3659.5363127982992</v>
      </c>
      <c r="G42" s="32">
        <f t="shared" si="26"/>
        <v>4424.1089241120517</v>
      </c>
      <c r="H42" s="32">
        <f t="shared" si="26"/>
        <v>4930.4463007548857</v>
      </c>
      <c r="I42" s="32">
        <f t="shared" si="26"/>
        <v>5548.1190474393361</v>
      </c>
      <c r="J42" s="32">
        <f t="shared" si="26"/>
        <v>5957.0452747182226</v>
      </c>
      <c r="K42" s="32">
        <f t="shared" si="26"/>
        <v>5996.2765972649067</v>
      </c>
      <c r="L42" s="32">
        <f t="shared" ref="L42" si="27">L43+L52</f>
        <v>6566.9202791165053</v>
      </c>
      <c r="M42" s="32">
        <f t="shared" ref="M42:V42" si="28">M43+M52</f>
        <v>6673.9125713985732</v>
      </c>
      <c r="N42" s="32">
        <f t="shared" si="28"/>
        <v>6009.3835332572089</v>
      </c>
      <c r="O42" s="32">
        <f t="shared" si="28"/>
        <v>5435.6211725045105</v>
      </c>
      <c r="P42" s="32">
        <f t="shared" si="28"/>
        <v>5490.2268616071442</v>
      </c>
      <c r="Q42" s="32">
        <f t="shared" si="28"/>
        <v>5665.0000921749115</v>
      </c>
      <c r="R42" s="32">
        <f t="shared" si="28"/>
        <v>6882.8484949012372</v>
      </c>
      <c r="S42" s="32">
        <f t="shared" si="28"/>
        <v>8572.9916748067899</v>
      </c>
      <c r="T42" s="32">
        <f t="shared" si="28"/>
        <v>8893.2135917564065</v>
      </c>
      <c r="U42" s="32">
        <f t="shared" si="28"/>
        <v>8987.4878120009653</v>
      </c>
      <c r="V42" s="32">
        <f t="shared" si="28"/>
        <v>8571.68105276194</v>
      </c>
      <c r="W42" s="32">
        <f t="shared" ref="W42:Y42" si="29">W43+W52</f>
        <v>10373.992252663636</v>
      </c>
      <c r="X42" s="32">
        <f t="shared" si="29"/>
        <v>10507.942171324881</v>
      </c>
      <c r="Y42" s="32">
        <f t="shared" si="29"/>
        <v>10300.646556299092</v>
      </c>
      <c r="DA42" s="173" t="s">
        <v>399</v>
      </c>
    </row>
    <row r="43" spans="1:105" ht="11.45" customHeight="1" x14ac:dyDescent="0.25">
      <c r="A43" s="136" t="s">
        <v>153</v>
      </c>
      <c r="B43" s="141">
        <f t="shared" ref="B43:K43" si="30">B44+B46+B48+B49+B51</f>
        <v>1933.7469489967784</v>
      </c>
      <c r="C43" s="141">
        <f t="shared" si="30"/>
        <v>1838.7593615975036</v>
      </c>
      <c r="D43" s="141">
        <f t="shared" si="30"/>
        <v>1889.8500841719285</v>
      </c>
      <c r="E43" s="141">
        <f t="shared" si="30"/>
        <v>1931.057806059669</v>
      </c>
      <c r="F43" s="141">
        <f t="shared" si="30"/>
        <v>1862.4828582663306</v>
      </c>
      <c r="G43" s="141">
        <f t="shared" si="30"/>
        <v>1888.3573433805095</v>
      </c>
      <c r="H43" s="141">
        <f t="shared" si="30"/>
        <v>1973.3855159681229</v>
      </c>
      <c r="I43" s="141">
        <f t="shared" si="30"/>
        <v>2031.7708703381493</v>
      </c>
      <c r="J43" s="141">
        <f t="shared" si="30"/>
        <v>2139.3877241117934</v>
      </c>
      <c r="K43" s="141">
        <f t="shared" si="30"/>
        <v>2247.6946518765271</v>
      </c>
      <c r="L43" s="141">
        <f t="shared" ref="L43" si="31">L44+L46+L48+L49+L51</f>
        <v>2375.9885533999422</v>
      </c>
      <c r="M43" s="141">
        <f t="shared" ref="M43:V43" si="32">M44+M46+M48+M49+M51</f>
        <v>2485.2081053841139</v>
      </c>
      <c r="N43" s="141">
        <f t="shared" si="32"/>
        <v>2470.2244384985888</v>
      </c>
      <c r="O43" s="141">
        <f t="shared" si="32"/>
        <v>2520.7049628031882</v>
      </c>
      <c r="P43" s="141">
        <f t="shared" si="32"/>
        <v>2506.0710601250339</v>
      </c>
      <c r="Q43" s="141">
        <f t="shared" si="32"/>
        <v>2514.3145850128803</v>
      </c>
      <c r="R43" s="141">
        <f t="shared" si="32"/>
        <v>2635.961746567742</v>
      </c>
      <c r="S43" s="141">
        <f t="shared" si="32"/>
        <v>2731.4227714699832</v>
      </c>
      <c r="T43" s="141">
        <f t="shared" si="32"/>
        <v>2871.8514336256071</v>
      </c>
      <c r="U43" s="141">
        <f t="shared" si="32"/>
        <v>2985.9395887908227</v>
      </c>
      <c r="V43" s="141">
        <f t="shared" si="32"/>
        <v>3011.4130749718747</v>
      </c>
      <c r="W43" s="141">
        <f t="shared" ref="W43:Y43" si="33">W44+W46+W48+W49+W51</f>
        <v>3113.4308239471875</v>
      </c>
      <c r="X43" s="141">
        <f t="shared" si="33"/>
        <v>3132.1848088749957</v>
      </c>
      <c r="Y43" s="141">
        <f t="shared" si="33"/>
        <v>3160.4218842110504</v>
      </c>
      <c r="DA43" s="174" t="s">
        <v>400</v>
      </c>
    </row>
    <row r="44" spans="1:105" ht="11.45" customHeight="1" x14ac:dyDescent="0.25">
      <c r="A44" s="111" t="s">
        <v>110</v>
      </c>
      <c r="B44" s="96">
        <v>1059.0663411875601</v>
      </c>
      <c r="C44" s="96">
        <v>1019.9546546430419</v>
      </c>
      <c r="D44" s="96">
        <v>921.35158865251503</v>
      </c>
      <c r="E44" s="96">
        <v>891.653824630445</v>
      </c>
      <c r="F44" s="96">
        <v>799.54882524268555</v>
      </c>
      <c r="G44" s="96">
        <v>706.17551739561907</v>
      </c>
      <c r="H44" s="96">
        <v>653.55218419525806</v>
      </c>
      <c r="I44" s="96">
        <v>590.46241008745119</v>
      </c>
      <c r="J44" s="96">
        <v>541.12691445573989</v>
      </c>
      <c r="K44" s="96">
        <v>550.38385827759407</v>
      </c>
      <c r="L44" s="96">
        <v>525.44815259055929</v>
      </c>
      <c r="M44" s="96">
        <v>481.58198906398707</v>
      </c>
      <c r="N44" s="96">
        <v>447.74436973201921</v>
      </c>
      <c r="O44" s="96">
        <v>417.40693813452242</v>
      </c>
      <c r="P44" s="96">
        <v>380.57867752550834</v>
      </c>
      <c r="Q44" s="96">
        <v>333.79172698251227</v>
      </c>
      <c r="R44" s="96">
        <v>332.06187726063189</v>
      </c>
      <c r="S44" s="96">
        <v>342.79482805443178</v>
      </c>
      <c r="T44" s="96">
        <v>338.3393282728664</v>
      </c>
      <c r="U44" s="96">
        <v>342.23452005264642</v>
      </c>
      <c r="V44" s="96">
        <v>314.40811145562282</v>
      </c>
      <c r="W44" s="96">
        <v>315.46327847649781</v>
      </c>
      <c r="X44" s="96">
        <v>329.21355826734782</v>
      </c>
      <c r="Y44" s="96">
        <v>321.49297030293536</v>
      </c>
      <c r="DA44" s="171" t="s">
        <v>660</v>
      </c>
    </row>
    <row r="45" spans="1:105" ht="11.45" customHeight="1" x14ac:dyDescent="0.25">
      <c r="A45" s="160" t="s">
        <v>131</v>
      </c>
      <c r="B45" s="96">
        <v>0</v>
      </c>
      <c r="C45" s="96">
        <v>0</v>
      </c>
      <c r="D45" s="96">
        <v>0</v>
      </c>
      <c r="E45" s="96">
        <v>5.9029125144680492</v>
      </c>
      <c r="F45" s="96">
        <v>2.4973169427419872</v>
      </c>
      <c r="G45" s="96">
        <v>5.738235665085349</v>
      </c>
      <c r="H45" s="96">
        <v>8.3604330120002714</v>
      </c>
      <c r="I45" s="96">
        <v>9.8133643388828293</v>
      </c>
      <c r="J45" s="96">
        <v>15.882005922602143</v>
      </c>
      <c r="K45" s="96">
        <v>20.765800397096648</v>
      </c>
      <c r="L45" s="96">
        <v>20.198056004034129</v>
      </c>
      <c r="M45" s="96">
        <v>18.541462128390577</v>
      </c>
      <c r="N45" s="96">
        <v>15.569114769253705</v>
      </c>
      <c r="O45" s="96">
        <v>15.815208339621265</v>
      </c>
      <c r="P45" s="96">
        <v>13.782739330180469</v>
      </c>
      <c r="Q45" s="96">
        <v>13.454683563763918</v>
      </c>
      <c r="R45" s="96">
        <v>13.824916017825148</v>
      </c>
      <c r="S45" s="96">
        <v>13.739643702365136</v>
      </c>
      <c r="T45" s="96">
        <v>12.824689339995217</v>
      </c>
      <c r="U45" s="96">
        <v>13.573262247935681</v>
      </c>
      <c r="V45" s="96">
        <v>13.048189889192601</v>
      </c>
      <c r="W45" s="96">
        <v>13.441078590435806</v>
      </c>
      <c r="X45" s="96">
        <v>14.731032478054848</v>
      </c>
      <c r="Y45" s="96">
        <v>14.400357287890701</v>
      </c>
      <c r="DA45" s="171" t="s">
        <v>661</v>
      </c>
    </row>
    <row r="46" spans="1:105" ht="11.45" customHeight="1" x14ac:dyDescent="0.25">
      <c r="A46" s="111" t="s">
        <v>111</v>
      </c>
      <c r="B46" s="96">
        <v>834.51844437999387</v>
      </c>
      <c r="C46" s="96">
        <v>774.0856116663474</v>
      </c>
      <c r="D46" s="96">
        <v>908.99286599428933</v>
      </c>
      <c r="E46" s="96">
        <v>969.93520038322322</v>
      </c>
      <c r="F46" s="96">
        <v>991.4785792891505</v>
      </c>
      <c r="G46" s="96">
        <v>1105.1960049653715</v>
      </c>
      <c r="H46" s="96">
        <v>1229.5155779321622</v>
      </c>
      <c r="I46" s="96">
        <v>1344.3826746545456</v>
      </c>
      <c r="J46" s="96">
        <v>1497.0045116037584</v>
      </c>
      <c r="K46" s="96">
        <v>1594.1355765076346</v>
      </c>
      <c r="L46" s="96">
        <v>1744.370388801595</v>
      </c>
      <c r="M46" s="96">
        <v>1894.2817956146312</v>
      </c>
      <c r="N46" s="96">
        <v>1923.6101779447531</v>
      </c>
      <c r="O46" s="96">
        <v>2005.2378495801843</v>
      </c>
      <c r="P46" s="96">
        <v>2018.0907049082018</v>
      </c>
      <c r="Q46" s="96">
        <v>2071.3324885596198</v>
      </c>
      <c r="R46" s="96">
        <v>2194.4245890143889</v>
      </c>
      <c r="S46" s="96">
        <v>2282.5503722683452</v>
      </c>
      <c r="T46" s="96">
        <v>2422.9472412842601</v>
      </c>
      <c r="U46" s="96">
        <v>2532.7357396347197</v>
      </c>
      <c r="V46" s="96">
        <v>2590.846168306351</v>
      </c>
      <c r="W46" s="96">
        <v>2692.2253076185043</v>
      </c>
      <c r="X46" s="96">
        <v>2702.4847130709163</v>
      </c>
      <c r="Y46" s="96">
        <v>2738.1538494264119</v>
      </c>
      <c r="DA46" s="171" t="s">
        <v>662</v>
      </c>
    </row>
    <row r="47" spans="1:105" ht="11.45" customHeight="1" x14ac:dyDescent="0.25">
      <c r="A47" s="160" t="s">
        <v>131</v>
      </c>
      <c r="B47" s="96">
        <v>0</v>
      </c>
      <c r="C47" s="96">
        <v>0</v>
      </c>
      <c r="D47" s="96">
        <v>0</v>
      </c>
      <c r="E47" s="96">
        <v>0</v>
      </c>
      <c r="F47" s="96">
        <v>0</v>
      </c>
      <c r="G47" s="96">
        <v>3.1019008354272666</v>
      </c>
      <c r="H47" s="96">
        <v>6.6767585492152985</v>
      </c>
      <c r="I47" s="96">
        <v>4.2384500949185355</v>
      </c>
      <c r="J47" s="96">
        <v>52.932142847640208</v>
      </c>
      <c r="K47" s="96">
        <v>80.935815159606719</v>
      </c>
      <c r="L47" s="96">
        <v>117.95808722097651</v>
      </c>
      <c r="M47" s="96">
        <v>132.00205781131356</v>
      </c>
      <c r="N47" s="96">
        <v>125.30602602330865</v>
      </c>
      <c r="O47" s="96">
        <v>128.34882319319382</v>
      </c>
      <c r="P47" s="96">
        <v>119.97896277851237</v>
      </c>
      <c r="Q47" s="96">
        <v>101.2261286781186</v>
      </c>
      <c r="R47" s="96">
        <v>53.628233926325322</v>
      </c>
      <c r="S47" s="96">
        <v>68.739173555112416</v>
      </c>
      <c r="T47" s="96">
        <v>120.33545411833296</v>
      </c>
      <c r="U47" s="96">
        <v>140.2487280164774</v>
      </c>
      <c r="V47" s="96">
        <v>150.57768832024072</v>
      </c>
      <c r="W47" s="96">
        <v>153.99478438814558</v>
      </c>
      <c r="X47" s="96">
        <v>162.83646483082546</v>
      </c>
      <c r="Y47" s="96">
        <v>182.76440960013198</v>
      </c>
      <c r="DA47" s="171" t="s">
        <v>663</v>
      </c>
    </row>
    <row r="48" spans="1:105" ht="11.45" customHeight="1" x14ac:dyDescent="0.25">
      <c r="A48" s="111" t="s">
        <v>112</v>
      </c>
      <c r="B48" s="96">
        <v>40.162163429224726</v>
      </c>
      <c r="C48" s="96">
        <v>44.719095288114502</v>
      </c>
      <c r="D48" s="96">
        <v>59.505629525123986</v>
      </c>
      <c r="E48" s="96">
        <v>69.468781046000828</v>
      </c>
      <c r="F48" s="96">
        <v>71.45545373449454</v>
      </c>
      <c r="G48" s="96">
        <v>76.985821019518895</v>
      </c>
      <c r="H48" s="96">
        <v>90.317753840702608</v>
      </c>
      <c r="I48" s="96">
        <v>96.925785596152593</v>
      </c>
      <c r="J48" s="96">
        <v>101.25629805229548</v>
      </c>
      <c r="K48" s="96">
        <v>103.17521709129886</v>
      </c>
      <c r="L48" s="96">
        <v>106.1700120077881</v>
      </c>
      <c r="M48" s="96">
        <v>109.34432070549576</v>
      </c>
      <c r="N48" s="96">
        <v>98.869105386226778</v>
      </c>
      <c r="O48" s="96">
        <v>98.058704013169063</v>
      </c>
      <c r="P48" s="96">
        <v>107.39974217367288</v>
      </c>
      <c r="Q48" s="96">
        <v>106.89243842468957</v>
      </c>
      <c r="R48" s="96">
        <v>106.75102639167568</v>
      </c>
      <c r="S48" s="96">
        <v>103.44566652864859</v>
      </c>
      <c r="T48" s="96">
        <v>107.82748211753875</v>
      </c>
      <c r="U48" s="96">
        <v>108.19925085539931</v>
      </c>
      <c r="V48" s="96">
        <v>104.0912592056675</v>
      </c>
      <c r="W48" s="96">
        <v>103.77823029081063</v>
      </c>
      <c r="X48" s="96">
        <v>98.449686260353715</v>
      </c>
      <c r="Y48" s="96">
        <v>98.22409708683837</v>
      </c>
      <c r="DA48" s="171" t="s">
        <v>664</v>
      </c>
    </row>
    <row r="49" spans="1:105" ht="11.45" customHeight="1" x14ac:dyDescent="0.25">
      <c r="A49" s="111" t="s">
        <v>113</v>
      </c>
      <c r="B49" s="96">
        <v>0</v>
      </c>
      <c r="C49" s="96">
        <v>0</v>
      </c>
      <c r="D49" s="96">
        <v>0</v>
      </c>
      <c r="E49" s="96">
        <v>0</v>
      </c>
      <c r="F49" s="96">
        <v>0</v>
      </c>
      <c r="G49" s="96">
        <v>0</v>
      </c>
      <c r="H49" s="96">
        <v>0</v>
      </c>
      <c r="I49" s="96">
        <v>0</v>
      </c>
      <c r="J49" s="96">
        <v>0</v>
      </c>
      <c r="K49" s="96">
        <v>0</v>
      </c>
      <c r="L49" s="96">
        <v>0</v>
      </c>
      <c r="M49" s="96">
        <v>0</v>
      </c>
      <c r="N49" s="96">
        <v>0</v>
      </c>
      <c r="O49" s="96">
        <v>0</v>
      </c>
      <c r="P49" s="96">
        <v>0</v>
      </c>
      <c r="Q49" s="96">
        <v>2.2951177947489292</v>
      </c>
      <c r="R49" s="96">
        <v>2.7206142316430375</v>
      </c>
      <c r="S49" s="96">
        <v>2.6264907044816748</v>
      </c>
      <c r="T49" s="96">
        <v>2.7256826414129143</v>
      </c>
      <c r="U49" s="96">
        <v>2.7378598815509156</v>
      </c>
      <c r="V49" s="96">
        <v>1.9963178157129227</v>
      </c>
      <c r="W49" s="96">
        <v>1.7955624991493204</v>
      </c>
      <c r="X49" s="96">
        <v>1.6772676577352263</v>
      </c>
      <c r="Y49" s="96">
        <v>1.6130969626434817</v>
      </c>
      <c r="DA49" s="171" t="s">
        <v>665</v>
      </c>
    </row>
    <row r="50" spans="1:105" ht="11.45" customHeight="1" x14ac:dyDescent="0.25">
      <c r="A50" s="160" t="s">
        <v>132</v>
      </c>
      <c r="B50" s="96">
        <v>0</v>
      </c>
      <c r="C50" s="96">
        <v>0</v>
      </c>
      <c r="D50" s="96">
        <v>0</v>
      </c>
      <c r="E50" s="96">
        <v>0</v>
      </c>
      <c r="F50" s="96">
        <v>0</v>
      </c>
      <c r="G50" s="96">
        <v>0</v>
      </c>
      <c r="H50" s="96">
        <v>0</v>
      </c>
      <c r="I50" s="96">
        <v>0</v>
      </c>
      <c r="J50" s="96">
        <v>0</v>
      </c>
      <c r="K50" s="96">
        <v>0</v>
      </c>
      <c r="L50" s="96">
        <v>0</v>
      </c>
      <c r="M50" s="96">
        <v>0</v>
      </c>
      <c r="N50" s="96">
        <v>0</v>
      </c>
      <c r="O50" s="96">
        <v>0</v>
      </c>
      <c r="P50" s="96">
        <v>0</v>
      </c>
      <c r="Q50" s="96">
        <v>0</v>
      </c>
      <c r="R50" s="96">
        <v>0</v>
      </c>
      <c r="S50" s="96">
        <v>0</v>
      </c>
      <c r="T50" s="96">
        <v>0</v>
      </c>
      <c r="U50" s="96">
        <v>0</v>
      </c>
      <c r="V50" s="96">
        <v>0</v>
      </c>
      <c r="W50" s="96">
        <v>0</v>
      </c>
      <c r="X50" s="96">
        <v>0</v>
      </c>
      <c r="Y50" s="96">
        <v>0</v>
      </c>
      <c r="DA50" s="171" t="s">
        <v>666</v>
      </c>
    </row>
    <row r="51" spans="1:105" ht="11.45" customHeight="1" x14ac:dyDescent="0.25">
      <c r="A51" s="111" t="s">
        <v>115</v>
      </c>
      <c r="B51" s="96">
        <v>0</v>
      </c>
      <c r="C51" s="96">
        <v>0</v>
      </c>
      <c r="D51" s="96">
        <v>0</v>
      </c>
      <c r="E51" s="96">
        <v>0</v>
      </c>
      <c r="F51" s="96">
        <v>0</v>
      </c>
      <c r="G51" s="96">
        <v>0</v>
      </c>
      <c r="H51" s="96">
        <v>0</v>
      </c>
      <c r="I51" s="96">
        <v>0</v>
      </c>
      <c r="J51" s="96">
        <v>0</v>
      </c>
      <c r="K51" s="96">
        <v>0</v>
      </c>
      <c r="L51" s="96">
        <v>0</v>
      </c>
      <c r="M51" s="96">
        <v>0</v>
      </c>
      <c r="N51" s="96">
        <v>7.8543559007910333E-4</v>
      </c>
      <c r="O51" s="96">
        <v>1.4710753123708014E-3</v>
      </c>
      <c r="P51" s="96">
        <v>1.9355176505003505E-3</v>
      </c>
      <c r="Q51" s="96">
        <v>2.8132513092918765E-3</v>
      </c>
      <c r="R51" s="96">
        <v>3.6396694024810328E-3</v>
      </c>
      <c r="S51" s="96">
        <v>5.4139140760168479E-3</v>
      </c>
      <c r="T51" s="96">
        <v>1.16993095294351E-2</v>
      </c>
      <c r="U51" s="96">
        <v>3.2218366506323662E-2</v>
      </c>
      <c r="V51" s="96">
        <v>7.1218188520566855E-2</v>
      </c>
      <c r="W51" s="96">
        <v>0.16844506222552294</v>
      </c>
      <c r="X51" s="96">
        <v>0.35958361864297311</v>
      </c>
      <c r="Y51" s="96">
        <v>0.93787043222161715</v>
      </c>
      <c r="DA51" s="171" t="s">
        <v>667</v>
      </c>
    </row>
    <row r="52" spans="1:105" ht="11.45" customHeight="1" x14ac:dyDescent="0.25">
      <c r="A52" s="109" t="s">
        <v>186</v>
      </c>
      <c r="B52" s="130">
        <f t="shared" ref="B52:K52" si="34">B53+B55</f>
        <v>725.15280229479799</v>
      </c>
      <c r="C52" s="130">
        <f t="shared" si="34"/>
        <v>943.26387806010428</v>
      </c>
      <c r="D52" s="130">
        <f t="shared" si="34"/>
        <v>710.05066516363752</v>
      </c>
      <c r="E52" s="130">
        <f t="shared" si="34"/>
        <v>1199.3070108664078</v>
      </c>
      <c r="F52" s="130">
        <f t="shared" si="34"/>
        <v>1797.0534545319686</v>
      </c>
      <c r="G52" s="130">
        <f t="shared" si="34"/>
        <v>2535.7515807315422</v>
      </c>
      <c r="H52" s="130">
        <f t="shared" si="34"/>
        <v>2957.0607847867632</v>
      </c>
      <c r="I52" s="130">
        <f t="shared" si="34"/>
        <v>3516.3481771011866</v>
      </c>
      <c r="J52" s="130">
        <f t="shared" si="34"/>
        <v>3817.6575506064296</v>
      </c>
      <c r="K52" s="130">
        <f t="shared" si="34"/>
        <v>3748.5819453883796</v>
      </c>
      <c r="L52" s="130">
        <f t="shared" ref="L52" si="35">L53+L55</f>
        <v>4190.9317257165631</v>
      </c>
      <c r="M52" s="130">
        <f t="shared" ref="M52:V52" si="36">M53+M55</f>
        <v>4188.7044660144593</v>
      </c>
      <c r="N52" s="130">
        <f t="shared" si="36"/>
        <v>3539.1590947586205</v>
      </c>
      <c r="O52" s="130">
        <f t="shared" si="36"/>
        <v>2914.9162097013227</v>
      </c>
      <c r="P52" s="130">
        <f t="shared" si="36"/>
        <v>2984.1558014821103</v>
      </c>
      <c r="Q52" s="130">
        <f t="shared" si="36"/>
        <v>3150.6855071620312</v>
      </c>
      <c r="R52" s="130">
        <f t="shared" si="36"/>
        <v>4246.8867483334952</v>
      </c>
      <c r="S52" s="130">
        <f t="shared" si="36"/>
        <v>5841.5689033368062</v>
      </c>
      <c r="T52" s="130">
        <f t="shared" si="36"/>
        <v>6021.3621581307998</v>
      </c>
      <c r="U52" s="130">
        <f t="shared" si="36"/>
        <v>6001.5482232101422</v>
      </c>
      <c r="V52" s="130">
        <f t="shared" si="36"/>
        <v>5560.2679777900657</v>
      </c>
      <c r="W52" s="130">
        <f t="shared" ref="W52:Y52" si="37">W53+W55</f>
        <v>7260.561428716449</v>
      </c>
      <c r="X52" s="130">
        <f t="shared" si="37"/>
        <v>7375.7573624498864</v>
      </c>
      <c r="Y52" s="130">
        <f t="shared" si="37"/>
        <v>7140.2246720880412</v>
      </c>
      <c r="DA52" s="176" t="s">
        <v>401</v>
      </c>
    </row>
    <row r="53" spans="1:105" ht="11.45" customHeight="1" x14ac:dyDescent="0.25">
      <c r="A53" s="128" t="s">
        <v>27</v>
      </c>
      <c r="B53" s="97">
        <v>553.10096800348867</v>
      </c>
      <c r="C53" s="97">
        <v>713.91932958042321</v>
      </c>
      <c r="D53" s="97">
        <v>536.72103003156053</v>
      </c>
      <c r="E53" s="97">
        <v>918.00288581218297</v>
      </c>
      <c r="F53" s="97">
        <v>1372.8231506225777</v>
      </c>
      <c r="G53" s="97">
        <v>1945.76969222198</v>
      </c>
      <c r="H53" s="97">
        <v>2158.6745355020798</v>
      </c>
      <c r="I53" s="97">
        <v>2680.5748837236024</v>
      </c>
      <c r="J53" s="97">
        <v>2955.5326135438963</v>
      </c>
      <c r="K53" s="97">
        <v>2995.7770237311493</v>
      </c>
      <c r="L53" s="97">
        <v>3282.4108173838144</v>
      </c>
      <c r="M53" s="97">
        <v>3309.4919087727944</v>
      </c>
      <c r="N53" s="97">
        <v>2739.6902591944995</v>
      </c>
      <c r="O53" s="97">
        <v>2271.0515195233652</v>
      </c>
      <c r="P53" s="97">
        <v>2307.895446559673</v>
      </c>
      <c r="Q53" s="97">
        <v>2457.945373513599</v>
      </c>
      <c r="R53" s="97">
        <v>3228.4557827661215</v>
      </c>
      <c r="S53" s="97">
        <v>4402.16867092344</v>
      </c>
      <c r="T53" s="97">
        <v>4659.1223231389531</v>
      </c>
      <c r="U53" s="97">
        <v>4483.7265271682436</v>
      </c>
      <c r="V53" s="97">
        <v>4227.2836630116835</v>
      </c>
      <c r="W53" s="97">
        <v>5528.2566282822063</v>
      </c>
      <c r="X53" s="97">
        <v>5564.9284157338725</v>
      </c>
      <c r="Y53" s="97">
        <v>5322.8594400135635</v>
      </c>
      <c r="DA53" s="175" t="s">
        <v>668</v>
      </c>
    </row>
    <row r="54" spans="1:105" ht="11.45" customHeight="1" x14ac:dyDescent="0.25">
      <c r="A54" s="160" t="s">
        <v>131</v>
      </c>
      <c r="B54" s="97">
        <v>0</v>
      </c>
      <c r="C54" s="97">
        <v>0</v>
      </c>
      <c r="D54" s="97">
        <v>0</v>
      </c>
      <c r="E54" s="97">
        <v>0</v>
      </c>
      <c r="F54" s="97">
        <v>0</v>
      </c>
      <c r="G54" s="97">
        <v>5.4610988519104566</v>
      </c>
      <c r="H54" s="97">
        <v>11.7224612022623</v>
      </c>
      <c r="I54" s="97">
        <v>8.4510780185961618</v>
      </c>
      <c r="J54" s="97">
        <v>104.50380962670988</v>
      </c>
      <c r="K54" s="97">
        <v>152.0985159764671</v>
      </c>
      <c r="L54" s="97">
        <v>221.96369760555223</v>
      </c>
      <c r="M54" s="97">
        <v>230.62025052410675</v>
      </c>
      <c r="N54" s="97">
        <v>178.46635604788884</v>
      </c>
      <c r="O54" s="97">
        <v>145.3627009897923</v>
      </c>
      <c r="P54" s="97">
        <v>137.20835302696503</v>
      </c>
      <c r="Q54" s="97">
        <v>120.1199208901958</v>
      </c>
      <c r="R54" s="97">
        <v>78.898305645008463</v>
      </c>
      <c r="S54" s="97">
        <v>132.57163564314533</v>
      </c>
      <c r="T54" s="97">
        <v>231.39488594502666</v>
      </c>
      <c r="U54" s="97">
        <v>248.2836769618047</v>
      </c>
      <c r="V54" s="97">
        <v>245.68598847623772</v>
      </c>
      <c r="W54" s="97">
        <v>316.21524584349152</v>
      </c>
      <c r="X54" s="97">
        <v>335.3111549056635</v>
      </c>
      <c r="Y54" s="97">
        <v>355.28656037437628</v>
      </c>
      <c r="DA54" s="175" t="s">
        <v>669</v>
      </c>
    </row>
    <row r="55" spans="1:105" ht="11.45" customHeight="1" x14ac:dyDescent="0.25">
      <c r="A55" s="128" t="s">
        <v>116</v>
      </c>
      <c r="B55" s="97">
        <v>172.05183429130929</v>
      </c>
      <c r="C55" s="97">
        <v>229.34454847968109</v>
      </c>
      <c r="D55" s="97">
        <v>173.32963513207696</v>
      </c>
      <c r="E55" s="97">
        <v>281.30412505422493</v>
      </c>
      <c r="F55" s="97">
        <v>424.23030390939084</v>
      </c>
      <c r="G55" s="97">
        <v>589.98188850956228</v>
      </c>
      <c r="H55" s="97">
        <v>798.38624928468323</v>
      </c>
      <c r="I55" s="97">
        <v>835.7732933775842</v>
      </c>
      <c r="J55" s="97">
        <v>862.12493706253315</v>
      </c>
      <c r="K55" s="97">
        <v>752.80492165723012</v>
      </c>
      <c r="L55" s="97">
        <v>908.52090833274849</v>
      </c>
      <c r="M55" s="97">
        <v>879.21255724166485</v>
      </c>
      <c r="N55" s="97">
        <v>799.46883556412104</v>
      </c>
      <c r="O55" s="97">
        <v>643.86469017795741</v>
      </c>
      <c r="P55" s="97">
        <v>676.26035492243705</v>
      </c>
      <c r="Q55" s="97">
        <v>692.74013364843199</v>
      </c>
      <c r="R55" s="97">
        <v>1018.4309655673734</v>
      </c>
      <c r="S55" s="97">
        <v>1439.4002324133662</v>
      </c>
      <c r="T55" s="97">
        <v>1362.2398349918462</v>
      </c>
      <c r="U55" s="97">
        <v>1517.8216960418981</v>
      </c>
      <c r="V55" s="97">
        <v>1332.9843147783822</v>
      </c>
      <c r="W55" s="97">
        <v>1732.3048004342425</v>
      </c>
      <c r="X55" s="97">
        <v>1810.8289467160137</v>
      </c>
      <c r="Y55" s="97">
        <v>1817.3652320744779</v>
      </c>
      <c r="DA55" s="175" t="s">
        <v>670</v>
      </c>
    </row>
    <row r="56" spans="1:105" ht="11.45" customHeight="1" x14ac:dyDescent="0.25">
      <c r="A56" s="161" t="s">
        <v>131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1.6558739849155604</v>
      </c>
      <c r="H56" s="98">
        <v>4.3355548405923177</v>
      </c>
      <c r="I56" s="98">
        <v>2.6349516855807855</v>
      </c>
      <c r="J56" s="98">
        <v>30.483622438932052</v>
      </c>
      <c r="K56" s="98">
        <v>38.220638751424296</v>
      </c>
      <c r="L56" s="98">
        <v>61.436142940273442</v>
      </c>
      <c r="M56" s="98">
        <v>61.267477245533179</v>
      </c>
      <c r="N56" s="98">
        <v>52.078255699944222</v>
      </c>
      <c r="O56" s="98">
        <v>41.211707278162756</v>
      </c>
      <c r="P56" s="98">
        <v>40.20484101853755</v>
      </c>
      <c r="Q56" s="98">
        <v>33.854247107356592</v>
      </c>
      <c r="R56" s="98">
        <v>24.88882704499369</v>
      </c>
      <c r="S56" s="98">
        <v>43.347644631738888</v>
      </c>
      <c r="T56" s="98">
        <v>67.655517366915277</v>
      </c>
      <c r="U56" s="98">
        <v>84.048469366326344</v>
      </c>
      <c r="V56" s="98">
        <v>77.471869670162249</v>
      </c>
      <c r="W56" s="98">
        <v>99.087510797302869</v>
      </c>
      <c r="X56" s="98">
        <v>109.11032453593201</v>
      </c>
      <c r="Y56" s="98">
        <v>121.30424436796257</v>
      </c>
      <c r="DA56" s="178" t="s">
        <v>671</v>
      </c>
    </row>
    <row r="57" spans="1:105" x14ac:dyDescent="0.25">
      <c r="A57" s="106"/>
      <c r="B57" s="106"/>
      <c r="C57" s="106"/>
      <c r="D57" s="106"/>
      <c r="E57" s="106"/>
      <c r="F57" s="106"/>
      <c r="G57" s="106"/>
      <c r="H57" s="106"/>
      <c r="I57" s="106"/>
      <c r="J57" s="106"/>
      <c r="K57" s="106"/>
      <c r="L57" s="106"/>
      <c r="M57" s="106"/>
      <c r="N57" s="106"/>
      <c r="O57" s="106"/>
      <c r="P57" s="106"/>
      <c r="Q57" s="106"/>
      <c r="R57" s="106"/>
      <c r="S57" s="106"/>
      <c r="T57" s="106"/>
      <c r="U57" s="106"/>
      <c r="V57" s="106"/>
      <c r="W57" s="106"/>
      <c r="X57" s="106"/>
      <c r="Y57" s="106"/>
      <c r="DA57" s="171"/>
    </row>
    <row r="58" spans="1:105" ht="11.45" customHeight="1" x14ac:dyDescent="0.25">
      <c r="A58" s="68" t="s">
        <v>36</v>
      </c>
      <c r="B58" s="69"/>
      <c r="C58" s="69"/>
      <c r="D58" s="69"/>
      <c r="E58" s="69"/>
      <c r="F58" s="69"/>
      <c r="G58" s="69"/>
      <c r="H58" s="69"/>
      <c r="I58" s="69"/>
      <c r="J58" s="69"/>
      <c r="K58" s="69"/>
      <c r="L58" s="69"/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69"/>
      <c r="X58" s="69"/>
      <c r="Y58" s="69"/>
      <c r="DA58" s="179"/>
    </row>
    <row r="59" spans="1:105" x14ac:dyDescent="0.25">
      <c r="A59" s="106"/>
      <c r="B59" s="106"/>
      <c r="C59" s="106"/>
      <c r="D59" s="106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X59" s="106"/>
      <c r="Y59" s="106"/>
      <c r="DA59" s="171"/>
    </row>
    <row r="60" spans="1:105" ht="11.45" customHeight="1" x14ac:dyDescent="0.25">
      <c r="A60" s="53" t="s">
        <v>73</v>
      </c>
      <c r="B60" s="79">
        <f>IF(B17=0,0,B17/TrRoad_act!B30*100)</f>
        <v>8.946498852637097</v>
      </c>
      <c r="C60" s="79">
        <f>IF(C17=0,0,C17/TrRoad_act!C30*100)</f>
        <v>8.9573959880055796</v>
      </c>
      <c r="D60" s="79">
        <f>IF(D17=0,0,D17/TrRoad_act!D30*100)</f>
        <v>8.542913443350983</v>
      </c>
      <c r="E60" s="79">
        <f>IF(E17=0,0,E17/TrRoad_act!E30*100)</f>
        <v>8.9381070490687993</v>
      </c>
      <c r="F60" s="79">
        <f>IF(F17=0,0,F17/TrRoad_act!F30*100)</f>
        <v>9.3255254570358481</v>
      </c>
      <c r="G60" s="79">
        <f>IF(G17=0,0,G17/TrRoad_act!G30*100)</f>
        <v>10.022924803498915</v>
      </c>
      <c r="H60" s="79">
        <f>IF(H17=0,0,H17/TrRoad_act!H30*100)</f>
        <v>10.140536670039316</v>
      </c>
      <c r="I60" s="79">
        <f>IF(I17=0,0,I17/TrRoad_act!I30*100)</f>
        <v>10.282723083639498</v>
      </c>
      <c r="J60" s="79">
        <f>IF(J17=0,0,J17/TrRoad_act!J30*100)</f>
        <v>10.077554650253798</v>
      </c>
      <c r="K60" s="79">
        <f>IF(K17=0,0,K17/TrRoad_act!K30*100)</f>
        <v>9.7438347022913341</v>
      </c>
      <c r="L60" s="79">
        <f>IF(L17=0,0,L17/TrRoad_act!L30*100)</f>
        <v>9.7773961625010415</v>
      </c>
      <c r="M60" s="79">
        <f>IF(M17=0,0,M17/TrRoad_act!M30*100)</f>
        <v>9.6115916557777492</v>
      </c>
      <c r="N60" s="79">
        <f>IF(N17=0,0,N17/TrRoad_act!N30*100)</f>
        <v>9.21185702367017</v>
      </c>
      <c r="O60" s="79">
        <f>IF(O17=0,0,O17/TrRoad_act!O30*100)</f>
        <v>8.791980079094861</v>
      </c>
      <c r="P60" s="79">
        <f>IF(P17=0,0,P17/TrRoad_act!P30*100)</f>
        <v>8.7931811905613451</v>
      </c>
      <c r="Q60" s="79">
        <f>IF(Q17=0,0,Q17/TrRoad_act!Q30*100)</f>
        <v>8.7183856876221935</v>
      </c>
      <c r="R60" s="79">
        <f>IF(R17=0,0,R17/TrRoad_act!R30*100)</f>
        <v>9.3369838473449214</v>
      </c>
      <c r="S60" s="79">
        <f>IF(S17=0,0,S17/TrRoad_act!S30*100)</f>
        <v>9.8796584873081841</v>
      </c>
      <c r="T60" s="79">
        <f>IF(T17=0,0,T17/TrRoad_act!T30*100)</f>
        <v>9.6118819783057923</v>
      </c>
      <c r="U60" s="79">
        <f>IF(U17=0,0,U17/TrRoad_act!U30*100)</f>
        <v>9.4656944158939584</v>
      </c>
      <c r="V60" s="79">
        <f>IF(V17=0,0,V17/TrRoad_act!V30*100)</f>
        <v>8.9735736823115673</v>
      </c>
      <c r="W60" s="79">
        <f>IF(W17=0,0,W17/TrRoad_act!W30*100)</f>
        <v>9.6805278391753049</v>
      </c>
      <c r="X60" s="79">
        <f>IF(X17=0,0,X17/TrRoad_act!X30*100)</f>
        <v>9.6025369238887226</v>
      </c>
      <c r="Y60" s="79">
        <f>IF(Y17=0,0,Y17/TrRoad_act!Y30*100)</f>
        <v>9.3661293860579491</v>
      </c>
      <c r="DA60" s="172" t="s">
        <v>672</v>
      </c>
    </row>
    <row r="61" spans="1:105" ht="11.45" customHeight="1" x14ac:dyDescent="0.25">
      <c r="A61" s="27" t="s">
        <v>33</v>
      </c>
      <c r="B61" s="32">
        <f>IF(B18=0,0,B18/TrRoad_act!B31*100)</f>
        <v>8.5941567753809256</v>
      </c>
      <c r="C61" s="32">
        <f>IF(C18=0,0,C18/TrRoad_act!C31*100)</f>
        <v>8.4022726917517119</v>
      </c>
      <c r="D61" s="32">
        <f>IF(D18=0,0,D18/TrRoad_act!D31*100)</f>
        <v>8.1918434566980984</v>
      </c>
      <c r="E61" s="32">
        <f>IF(E18=0,0,E18/TrRoad_act!E31*100)</f>
        <v>8.1726047814877916</v>
      </c>
      <c r="F61" s="32">
        <f>IF(F18=0,0,F18/TrRoad_act!F31*100)</f>
        <v>8.1970232930537659</v>
      </c>
      <c r="G61" s="32">
        <f>IF(G18=0,0,G18/TrRoad_act!G31*100)</f>
        <v>8.3015051899075551</v>
      </c>
      <c r="H61" s="32">
        <f>IF(H18=0,0,H18/TrRoad_act!H31*100)</f>
        <v>8.232291685327775</v>
      </c>
      <c r="I61" s="32">
        <f>IF(I18=0,0,I18/TrRoad_act!I31*100)</f>
        <v>8.1378952908842344</v>
      </c>
      <c r="J61" s="32">
        <f>IF(J18=0,0,J18/TrRoad_act!J31*100)</f>
        <v>7.8804292023071429</v>
      </c>
      <c r="K61" s="32">
        <f>IF(K18=0,0,K18/TrRoad_act!K31*100)</f>
        <v>7.7286386298302325</v>
      </c>
      <c r="L61" s="32">
        <f>IF(L18=0,0,L18/TrRoad_act!L31*100)</f>
        <v>7.6292551522427896</v>
      </c>
      <c r="M61" s="32">
        <f>IF(M18=0,0,M18/TrRoad_act!M31*100)</f>
        <v>7.5387928187041844</v>
      </c>
      <c r="N61" s="32">
        <f>IF(N18=0,0,N18/TrRoad_act!N31*100)</f>
        <v>7.498849014659779</v>
      </c>
      <c r="O61" s="32">
        <f>IF(O18=0,0,O18/TrRoad_act!O31*100)</f>
        <v>7.441356787406618</v>
      </c>
      <c r="P61" s="32">
        <f>IF(P18=0,0,P18/TrRoad_act!P31*100)</f>
        <v>7.3997335426475273</v>
      </c>
      <c r="Q61" s="32">
        <f>IF(Q18=0,0,Q18/TrRoad_act!Q31*100)</f>
        <v>7.3372204913168062</v>
      </c>
      <c r="R61" s="32">
        <f>IF(R18=0,0,R18/TrRoad_act!R31*100)</f>
        <v>7.4914180441380829</v>
      </c>
      <c r="S61" s="32">
        <f>IF(S18=0,0,S18/TrRoad_act!S31*100)</f>
        <v>7.4924747917758552</v>
      </c>
      <c r="T61" s="32">
        <f>IF(T18=0,0,T18/TrRoad_act!T31*100)</f>
        <v>7.2024130328574172</v>
      </c>
      <c r="U61" s="32">
        <f>IF(U18=0,0,U18/TrRoad_act!U31*100)</f>
        <v>7.1562836917787624</v>
      </c>
      <c r="V61" s="32">
        <f>IF(V18=0,0,V18/TrRoad_act!V31*100)</f>
        <v>6.8093274716200174</v>
      </c>
      <c r="W61" s="32">
        <f>IF(W18=0,0,W18/TrRoad_act!W31*100)</f>
        <v>6.836392943135106</v>
      </c>
      <c r="X61" s="32">
        <f>IF(X18=0,0,X18/TrRoad_act!X31*100)</f>
        <v>6.8062300584679232</v>
      </c>
      <c r="Y61" s="32">
        <f>IF(Y18=0,0,Y18/TrRoad_act!Y31*100)</f>
        <v>6.6708934063612393</v>
      </c>
      <c r="DA61" s="173" t="s">
        <v>673</v>
      </c>
    </row>
    <row r="62" spans="1:105" ht="11.45" customHeight="1" x14ac:dyDescent="0.25">
      <c r="A62" s="136" t="s">
        <v>173</v>
      </c>
      <c r="B62" s="141">
        <f>IF(B19=0,0,B19/TrRoad_act!B32*100)</f>
        <v>4.7749801725673642</v>
      </c>
      <c r="C62" s="141">
        <f>IF(C19=0,0,C19/TrRoad_act!C32*100)</f>
        <v>4.6058584296236518</v>
      </c>
      <c r="D62" s="141">
        <f>IF(D19=0,0,D19/TrRoad_act!D32*100)</f>
        <v>4.7038506773128592</v>
      </c>
      <c r="E62" s="141">
        <f>IF(E19=0,0,E19/TrRoad_act!E32*100)</f>
        <v>4.475466353959126</v>
      </c>
      <c r="F62" s="141">
        <f>IF(F19=0,0,F19/TrRoad_act!F32*100)</f>
        <v>4.4727214507302051</v>
      </c>
      <c r="G62" s="141">
        <f>IF(G19=0,0,G19/TrRoad_act!G32*100)</f>
        <v>4.3302380725581857</v>
      </c>
      <c r="H62" s="141">
        <f>IF(H19=0,0,H19/TrRoad_act!H32*100)</f>
        <v>4.2800475049880315</v>
      </c>
      <c r="I62" s="141">
        <f>IF(I19=0,0,I19/TrRoad_act!I32*100)</f>
        <v>4.2159730598791452</v>
      </c>
      <c r="J62" s="141">
        <f>IF(J19=0,0,J19/TrRoad_act!J32*100)</f>
        <v>4.3237062804597413</v>
      </c>
      <c r="K62" s="141">
        <f>IF(K19=0,0,K19/TrRoad_act!K32*100)</f>
        <v>4.0233185605885575</v>
      </c>
      <c r="L62" s="141">
        <f>IF(L19=0,0,L19/TrRoad_act!L32*100)</f>
        <v>3.9617438138620549</v>
      </c>
      <c r="M62" s="141">
        <f>IF(M19=0,0,M19/TrRoad_act!M32*100)</f>
        <v>3.8977282626271341</v>
      </c>
      <c r="N62" s="141">
        <f>IF(N19=0,0,N19/TrRoad_act!N32*100)</f>
        <v>3.8535612649745614</v>
      </c>
      <c r="O62" s="141">
        <f>IF(O19=0,0,O19/TrRoad_act!O32*100)</f>
        <v>3.8108139010691136</v>
      </c>
      <c r="P62" s="141">
        <f>IF(P19=0,0,P19/TrRoad_act!P32*100)</f>
        <v>3.7858012470235387</v>
      </c>
      <c r="Q62" s="141">
        <f>IF(Q19=0,0,Q19/TrRoad_act!Q32*100)</f>
        <v>3.7385275805072289</v>
      </c>
      <c r="R62" s="141">
        <f>IF(R19=0,0,R19/TrRoad_act!R32*100)</f>
        <v>3.6951782982713968</v>
      </c>
      <c r="S62" s="141">
        <f>IF(S19=0,0,S19/TrRoad_act!S32*100)</f>
        <v>3.6734853070167639</v>
      </c>
      <c r="T62" s="141">
        <f>IF(T19=0,0,T19/TrRoad_act!T32*100)</f>
        <v>3.6480260338638848</v>
      </c>
      <c r="U62" s="141">
        <f>IF(U19=0,0,U19/TrRoad_act!U32*100)</f>
        <v>3.6340791693893308</v>
      </c>
      <c r="V62" s="141">
        <f>IF(V19=0,0,V19/TrRoad_act!V32*100)</f>
        <v>3.6203332523770775</v>
      </c>
      <c r="W62" s="141">
        <f>IF(W19=0,0,W19/TrRoad_act!W32*100)</f>
        <v>3.6088329822470606</v>
      </c>
      <c r="X62" s="141">
        <f>IF(X19=0,0,X19/TrRoad_act!X32*100)</f>
        <v>3.5981880358440868</v>
      </c>
      <c r="Y62" s="141">
        <f>IF(Y19=0,0,Y19/TrRoad_act!Y32*100)</f>
        <v>3.5875964047732944</v>
      </c>
      <c r="DA62" s="174" t="s">
        <v>674</v>
      </c>
    </row>
    <row r="63" spans="1:105" ht="11.45" customHeight="1" x14ac:dyDescent="0.25">
      <c r="A63" s="109" t="s">
        <v>20</v>
      </c>
      <c r="B63" s="130">
        <f>IF(B21=0,0,B21/TrRoad_act!B33*100)</f>
        <v>7.4875927273400826</v>
      </c>
      <c r="C63" s="130">
        <f>IF(C21=0,0,C21/TrRoad_act!C33*100)</f>
        <v>7.3723180458124915</v>
      </c>
      <c r="D63" s="130">
        <f>IF(D21=0,0,D21/TrRoad_act!D33*100)</f>
        <v>7.1895241714740754</v>
      </c>
      <c r="E63" s="130">
        <f>IF(E21=0,0,E21/TrRoad_act!E33*100)</f>
        <v>7.2618975738413898</v>
      </c>
      <c r="F63" s="130">
        <f>IF(F21=0,0,F21/TrRoad_act!F33*100)</f>
        <v>7.3307496797997587</v>
      </c>
      <c r="G63" s="130">
        <f>IF(G21=0,0,G21/TrRoad_act!G33*100)</f>
        <v>7.4687542858812783</v>
      </c>
      <c r="H63" s="130">
        <f>IF(H21=0,0,H21/TrRoad_act!H33*100)</f>
        <v>7.5324132675270699</v>
      </c>
      <c r="I63" s="130">
        <f>IF(I21=0,0,I21/TrRoad_act!I33*100)</f>
        <v>7.5046492859454972</v>
      </c>
      <c r="J63" s="130">
        <f>IF(J21=0,0,J21/TrRoad_act!J33*100)</f>
        <v>7.3126328030558598</v>
      </c>
      <c r="K63" s="130">
        <f>IF(K21=0,0,K21/TrRoad_act!K33*100)</f>
        <v>7.1982624541362297</v>
      </c>
      <c r="L63" s="130">
        <f>IF(L21=0,0,L21/TrRoad_act!L33*100)</f>
        <v>7.1384433284132927</v>
      </c>
      <c r="M63" s="130">
        <f>IF(M21=0,0,M21/TrRoad_act!M33*100)</f>
        <v>7.0500777124444802</v>
      </c>
      <c r="N63" s="130">
        <f>IF(N21=0,0,N21/TrRoad_act!N33*100)</f>
        <v>7.0186029740680818</v>
      </c>
      <c r="O63" s="130">
        <f>IF(O21=0,0,O21/TrRoad_act!O33*100)</f>
        <v>6.9319917800134174</v>
      </c>
      <c r="P63" s="130">
        <f>IF(P21=0,0,P21/TrRoad_act!P33*100)</f>
        <v>6.8802888458413367</v>
      </c>
      <c r="Q63" s="130">
        <f>IF(Q21=0,0,Q21/TrRoad_act!Q33*100)</f>
        <v>6.7620440656411818</v>
      </c>
      <c r="R63" s="130">
        <f>IF(R21=0,0,R21/TrRoad_act!R33*100)</f>
        <v>6.9644140278818423</v>
      </c>
      <c r="S63" s="130">
        <f>IF(S21=0,0,S21/TrRoad_act!S33*100)</f>
        <v>7.0250007263509575</v>
      </c>
      <c r="T63" s="130">
        <f>IF(T21=0,0,T21/TrRoad_act!T33*100)</f>
        <v>6.7900525894351178</v>
      </c>
      <c r="U63" s="130">
        <f>IF(U21=0,0,U21/TrRoad_act!U33*100)</f>
        <v>6.7404821835312809</v>
      </c>
      <c r="V63" s="130">
        <f>IF(V21=0,0,V21/TrRoad_act!V33*100)</f>
        <v>6.3935376564696629</v>
      </c>
      <c r="W63" s="130">
        <f>IF(W21=0,0,W21/TrRoad_act!W33*100)</f>
        <v>6.423879057142007</v>
      </c>
      <c r="X63" s="130">
        <f>IF(X21=0,0,X21/TrRoad_act!X33*100)</f>
        <v>6.4122154322984741</v>
      </c>
      <c r="Y63" s="130">
        <f>IF(Y21=0,0,Y21/TrRoad_act!Y33*100)</f>
        <v>6.2975400379337758</v>
      </c>
      <c r="DA63" s="176" t="s">
        <v>675</v>
      </c>
    </row>
    <row r="64" spans="1:105" ht="11.45" customHeight="1" x14ac:dyDescent="0.25">
      <c r="A64" s="111" t="s">
        <v>110</v>
      </c>
      <c r="B64" s="96">
        <f>IF(B22=0,0,B22/TrRoad_act!B34*100)</f>
        <v>7.4181990505750308</v>
      </c>
      <c r="C64" s="96">
        <f>IF(C22=0,0,C22/TrRoad_act!C34*100)</f>
        <v>7.3356834102707911</v>
      </c>
      <c r="D64" s="96">
        <f>IF(D22=0,0,D22/TrRoad_act!D34*100)</f>
        <v>6.9856981275466552</v>
      </c>
      <c r="E64" s="96">
        <f>IF(E22=0,0,E22/TrRoad_act!E34*100)</f>
        <v>7.0927529367114346</v>
      </c>
      <c r="F64" s="96">
        <f>IF(F22=0,0,F22/TrRoad_act!F34*100)</f>
        <v>7.2674851074458369</v>
      </c>
      <c r="G64" s="96">
        <f>IF(G22=0,0,G22/TrRoad_act!G34*100)</f>
        <v>7.1246698788345135</v>
      </c>
      <c r="H64" s="96">
        <f>IF(H22=0,0,H22/TrRoad_act!H34*100)</f>
        <v>7.1232482157774433</v>
      </c>
      <c r="I64" s="96">
        <f>IF(I22=0,0,I22/TrRoad_act!I34*100)</f>
        <v>7.2012246222158032</v>
      </c>
      <c r="J64" s="96">
        <f>IF(J22=0,0,J22/TrRoad_act!J34*100)</f>
        <v>7.2734615452449827</v>
      </c>
      <c r="K64" s="96">
        <f>IF(K22=0,0,K22/TrRoad_act!K34*100)</f>
        <v>7.4807638195573167</v>
      </c>
      <c r="L64" s="96">
        <f>IF(L22=0,0,L22/TrRoad_act!L34*100)</f>
        <v>7.5759132654065224</v>
      </c>
      <c r="M64" s="96">
        <f>IF(M22=0,0,M22/TrRoad_act!M34*100)</f>
        <v>7.3800402413419102</v>
      </c>
      <c r="N64" s="96">
        <f>IF(N22=0,0,N22/TrRoad_act!N34*100)</f>
        <v>7.0983636074536713</v>
      </c>
      <c r="O64" s="96">
        <f>IF(O22=0,0,O22/TrRoad_act!O34*100)</f>
        <v>6.9582342290439536</v>
      </c>
      <c r="P64" s="96">
        <f>IF(P22=0,0,P22/TrRoad_act!P34*100)</f>
        <v>6.86910919121636</v>
      </c>
      <c r="Q64" s="96">
        <f>IF(Q22=0,0,Q22/TrRoad_act!Q34*100)</f>
        <v>6.7964623334592353</v>
      </c>
      <c r="R64" s="96">
        <f>IF(R22=0,0,R22/TrRoad_act!R34*100)</f>
        <v>7.1897948288678322</v>
      </c>
      <c r="S64" s="96">
        <f>IF(S22=0,0,S22/TrRoad_act!S34*100)</f>
        <v>7.0955584101825284</v>
      </c>
      <c r="T64" s="96">
        <f>IF(T22=0,0,T22/TrRoad_act!T34*100)</f>
        <v>6.9625779308878517</v>
      </c>
      <c r="U64" s="96">
        <f>IF(U22=0,0,U22/TrRoad_act!U34*100)</f>
        <v>6.8257114693926324</v>
      </c>
      <c r="V64" s="96">
        <f>IF(V22=0,0,V22/TrRoad_act!V34*100)</f>
        <v>6.4448876435054574</v>
      </c>
      <c r="W64" s="96">
        <f>IF(W22=0,0,W22/TrRoad_act!W34*100)</f>
        <v>6.4761669112704796</v>
      </c>
      <c r="X64" s="96">
        <f>IF(X22=0,0,X22/TrRoad_act!X34*100)</f>
        <v>6.469504261630445</v>
      </c>
      <c r="Y64" s="96">
        <f>IF(Y22=0,0,Y22/TrRoad_act!Y34*100)</f>
        <v>6.3551795742342865</v>
      </c>
      <c r="DA64" s="171" t="s">
        <v>676</v>
      </c>
    </row>
    <row r="65" spans="1:105" ht="11.45" customHeight="1" x14ac:dyDescent="0.25">
      <c r="A65" s="111" t="s">
        <v>111</v>
      </c>
      <c r="B65" s="96">
        <f>IF(B24=0,0,B24/TrRoad_act!B35*100)</f>
        <v>7.394274009979668</v>
      </c>
      <c r="C65" s="96">
        <f>IF(C24=0,0,C24/TrRoad_act!C35*100)</f>
        <v>7.0852498722378074</v>
      </c>
      <c r="D65" s="96">
        <f>IF(D24=0,0,D24/TrRoad_act!D35*100)</f>
        <v>7.1598442741581128</v>
      </c>
      <c r="E65" s="96">
        <f>IF(E24=0,0,E24/TrRoad_act!E35*100)</f>
        <v>7.2698330592460465</v>
      </c>
      <c r="F65" s="96">
        <f>IF(F24=0,0,F24/TrRoad_act!F35*100)</f>
        <v>6.9322353529635965</v>
      </c>
      <c r="G65" s="96">
        <f>IF(G24=0,0,G24/TrRoad_act!G35*100)</f>
        <v>7.6124784633688751</v>
      </c>
      <c r="H65" s="96">
        <f>IF(H24=0,0,H24/TrRoad_act!H35*100)</f>
        <v>7.9296234337837319</v>
      </c>
      <c r="I65" s="96">
        <f>IF(I24=0,0,I24/TrRoad_act!I35*100)</f>
        <v>7.8363013074015013</v>
      </c>
      <c r="J65" s="96">
        <f>IF(J24=0,0,J24/TrRoad_act!J35*100)</f>
        <v>7.3321995514378608</v>
      </c>
      <c r="K65" s="96">
        <f>IF(K24=0,0,K24/TrRoad_act!K35*100)</f>
        <v>7.2213819512313444</v>
      </c>
      <c r="L65" s="96">
        <f>IF(L24=0,0,L24/TrRoad_act!L35*100)</f>
        <v>7.3377514782808975</v>
      </c>
      <c r="M65" s="96">
        <f>IF(M24=0,0,M24/TrRoad_act!M35*100)</f>
        <v>7.0578787216808463</v>
      </c>
      <c r="N65" s="96">
        <f>IF(N24=0,0,N24/TrRoad_act!N35*100)</f>
        <v>6.7569205278025111</v>
      </c>
      <c r="O65" s="96">
        <f>IF(O24=0,0,O24/TrRoad_act!O35*100)</f>
        <v>6.5468936639164008</v>
      </c>
      <c r="P65" s="96">
        <f>IF(P24=0,0,P24/TrRoad_act!P35*100)</f>
        <v>6.4784858744603779</v>
      </c>
      <c r="Q65" s="96">
        <f>IF(Q24=0,0,Q24/TrRoad_act!Q35*100)</f>
        <v>6.3990789363964451</v>
      </c>
      <c r="R65" s="96">
        <f>IF(R24=0,0,R24/TrRoad_act!R35*100)</f>
        <v>6.6422001994520183</v>
      </c>
      <c r="S65" s="96">
        <f>IF(S24=0,0,S24/TrRoad_act!S35*100)</f>
        <v>6.8983182786885662</v>
      </c>
      <c r="T65" s="96">
        <f>IF(T24=0,0,T24/TrRoad_act!T35*100)</f>
        <v>6.7272178358928274</v>
      </c>
      <c r="U65" s="96">
        <f>IF(U24=0,0,U24/TrRoad_act!U35*100)</f>
        <v>6.6328421946351774</v>
      </c>
      <c r="V65" s="96">
        <f>IF(V24=0,0,V24/TrRoad_act!V35*100)</f>
        <v>6.3852825913052955</v>
      </c>
      <c r="W65" s="96">
        <f>IF(W24=0,0,W24/TrRoad_act!W35*100)</f>
        <v>6.2759148621400698</v>
      </c>
      <c r="X65" s="96">
        <f>IF(X24=0,0,X24/TrRoad_act!X35*100)</f>
        <v>6.2918224063726438</v>
      </c>
      <c r="Y65" s="96">
        <f>IF(Y24=0,0,Y24/TrRoad_act!Y35*100)</f>
        <v>6.2421424194281734</v>
      </c>
      <c r="DA65" s="171" t="s">
        <v>677</v>
      </c>
    </row>
    <row r="66" spans="1:105" ht="11.45" customHeight="1" x14ac:dyDescent="0.25">
      <c r="A66" s="111" t="s">
        <v>112</v>
      </c>
      <c r="B66" s="96">
        <f>IF(B26=0,0,B26/TrRoad_act!B36*100)</f>
        <v>8.409125301144778</v>
      </c>
      <c r="C66" s="96">
        <f>IF(C26=0,0,C26/TrRoad_act!C36*100)</f>
        <v>8.0173285872529707</v>
      </c>
      <c r="D66" s="96">
        <f>IF(D26=0,0,D26/TrRoad_act!D36*100)</f>
        <v>8.1649482178535298</v>
      </c>
      <c r="E66" s="96">
        <f>IF(E26=0,0,E26/TrRoad_act!E36*100)</f>
        <v>7.8008020017666313</v>
      </c>
      <c r="F66" s="96">
        <f>IF(F26=0,0,F26/TrRoad_act!F36*100)</f>
        <v>7.8593904150238068</v>
      </c>
      <c r="G66" s="96">
        <f>IF(G26=0,0,G26/TrRoad_act!G36*100)</f>
        <v>8.1923288364980564</v>
      </c>
      <c r="H66" s="96">
        <f>IF(H26=0,0,H26/TrRoad_act!H36*100)</f>
        <v>8.1313322039460463</v>
      </c>
      <c r="I66" s="96">
        <f>IF(I26=0,0,I26/TrRoad_act!I36*100)</f>
        <v>7.7841162450519601</v>
      </c>
      <c r="J66" s="96">
        <f>IF(J26=0,0,J26/TrRoad_act!J36*100)</f>
        <v>7.3651975527846236</v>
      </c>
      <c r="K66" s="96">
        <f>IF(K26=0,0,K26/TrRoad_act!K36*100)</f>
        <v>6.6000824182122315</v>
      </c>
      <c r="L66" s="96">
        <f>IF(L26=0,0,L26/TrRoad_act!L36*100)</f>
        <v>6.0231061321165518</v>
      </c>
      <c r="M66" s="96">
        <f>IF(M26=0,0,M26/TrRoad_act!M36*100)</f>
        <v>6.407385018698637</v>
      </c>
      <c r="N66" s="96">
        <f>IF(N26=0,0,N26/TrRoad_act!N36*100)</f>
        <v>7.548278747812379</v>
      </c>
      <c r="O66" s="96">
        <f>IF(O26=0,0,O26/TrRoad_act!O36*100)</f>
        <v>7.9172787883999129</v>
      </c>
      <c r="P66" s="96">
        <f>IF(P26=0,0,P26/TrRoad_act!P36*100)</f>
        <v>8.0544786546947087</v>
      </c>
      <c r="Q66" s="96">
        <f>IF(Q26=0,0,Q26/TrRoad_act!Q36*100)</f>
        <v>7.7427626201466246</v>
      </c>
      <c r="R66" s="96">
        <f>IF(R26=0,0,R26/TrRoad_act!R36*100)</f>
        <v>7.3986892462693366</v>
      </c>
      <c r="S66" s="96">
        <f>IF(S26=0,0,S26/TrRoad_act!S36*100)</f>
        <v>7.2443397476692883</v>
      </c>
      <c r="T66" s="96">
        <f>IF(T26=0,0,T26/TrRoad_act!T36*100)</f>
        <v>6.6270369561890297</v>
      </c>
      <c r="U66" s="96">
        <f>IF(U26=0,0,U26/TrRoad_act!U36*100)</f>
        <v>6.8857963170247078</v>
      </c>
      <c r="V66" s="96">
        <f>IF(V26=0,0,V26/TrRoad_act!V36*100)</f>
        <v>6.328134575794957</v>
      </c>
      <c r="W66" s="96">
        <f>IF(W26=0,0,W26/TrRoad_act!W36*100)</f>
        <v>6.7605539096914375</v>
      </c>
      <c r="X66" s="96">
        <f>IF(X26=0,0,X26/TrRoad_act!X36*100)</f>
        <v>6.6645842007081191</v>
      </c>
      <c r="Y66" s="96">
        <f>IF(Y26=0,0,Y26/TrRoad_act!Y36*100)</f>
        <v>6.3974476017846085</v>
      </c>
      <c r="DA66" s="171" t="s">
        <v>678</v>
      </c>
    </row>
    <row r="67" spans="1:105" ht="11.45" customHeight="1" x14ac:dyDescent="0.25">
      <c r="A67" s="111" t="s">
        <v>113</v>
      </c>
      <c r="B67" s="96">
        <f>IF(B27=0,0,B27/TrRoad_act!B37*100)</f>
        <v>0</v>
      </c>
      <c r="C67" s="96">
        <f>IF(C27=0,0,C27/TrRoad_act!C37*100)</f>
        <v>0</v>
      </c>
      <c r="D67" s="96">
        <f>IF(D27=0,0,D27/TrRoad_act!D37*100)</f>
        <v>0</v>
      </c>
      <c r="E67" s="96">
        <f>IF(E27=0,0,E27/TrRoad_act!E37*100)</f>
        <v>0</v>
      </c>
      <c r="F67" s="96">
        <f>IF(F27=0,0,F27/TrRoad_act!F37*100)</f>
        <v>0</v>
      </c>
      <c r="G67" s="96">
        <f>IF(G27=0,0,G27/TrRoad_act!G37*100)</f>
        <v>0</v>
      </c>
      <c r="H67" s="96">
        <f>IF(H27=0,0,H27/TrRoad_act!H37*100)</f>
        <v>0</v>
      </c>
      <c r="I67" s="96">
        <f>IF(I27=0,0,I27/TrRoad_act!I37*100)</f>
        <v>0</v>
      </c>
      <c r="J67" s="96">
        <f>IF(J27=0,0,J27/TrRoad_act!J37*100)</f>
        <v>0</v>
      </c>
      <c r="K67" s="96">
        <f>IF(K27=0,0,K27/TrRoad_act!K37*100)</f>
        <v>0</v>
      </c>
      <c r="L67" s="96">
        <f>IF(L27=0,0,L27/TrRoad_act!L37*100)</f>
        <v>0</v>
      </c>
      <c r="M67" s="96">
        <f>IF(M27=0,0,M27/TrRoad_act!M37*100)</f>
        <v>0</v>
      </c>
      <c r="N67" s="96">
        <f>IF(N27=0,0,N27/TrRoad_act!N37*100)</f>
        <v>0</v>
      </c>
      <c r="O67" s="96">
        <f>IF(O27=0,0,O27/TrRoad_act!O37*100)</f>
        <v>0</v>
      </c>
      <c r="P67" s="96">
        <f>IF(P27=0,0,P27/TrRoad_act!P37*100)</f>
        <v>0</v>
      </c>
      <c r="Q67" s="96">
        <f>IF(Q27=0,0,Q27/TrRoad_act!Q37*100)</f>
        <v>5.8091534525603992</v>
      </c>
      <c r="R67" s="96">
        <f>IF(R27=0,0,R27/TrRoad_act!R37*100)</f>
        <v>5.866347662718649</v>
      </c>
      <c r="S67" s="96">
        <f>IF(S27=0,0,S27/TrRoad_act!S37*100)</f>
        <v>5.8633320869163441</v>
      </c>
      <c r="T67" s="96">
        <f>IF(T27=0,0,T27/TrRoad_act!T37*100)</f>
        <v>5.9031580221381486</v>
      </c>
      <c r="U67" s="96">
        <f>IF(U27=0,0,U27/TrRoad_act!U37*100)</f>
        <v>5.928906882669561</v>
      </c>
      <c r="V67" s="96">
        <f>IF(V27=0,0,V27/TrRoad_act!V37*100)</f>
        <v>5.9476528886633551</v>
      </c>
      <c r="W67" s="96">
        <f>IF(W27=0,0,W27/TrRoad_act!W37*100)</f>
        <v>5.9553919052010666</v>
      </c>
      <c r="X67" s="96">
        <f>IF(X27=0,0,X27/TrRoad_act!X37*100)</f>
        <v>5.9579230772717837</v>
      </c>
      <c r="Y67" s="96">
        <f>IF(Y27=0,0,Y27/TrRoad_act!Y37*100)</f>
        <v>5.9604555775432893</v>
      </c>
      <c r="DA67" s="171" t="s">
        <v>679</v>
      </c>
    </row>
    <row r="68" spans="1:105" ht="11.45" customHeight="1" x14ac:dyDescent="0.25">
      <c r="A68" s="111" t="s">
        <v>114</v>
      </c>
      <c r="B68" s="96">
        <f>IF(B29=0,0,B29/TrRoad_act!B38*100)</f>
        <v>0</v>
      </c>
      <c r="C68" s="96">
        <f>IF(C29=0,0,C29/TrRoad_act!C38*100)</f>
        <v>0</v>
      </c>
      <c r="D68" s="96">
        <f>IF(D29=0,0,D29/TrRoad_act!D38*100)</f>
        <v>0</v>
      </c>
      <c r="E68" s="96">
        <f>IF(E29=0,0,E29/TrRoad_act!E38*100)</f>
        <v>0</v>
      </c>
      <c r="F68" s="96">
        <f>IF(F29=0,0,F29/TrRoad_act!F38*100)</f>
        <v>0</v>
      </c>
      <c r="G68" s="96">
        <f>IF(G29=0,0,G29/TrRoad_act!G38*100)</f>
        <v>0</v>
      </c>
      <c r="H68" s="96">
        <f>IF(H29=0,0,H29/TrRoad_act!H38*100)</f>
        <v>0</v>
      </c>
      <c r="I68" s="96">
        <f>IF(I29=0,0,I29/TrRoad_act!I38*100)</f>
        <v>0</v>
      </c>
      <c r="J68" s="96">
        <f>IF(J29=0,0,J29/TrRoad_act!J38*100)</f>
        <v>0</v>
      </c>
      <c r="K68" s="96">
        <f>IF(K29=0,0,K29/TrRoad_act!K38*100)</f>
        <v>0</v>
      </c>
      <c r="L68" s="96">
        <f>IF(L29=0,0,L29/TrRoad_act!L38*100)</f>
        <v>0</v>
      </c>
      <c r="M68" s="96">
        <f>IF(M29=0,0,M29/TrRoad_act!M38*100)</f>
        <v>0</v>
      </c>
      <c r="N68" s="96">
        <f>IF(N29=0,0,N29/TrRoad_act!N38*100)</f>
        <v>2.5027099696175736</v>
      </c>
      <c r="O68" s="96">
        <f>IF(O29=0,0,O29/TrRoad_act!O38*100)</f>
        <v>3.0026237696639084</v>
      </c>
      <c r="P68" s="96">
        <f>IF(P29=0,0,P29/TrRoad_act!P38*100)</f>
        <v>5.2876838334509015</v>
      </c>
      <c r="Q68" s="96">
        <f>IF(Q29=0,0,Q29/TrRoad_act!Q38*100)</f>
        <v>3.2272581321179494</v>
      </c>
      <c r="R68" s="96">
        <f>IF(R29=0,0,R29/TrRoad_act!R38*100)</f>
        <v>3.17962971467619</v>
      </c>
      <c r="S68" s="96">
        <f>IF(S29=0,0,S29/TrRoad_act!S38*100)</f>
        <v>3.2421394837532249</v>
      </c>
      <c r="T68" s="96">
        <f>IF(T29=0,0,T29/TrRoad_act!T38*100)</f>
        <v>3.4876781971460331</v>
      </c>
      <c r="U68" s="96">
        <f>IF(U29=0,0,U29/TrRoad_act!U38*100)</f>
        <v>3.4330304525910273</v>
      </c>
      <c r="V68" s="96">
        <f>IF(V29=0,0,V29/TrRoad_act!V38*100)</f>
        <v>3.5132960773692905</v>
      </c>
      <c r="W68" s="96">
        <f>IF(W29=0,0,W29/TrRoad_act!W38*100)</f>
        <v>3.3496810441316462</v>
      </c>
      <c r="X68" s="96">
        <f>IF(X29=0,0,X29/TrRoad_act!X38*100)</f>
        <v>3.3024202806167269</v>
      </c>
      <c r="Y68" s="96">
        <f>IF(Y29=0,0,Y29/TrRoad_act!Y38*100)</f>
        <v>3.1985767280166062</v>
      </c>
      <c r="DA68" s="171" t="s">
        <v>680</v>
      </c>
    </row>
    <row r="69" spans="1:105" ht="11.45" customHeight="1" x14ac:dyDescent="0.25">
      <c r="A69" s="111" t="s">
        <v>115</v>
      </c>
      <c r="B69" s="96">
        <f>IF(B32=0,0,B32/TrRoad_act!B39*100)</f>
        <v>0</v>
      </c>
      <c r="C69" s="96">
        <f>IF(C32=0,0,C32/TrRoad_act!C39*100)</f>
        <v>0</v>
      </c>
      <c r="D69" s="96">
        <f>IF(D32=0,0,D32/TrRoad_act!D39*100)</f>
        <v>0</v>
      </c>
      <c r="E69" s="96">
        <f>IF(E32=0,0,E32/TrRoad_act!E39*100)</f>
        <v>0</v>
      </c>
      <c r="F69" s="96">
        <f>IF(F32=0,0,F32/TrRoad_act!F39*100)</f>
        <v>0</v>
      </c>
      <c r="G69" s="96">
        <f>IF(G32=0,0,G32/TrRoad_act!G39*100)</f>
        <v>0</v>
      </c>
      <c r="H69" s="96">
        <f>IF(H32=0,0,H32/TrRoad_act!H39*100)</f>
        <v>0</v>
      </c>
      <c r="I69" s="96">
        <f>IF(I32=0,0,I32/TrRoad_act!I39*100)</f>
        <v>0</v>
      </c>
      <c r="J69" s="96">
        <f>IF(J32=0,0,J32/TrRoad_act!J39*100)</f>
        <v>0</v>
      </c>
      <c r="K69" s="96">
        <f>IF(K32=0,0,K32/TrRoad_act!K39*100)</f>
        <v>0</v>
      </c>
      <c r="L69" s="96">
        <f>IF(L32=0,0,L32/TrRoad_act!L39*100)</f>
        <v>1.3771975863074497</v>
      </c>
      <c r="M69" s="96">
        <f>IF(M32=0,0,M32/TrRoad_act!M39*100)</f>
        <v>1.3826016370351084</v>
      </c>
      <c r="N69" s="96">
        <f>IF(N32=0,0,N32/TrRoad_act!N39*100)</f>
        <v>1.3299763787975625</v>
      </c>
      <c r="O69" s="96">
        <f>IF(O32=0,0,O32/TrRoad_act!O39*100)</f>
        <v>1.3253391777371095</v>
      </c>
      <c r="P69" s="96">
        <f>IF(P32=0,0,P32/TrRoad_act!P39*100)</f>
        <v>1.3038161382824911</v>
      </c>
      <c r="Q69" s="96">
        <f>IF(Q32=0,0,Q32/TrRoad_act!Q39*100)</f>
        <v>1.2831195784162128</v>
      </c>
      <c r="R69" s="96">
        <f>IF(R32=0,0,R32/TrRoad_act!R39*100)</f>
        <v>1.218040054417445</v>
      </c>
      <c r="S69" s="96">
        <f>IF(S32=0,0,S32/TrRoad_act!S39*100)</f>
        <v>1.5659297738230604</v>
      </c>
      <c r="T69" s="96">
        <f>IF(T32=0,0,T32/TrRoad_act!T39*100)</f>
        <v>1.58856690326254</v>
      </c>
      <c r="U69" s="96">
        <f>IF(U32=0,0,U32/TrRoad_act!U39*100)</f>
        <v>1.6067190659362698</v>
      </c>
      <c r="V69" s="96">
        <f>IF(V32=0,0,V32/TrRoad_act!V39*100)</f>
        <v>1.6751524454285054</v>
      </c>
      <c r="W69" s="96">
        <f>IF(W32=0,0,W32/TrRoad_act!W39*100)</f>
        <v>1.684074483232564</v>
      </c>
      <c r="X69" s="96">
        <f>IF(X32=0,0,X32/TrRoad_act!X39*100)</f>
        <v>1.6691730069406281</v>
      </c>
      <c r="Y69" s="96">
        <f>IF(Y32=0,0,Y32/TrRoad_act!Y39*100)</f>
        <v>1.6611694805415529</v>
      </c>
      <c r="DA69" s="171" t="s">
        <v>681</v>
      </c>
    </row>
    <row r="70" spans="1:105" ht="11.45" customHeight="1" x14ac:dyDescent="0.25">
      <c r="A70" s="109" t="s">
        <v>21</v>
      </c>
      <c r="B70" s="130">
        <f>IF(B33=0,0,B33/TrRoad_act!B40*100)</f>
        <v>61.139814910978927</v>
      </c>
      <c r="C70" s="130">
        <f>IF(C33=0,0,C33/TrRoad_act!C40*100)</f>
        <v>58.014268179901492</v>
      </c>
      <c r="D70" s="130">
        <f>IF(D33=0,0,D33/TrRoad_act!D40*100)</f>
        <v>57.041346192625916</v>
      </c>
      <c r="E70" s="130">
        <f>IF(E33=0,0,E33/TrRoad_act!E40*100)</f>
        <v>56.395202031611028</v>
      </c>
      <c r="F70" s="130">
        <f>IF(F33=0,0,F33/TrRoad_act!F40*100)</f>
        <v>55.302438704158995</v>
      </c>
      <c r="G70" s="130">
        <f>IF(G33=0,0,G33/TrRoad_act!G40*100)</f>
        <v>54.237438992878864</v>
      </c>
      <c r="H70" s="130">
        <f>IF(H33=0,0,H33/TrRoad_act!H40*100)</f>
        <v>53.481198745353474</v>
      </c>
      <c r="I70" s="130">
        <f>IF(I33=0,0,I33/TrRoad_act!I40*100)</f>
        <v>53.08909977311729</v>
      </c>
      <c r="J70" s="130">
        <f>IF(J33=0,0,J33/TrRoad_act!J40*100)</f>
        <v>52.661838602451205</v>
      </c>
      <c r="K70" s="130">
        <f>IF(K33=0,0,K33/TrRoad_act!K40*100)</f>
        <v>52.533719908586733</v>
      </c>
      <c r="L70" s="130">
        <f>IF(L33=0,0,L33/TrRoad_act!L40*100)</f>
        <v>52.468635180561705</v>
      </c>
      <c r="M70" s="130">
        <f>IF(M33=0,0,M33/TrRoad_act!M40*100)</f>
        <v>52.588104154079396</v>
      </c>
      <c r="N70" s="130">
        <f>IF(N33=0,0,N33/TrRoad_act!N40*100)</f>
        <v>52.851158514794605</v>
      </c>
      <c r="O70" s="130">
        <f>IF(O33=0,0,O33/TrRoad_act!O40*100)</f>
        <v>53.179891604875863</v>
      </c>
      <c r="P70" s="130">
        <f>IF(P33=0,0,P33/TrRoad_act!P40*100)</f>
        <v>53.541922427226716</v>
      </c>
      <c r="Q70" s="130">
        <f>IF(Q33=0,0,Q33/TrRoad_act!Q40*100)</f>
        <v>54.091083146013339</v>
      </c>
      <c r="R70" s="130">
        <f>IF(R33=0,0,R33/TrRoad_act!R40*100)</f>
        <v>54.311611198917007</v>
      </c>
      <c r="S70" s="130">
        <f>IF(S33=0,0,S33/TrRoad_act!S40*100)</f>
        <v>54.404735862935397</v>
      </c>
      <c r="T70" s="130">
        <f>IF(T33=0,0,T33/TrRoad_act!T40*100)</f>
        <v>53.878678787372415</v>
      </c>
      <c r="U70" s="130">
        <f>IF(U33=0,0,U33/TrRoad_act!U40*100)</f>
        <v>53.745323840402413</v>
      </c>
      <c r="V70" s="130">
        <f>IF(V33=0,0,V33/TrRoad_act!V40*100)</f>
        <v>53.218295487686383</v>
      </c>
      <c r="W70" s="130">
        <f>IF(W33=0,0,W33/TrRoad_act!W40*100)</f>
        <v>52.81855213760992</v>
      </c>
      <c r="X70" s="130">
        <f>IF(X33=0,0,X33/TrRoad_act!X40*100)</f>
        <v>52.476526156036918</v>
      </c>
      <c r="Y70" s="130">
        <f>IF(Y33=0,0,Y33/TrRoad_act!Y40*100)</f>
        <v>51.248369603493458</v>
      </c>
      <c r="DA70" s="176" t="s">
        <v>682</v>
      </c>
    </row>
    <row r="71" spans="1:105" ht="11.45" customHeight="1" x14ac:dyDescent="0.25">
      <c r="A71" s="111" t="s">
        <v>110</v>
      </c>
      <c r="B71" s="97">
        <f>IF(B34=0,0,B34/TrRoad_act!B41*100)</f>
        <v>0</v>
      </c>
      <c r="C71" s="97">
        <f>IF(C34=0,0,C34/TrRoad_act!C41*100)</f>
        <v>0</v>
      </c>
      <c r="D71" s="97">
        <f>IF(D34=0,0,D34/TrRoad_act!D41*100)</f>
        <v>0</v>
      </c>
      <c r="E71" s="97">
        <f>IF(E34=0,0,E34/TrRoad_act!E41*100)</f>
        <v>0</v>
      </c>
      <c r="F71" s="97">
        <f>IF(F34=0,0,F34/TrRoad_act!F41*100)</f>
        <v>0</v>
      </c>
      <c r="G71" s="97">
        <f>IF(G34=0,0,G34/TrRoad_act!G41*100)</f>
        <v>0</v>
      </c>
      <c r="H71" s="97">
        <f>IF(H34=0,0,H34/TrRoad_act!H41*100)</f>
        <v>0</v>
      </c>
      <c r="I71" s="97">
        <f>IF(I34=0,0,I34/TrRoad_act!I41*100)</f>
        <v>0</v>
      </c>
      <c r="J71" s="97">
        <f>IF(J34=0,0,J34/TrRoad_act!J41*100)</f>
        <v>0</v>
      </c>
      <c r="K71" s="97">
        <f>IF(K34=0,0,K34/TrRoad_act!K41*100)</f>
        <v>0</v>
      </c>
      <c r="L71" s="97">
        <f>IF(L34=0,0,L34/TrRoad_act!L41*100)</f>
        <v>0</v>
      </c>
      <c r="M71" s="97">
        <f>IF(M34=0,0,M34/TrRoad_act!M41*100)</f>
        <v>0</v>
      </c>
      <c r="N71" s="97">
        <f>IF(N34=0,0,N34/TrRoad_act!N41*100)</f>
        <v>0</v>
      </c>
      <c r="O71" s="97">
        <f>IF(O34=0,0,O34/TrRoad_act!O41*100)</f>
        <v>0</v>
      </c>
      <c r="P71" s="97">
        <f>IF(P34=0,0,P34/TrRoad_act!P41*100)</f>
        <v>0</v>
      </c>
      <c r="Q71" s="97">
        <f>IF(Q34=0,0,Q34/TrRoad_act!Q41*100)</f>
        <v>0</v>
      </c>
      <c r="R71" s="97">
        <f>IF(R34=0,0,R34/TrRoad_act!R41*100)</f>
        <v>0</v>
      </c>
      <c r="S71" s="97">
        <f>IF(S34=0,0,S34/TrRoad_act!S41*100)</f>
        <v>0</v>
      </c>
      <c r="T71" s="97">
        <f>IF(T34=0,0,T34/TrRoad_act!T41*100)</f>
        <v>0</v>
      </c>
      <c r="U71" s="97">
        <f>IF(U34=0,0,U34/TrRoad_act!U41*100)</f>
        <v>0</v>
      </c>
      <c r="V71" s="97">
        <f>IF(V34=0,0,V34/TrRoad_act!V41*100)</f>
        <v>0</v>
      </c>
      <c r="W71" s="97">
        <f>IF(W34=0,0,W34/TrRoad_act!W41*100)</f>
        <v>0</v>
      </c>
      <c r="X71" s="97">
        <f>IF(X34=0,0,X34/TrRoad_act!X41*100)</f>
        <v>0</v>
      </c>
      <c r="Y71" s="97">
        <f>IF(Y34=0,0,Y34/TrRoad_act!Y41*100)</f>
        <v>0</v>
      </c>
      <c r="DA71" s="175" t="s">
        <v>683</v>
      </c>
    </row>
    <row r="72" spans="1:105" ht="11.45" customHeight="1" x14ac:dyDescent="0.25">
      <c r="A72" s="111" t="s">
        <v>111</v>
      </c>
      <c r="B72" s="97">
        <f>IF(B36=0,0,B36/TrRoad_act!B42*100)</f>
        <v>61.537732071127728</v>
      </c>
      <c r="C72" s="97">
        <f>IF(C36=0,0,C36/TrRoad_act!C42*100)</f>
        <v>58.349504552199505</v>
      </c>
      <c r="D72" s="97">
        <f>IF(D36=0,0,D36/TrRoad_act!D42*100)</f>
        <v>57.346141908978119</v>
      </c>
      <c r="E72" s="97">
        <f>IF(E36=0,0,E36/TrRoad_act!E42*100)</f>
        <v>56.640981854056214</v>
      </c>
      <c r="F72" s="97">
        <f>IF(F36=0,0,F36/TrRoad_act!F42*100)</f>
        <v>55.737998781430065</v>
      </c>
      <c r="G72" s="97">
        <f>IF(G36=0,0,G36/TrRoad_act!G42*100)</f>
        <v>54.911691439851182</v>
      </c>
      <c r="H72" s="97">
        <f>IF(H36=0,0,H36/TrRoad_act!H42*100)</f>
        <v>54.111177532395459</v>
      </c>
      <c r="I72" s="97">
        <f>IF(I36=0,0,I36/TrRoad_act!I42*100)</f>
        <v>53.665652974150333</v>
      </c>
      <c r="J72" s="97">
        <f>IF(J36=0,0,J36/TrRoad_act!J42*100)</f>
        <v>53.203786593425917</v>
      </c>
      <c r="K72" s="97">
        <f>IF(K36=0,0,K36/TrRoad_act!K42*100)</f>
        <v>53.037632152931913</v>
      </c>
      <c r="L72" s="97">
        <f>IF(L36=0,0,L36/TrRoad_act!L42*100)</f>
        <v>52.954930202187697</v>
      </c>
      <c r="M72" s="97">
        <f>IF(M36=0,0,M36/TrRoad_act!M42*100)</f>
        <v>53.048986280216639</v>
      </c>
      <c r="N72" s="97">
        <f>IF(N36=0,0,N36/TrRoad_act!N42*100)</f>
        <v>53.300355301951051</v>
      </c>
      <c r="O72" s="97">
        <f>IF(O36=0,0,O36/TrRoad_act!O42*100)</f>
        <v>53.634461955963197</v>
      </c>
      <c r="P72" s="97">
        <f>IF(P36=0,0,P36/TrRoad_act!P42*100)</f>
        <v>53.986647089260117</v>
      </c>
      <c r="Q72" s="97">
        <f>IF(Q36=0,0,Q36/TrRoad_act!Q42*100)</f>
        <v>54.591731592775453</v>
      </c>
      <c r="R72" s="97">
        <f>IF(R36=0,0,R36/TrRoad_act!R42*100)</f>
        <v>54.887857401380415</v>
      </c>
      <c r="S72" s="97">
        <f>IF(S36=0,0,S36/TrRoad_act!S42*100)</f>
        <v>55.075142569182603</v>
      </c>
      <c r="T72" s="97">
        <f>IF(T36=0,0,T36/TrRoad_act!T42*100)</f>
        <v>55.122070910121899</v>
      </c>
      <c r="U72" s="97">
        <f>IF(U36=0,0,U36/TrRoad_act!U42*100)</f>
        <v>54.931604245162426</v>
      </c>
      <c r="V72" s="97">
        <f>IF(V36=0,0,V36/TrRoad_act!V42*100)</f>
        <v>54.640112359885087</v>
      </c>
      <c r="W72" s="97">
        <f>IF(W36=0,0,W36/TrRoad_act!W42*100)</f>
        <v>54.150522299593604</v>
      </c>
      <c r="X72" s="97">
        <f>IF(X36=0,0,X36/TrRoad_act!X42*100)</f>
        <v>53.423488971180809</v>
      </c>
      <c r="Y72" s="97">
        <f>IF(Y36=0,0,Y36/TrRoad_act!Y42*100)</f>
        <v>52.43280539785686</v>
      </c>
      <c r="DA72" s="175" t="s">
        <v>684</v>
      </c>
    </row>
    <row r="73" spans="1:105" ht="11.45" customHeight="1" x14ac:dyDescent="0.25">
      <c r="A73" s="111" t="s">
        <v>112</v>
      </c>
      <c r="B73" s="97">
        <f>IF(B38=0,0,B38/TrRoad_act!B43*100)</f>
        <v>47.092227365216885</v>
      </c>
      <c r="C73" s="97">
        <f>IF(C38=0,0,C38/TrRoad_act!C43*100)</f>
        <v>47.092227365216885</v>
      </c>
      <c r="D73" s="97">
        <f>IF(D38=0,0,D38/TrRoad_act!D43*100)</f>
        <v>47.092227365216878</v>
      </c>
      <c r="E73" s="97">
        <f>IF(E38=0,0,E38/TrRoad_act!E43*100)</f>
        <v>47.046353632571297</v>
      </c>
      <c r="F73" s="97">
        <f>IF(F38=0,0,F38/TrRoad_act!F43*100)</f>
        <v>44.467092615614838</v>
      </c>
      <c r="G73" s="97">
        <f>IF(G38=0,0,G38/TrRoad_act!G43*100)</f>
        <v>44.323173251062492</v>
      </c>
      <c r="H73" s="97">
        <f>IF(H38=0,0,H38/TrRoad_act!H43*100)</f>
        <v>44.242026407014734</v>
      </c>
      <c r="I73" s="97">
        <f>IF(I38=0,0,I38/TrRoad_act!I43*100)</f>
        <v>44.154593234775788</v>
      </c>
      <c r="J73" s="97">
        <f>IF(J38=0,0,J38/TrRoad_act!J43*100)</f>
        <v>44.062572006787875</v>
      </c>
      <c r="K73" s="97">
        <f>IF(K38=0,0,K38/TrRoad_act!K43*100)</f>
        <v>43.962977903076641</v>
      </c>
      <c r="L73" s="97">
        <f>IF(L38=0,0,L38/TrRoad_act!L43*100)</f>
        <v>43.859718185788111</v>
      </c>
      <c r="M73" s="97">
        <f>IF(M38=0,0,M38/TrRoad_act!M43*100)</f>
        <v>43.754999076275759</v>
      </c>
      <c r="N73" s="97">
        <f>IF(N38=0,0,N38/TrRoad_act!N43*100)</f>
        <v>43.77153238794277</v>
      </c>
      <c r="O73" s="97">
        <f>IF(O38=0,0,O38/TrRoad_act!O43*100)</f>
        <v>43.799456599147952</v>
      </c>
      <c r="P73" s="97">
        <f>IF(P38=0,0,P38/TrRoad_act!P43*100)</f>
        <v>43.828916045889279</v>
      </c>
      <c r="Q73" s="97">
        <f>IF(Q38=0,0,Q38/TrRoad_act!Q43*100)</f>
        <v>43.848693405883068</v>
      </c>
      <c r="R73" s="97">
        <f>IF(R38=0,0,R38/TrRoad_act!R43*100)</f>
        <v>43.874327765783825</v>
      </c>
      <c r="S73" s="97">
        <f>IF(S38=0,0,S38/TrRoad_act!S43*100)</f>
        <v>43.925754825337968</v>
      </c>
      <c r="T73" s="97">
        <f>IF(T38=0,0,T38/TrRoad_act!T43*100)</f>
        <v>44.569100769904054</v>
      </c>
      <c r="U73" s="97">
        <f>IF(U38=0,0,U38/TrRoad_act!U43*100)</f>
        <v>44.653547966573782</v>
      </c>
      <c r="V73" s="97">
        <f>IF(V38=0,0,V38/TrRoad_act!V43*100)</f>
        <v>44.730106743219309</v>
      </c>
      <c r="W73" s="97">
        <f>IF(W38=0,0,W38/TrRoad_act!W43*100)</f>
        <v>44.827940005554026</v>
      </c>
      <c r="X73" s="97">
        <f>IF(X38=0,0,X38/TrRoad_act!X43*100)</f>
        <v>44.911314275134131</v>
      </c>
      <c r="Y73" s="97">
        <f>IF(Y38=0,0,Y38/TrRoad_act!Y43*100)</f>
        <v>44.933971789822529</v>
      </c>
      <c r="DA73" s="175" t="s">
        <v>685</v>
      </c>
    </row>
    <row r="74" spans="1:105" ht="11.45" customHeight="1" x14ac:dyDescent="0.25">
      <c r="A74" s="111" t="s">
        <v>113</v>
      </c>
      <c r="B74" s="97">
        <f>IF(B39=0,0,B39/TrRoad_act!B44*100)</f>
        <v>0</v>
      </c>
      <c r="C74" s="97">
        <f>IF(C39=0,0,C39/TrRoad_act!C44*100)</f>
        <v>0</v>
      </c>
      <c r="D74" s="97">
        <f>IF(D39=0,0,D39/TrRoad_act!D44*100)</f>
        <v>0</v>
      </c>
      <c r="E74" s="97">
        <f>IF(E39=0,0,E39/TrRoad_act!E44*100)</f>
        <v>0</v>
      </c>
      <c r="F74" s="97">
        <f>IF(F39=0,0,F39/TrRoad_act!F44*100)</f>
        <v>0</v>
      </c>
      <c r="G74" s="97">
        <f>IF(G39=0,0,G39/TrRoad_act!G44*100)</f>
        <v>0</v>
      </c>
      <c r="H74" s="97">
        <f>IF(H39=0,0,H39/TrRoad_act!H44*100)</f>
        <v>0</v>
      </c>
      <c r="I74" s="97">
        <f>IF(I39=0,0,I39/TrRoad_act!I44*100)</f>
        <v>0</v>
      </c>
      <c r="J74" s="97">
        <f>IF(J39=0,0,J39/TrRoad_act!J44*100)</f>
        <v>0</v>
      </c>
      <c r="K74" s="97">
        <f>IF(K39=0,0,K39/TrRoad_act!K44*100)</f>
        <v>0</v>
      </c>
      <c r="L74" s="97">
        <f>IF(L39=0,0,L39/TrRoad_act!L44*100)</f>
        <v>0</v>
      </c>
      <c r="M74" s="97">
        <f>IF(M39=0,0,M39/TrRoad_act!M44*100)</f>
        <v>0</v>
      </c>
      <c r="N74" s="97">
        <f>IF(N39=0,0,N39/TrRoad_act!N44*100)</f>
        <v>0</v>
      </c>
      <c r="O74" s="97">
        <f>IF(O39=0,0,O39/TrRoad_act!O44*100)</f>
        <v>0</v>
      </c>
      <c r="P74" s="97">
        <f>IF(P39=0,0,P39/TrRoad_act!P44*100)</f>
        <v>0</v>
      </c>
      <c r="Q74" s="97">
        <f>IF(Q39=0,0,Q39/TrRoad_act!Q44*100)</f>
        <v>46.800000000152814</v>
      </c>
      <c r="R74" s="97">
        <f>IF(R39=0,0,R39/TrRoad_act!R44*100)</f>
        <v>40.917458337855585</v>
      </c>
      <c r="S74" s="97">
        <f>IF(S39=0,0,S39/TrRoad_act!S44*100)</f>
        <v>30.067643809196849</v>
      </c>
      <c r="T74" s="97">
        <f>IF(T39=0,0,T39/TrRoad_act!T44*100)</f>
        <v>16.223977066767301</v>
      </c>
      <c r="U74" s="97">
        <f>IF(U39=0,0,U39/TrRoad_act!U44*100)</f>
        <v>21.31260781805338</v>
      </c>
      <c r="V74" s="97">
        <f>IF(V39=0,0,V39/TrRoad_act!V44*100)</f>
        <v>23.532682609421219</v>
      </c>
      <c r="W74" s="97">
        <f>IF(W39=0,0,W39/TrRoad_act!W44*100)</f>
        <v>33.286589336725477</v>
      </c>
      <c r="X74" s="97">
        <f>IF(X39=0,0,X39/TrRoad_act!X44*100)</f>
        <v>45.491385073321986</v>
      </c>
      <c r="Y74" s="97">
        <f>IF(Y39=0,0,Y39/TrRoad_act!Y44*100)</f>
        <v>43.854776416232575</v>
      </c>
      <c r="DA74" s="175" t="s">
        <v>686</v>
      </c>
    </row>
    <row r="75" spans="1:105" ht="11.45" customHeight="1" x14ac:dyDescent="0.25">
      <c r="A75" s="111" t="s">
        <v>115</v>
      </c>
      <c r="B75" s="97">
        <f>IF(B41=0,0,B41/TrRoad_act!B45*100)</f>
        <v>31.66971446583289</v>
      </c>
      <c r="C75" s="97">
        <f>IF(C41=0,0,C41/TrRoad_act!C45*100)</f>
        <v>31.270182311511778</v>
      </c>
      <c r="D75" s="97">
        <f>IF(D41=0,0,D41/TrRoad_act!D45*100)</f>
        <v>31.199082361697755</v>
      </c>
      <c r="E75" s="97">
        <f>IF(E41=0,0,E41/TrRoad_act!E45*100)</f>
        <v>31.068169236053684</v>
      </c>
      <c r="F75" s="97">
        <f>IF(F41=0,0,F41/TrRoad_act!F45*100)</f>
        <v>31.00669288955627</v>
      </c>
      <c r="G75" s="97">
        <f>IF(G41=0,0,G41/TrRoad_act!G45*100)</f>
        <v>28.864479467693283</v>
      </c>
      <c r="H75" s="97">
        <f>IF(H41=0,0,H41/TrRoad_act!H45*100)</f>
        <v>28.754266041271777</v>
      </c>
      <c r="I75" s="97">
        <f>IF(I41=0,0,I41/TrRoad_act!I45*100)</f>
        <v>28.694106466139612</v>
      </c>
      <c r="J75" s="97">
        <f>IF(J41=0,0,J41/TrRoad_act!J45*100)</f>
        <v>28.64485195099693</v>
      </c>
      <c r="K75" s="97">
        <f>IF(K41=0,0,K41/TrRoad_act!K45*100)</f>
        <v>28.596485669061821</v>
      </c>
      <c r="L75" s="97">
        <f>IF(L41=0,0,L41/TrRoad_act!L45*100)</f>
        <v>28.551346762394459</v>
      </c>
      <c r="M75" s="97">
        <f>IF(M41=0,0,M41/TrRoad_act!M45*100)</f>
        <v>28.520188569959821</v>
      </c>
      <c r="N75" s="97">
        <f>IF(N41=0,0,N41/TrRoad_act!N45*100)</f>
        <v>28.491039225474136</v>
      </c>
      <c r="O75" s="97">
        <f>IF(O41=0,0,O41/TrRoad_act!O45*100)</f>
        <v>28.535711892043516</v>
      </c>
      <c r="P75" s="97">
        <f>IF(P41=0,0,P41/TrRoad_act!P45*100)</f>
        <v>28.564898193228956</v>
      </c>
      <c r="Q75" s="97">
        <f>IF(Q41=0,0,Q41/TrRoad_act!Q45*100)</f>
        <v>28.704187163456947</v>
      </c>
      <c r="R75" s="97">
        <f>IF(R41=0,0,R41/TrRoad_act!R45*100)</f>
        <v>28.760461739482018</v>
      </c>
      <c r="S75" s="97">
        <f>IF(S41=0,0,S41/TrRoad_act!S45*100)</f>
        <v>28.933273925904523</v>
      </c>
      <c r="T75" s="97">
        <f>IF(T41=0,0,T41/TrRoad_act!T45*100)</f>
        <v>29.011812417887565</v>
      </c>
      <c r="U75" s="97">
        <f>IF(U41=0,0,U41/TrRoad_act!U45*100)</f>
        <v>29.02475443115452</v>
      </c>
      <c r="V75" s="97">
        <f>IF(V41=0,0,V41/TrRoad_act!V45*100)</f>
        <v>28.45670518848377</v>
      </c>
      <c r="W75" s="97">
        <f>IF(W41=0,0,W41/TrRoad_act!W45*100)</f>
        <v>27.966763179115777</v>
      </c>
      <c r="X75" s="97">
        <f>IF(X41=0,0,X41/TrRoad_act!X45*100)</f>
        <v>27.586551378972214</v>
      </c>
      <c r="Y75" s="97">
        <f>IF(Y41=0,0,Y41/TrRoad_act!Y45*100)</f>
        <v>26.891274768237984</v>
      </c>
      <c r="DA75" s="175" t="s">
        <v>687</v>
      </c>
    </row>
    <row r="76" spans="1:105" ht="11.45" customHeight="1" x14ac:dyDescent="0.25">
      <c r="A76" s="27" t="s">
        <v>34</v>
      </c>
      <c r="B76" s="32">
        <f>IF(B42=0,0,B42/TrRoad_act!B46*100)</f>
        <v>9.9089563426010407</v>
      </c>
      <c r="C76" s="32">
        <f>IF(C42=0,0,C42/TrRoad_act!C46*100)</f>
        <v>10.479802142718492</v>
      </c>
      <c r="D76" s="32">
        <f>IF(D42=0,0,D42/TrRoad_act!D46*100)</f>
        <v>9.4850111297269919</v>
      </c>
      <c r="E76" s="32">
        <f>IF(E42=0,0,E42/TrRoad_act!E46*100)</f>
        <v>11.013429242887526</v>
      </c>
      <c r="F76" s="32">
        <f>IF(F42=0,0,F42/TrRoad_act!F46*100)</f>
        <v>12.662572380635009</v>
      </c>
      <c r="G76" s="32">
        <f>IF(G42=0,0,G42/TrRoad_act!G46*100)</f>
        <v>14.976349186279068</v>
      </c>
      <c r="H76" s="32">
        <f>IF(H42=0,0,H42/TrRoad_act!H46*100)</f>
        <v>16.014671006504049</v>
      </c>
      <c r="I76" s="32">
        <f>IF(I42=0,0,I42/TrRoad_act!I46*100)</f>
        <v>17.306787954876516</v>
      </c>
      <c r="J76" s="32">
        <f>IF(J42=0,0,J42/TrRoad_act!J46*100)</f>
        <v>17.54155819109074</v>
      </c>
      <c r="K76" s="32">
        <f>IF(K42=0,0,K42/TrRoad_act!K46*100)</f>
        <v>16.598202675493312</v>
      </c>
      <c r="L76" s="32">
        <f>IF(L42=0,0,L42/TrRoad_act!L46*100)</f>
        <v>17.10953555727431</v>
      </c>
      <c r="M76" s="32">
        <f>IF(M42=0,0,M42/TrRoad_act!M46*100)</f>
        <v>16.466365960480974</v>
      </c>
      <c r="N76" s="32">
        <f>IF(N42=0,0,N42/TrRoad_act!N46*100)</f>
        <v>14.869887104034099</v>
      </c>
      <c r="O76" s="32">
        <f>IF(O42=0,0,O42/TrRoad_act!O46*100)</f>
        <v>12.909070582389312</v>
      </c>
      <c r="P76" s="32">
        <f>IF(P42=0,0,P42/TrRoad_act!P46*100)</f>
        <v>13.094673284067643</v>
      </c>
      <c r="Q76" s="32">
        <f>IF(Q42=0,0,Q42/TrRoad_act!Q46*100)</f>
        <v>13.178869231615122</v>
      </c>
      <c r="R76" s="32">
        <f>IF(R42=0,0,R42/TrRoad_act!R46*100)</f>
        <v>15.326306995148798</v>
      </c>
      <c r="S76" s="32">
        <f>IF(S42=0,0,S42/TrRoad_act!S46*100)</f>
        <v>17.93976890085527</v>
      </c>
      <c r="T76" s="32">
        <f>IF(T42=0,0,T42/TrRoad_act!T46*100)</f>
        <v>18.294755648600379</v>
      </c>
      <c r="U76" s="32">
        <f>IF(U42=0,0,U42/TrRoad_act!U46*100)</f>
        <v>17.768204020784559</v>
      </c>
      <c r="V76" s="32">
        <f>IF(V42=0,0,V42/TrRoad_act!V46*100)</f>
        <v>16.737739933437883</v>
      </c>
      <c r="W76" s="32">
        <f>IF(W42=0,0,W42/TrRoad_act!W46*100)</f>
        <v>19.383265522394101</v>
      </c>
      <c r="X76" s="32">
        <f>IF(X42=0,0,X42/TrRoad_act!X46*100)</f>
        <v>19.407373703085135</v>
      </c>
      <c r="Y76" s="32">
        <f>IF(Y42=0,0,Y42/TrRoad_act!Y46*100)</f>
        <v>19.064171691419972</v>
      </c>
      <c r="DA76" s="173" t="s">
        <v>688</v>
      </c>
    </row>
    <row r="77" spans="1:105" ht="11.45" customHeight="1" x14ac:dyDescent="0.25">
      <c r="A77" s="136" t="s">
        <v>153</v>
      </c>
      <c r="B77" s="141">
        <f>IF(B43=0,0,B43/TrRoad_act!B47*100)</f>
        <v>9.3962082994672826</v>
      </c>
      <c r="C77" s="141">
        <f>IF(C43=0,0,C43/TrRoad_act!C47*100)</f>
        <v>9.1737164453652262</v>
      </c>
      <c r="D77" s="141">
        <f>IF(D43=0,0,D43/TrRoad_act!D47*100)</f>
        <v>9.1730518274213662</v>
      </c>
      <c r="E77" s="141">
        <f>IF(E43=0,0,E43/TrRoad_act!E47*100)</f>
        <v>9.1111856690283659</v>
      </c>
      <c r="F77" s="141">
        <f>IF(F43=0,0,F43/TrRoad_act!F47*100)</f>
        <v>9.088392623084216</v>
      </c>
      <c r="G77" s="141">
        <f>IF(G43=0,0,G43/TrRoad_act!G47*100)</f>
        <v>9.1099165598577692</v>
      </c>
      <c r="H77" s="141">
        <f>IF(H43=0,0,H43/TrRoad_act!H47*100)</f>
        <v>9.1029355617745349</v>
      </c>
      <c r="I77" s="141">
        <f>IF(I43=0,0,I43/TrRoad_act!I47*100)</f>
        <v>9.1017446793342813</v>
      </c>
      <c r="J77" s="141">
        <f>IF(J43=0,0,J43/TrRoad_act!J47*100)</f>
        <v>9.105372858285417</v>
      </c>
      <c r="K77" s="141">
        <f>IF(K43=0,0,K43/TrRoad_act!K47*100)</f>
        <v>9.0643244891549237</v>
      </c>
      <c r="L77" s="141">
        <f>IF(L43=0,0,L43/TrRoad_act!L47*100)</f>
        <v>9.079142164425269</v>
      </c>
      <c r="M77" s="141">
        <f>IF(M43=0,0,M43/TrRoad_act!M47*100)</f>
        <v>9.1429359649794364</v>
      </c>
      <c r="N77" s="141">
        <f>IF(N43=0,0,N43/TrRoad_act!N47*100)</f>
        <v>9.1607959696320194</v>
      </c>
      <c r="O77" s="141">
        <f>IF(O43=0,0,O43/TrRoad_act!O47*100)</f>
        <v>9.1569926550817993</v>
      </c>
      <c r="P77" s="141">
        <f>IF(P43=0,0,P43/TrRoad_act!P47*100)</f>
        <v>9.120690431029379</v>
      </c>
      <c r="Q77" s="141">
        <f>IF(Q43=0,0,Q43/TrRoad_act!Q47*100)</f>
        <v>9.1090884795187321</v>
      </c>
      <c r="R77" s="141">
        <f>IF(R43=0,0,R43/TrRoad_act!R47*100)</f>
        <v>9.0621721041611707</v>
      </c>
      <c r="S77" s="141">
        <f>IF(S43=0,0,S43/TrRoad_act!S47*100)</f>
        <v>8.991215299623077</v>
      </c>
      <c r="T77" s="141">
        <f>IF(T43=0,0,T43/TrRoad_act!T47*100)</f>
        <v>8.9577767333809692</v>
      </c>
      <c r="U77" s="141">
        <f>IF(U43=0,0,U43/TrRoad_act!U47*100)</f>
        <v>8.8709228648082092</v>
      </c>
      <c r="V77" s="141">
        <f>IF(V43=0,0,V43/TrRoad_act!V47*100)</f>
        <v>8.8994156177618802</v>
      </c>
      <c r="W77" s="141">
        <f>IF(W43=0,0,W43/TrRoad_act!W47*100)</f>
        <v>8.9051773445202613</v>
      </c>
      <c r="X77" s="141">
        <f>IF(X43=0,0,X43/TrRoad_act!X47*100)</f>
        <v>8.8363299485935318</v>
      </c>
      <c r="Y77" s="141">
        <f>IF(Y43=0,0,Y43/TrRoad_act!Y47*100)</f>
        <v>8.8634108030560093</v>
      </c>
      <c r="DA77" s="174" t="s">
        <v>689</v>
      </c>
    </row>
    <row r="78" spans="1:105" ht="11.45" customHeight="1" x14ac:dyDescent="0.25">
      <c r="A78" s="111" t="s">
        <v>110</v>
      </c>
      <c r="B78" s="96">
        <f>IF(B44=0,0,B44/TrRoad_act!B48*100)</f>
        <v>8.574265214619718</v>
      </c>
      <c r="C78" s="96">
        <f>IF(C44=0,0,C44/TrRoad_act!C48*100)</f>
        <v>8.5156947087736814</v>
      </c>
      <c r="D78" s="96">
        <f>IF(D44=0,0,D44/TrRoad_act!D48*100)</f>
        <v>8.4617790900033345</v>
      </c>
      <c r="E78" s="96">
        <f>IF(E44=0,0,E44/TrRoad_act!E48*100)</f>
        <v>8.3763394355339074</v>
      </c>
      <c r="F78" s="96">
        <f>IF(F44=0,0,F44/TrRoad_act!F48*100)</f>
        <v>8.3189390305976012</v>
      </c>
      <c r="G78" s="96">
        <f>IF(G44=0,0,G44/TrRoad_act!G48*100)</f>
        <v>8.2924566080860576</v>
      </c>
      <c r="H78" s="96">
        <f>IF(H44=0,0,H44/TrRoad_act!H48*100)</f>
        <v>8.2286979272756842</v>
      </c>
      <c r="I78" s="96">
        <f>IF(I44=0,0,I44/TrRoad_act!I48*100)</f>
        <v>8.137448496993299</v>
      </c>
      <c r="J78" s="96">
        <f>IF(J44=0,0,J44/TrRoad_act!J48*100)</f>
        <v>8.019584735349186</v>
      </c>
      <c r="K78" s="96">
        <f>IF(K44=0,0,K44/TrRoad_act!K48*100)</f>
        <v>7.9169418861653309</v>
      </c>
      <c r="L78" s="96">
        <f>IF(L44=0,0,L44/TrRoad_act!L48*100)</f>
        <v>7.8163554465558391</v>
      </c>
      <c r="M78" s="96">
        <f>IF(M44=0,0,M44/TrRoad_act!M48*100)</f>
        <v>7.7267785373866085</v>
      </c>
      <c r="N78" s="96">
        <f>IF(N44=0,0,N44/TrRoad_act!N48*100)</f>
        <v>7.6870391384943826</v>
      </c>
      <c r="O78" s="96">
        <f>IF(O44=0,0,O44/TrRoad_act!O48*100)</f>
        <v>7.5862238080292812</v>
      </c>
      <c r="P78" s="96">
        <f>IF(P44=0,0,P44/TrRoad_act!P48*100)</f>
        <v>7.495512577363284</v>
      </c>
      <c r="Q78" s="96">
        <f>IF(Q44=0,0,Q44/TrRoad_act!Q48*100)</f>
        <v>7.4076232456628439</v>
      </c>
      <c r="R78" s="96">
        <f>IF(R44=0,0,R44/TrRoad_act!R48*100)</f>
        <v>7.3529791026903029</v>
      </c>
      <c r="S78" s="96">
        <f>IF(S44=0,0,S44/TrRoad_act!S48*100)</f>
        <v>7.2575269113518974</v>
      </c>
      <c r="T78" s="96">
        <f>IF(T44=0,0,T44/TrRoad_act!T48*100)</f>
        <v>7.1678288625725752</v>
      </c>
      <c r="U78" s="96">
        <f>IF(U44=0,0,U44/TrRoad_act!U48*100)</f>
        <v>7.1651324456722039</v>
      </c>
      <c r="V78" s="96">
        <f>IF(V44=0,0,V44/TrRoad_act!V48*100)</f>
        <v>7.1210860517931795</v>
      </c>
      <c r="W78" s="96">
        <f>IF(W44=0,0,W44/TrRoad_act!W48*100)</f>
        <v>7.2055657567399551</v>
      </c>
      <c r="X78" s="96">
        <f>IF(X44=0,0,X44/TrRoad_act!X48*100)</f>
        <v>7.1558323614047668</v>
      </c>
      <c r="Y78" s="96">
        <f>IF(Y44=0,0,Y44/TrRoad_act!Y48*100)</f>
        <v>7.1517302642204488</v>
      </c>
      <c r="DA78" s="171" t="s">
        <v>690</v>
      </c>
    </row>
    <row r="79" spans="1:105" ht="11.45" customHeight="1" x14ac:dyDescent="0.25">
      <c r="A79" s="111" t="s">
        <v>111</v>
      </c>
      <c r="B79" s="96">
        <f>IF(B46=0,0,B46/TrRoad_act!B49*100)</f>
        <v>10.636138890538929</v>
      </c>
      <c r="C79" s="96">
        <f>IF(C46=0,0,C46/TrRoad_act!C49*100)</f>
        <v>10.146568523982182</v>
      </c>
      <c r="D79" s="96">
        <f>IF(D46=0,0,D46/TrRoad_act!D49*100)</f>
        <v>9.9912718580389601</v>
      </c>
      <c r="E79" s="96">
        <f>IF(E46=0,0,E46/TrRoad_act!E49*100)</f>
        <v>9.882279643395167</v>
      </c>
      <c r="F79" s="96">
        <f>IF(F46=0,0,F46/TrRoad_act!F49*100)</f>
        <v>9.7957674796641765</v>
      </c>
      <c r="G79" s="96">
        <f>IF(G46=0,0,G46/TrRoad_act!G49*100)</f>
        <v>9.7110369507590963</v>
      </c>
      <c r="H79" s="96">
        <f>IF(H46=0,0,H46/TrRoad_act!H49*100)</f>
        <v>9.6543972857557225</v>
      </c>
      <c r="I79" s="96">
        <f>IF(I46=0,0,I46/TrRoad_act!I49*100)</f>
        <v>9.6167130743490876</v>
      </c>
      <c r="J79" s="96">
        <f>IF(J46=0,0,J46/TrRoad_act!J49*100)</f>
        <v>9.5930974598185195</v>
      </c>
      <c r="K79" s="96">
        <f>IF(K46=0,0,K46/TrRoad_act!K49*100)</f>
        <v>9.5589796813315662</v>
      </c>
      <c r="L79" s="96">
        <f>IF(L46=0,0,L46/TrRoad_act!L49*100)</f>
        <v>9.5629994996139889</v>
      </c>
      <c r="M79" s="96">
        <f>IF(M46=0,0,M46/TrRoad_act!M49*100)</f>
        <v>9.6143237005197122</v>
      </c>
      <c r="N79" s="96">
        <f>IF(N46=0,0,N46/TrRoad_act!N49*100)</f>
        <v>9.6174785201813915</v>
      </c>
      <c r="O79" s="96">
        <f>IF(O46=0,0,O46/TrRoad_act!O49*100)</f>
        <v>9.5985626243615378</v>
      </c>
      <c r="P79" s="96">
        <f>IF(P46=0,0,P46/TrRoad_act!P49*100)</f>
        <v>9.5483417717878929</v>
      </c>
      <c r="Q79" s="96">
        <f>IF(Q46=0,0,Q46/TrRoad_act!Q49*100)</f>
        <v>9.4962664231672349</v>
      </c>
      <c r="R79" s="96">
        <f>IF(R46=0,0,R46/TrRoad_act!R49*100)</f>
        <v>9.427977735293414</v>
      </c>
      <c r="S79" s="96">
        <f>IF(S46=0,0,S46/TrRoad_act!S49*100)</f>
        <v>9.3581124138162348</v>
      </c>
      <c r="T79" s="96">
        <f>IF(T46=0,0,T46/TrRoad_act!T49*100)</f>
        <v>9.3146839800742516</v>
      </c>
      <c r="U79" s="96">
        <f>IF(U46=0,0,U46/TrRoad_act!U49*100)</f>
        <v>9.1939133125773349</v>
      </c>
      <c r="V79" s="96">
        <f>IF(V46=0,0,V46/TrRoad_act!V49*100)</f>
        <v>9.2063092426694144</v>
      </c>
      <c r="W79" s="96">
        <f>IF(W46=0,0,W46/TrRoad_act!W49*100)</f>
        <v>9.187670248808967</v>
      </c>
      <c r="X79" s="96">
        <f>IF(X46=0,0,X46/TrRoad_act!X49*100)</f>
        <v>9.1231432392577734</v>
      </c>
      <c r="Y79" s="96">
        <f>IF(Y46=0,0,Y46/TrRoad_act!Y49*100)</f>
        <v>9.151191518076109</v>
      </c>
      <c r="DA79" s="171" t="s">
        <v>691</v>
      </c>
    </row>
    <row r="80" spans="1:105" ht="11.45" customHeight="1" x14ac:dyDescent="0.25">
      <c r="A80" s="111" t="s">
        <v>112</v>
      </c>
      <c r="B80" s="96">
        <f>IF(B48=0,0,B48/TrRoad_act!B50*100)</f>
        <v>10.50470422471027</v>
      </c>
      <c r="C80" s="96">
        <f>IF(C48=0,0,C48/TrRoad_act!C50*100)</f>
        <v>10.224113264516342</v>
      </c>
      <c r="D80" s="96">
        <f>IF(D48=0,0,D48/TrRoad_act!D50*100)</f>
        <v>9.6610197310254708</v>
      </c>
      <c r="E80" s="96">
        <f>IF(E48=0,0,E48/TrRoad_act!E50*100)</f>
        <v>9.4571986346809904</v>
      </c>
      <c r="F80" s="96">
        <f>IF(F48=0,0,F48/TrRoad_act!F50*100)</f>
        <v>9.3983613850451757</v>
      </c>
      <c r="G80" s="96">
        <f>IF(G48=0,0,G48/TrRoad_act!G50*100)</f>
        <v>9.2543400100193498</v>
      </c>
      <c r="H80" s="96">
        <f>IF(H48=0,0,H48/TrRoad_act!H50*100)</f>
        <v>9.0234864159667758</v>
      </c>
      <c r="I80" s="96">
        <f>IF(I48=0,0,I48/TrRoad_act!I50*100)</f>
        <v>8.9158984773913463</v>
      </c>
      <c r="J80" s="96">
        <f>IF(J48=0,0,J48/TrRoad_act!J50*100)</f>
        <v>8.856512147670685</v>
      </c>
      <c r="K80" s="96">
        <f>IF(K48=0,0,K48/TrRoad_act!K50*100)</f>
        <v>8.8309091822923182</v>
      </c>
      <c r="L80" s="96">
        <f>IF(L48=0,0,L48/TrRoad_act!L50*100)</f>
        <v>8.7998401601430345</v>
      </c>
      <c r="M80" s="96">
        <f>IF(M48=0,0,M48/TrRoad_act!M50*100)</f>
        <v>8.7728913697975344</v>
      </c>
      <c r="N80" s="96">
        <f>IF(N48=0,0,N48/TrRoad_act!N50*100)</f>
        <v>8.6782979417697366</v>
      </c>
      <c r="O80" s="96">
        <f>IF(O48=0,0,O48/TrRoad_act!O50*100)</f>
        <v>8.6443325357957619</v>
      </c>
      <c r="P80" s="96">
        <f>IF(P48=0,0,P48/TrRoad_act!P50*100)</f>
        <v>8.498675726771511</v>
      </c>
      <c r="Q80" s="96">
        <f>IF(Q48=0,0,Q48/TrRoad_act!Q50*100)</f>
        <v>8.473763278000769</v>
      </c>
      <c r="R80" s="96">
        <f>IF(R48=0,0,R48/TrRoad_act!R50*100)</f>
        <v>8.4107515085016757</v>
      </c>
      <c r="S80" s="96">
        <f>IF(S48=0,0,S48/TrRoad_act!S50*100)</f>
        <v>8.3527063893916669</v>
      </c>
      <c r="T80" s="96">
        <f>IF(T48=0,0,T48/TrRoad_act!T50*100)</f>
        <v>8.291418398917564</v>
      </c>
      <c r="U80" s="96">
        <f>IF(U48=0,0,U48/TrRoad_act!U50*100)</f>
        <v>8.2760901800998425</v>
      </c>
      <c r="V80" s="96">
        <f>IF(V48=0,0,V48/TrRoad_act!V50*100)</f>
        <v>8.2693852228605014</v>
      </c>
      <c r="W80" s="96">
        <f>IF(W48=0,0,W48/TrRoad_act!W50*100)</f>
        <v>8.2503505706540192</v>
      </c>
      <c r="X80" s="96">
        <f>IF(X48=0,0,X48/TrRoad_act!X50*100)</f>
        <v>8.2373281370504863</v>
      </c>
      <c r="Y80" s="96">
        <f>IF(Y48=0,0,Y48/TrRoad_act!Y50*100)</f>
        <v>8.2229464835538799</v>
      </c>
      <c r="DA80" s="171" t="s">
        <v>692</v>
      </c>
    </row>
    <row r="81" spans="1:105" ht="11.45" customHeight="1" x14ac:dyDescent="0.25">
      <c r="A81" s="111" t="s">
        <v>113</v>
      </c>
      <c r="B81" s="96">
        <f>IF(B49=0,0,B49/TrRoad_act!B51*100)</f>
        <v>0</v>
      </c>
      <c r="C81" s="96">
        <f>IF(C49=0,0,C49/TrRoad_act!C51*100)</f>
        <v>0</v>
      </c>
      <c r="D81" s="96">
        <f>IF(D49=0,0,D49/TrRoad_act!D51*100)</f>
        <v>0</v>
      </c>
      <c r="E81" s="96">
        <f>IF(E49=0,0,E49/TrRoad_act!E51*100)</f>
        <v>0</v>
      </c>
      <c r="F81" s="96">
        <f>IF(F49=0,0,F49/TrRoad_act!F51*100)</f>
        <v>0</v>
      </c>
      <c r="G81" s="96">
        <f>IF(G49=0,0,G49/TrRoad_act!G51*100)</f>
        <v>0</v>
      </c>
      <c r="H81" s="96">
        <f>IF(H49=0,0,H49/TrRoad_act!H51*100)</f>
        <v>0</v>
      </c>
      <c r="I81" s="96">
        <f>IF(I49=0,0,I49/TrRoad_act!I51*100)</f>
        <v>0</v>
      </c>
      <c r="J81" s="96">
        <f>IF(J49=0,0,J49/TrRoad_act!J51*100)</f>
        <v>0</v>
      </c>
      <c r="K81" s="96">
        <f>IF(K49=0,0,K49/TrRoad_act!K51*100)</f>
        <v>0</v>
      </c>
      <c r="L81" s="96">
        <f>IF(L49=0,0,L49/TrRoad_act!L51*100)</f>
        <v>0</v>
      </c>
      <c r="M81" s="96">
        <f>IF(M49=0,0,M49/TrRoad_act!M51*100)</f>
        <v>0</v>
      </c>
      <c r="N81" s="96">
        <f>IF(N49=0,0,N49/TrRoad_act!N51*100)</f>
        <v>0</v>
      </c>
      <c r="O81" s="96">
        <f>IF(O49=0,0,O49/TrRoad_act!O51*100)</f>
        <v>0</v>
      </c>
      <c r="P81" s="96">
        <f>IF(P49=0,0,P49/TrRoad_act!P51*100)</f>
        <v>0</v>
      </c>
      <c r="Q81" s="96">
        <f>IF(Q49=0,0,Q49/TrRoad_act!Q51*100)</f>
        <v>10.192121201727424</v>
      </c>
      <c r="R81" s="96">
        <f>IF(R49=0,0,R49/TrRoad_act!R51*100)</f>
        <v>10.299775315601549</v>
      </c>
      <c r="S81" s="96">
        <f>IF(S49=0,0,S49/TrRoad_act!S51*100)</f>
        <v>10.270037292941323</v>
      </c>
      <c r="T81" s="96">
        <f>IF(T49=0,0,T49/TrRoad_act!T51*100)</f>
        <v>10.321603239876579</v>
      </c>
      <c r="U81" s="96">
        <f>IF(U49=0,0,U49/TrRoad_act!U51*100)</f>
        <v>10.263138265972795</v>
      </c>
      <c r="V81" s="96">
        <f>IF(V49=0,0,V49/TrRoad_act!V51*100)</f>
        <v>10.271489259942369</v>
      </c>
      <c r="W81" s="96">
        <f>IF(W49=0,0,W49/TrRoad_act!W51*100)</f>
        <v>10.266163404432534</v>
      </c>
      <c r="X81" s="96">
        <f>IF(X49=0,0,X49/TrRoad_act!X51*100)</f>
        <v>10.386257755199436</v>
      </c>
      <c r="Y81" s="96">
        <f>IF(Y49=0,0,Y49/TrRoad_act!Y51*100)</f>
        <v>10.283760423990694</v>
      </c>
      <c r="DA81" s="171" t="s">
        <v>693</v>
      </c>
    </row>
    <row r="82" spans="1:105" ht="11.45" customHeight="1" x14ac:dyDescent="0.25">
      <c r="A82" s="111" t="s">
        <v>115</v>
      </c>
      <c r="B82" s="96">
        <f>IF(B51=0,0,B51/TrRoad_act!B52*100)</f>
        <v>0</v>
      </c>
      <c r="C82" s="96">
        <f>IF(C51=0,0,C51/TrRoad_act!C52*100)</f>
        <v>0</v>
      </c>
      <c r="D82" s="96">
        <f>IF(D51=0,0,D51/TrRoad_act!D52*100)</f>
        <v>0</v>
      </c>
      <c r="E82" s="96">
        <f>IF(E51=0,0,E51/TrRoad_act!E52*100)</f>
        <v>0</v>
      </c>
      <c r="F82" s="96">
        <f>IF(F51=0,0,F51/TrRoad_act!F52*100)</f>
        <v>0</v>
      </c>
      <c r="G82" s="96">
        <f>IF(G51=0,0,G51/TrRoad_act!G52*100)</f>
        <v>0</v>
      </c>
      <c r="H82" s="96">
        <f>IF(H51=0,0,H51/TrRoad_act!H52*100)</f>
        <v>0</v>
      </c>
      <c r="I82" s="96">
        <f>IF(I51=0,0,I51/TrRoad_act!I52*100)</f>
        <v>0</v>
      </c>
      <c r="J82" s="96">
        <f>IF(J51=0,0,J51/TrRoad_act!J52*100)</f>
        <v>0</v>
      </c>
      <c r="K82" s="96">
        <f>IF(K51=0,0,K51/TrRoad_act!K52*100)</f>
        <v>0</v>
      </c>
      <c r="L82" s="96">
        <f>IF(L51=0,0,L51/TrRoad_act!L52*100)</f>
        <v>0</v>
      </c>
      <c r="M82" s="96">
        <f>IF(M51=0,0,M51/TrRoad_act!M52*100)</f>
        <v>0</v>
      </c>
      <c r="N82" s="96">
        <f>IF(N51=0,0,N51/TrRoad_act!N52*100)</f>
        <v>1.6472914875411704</v>
      </c>
      <c r="O82" s="96">
        <f>IF(O51=0,0,O51/TrRoad_act!O52*100)</f>
        <v>1.6598378611099196</v>
      </c>
      <c r="P82" s="96">
        <f>IF(P51=0,0,P51/TrRoad_act!P52*100)</f>
        <v>1.6699002066988506</v>
      </c>
      <c r="Q82" s="96">
        <f>IF(Q51=0,0,Q51/TrRoad_act!Q52*100)</f>
        <v>1.7182094287168426</v>
      </c>
      <c r="R82" s="96">
        <f>IF(R51=0,0,R51/TrRoad_act!R52*100)</f>
        <v>1.7539338287565258</v>
      </c>
      <c r="S82" s="96">
        <f>IF(S51=0,0,S51/TrRoad_act!S52*100)</f>
        <v>1.7507700187209276</v>
      </c>
      <c r="T82" s="96">
        <f>IF(T51=0,0,T51/TrRoad_act!T52*100)</f>
        <v>1.8975312602128207</v>
      </c>
      <c r="U82" s="96">
        <f>IF(U51=0,0,U51/TrRoad_act!U52*100)</f>
        <v>2.2145368814264965</v>
      </c>
      <c r="V82" s="96">
        <f>IF(V51=0,0,V51/TrRoad_act!V52*100)</f>
        <v>2.46337915829805</v>
      </c>
      <c r="W82" s="96">
        <f>IF(W51=0,0,W51/TrRoad_act!W52*100)</f>
        <v>2.7905562190410147</v>
      </c>
      <c r="X82" s="96">
        <f>IF(X51=0,0,X51/TrRoad_act!X52*100)</f>
        <v>2.8938409569269536</v>
      </c>
      <c r="Y82" s="96">
        <f>IF(Y51=0,0,Y51/TrRoad_act!Y52*100)</f>
        <v>3.1105298733765685</v>
      </c>
      <c r="DA82" s="171" t="s">
        <v>694</v>
      </c>
    </row>
    <row r="83" spans="1:105" ht="11.45" customHeight="1" x14ac:dyDescent="0.25">
      <c r="A83" s="109" t="s">
        <v>154</v>
      </c>
      <c r="B83" s="130">
        <f>IF(B52=0,0,B52/TrRoad_act!B53*100)</f>
        <v>11.59647000036486</v>
      </c>
      <c r="C83" s="130">
        <f>IF(C52=0,0,C52/TrRoad_act!C53*100)</f>
        <v>14.505622937068949</v>
      </c>
      <c r="D83" s="130">
        <f>IF(D52=0,0,D52/TrRoad_act!D53*100)</f>
        <v>10.428994986751713</v>
      </c>
      <c r="E83" s="130">
        <f>IF(E52=0,0,E52/TrRoad_act!E53*100)</f>
        <v>16.590682834487684</v>
      </c>
      <c r="F83" s="130">
        <f>IF(F52=0,0,F52/TrRoad_act!F53*100)</f>
        <v>21.374578043708027</v>
      </c>
      <c r="G83" s="130">
        <f>IF(G52=0,0,G52/TrRoad_act!G53*100)</f>
        <v>28.775969010100738</v>
      </c>
      <c r="H83" s="130">
        <f>IF(H52=0,0,H52/TrRoad_act!H53*100)</f>
        <v>32.464857321258371</v>
      </c>
      <c r="I83" s="130">
        <f>IF(I52=0,0,I52/TrRoad_act!I53*100)</f>
        <v>36.122158888000449</v>
      </c>
      <c r="J83" s="130">
        <f>IF(J52=0,0,J52/TrRoad_act!J53*100)</f>
        <v>36.484670717299402</v>
      </c>
      <c r="K83" s="130">
        <f>IF(K52=0,0,K52/TrRoad_act!K53*100)</f>
        <v>33.088654899263823</v>
      </c>
      <c r="L83" s="130">
        <f>IF(L52=0,0,L52/TrRoad_act!L53*100)</f>
        <v>34.318446181594261</v>
      </c>
      <c r="M83" s="130">
        <f>IF(M52=0,0,M52/TrRoad_act!M53*100)</f>
        <v>31.378779937575587</v>
      </c>
      <c r="N83" s="130">
        <f>IF(N52=0,0,N52/TrRoad_act!N53*100)</f>
        <v>26.317490189604776</v>
      </c>
      <c r="O83" s="130">
        <f>IF(O52=0,0,O52/TrRoad_act!O53*100)</f>
        <v>19.993471557877253</v>
      </c>
      <c r="P83" s="130">
        <f>IF(P52=0,0,P52/TrRoad_act!P53*100)</f>
        <v>20.65101427818621</v>
      </c>
      <c r="Q83" s="130">
        <f>IF(Q52=0,0,Q52/TrRoad_act!Q53*100)</f>
        <v>20.48131889273419</v>
      </c>
      <c r="R83" s="130">
        <f>IF(R52=0,0,R52/TrRoad_act!R53*100)</f>
        <v>26.843022300673937</v>
      </c>
      <c r="S83" s="130">
        <f>IF(S52=0,0,S52/TrRoad_act!S53*100)</f>
        <v>33.555181299176553</v>
      </c>
      <c r="T83" s="130">
        <f>IF(T52=0,0,T52/TrRoad_act!T53*100)</f>
        <v>36.380967123145879</v>
      </c>
      <c r="U83" s="130">
        <f>IF(U52=0,0,U52/TrRoad_act!U53*100)</f>
        <v>35.465939316641773</v>
      </c>
      <c r="V83" s="130">
        <f>IF(V52=0,0,V52/TrRoad_act!V53*100)</f>
        <v>32.004534574122438</v>
      </c>
      <c r="W83" s="130">
        <f>IF(W52=0,0,W52/TrRoad_act!W53*100)</f>
        <v>39.122939062597943</v>
      </c>
      <c r="X83" s="130">
        <f>IF(X52=0,0,X52/TrRoad_act!X53*100)</f>
        <v>39.448037857843218</v>
      </c>
      <c r="Y83" s="130">
        <f>IF(Y52=0,0,Y52/TrRoad_act!Y53*100)</f>
        <v>38.859441594290331</v>
      </c>
      <c r="DA83" s="176" t="s">
        <v>695</v>
      </c>
    </row>
    <row r="84" spans="1:105" ht="11.45" customHeight="1" x14ac:dyDescent="0.25">
      <c r="A84" s="128" t="s">
        <v>27</v>
      </c>
      <c r="B84" s="97">
        <f>IF(B53=0,0,B53/TrRoad_act!B54*100)</f>
        <v>11.18875230801418</v>
      </c>
      <c r="C84" s="97">
        <f>IF(C53=0,0,C53/TrRoad_act!C54*100)</f>
        <v>14.002712284816354</v>
      </c>
      <c r="D84" s="97">
        <f>IF(D53=0,0,D53/TrRoad_act!D54*100)</f>
        <v>10.06784617643469</v>
      </c>
      <c r="E84" s="97">
        <f>IF(E53=0,0,E53/TrRoad_act!E54*100)</f>
        <v>16.052603423537999</v>
      </c>
      <c r="F84" s="97">
        <f>IF(F53=0,0,F53/TrRoad_act!F54*100)</f>
        <v>20.731246611636632</v>
      </c>
      <c r="G84" s="97">
        <f>IF(G53=0,0,G53/TrRoad_act!G54*100)</f>
        <v>27.940403392044516</v>
      </c>
      <c r="H84" s="97">
        <f>IF(H53=0,0,H53/TrRoad_act!H54*100)</f>
        <v>31.435481804311632</v>
      </c>
      <c r="I84" s="97">
        <f>IF(I53=0,0,I53/TrRoad_act!I54*100)</f>
        <v>35.08605868748171</v>
      </c>
      <c r="J84" s="97">
        <f>IF(J53=0,0,J53/TrRoad_act!J54*100)</f>
        <v>35.489104389335928</v>
      </c>
      <c r="K84" s="97">
        <f>IF(K53=0,0,K53/TrRoad_act!K54*100)</f>
        <v>32.285559044413716</v>
      </c>
      <c r="L84" s="97">
        <f>IF(L53=0,0,L53/TrRoad_act!L54*100)</f>
        <v>33.446207635865235</v>
      </c>
      <c r="M84" s="97">
        <f>IF(M53=0,0,M53/TrRoad_act!M54*100)</f>
        <v>30.612264441520619</v>
      </c>
      <c r="N84" s="97">
        <f>IF(N53=0,0,N53/TrRoad_act!N54*100)</f>
        <v>25.630931417293475</v>
      </c>
      <c r="O84" s="97">
        <f>IF(O53=0,0,O53/TrRoad_act!O54*100)</f>
        <v>19.482298357410698</v>
      </c>
      <c r="P84" s="97">
        <f>IF(P53=0,0,P53/TrRoad_act!P54*100)</f>
        <v>20.093117243249807</v>
      </c>
      <c r="Q84" s="97">
        <f>IF(Q53=0,0,Q53/TrRoad_act!Q54*100)</f>
        <v>19.929825456203673</v>
      </c>
      <c r="R84" s="97">
        <f>IF(R53=0,0,R53/TrRoad_act!R54*100)</f>
        <v>26.021244319868796</v>
      </c>
      <c r="S84" s="97">
        <f>IF(S53=0,0,S53/TrRoad_act!S54*100)</f>
        <v>32.469159691130258</v>
      </c>
      <c r="T84" s="97">
        <f>IF(T53=0,0,T53/TrRoad_act!T54*100)</f>
        <v>35.264322760664193</v>
      </c>
      <c r="U84" s="97">
        <f>IF(U53=0,0,U53/TrRoad_act!U54*100)</f>
        <v>34.219083623355289</v>
      </c>
      <c r="V84" s="97">
        <f>IF(V53=0,0,V53/TrRoad_act!V54*100)</f>
        <v>30.921539485126793</v>
      </c>
      <c r="W84" s="97">
        <f>IF(W53=0,0,W53/TrRoad_act!W54*100)</f>
        <v>37.763895267997853</v>
      </c>
      <c r="X84" s="97">
        <f>IF(X53=0,0,X53/TrRoad_act!X54*100)</f>
        <v>37.993639760591741</v>
      </c>
      <c r="Y84" s="97">
        <f>IF(Y53=0,0,Y53/TrRoad_act!Y54*100)</f>
        <v>37.350778471781368</v>
      </c>
      <c r="DA84" s="175" t="s">
        <v>696</v>
      </c>
    </row>
    <row r="85" spans="1:105" ht="11.45" customHeight="1" x14ac:dyDescent="0.25">
      <c r="A85" s="138" t="s">
        <v>116</v>
      </c>
      <c r="B85" s="98">
        <f>IF(B55=0,0,B55/TrRoad_act!B55*100)</f>
        <v>13.135189076195552</v>
      </c>
      <c r="C85" s="98">
        <f>IF(C55=0,0,C55/TrRoad_act!C55*100)</f>
        <v>16.331471272194975</v>
      </c>
      <c r="D85" s="98">
        <f>IF(D55=0,0,D55/TrRoad_act!D55*100)</f>
        <v>11.732173408036747</v>
      </c>
      <c r="E85" s="98">
        <f>IF(E55=0,0,E55/TrRoad_act!E55*100)</f>
        <v>18.628402604965625</v>
      </c>
      <c r="F85" s="98">
        <f>IF(F55=0,0,F55/TrRoad_act!F55*100)</f>
        <v>23.76063192046292</v>
      </c>
      <c r="G85" s="98">
        <f>IF(G55=0,0,G55/TrRoad_act!G55*100)</f>
        <v>31.924634931153694</v>
      </c>
      <c r="H85" s="98">
        <f>IF(H55=0,0,H55/TrRoad_act!H55*100)</f>
        <v>35.618428102007051</v>
      </c>
      <c r="I85" s="98">
        <f>IF(I55=0,0,I55/TrRoad_act!I55*100)</f>
        <v>39.901305418091688</v>
      </c>
      <c r="J85" s="98">
        <f>IF(J55=0,0,J55/TrRoad_act!J55*100)</f>
        <v>40.366750920238523</v>
      </c>
      <c r="K85" s="98">
        <f>IF(K55=0,0,K55/TrRoad_act!K55*100)</f>
        <v>36.723911218856578</v>
      </c>
      <c r="L85" s="98">
        <f>IF(L55=0,0,L55/TrRoad_act!L55*100)</f>
        <v>37.888309883244752</v>
      </c>
      <c r="M85" s="98">
        <f>IF(M55=0,0,M55/TrRoad_act!M55*100)</f>
        <v>34.644070540027258</v>
      </c>
      <c r="N85" s="98">
        <f>IF(N55=0,0,N55/TrRoad_act!N55*100)</f>
        <v>28.977438865466805</v>
      </c>
      <c r="O85" s="98">
        <f>IF(O55=0,0,O55/TrRoad_act!O55*100)</f>
        <v>22.032503929337434</v>
      </c>
      <c r="P85" s="98">
        <f>IF(P55=0,0,P55/TrRoad_act!P55*100)</f>
        <v>22.812661909067998</v>
      </c>
      <c r="Q85" s="98">
        <f>IF(Q55=0,0,Q55/TrRoad_act!Q55*100)</f>
        <v>22.711183514140266</v>
      </c>
      <c r="R85" s="98">
        <f>IF(R55=0,0,R55/TrRoad_act!R55*100)</f>
        <v>29.829319544481077</v>
      </c>
      <c r="S85" s="98">
        <f>IF(S55=0,0,S55/TrRoad_act!S55*100)</f>
        <v>37.37883241521309</v>
      </c>
      <c r="T85" s="98">
        <f>IF(T55=0,0,T55/TrRoad_act!T55*100)</f>
        <v>40.799575496928163</v>
      </c>
      <c r="U85" s="98">
        <f>IF(U55=0,0,U55/TrRoad_act!U55*100)</f>
        <v>39.743898563033234</v>
      </c>
      <c r="V85" s="98">
        <f>IF(V55=0,0,V55/TrRoad_act!V55*100)</f>
        <v>36.003487610274568</v>
      </c>
      <c r="W85" s="98">
        <f>IF(W55=0,0,W55/TrRoad_act!W55*100)</f>
        <v>44.199081476706809</v>
      </c>
      <c r="X85" s="98">
        <f>IF(X55=0,0,X55/TrRoad_act!X55*100)</f>
        <v>44.707412200331085</v>
      </c>
      <c r="Y85" s="98">
        <f>IF(Y55=0,0,Y55/TrRoad_act!Y55*100)</f>
        <v>44.073459806058921</v>
      </c>
      <c r="DA85" s="178" t="s">
        <v>697</v>
      </c>
    </row>
    <row r="86" spans="1:105" x14ac:dyDescent="0.25">
      <c r="A86" s="106"/>
      <c r="B86" s="106"/>
      <c r="C86" s="106"/>
      <c r="D86" s="106"/>
      <c r="E86" s="106"/>
      <c r="F86" s="106"/>
      <c r="G86" s="106"/>
      <c r="H86" s="106"/>
      <c r="I86" s="106"/>
      <c r="J86" s="106"/>
      <c r="K86" s="106"/>
      <c r="L86" s="106"/>
      <c r="M86" s="106"/>
      <c r="N86" s="106"/>
      <c r="O86" s="106"/>
      <c r="P86" s="106"/>
      <c r="Q86" s="106"/>
      <c r="R86" s="106"/>
      <c r="S86" s="106"/>
      <c r="T86" s="106"/>
      <c r="U86" s="106"/>
      <c r="V86" s="106"/>
      <c r="W86" s="106"/>
      <c r="X86" s="106"/>
      <c r="Y86" s="106"/>
      <c r="DA86" s="171"/>
    </row>
    <row r="87" spans="1:105" ht="11.45" customHeight="1" x14ac:dyDescent="0.25">
      <c r="A87" s="53" t="s">
        <v>74</v>
      </c>
      <c r="B87" s="62"/>
      <c r="C87" s="62"/>
      <c r="D87" s="62"/>
      <c r="E87" s="62"/>
      <c r="F87" s="62"/>
      <c r="G87" s="62"/>
      <c r="H87" s="62"/>
      <c r="I87" s="62"/>
      <c r="J87" s="62"/>
      <c r="K87" s="62"/>
      <c r="L87" s="62"/>
      <c r="M87" s="62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  <c r="DA87" s="172"/>
    </row>
    <row r="88" spans="1:105" ht="11.45" customHeight="1" x14ac:dyDescent="0.25">
      <c r="A88" s="27" t="s">
        <v>155</v>
      </c>
      <c r="B88" s="29">
        <f>IF(TrRoad_act!B4=0,0,B18/TrRoad_act!B4*1000)</f>
        <v>32.841211252189545</v>
      </c>
      <c r="C88" s="29">
        <f>IF(TrRoad_act!C4=0,0,C18/TrRoad_act!C4*1000)</f>
        <v>32.205184537855004</v>
      </c>
      <c r="D88" s="29">
        <f>IF(TrRoad_act!D4=0,0,D18/TrRoad_act!D4*1000)</f>
        <v>31.72541385236341</v>
      </c>
      <c r="E88" s="29">
        <f>IF(TrRoad_act!E4=0,0,E18/TrRoad_act!E4*1000)</f>
        <v>32.317725534065083</v>
      </c>
      <c r="F88" s="29">
        <f>IF(TrRoad_act!F4=0,0,F18/TrRoad_act!F4*1000)</f>
        <v>35.066632536538826</v>
      </c>
      <c r="G88" s="29">
        <f>IF(TrRoad_act!G4=0,0,G18/TrRoad_act!G4*1000)</f>
        <v>34.66373210545995</v>
      </c>
      <c r="H88" s="29">
        <f>IF(TrRoad_act!H4=0,0,H18/TrRoad_act!H4*1000)</f>
        <v>37.599406342285064</v>
      </c>
      <c r="I88" s="29">
        <f>IF(TrRoad_act!I4=0,0,I18/TrRoad_act!I4*1000)</f>
        <v>40.225835903143377</v>
      </c>
      <c r="J88" s="29">
        <f>IF(TrRoad_act!J4=0,0,J18/TrRoad_act!J4*1000)</f>
        <v>40.820496091877658</v>
      </c>
      <c r="K88" s="29">
        <f>IF(TrRoad_act!K4=0,0,K18/TrRoad_act!K4*1000)</f>
        <v>41.411898211435229</v>
      </c>
      <c r="L88" s="29">
        <f>IF(TrRoad_act!L4=0,0,L18/TrRoad_act!L4*1000)</f>
        <v>42.826158655851494</v>
      </c>
      <c r="M88" s="29">
        <f>IF(TrRoad_act!M4=0,0,M18/TrRoad_act!M4*1000)</f>
        <v>43.541791492238573</v>
      </c>
      <c r="N88" s="29">
        <f>IF(TrRoad_act!N4=0,0,N18/TrRoad_act!N4*1000)</f>
        <v>43.217802585971668</v>
      </c>
      <c r="O88" s="29">
        <f>IF(TrRoad_act!O4=0,0,O18/TrRoad_act!O4*1000)</f>
        <v>40.831189100854118</v>
      </c>
      <c r="P88" s="29">
        <f>IF(TrRoad_act!P4=0,0,P18/TrRoad_act!P4*1000)</f>
        <v>40.069628324732136</v>
      </c>
      <c r="Q88" s="29">
        <f>IF(TrRoad_act!Q4=0,0,Q18/TrRoad_act!Q4*1000)</f>
        <v>42.245831882312658</v>
      </c>
      <c r="R88" s="29">
        <f>IF(TrRoad_act!R4=0,0,R18/TrRoad_act!R4*1000)</f>
        <v>43.11303597700438</v>
      </c>
      <c r="S88" s="29">
        <f>IF(TrRoad_act!S4=0,0,S18/TrRoad_act!S4*1000)</f>
        <v>46.389684259466172</v>
      </c>
      <c r="T88" s="29">
        <f>IF(TrRoad_act!T4=0,0,T18/TrRoad_act!T4*1000)</f>
        <v>47.607400215154627</v>
      </c>
      <c r="U88" s="29">
        <f>IF(TrRoad_act!U4=0,0,U18/TrRoad_act!U4*1000)</f>
        <v>47.922504774534168</v>
      </c>
      <c r="V88" s="29">
        <f>IF(TrRoad_act!V4=0,0,V18/TrRoad_act!V4*1000)</f>
        <v>50.816922245768509</v>
      </c>
      <c r="W88" s="29">
        <f>IF(TrRoad_act!W4=0,0,W18/TrRoad_act!W4*1000)</f>
        <v>48.820789647625759</v>
      </c>
      <c r="X88" s="29">
        <f>IF(TrRoad_act!X4=0,0,X18/TrRoad_act!X4*1000)</f>
        <v>48.539446623622169</v>
      </c>
      <c r="Y88" s="29">
        <f>IF(TrRoad_act!Y4=0,0,Y18/TrRoad_act!Y4*1000)</f>
        <v>46.393152505450423</v>
      </c>
      <c r="DA88" s="173" t="s">
        <v>416</v>
      </c>
    </row>
    <row r="89" spans="1:105" ht="11.45" customHeight="1" x14ac:dyDescent="0.25">
      <c r="A89" s="136" t="s">
        <v>173</v>
      </c>
      <c r="B89" s="152">
        <f>IF(TrRoad_act!B5=0,0,B19/TrRoad_act!B5*1000)</f>
        <v>41.343707219215219</v>
      </c>
      <c r="C89" s="152">
        <f>IF(TrRoad_act!C5=0,0,C19/TrRoad_act!C5*1000)</f>
        <v>39.880147761274358</v>
      </c>
      <c r="D89" s="152">
        <f>IF(TrRoad_act!D5=0,0,D19/TrRoad_act!D5*1000)</f>
        <v>40.735698863396998</v>
      </c>
      <c r="E89" s="152">
        <f>IF(TrRoad_act!E5=0,0,E19/TrRoad_act!E5*1000)</f>
        <v>38.741603239708652</v>
      </c>
      <c r="F89" s="152">
        <f>IF(TrRoad_act!F5=0,0,F19/TrRoad_act!F5*1000)</f>
        <v>38.712657821708149</v>
      </c>
      <c r="G89" s="152">
        <f>IF(TrRoad_act!G5=0,0,G19/TrRoad_act!G5*1000)</f>
        <v>37.51339362260768</v>
      </c>
      <c r="H89" s="152">
        <f>IF(TrRoad_act!H5=0,0,H19/TrRoad_act!H5*1000)</f>
        <v>37.068246465767807</v>
      </c>
      <c r="I89" s="152">
        <f>IF(TrRoad_act!I5=0,0,I19/TrRoad_act!I5*1000)</f>
        <v>36.454803893730357</v>
      </c>
      <c r="J89" s="152">
        <f>IF(TrRoad_act!J5=0,0,J19/TrRoad_act!J5*1000)</f>
        <v>37.366689589320508</v>
      </c>
      <c r="K89" s="152">
        <f>IF(TrRoad_act!K5=0,0,K19/TrRoad_act!K5*1000)</f>
        <v>34.753976048763754</v>
      </c>
      <c r="L89" s="152">
        <f>IF(TrRoad_act!L5=0,0,L19/TrRoad_act!L5*1000)</f>
        <v>34.280979393593462</v>
      </c>
      <c r="M89" s="152">
        <f>IF(TrRoad_act!M5=0,0,M19/TrRoad_act!M5*1000)</f>
        <v>33.75662354102959</v>
      </c>
      <c r="N89" s="152">
        <f>IF(TrRoad_act!N5=0,0,N19/TrRoad_act!N5*1000)</f>
        <v>33.58136872282104</v>
      </c>
      <c r="O89" s="152">
        <f>IF(TrRoad_act!O5=0,0,O19/TrRoad_act!O5*1000)</f>
        <v>33.225944947977133</v>
      </c>
      <c r="P89" s="152">
        <f>IF(TrRoad_act!P5=0,0,P19/TrRoad_act!P5*1000)</f>
        <v>32.936349213811035</v>
      </c>
      <c r="Q89" s="152">
        <f>IF(TrRoad_act!Q5=0,0,Q19/TrRoad_act!Q5*1000)</f>
        <v>32.468952934308341</v>
      </c>
      <c r="R89" s="152">
        <f>IF(TrRoad_act!R5=0,0,R19/TrRoad_act!R5*1000)</f>
        <v>32.072022495448003</v>
      </c>
      <c r="S89" s="152">
        <f>IF(TrRoad_act!S5=0,0,S19/TrRoad_act!S5*1000)</f>
        <v>31.90027068491462</v>
      </c>
      <c r="T89" s="152">
        <f>IF(TrRoad_act!T5=0,0,T19/TrRoad_act!T5*1000)</f>
        <v>31.692893623824602</v>
      </c>
      <c r="U89" s="152">
        <f>IF(TrRoad_act!U5=0,0,U19/TrRoad_act!U5*1000)</f>
        <v>31.550803718881241</v>
      </c>
      <c r="V89" s="152">
        <f>IF(TrRoad_act!V5=0,0,V19/TrRoad_act!V5*1000)</f>
        <v>31.465000924691047</v>
      </c>
      <c r="W89" s="152">
        <f>IF(TrRoad_act!W5=0,0,W19/TrRoad_act!W5*1000)</f>
        <v>31.352094971428407</v>
      </c>
      <c r="X89" s="152">
        <f>IF(TrRoad_act!X5=0,0,X19/TrRoad_act!X5*1000)</f>
        <v>31.259347470489022</v>
      </c>
      <c r="Y89" s="152">
        <f>IF(TrRoad_act!Y5=0,0,Y19/TrRoad_act!Y5*1000)</f>
        <v>31.129763447305486</v>
      </c>
      <c r="DA89" s="174" t="s">
        <v>417</v>
      </c>
    </row>
    <row r="90" spans="1:105" ht="11.45" customHeight="1" x14ac:dyDescent="0.25">
      <c r="A90" s="109" t="s">
        <v>20</v>
      </c>
      <c r="B90" s="116">
        <f>IF(TrRoad_act!B6=0,0,B21/TrRoad_act!B6*1000)</f>
        <v>39.999831062115682</v>
      </c>
      <c r="C90" s="116">
        <f>IF(TrRoad_act!C6=0,0,C21/TrRoad_act!C6*1000)</f>
        <v>38.603229686877341</v>
      </c>
      <c r="D90" s="116">
        <f>IF(TrRoad_act!D6=0,0,D21/TrRoad_act!D6*1000)</f>
        <v>37.133654859669932</v>
      </c>
      <c r="E90" s="116">
        <f>IF(TrRoad_act!E6=0,0,E21/TrRoad_act!E6*1000)</f>
        <v>37.944956696344306</v>
      </c>
      <c r="F90" s="116">
        <f>IF(TrRoad_act!F6=0,0,F21/TrRoad_act!F6*1000)</f>
        <v>41.050080108512269</v>
      </c>
      <c r="G90" s="116">
        <f>IF(TrRoad_act!G6=0,0,G21/TrRoad_act!G6*1000)</f>
        <v>40.003650972744317</v>
      </c>
      <c r="H90" s="116">
        <f>IF(TrRoad_act!H6=0,0,H21/TrRoad_act!H6*1000)</f>
        <v>43.909236124286615</v>
      </c>
      <c r="I90" s="116">
        <f>IF(TrRoad_act!I6=0,0,I21/TrRoad_act!I6*1000)</f>
        <v>46.845657834636178</v>
      </c>
      <c r="J90" s="116">
        <f>IF(TrRoad_act!J6=0,0,J21/TrRoad_act!J6*1000)</f>
        <v>47.323033271636469</v>
      </c>
      <c r="K90" s="116">
        <f>IF(TrRoad_act!K6=0,0,K21/TrRoad_act!K6*1000)</f>
        <v>46.860804926927734</v>
      </c>
      <c r="L90" s="116">
        <f>IF(TrRoad_act!L6=0,0,L21/TrRoad_act!L6*1000)</f>
        <v>47.98902828477614</v>
      </c>
      <c r="M90" s="116">
        <f>IF(TrRoad_act!M6=0,0,M21/TrRoad_act!M6*1000)</f>
        <v>48.445368808484957</v>
      </c>
      <c r="N90" s="116">
        <f>IF(TrRoad_act!N6=0,0,N21/TrRoad_act!N6*1000)</f>
        <v>47.975758208986925</v>
      </c>
      <c r="O90" s="116">
        <f>IF(TrRoad_act!O6=0,0,O21/TrRoad_act!O6*1000)</f>
        <v>44.584488251910244</v>
      </c>
      <c r="P90" s="116">
        <f>IF(TrRoad_act!P6=0,0,P21/TrRoad_act!P6*1000)</f>
        <v>43.777155423759837</v>
      </c>
      <c r="Q90" s="116">
        <f>IF(TrRoad_act!Q6=0,0,Q21/TrRoad_act!Q6*1000)</f>
        <v>45.313393249970424</v>
      </c>
      <c r="R90" s="116">
        <f>IF(TrRoad_act!R6=0,0,R21/TrRoad_act!R6*1000)</f>
        <v>46.097667713531528</v>
      </c>
      <c r="S90" s="116">
        <f>IF(TrRoad_act!S6=0,0,S21/TrRoad_act!S6*1000)</f>
        <v>49.7765005325275</v>
      </c>
      <c r="T90" s="116">
        <f>IF(TrRoad_act!T6=0,0,T21/TrRoad_act!T6*1000)</f>
        <v>51.008660769414199</v>
      </c>
      <c r="U90" s="116">
        <f>IF(TrRoad_act!U6=0,0,U21/TrRoad_act!U6*1000)</f>
        <v>51.486326585769199</v>
      </c>
      <c r="V90" s="116">
        <f>IF(TrRoad_act!V6=0,0,V21/TrRoad_act!V6*1000)</f>
        <v>51.220512784963525</v>
      </c>
      <c r="W90" s="116">
        <f>IF(TrRoad_act!W6=0,0,W21/TrRoad_act!W6*1000)</f>
        <v>49.434801271968922</v>
      </c>
      <c r="X90" s="116">
        <f>IF(TrRoad_act!X6=0,0,X21/TrRoad_act!X6*1000)</f>
        <v>50.133125724144854</v>
      </c>
      <c r="Y90" s="116">
        <f>IF(TrRoad_act!Y6=0,0,Y21/TrRoad_act!Y6*1000)</f>
        <v>48.236897892916637</v>
      </c>
      <c r="DA90" s="176" t="s">
        <v>418</v>
      </c>
    </row>
    <row r="91" spans="1:105" ht="11.45" customHeight="1" x14ac:dyDescent="0.25">
      <c r="A91" s="111" t="s">
        <v>110</v>
      </c>
      <c r="B91" s="87">
        <f>IF(TrRoad_act!B7=0,0,B22/TrRoad_act!B7*1000)</f>
        <v>39.765600283602147</v>
      </c>
      <c r="C91" s="87">
        <f>IF(TrRoad_act!C7=0,0,C22/TrRoad_act!C7*1000)</f>
        <v>38.531313874396325</v>
      </c>
      <c r="D91" s="87">
        <f>IF(TrRoad_act!D7=0,0,D22/TrRoad_act!D7*1000)</f>
        <v>36.134096727573358</v>
      </c>
      <c r="E91" s="87">
        <f>IF(TrRoad_act!E7=0,0,E22/TrRoad_act!E7*1000)</f>
        <v>37.103927453189094</v>
      </c>
      <c r="F91" s="87">
        <f>IF(TrRoad_act!F7=0,0,F22/TrRoad_act!F7*1000)</f>
        <v>40.769766895457529</v>
      </c>
      <c r="G91" s="87">
        <f>IF(TrRoad_act!G7=0,0,G22/TrRoad_act!G7*1000)</f>
        <v>38.117916943289508</v>
      </c>
      <c r="H91" s="87">
        <f>IF(TrRoad_act!H7=0,0,H22/TrRoad_act!H7*1000)</f>
        <v>41.567268190101053</v>
      </c>
      <c r="I91" s="87">
        <f>IF(TrRoad_act!I7=0,0,I22/TrRoad_act!I7*1000)</f>
        <v>45.149254274729827</v>
      </c>
      <c r="J91" s="87">
        <f>IF(TrRoad_act!J7=0,0,J22/TrRoad_act!J7*1000)</f>
        <v>47.441977357938455</v>
      </c>
      <c r="K91" s="87">
        <f>IF(TrRoad_act!K7=0,0,K22/TrRoad_act!K7*1000)</f>
        <v>49.177592016703798</v>
      </c>
      <c r="L91" s="87">
        <f>IF(TrRoad_act!L7=0,0,L22/TrRoad_act!L7*1000)</f>
        <v>51.494949227110126</v>
      </c>
      <c r="M91" s="87">
        <f>IF(TrRoad_act!M7=0,0,M22/TrRoad_act!M7*1000)</f>
        <v>51.41786427917507</v>
      </c>
      <c r="N91" s="87">
        <f>IF(TrRoad_act!N7=0,0,N22/TrRoad_act!N7*1000)</f>
        <v>49.290695096944567</v>
      </c>
      <c r="O91" s="87">
        <f>IF(TrRoad_act!O7=0,0,O22/TrRoad_act!O7*1000)</f>
        <v>45.4564620421054</v>
      </c>
      <c r="P91" s="87">
        <f>IF(TrRoad_act!P7=0,0,P22/TrRoad_act!P7*1000)</f>
        <v>44.423491327947275</v>
      </c>
      <c r="Q91" s="87">
        <f>IF(TrRoad_act!Q7=0,0,Q22/TrRoad_act!Q7*1000)</f>
        <v>46.299388050835923</v>
      </c>
      <c r="R91" s="87">
        <f>IF(TrRoad_act!R7=0,0,R22/TrRoad_act!R7*1000)</f>
        <v>48.384760663506277</v>
      </c>
      <c r="S91" s="87">
        <f>IF(TrRoad_act!S7=0,0,S22/TrRoad_act!S7*1000)</f>
        <v>51.124081627115608</v>
      </c>
      <c r="T91" s="87">
        <f>IF(TrRoad_act!T7=0,0,T22/TrRoad_act!T7*1000)</f>
        <v>53.197539321858763</v>
      </c>
      <c r="U91" s="87">
        <f>IF(TrRoad_act!U7=0,0,U22/TrRoad_act!U7*1000)</f>
        <v>53.027099315548533</v>
      </c>
      <c r="V91" s="87">
        <f>IF(TrRoad_act!V7=0,0,V22/TrRoad_act!V7*1000)</f>
        <v>52.550922998050552</v>
      </c>
      <c r="W91" s="87">
        <f>IF(TrRoad_act!W7=0,0,W22/TrRoad_act!W7*1000)</f>
        <v>50.630046236400965</v>
      </c>
      <c r="X91" s="87">
        <f>IF(TrRoad_act!X7=0,0,X22/TrRoad_act!X7*1000)</f>
        <v>51.35128289311065</v>
      </c>
      <c r="Y91" s="87">
        <f>IF(TrRoad_act!Y7=0,0,Y22/TrRoad_act!Y7*1000)</f>
        <v>49.352891979923783</v>
      </c>
      <c r="DA91" s="171" t="s">
        <v>698</v>
      </c>
    </row>
    <row r="92" spans="1:105" ht="11.45" customHeight="1" x14ac:dyDescent="0.25">
      <c r="A92" s="111" t="s">
        <v>111</v>
      </c>
      <c r="B92" s="87">
        <f>IF(TrRoad_act!B8=0,0,B24/TrRoad_act!B8*1000)</f>
        <v>38.106660758806647</v>
      </c>
      <c r="C92" s="87">
        <f>IF(TrRoad_act!C8=0,0,C24/TrRoad_act!C8*1000)</f>
        <v>35.778712003450472</v>
      </c>
      <c r="D92" s="87">
        <f>IF(TrRoad_act!D8=0,0,D24/TrRoad_act!D8*1000)</f>
        <v>35.604694030076679</v>
      </c>
      <c r="E92" s="87">
        <f>IF(TrRoad_act!E8=0,0,E24/TrRoad_act!E8*1000)</f>
        <v>36.561649520067945</v>
      </c>
      <c r="F92" s="87">
        <f>IF(TrRoad_act!F8=0,0,F24/TrRoad_act!F8*1000)</f>
        <v>37.387262730765293</v>
      </c>
      <c r="G92" s="87">
        <f>IF(TrRoad_act!G8=0,0,G24/TrRoad_act!G8*1000)</f>
        <v>39.154959895916548</v>
      </c>
      <c r="H92" s="87">
        <f>IF(TrRoad_act!H8=0,0,H24/TrRoad_act!H8*1000)</f>
        <v>44.485887841938272</v>
      </c>
      <c r="I92" s="87">
        <f>IF(TrRoad_act!I8=0,0,I24/TrRoad_act!I8*1000)</f>
        <v>47.233664812781882</v>
      </c>
      <c r="J92" s="87">
        <f>IF(TrRoad_act!J8=0,0,J24/TrRoad_act!J8*1000)</f>
        <v>45.978225314166494</v>
      </c>
      <c r="K92" s="87">
        <f>IF(TrRoad_act!K8=0,0,K24/TrRoad_act!K8*1000)</f>
        <v>45.6391897415484</v>
      </c>
      <c r="L92" s="87">
        <f>IF(TrRoad_act!L8=0,0,L24/TrRoad_act!L8*1000)</f>
        <v>47.950035406153688</v>
      </c>
      <c r="M92" s="87">
        <f>IF(TrRoad_act!M8=0,0,M24/TrRoad_act!M8*1000)</f>
        <v>47.274374178308982</v>
      </c>
      <c r="N92" s="87">
        <f>IF(TrRoad_act!N8=0,0,N24/TrRoad_act!N8*1000)</f>
        <v>45.107816481869989</v>
      </c>
      <c r="O92" s="87">
        <f>IF(TrRoad_act!O8=0,0,O24/TrRoad_act!O8*1000)</f>
        <v>41.11763880151311</v>
      </c>
      <c r="P92" s="87">
        <f>IF(TrRoad_act!P8=0,0,P24/TrRoad_act!P8*1000)</f>
        <v>40.279315075373013</v>
      </c>
      <c r="Q92" s="87">
        <f>IF(TrRoad_act!Q8=0,0,Q24/TrRoad_act!Q8*1000)</f>
        <v>41.908884113913707</v>
      </c>
      <c r="R92" s="87">
        <f>IF(TrRoad_act!R8=0,0,R24/TrRoad_act!R8*1000)</f>
        <v>42.973463179039179</v>
      </c>
      <c r="S92" s="87">
        <f>IF(TrRoad_act!S8=0,0,S24/TrRoad_act!S8*1000)</f>
        <v>47.783555474881354</v>
      </c>
      <c r="T92" s="87">
        <f>IF(TrRoad_act!T8=0,0,T24/TrRoad_act!T8*1000)</f>
        <v>49.414369595394163</v>
      </c>
      <c r="U92" s="87">
        <f>IF(TrRoad_act!U8=0,0,U24/TrRoad_act!U8*1000)</f>
        <v>49.538847984973955</v>
      </c>
      <c r="V92" s="87">
        <f>IF(TrRoad_act!V8=0,0,V24/TrRoad_act!V8*1000)</f>
        <v>50.054302451244553</v>
      </c>
      <c r="W92" s="87">
        <f>IF(TrRoad_act!W8=0,0,W24/TrRoad_act!W8*1000)</f>
        <v>47.16975573144142</v>
      </c>
      <c r="X92" s="87">
        <f>IF(TrRoad_act!X8=0,0,X24/TrRoad_act!X8*1000)</f>
        <v>48.012358865192788</v>
      </c>
      <c r="Y92" s="87">
        <f>IF(TrRoad_act!Y8=0,0,Y24/TrRoad_act!Y8*1000)</f>
        <v>46.603093536879314</v>
      </c>
      <c r="DA92" s="171" t="s">
        <v>699</v>
      </c>
    </row>
    <row r="93" spans="1:105" ht="11.45" customHeight="1" x14ac:dyDescent="0.25">
      <c r="A93" s="111" t="s">
        <v>112</v>
      </c>
      <c r="B93" s="87">
        <f>IF(TrRoad_act!B9=0,0,B26/TrRoad_act!B9*1000)</f>
        <v>46.312159558671389</v>
      </c>
      <c r="C93" s="87">
        <f>IF(TrRoad_act!C9=0,0,C26/TrRoad_act!C9*1000)</f>
        <v>43.279030876902759</v>
      </c>
      <c r="D93" s="87">
        <f>IF(TrRoad_act!D9=0,0,D26/TrRoad_act!D9*1000)</f>
        <v>43.475966844114858</v>
      </c>
      <c r="E93" s="87">
        <f>IF(TrRoad_act!E9=0,0,E26/TrRoad_act!E9*1000)</f>
        <v>42.021491499423014</v>
      </c>
      <c r="F93" s="87">
        <f>IF(TrRoad_act!F9=0,0,F26/TrRoad_act!F9*1000)</f>
        <v>45.371459261656177</v>
      </c>
      <c r="G93" s="87">
        <f>IF(TrRoad_act!G9=0,0,G26/TrRoad_act!G9*1000)</f>
        <v>45.236302513823745</v>
      </c>
      <c r="H93" s="87">
        <f>IF(TrRoad_act!H9=0,0,H26/TrRoad_act!H9*1000)</f>
        <v>48.8665537879669</v>
      </c>
      <c r="I93" s="87">
        <f>IF(TrRoad_act!I9=0,0,I26/TrRoad_act!I9*1000)</f>
        <v>50.092939745983422</v>
      </c>
      <c r="J93" s="87">
        <f>IF(TrRoad_act!J9=0,0,J26/TrRoad_act!J9*1000)</f>
        <v>49.137320859822204</v>
      </c>
      <c r="K93" s="87">
        <f>IF(TrRoad_act!K9=0,0,K26/TrRoad_act!K9*1000)</f>
        <v>44.295508478623042</v>
      </c>
      <c r="L93" s="87">
        <f>IF(TrRoad_act!L9=0,0,L26/TrRoad_act!L9*1000)</f>
        <v>41.743342544018638</v>
      </c>
      <c r="M93" s="87">
        <f>IF(TrRoad_act!M9=0,0,M26/TrRoad_act!M9*1000)</f>
        <v>45.390759483036767</v>
      </c>
      <c r="N93" s="87">
        <f>IF(TrRoad_act!N9=0,0,N26/TrRoad_act!N9*1000)</f>
        <v>53.192128169594284</v>
      </c>
      <c r="O93" s="87">
        <f>IF(TrRoad_act!O9=0,0,O26/TrRoad_act!O9*1000)</f>
        <v>52.49645179133968</v>
      </c>
      <c r="P93" s="87">
        <f>IF(TrRoad_act!P9=0,0,P26/TrRoad_act!P9*1000)</f>
        <v>52.833157681788194</v>
      </c>
      <c r="Q93" s="87">
        <f>IF(TrRoad_act!Q9=0,0,Q26/TrRoad_act!Q9*1000)</f>
        <v>53.490024772730003</v>
      </c>
      <c r="R93" s="87">
        <f>IF(TrRoad_act!R9=0,0,R26/TrRoad_act!R9*1000)</f>
        <v>50.486751090330017</v>
      </c>
      <c r="S93" s="87">
        <f>IF(TrRoad_act!S9=0,0,S26/TrRoad_act!S9*1000)</f>
        <v>52.918199952100515</v>
      </c>
      <c r="T93" s="87">
        <f>IF(TrRoad_act!T9=0,0,T26/TrRoad_act!T9*1000)</f>
        <v>51.323757176235723</v>
      </c>
      <c r="U93" s="87">
        <f>IF(TrRoad_act!U9=0,0,U26/TrRoad_act!U9*1000)</f>
        <v>54.222979735753732</v>
      </c>
      <c r="V93" s="87">
        <f>IF(TrRoad_act!V9=0,0,V26/TrRoad_act!V9*1000)</f>
        <v>52.264483966302606</v>
      </c>
      <c r="W93" s="87">
        <f>IF(TrRoad_act!W9=0,0,W26/TrRoad_act!W9*1000)</f>
        <v>53.634715684058044</v>
      </c>
      <c r="X93" s="87">
        <f>IF(TrRoad_act!X9=0,0,X26/TrRoad_act!X9*1000)</f>
        <v>53.717773418743697</v>
      </c>
      <c r="Y93" s="87">
        <f>IF(TrRoad_act!Y9=0,0,Y26/TrRoad_act!Y9*1000)</f>
        <v>50.517684533229456</v>
      </c>
      <c r="DA93" s="171" t="s">
        <v>700</v>
      </c>
    </row>
    <row r="94" spans="1:105" ht="11.45" customHeight="1" x14ac:dyDescent="0.25">
      <c r="A94" s="111" t="s">
        <v>113</v>
      </c>
      <c r="B94" s="87">
        <f>IF(TrRoad_act!B10=0,0,B27/TrRoad_act!B10*1000)</f>
        <v>0</v>
      </c>
      <c r="C94" s="87">
        <f>IF(TrRoad_act!C10=0,0,C27/TrRoad_act!C10*1000)</f>
        <v>0</v>
      </c>
      <c r="D94" s="87">
        <f>IF(TrRoad_act!D10=0,0,D27/TrRoad_act!D10*1000)</f>
        <v>0</v>
      </c>
      <c r="E94" s="87">
        <f>IF(TrRoad_act!E10=0,0,E27/TrRoad_act!E10*1000)</f>
        <v>0</v>
      </c>
      <c r="F94" s="87">
        <f>IF(TrRoad_act!F10=0,0,F27/TrRoad_act!F10*1000)</f>
        <v>0</v>
      </c>
      <c r="G94" s="87">
        <f>IF(TrRoad_act!G10=0,0,G27/TrRoad_act!G10*1000)</f>
        <v>0</v>
      </c>
      <c r="H94" s="87">
        <f>IF(TrRoad_act!H10=0,0,H27/TrRoad_act!H10*1000)</f>
        <v>0</v>
      </c>
      <c r="I94" s="87">
        <f>IF(TrRoad_act!I10=0,0,I27/TrRoad_act!I10*1000)</f>
        <v>0</v>
      </c>
      <c r="J94" s="87">
        <f>IF(TrRoad_act!J10=0,0,J27/TrRoad_act!J10*1000)</f>
        <v>0</v>
      </c>
      <c r="K94" s="87">
        <f>IF(TrRoad_act!K10=0,0,K27/TrRoad_act!K10*1000)</f>
        <v>0</v>
      </c>
      <c r="L94" s="87">
        <f>IF(TrRoad_act!L10=0,0,L27/TrRoad_act!L10*1000)</f>
        <v>0</v>
      </c>
      <c r="M94" s="87">
        <f>IF(TrRoad_act!M10=0,0,M27/TrRoad_act!M10*1000)</f>
        <v>0</v>
      </c>
      <c r="N94" s="87">
        <f>IF(TrRoad_act!N10=0,0,N27/TrRoad_act!N10*1000)</f>
        <v>0</v>
      </c>
      <c r="O94" s="87">
        <f>IF(TrRoad_act!O10=0,0,O27/TrRoad_act!O10*1000)</f>
        <v>0</v>
      </c>
      <c r="P94" s="87">
        <f>IF(TrRoad_act!P10=0,0,P27/TrRoad_act!P10*1000)</f>
        <v>0</v>
      </c>
      <c r="Q94" s="87">
        <f>IF(TrRoad_act!Q10=0,0,Q27/TrRoad_act!Q10*1000)</f>
        <v>40.131898306881247</v>
      </c>
      <c r="R94" s="87">
        <f>IF(TrRoad_act!R10=0,0,R27/TrRoad_act!R10*1000)</f>
        <v>40.03044652893832</v>
      </c>
      <c r="S94" s="87">
        <f>IF(TrRoad_act!S10=0,0,S27/TrRoad_act!S10*1000)</f>
        <v>42.830263428883335</v>
      </c>
      <c r="T94" s="87">
        <f>IF(TrRoad_act!T10=0,0,T27/TrRoad_act!T10*1000)</f>
        <v>45.717603644599983</v>
      </c>
      <c r="U94" s="87">
        <f>IF(TrRoad_act!U10=0,0,U27/TrRoad_act!U10*1000)</f>
        <v>46.687845958980148</v>
      </c>
      <c r="V94" s="87">
        <f>IF(TrRoad_act!V10=0,0,V27/TrRoad_act!V10*1000)</f>
        <v>49.122060429258397</v>
      </c>
      <c r="W94" s="87">
        <f>IF(TrRoad_act!W10=0,0,W27/TrRoad_act!W10*1000)</f>
        <v>47.246979447158743</v>
      </c>
      <c r="X94" s="87">
        <f>IF(TrRoad_act!X10=0,0,X27/TrRoad_act!X10*1000)</f>
        <v>48.021954899629684</v>
      </c>
      <c r="Y94" s="87">
        <f>IF(TrRoad_act!Y10=0,0,Y27/TrRoad_act!Y10*1000)</f>
        <v>47.06696065109837</v>
      </c>
      <c r="DA94" s="171" t="s">
        <v>701</v>
      </c>
    </row>
    <row r="95" spans="1:105" ht="11.45" customHeight="1" x14ac:dyDescent="0.25">
      <c r="A95" s="111" t="s">
        <v>114</v>
      </c>
      <c r="B95" s="87">
        <f>IF(TrRoad_act!B11=0,0,B29/TrRoad_act!B11*1000)</f>
        <v>0</v>
      </c>
      <c r="C95" s="87">
        <f>IF(TrRoad_act!C11=0,0,C29/TrRoad_act!C11*1000)</f>
        <v>0</v>
      </c>
      <c r="D95" s="87">
        <f>IF(TrRoad_act!D11=0,0,D29/TrRoad_act!D11*1000)</f>
        <v>0</v>
      </c>
      <c r="E95" s="87">
        <f>IF(TrRoad_act!E11=0,0,E29/TrRoad_act!E11*1000)</f>
        <v>0</v>
      </c>
      <c r="F95" s="87">
        <f>IF(TrRoad_act!F11=0,0,F29/TrRoad_act!F11*1000)</f>
        <v>0</v>
      </c>
      <c r="G95" s="87">
        <f>IF(TrRoad_act!G11=0,0,G29/TrRoad_act!G11*1000)</f>
        <v>0</v>
      </c>
      <c r="H95" s="87">
        <f>IF(TrRoad_act!H11=0,0,H29/TrRoad_act!H11*1000)</f>
        <v>0</v>
      </c>
      <c r="I95" s="87">
        <f>IF(TrRoad_act!I11=0,0,I29/TrRoad_act!I11*1000)</f>
        <v>0</v>
      </c>
      <c r="J95" s="87">
        <f>IF(TrRoad_act!J11=0,0,J29/TrRoad_act!J11*1000)</f>
        <v>0</v>
      </c>
      <c r="K95" s="87">
        <f>IF(TrRoad_act!K11=0,0,K29/TrRoad_act!K11*1000)</f>
        <v>0</v>
      </c>
      <c r="L95" s="87">
        <f>IF(TrRoad_act!L11=0,0,L29/TrRoad_act!L11*1000)</f>
        <v>0</v>
      </c>
      <c r="M95" s="87">
        <f>IF(TrRoad_act!M11=0,0,M29/TrRoad_act!M11*1000)</f>
        <v>0</v>
      </c>
      <c r="N95" s="87">
        <f>IF(TrRoad_act!N11=0,0,N29/TrRoad_act!N11*1000)</f>
        <v>17.636400817047349</v>
      </c>
      <c r="O95" s="87">
        <f>IF(TrRoad_act!O11=0,0,O29/TrRoad_act!O11*1000)</f>
        <v>19.909251421415274</v>
      </c>
      <c r="P95" s="87">
        <f>IF(TrRoad_act!P11=0,0,P29/TrRoad_act!P11*1000)</f>
        <v>34.684434054750454</v>
      </c>
      <c r="Q95" s="87">
        <f>IF(TrRoad_act!Q11=0,0,Q29/TrRoad_act!Q11*1000)</f>
        <v>22.295158188862885</v>
      </c>
      <c r="R95" s="87">
        <f>IF(TrRoad_act!R11=0,0,R29/TrRoad_act!R11*1000)</f>
        <v>21.696974777690244</v>
      </c>
      <c r="S95" s="87">
        <f>IF(TrRoad_act!S11=0,0,S29/TrRoad_act!S11*1000)</f>
        <v>23.683067256619417</v>
      </c>
      <c r="T95" s="87">
        <f>IF(TrRoad_act!T11=0,0,T29/TrRoad_act!T11*1000)</f>
        <v>27.010676126078447</v>
      </c>
      <c r="U95" s="87">
        <f>IF(TrRoad_act!U11=0,0,U29/TrRoad_act!U11*1000)</f>
        <v>27.033785504637493</v>
      </c>
      <c r="V95" s="87">
        <f>IF(TrRoad_act!V11=0,0,V29/TrRoad_act!V11*1000)</f>
        <v>29.016545761666936</v>
      </c>
      <c r="W95" s="87">
        <f>IF(TrRoad_act!W11=0,0,W29/TrRoad_act!W11*1000)</f>
        <v>26.574625812351446</v>
      </c>
      <c r="X95" s="87">
        <f>IF(TrRoad_act!X11=0,0,X29/TrRoad_act!X11*1000)</f>
        <v>26.618114352698029</v>
      </c>
      <c r="Y95" s="87">
        <f>IF(TrRoad_act!Y11=0,0,Y29/TrRoad_act!Y11*1000)</f>
        <v>25.257680900144788</v>
      </c>
      <c r="DA95" s="171" t="s">
        <v>702</v>
      </c>
    </row>
    <row r="96" spans="1:105" ht="11.45" customHeight="1" x14ac:dyDescent="0.25">
      <c r="A96" s="111" t="s">
        <v>115</v>
      </c>
      <c r="B96" s="87">
        <f>IF(TrRoad_act!B12=0,0,B32/TrRoad_act!B12*1000)</f>
        <v>0</v>
      </c>
      <c r="C96" s="87">
        <f>IF(TrRoad_act!C12=0,0,C32/TrRoad_act!C12*1000)</f>
        <v>0</v>
      </c>
      <c r="D96" s="87">
        <f>IF(TrRoad_act!D12=0,0,D32/TrRoad_act!D12*1000)</f>
        <v>0</v>
      </c>
      <c r="E96" s="87">
        <f>IF(TrRoad_act!E12=0,0,E32/TrRoad_act!E12*1000)</f>
        <v>0</v>
      </c>
      <c r="F96" s="87">
        <f>IF(TrRoad_act!F12=0,0,F32/TrRoad_act!F12*1000)</f>
        <v>0</v>
      </c>
      <c r="G96" s="87">
        <f>IF(TrRoad_act!G12=0,0,G32/TrRoad_act!G12*1000)</f>
        <v>0</v>
      </c>
      <c r="H96" s="87">
        <f>IF(TrRoad_act!H12=0,0,H32/TrRoad_act!H12*1000)</f>
        <v>0</v>
      </c>
      <c r="I96" s="87">
        <f>IF(TrRoad_act!I12=0,0,I32/TrRoad_act!I12*1000)</f>
        <v>0</v>
      </c>
      <c r="J96" s="87">
        <f>IF(TrRoad_act!J12=0,0,J32/TrRoad_act!J12*1000)</f>
        <v>0</v>
      </c>
      <c r="K96" s="87">
        <f>IF(TrRoad_act!K12=0,0,K32/TrRoad_act!K12*1000)</f>
        <v>0</v>
      </c>
      <c r="L96" s="87">
        <f>IF(TrRoad_act!L12=0,0,L32/TrRoad_act!L12*1000)</f>
        <v>10.287081570162625</v>
      </c>
      <c r="M96" s="87">
        <f>IF(TrRoad_act!M12=0,0,M32/TrRoad_act!M12*1000)</f>
        <v>10.556329062105336</v>
      </c>
      <c r="N96" s="87">
        <f>IF(TrRoad_act!N12=0,0,N32/TrRoad_act!N12*1000)</f>
        <v>10.10119114216965</v>
      </c>
      <c r="O96" s="87">
        <f>IF(TrRoad_act!O12=0,0,O32/TrRoad_act!O12*1000)</f>
        <v>9.4713148471323674</v>
      </c>
      <c r="P96" s="87">
        <f>IF(TrRoad_act!P12=0,0,P32/TrRoad_act!P12*1000)</f>
        <v>9.2175331925196904</v>
      </c>
      <c r="Q96" s="87">
        <f>IF(TrRoad_act!Q12=0,0,Q32/TrRoad_act!Q12*1000)</f>
        <v>9.5537354417134956</v>
      </c>
      <c r="R96" s="87">
        <f>IF(TrRoad_act!R12=0,0,R32/TrRoad_act!R12*1000)</f>
        <v>8.9580489655486097</v>
      </c>
      <c r="S96" s="87">
        <f>IF(TrRoad_act!S12=0,0,S32/TrRoad_act!S12*1000)</f>
        <v>12.328429602422183</v>
      </c>
      <c r="T96" s="87">
        <f>IF(TrRoad_act!T12=0,0,T32/TrRoad_act!T12*1000)</f>
        <v>13.259702616559375</v>
      </c>
      <c r="U96" s="87">
        <f>IF(TrRoad_act!U12=0,0,U32/TrRoad_act!U12*1000)</f>
        <v>13.636357543034343</v>
      </c>
      <c r="V96" s="87">
        <f>IF(TrRoad_act!V12=0,0,V32/TrRoad_act!V12*1000)</f>
        <v>14.91126611102556</v>
      </c>
      <c r="W96" s="87">
        <f>IF(TrRoad_act!W12=0,0,W32/TrRoad_act!W12*1000)</f>
        <v>14.399725819045067</v>
      </c>
      <c r="X96" s="87">
        <f>IF(TrRoad_act!X12=0,0,X32/TrRoad_act!X12*1000)</f>
        <v>14.50025105221669</v>
      </c>
      <c r="Y96" s="87">
        <f>IF(TrRoad_act!Y12=0,0,Y32/TrRoad_act!Y12*1000)</f>
        <v>14.137735993039319</v>
      </c>
      <c r="DA96" s="171" t="s">
        <v>703</v>
      </c>
    </row>
    <row r="97" spans="1:105" ht="11.45" customHeight="1" x14ac:dyDescent="0.25">
      <c r="A97" s="109" t="s">
        <v>21</v>
      </c>
      <c r="B97" s="116">
        <f>IF(TrRoad_act!B13=0,0,B33/TrRoad_act!B13*1000)</f>
        <v>16.748431642942805</v>
      </c>
      <c r="C97" s="116">
        <f>IF(TrRoad_act!C13=0,0,C33/TrRoad_act!C13*1000)</f>
        <v>16.615575339467849</v>
      </c>
      <c r="D97" s="116">
        <f>IF(TrRoad_act!D13=0,0,D33/TrRoad_act!D13*1000)</f>
        <v>17.232362381751905</v>
      </c>
      <c r="E97" s="116">
        <f>IF(TrRoad_act!E13=0,0,E33/TrRoad_act!E13*1000)</f>
        <v>16.663793123111279</v>
      </c>
      <c r="F97" s="116">
        <f>IF(TrRoad_act!F13=0,0,F33/TrRoad_act!F13*1000)</f>
        <v>17.744103143489511</v>
      </c>
      <c r="G97" s="116">
        <f>IF(TrRoad_act!G13=0,0,G33/TrRoad_act!G13*1000)</f>
        <v>18.01379347711698</v>
      </c>
      <c r="H97" s="116">
        <f>IF(TrRoad_act!H13=0,0,H33/TrRoad_act!H13*1000)</f>
        <v>17.333474325194036</v>
      </c>
      <c r="I97" s="116">
        <f>IF(TrRoad_act!I13=0,0,I33/TrRoad_act!I13*1000)</f>
        <v>17.890670359282066</v>
      </c>
      <c r="J97" s="116">
        <f>IF(TrRoad_act!J13=0,0,J33/TrRoad_act!J13*1000)</f>
        <v>17.46633015093461</v>
      </c>
      <c r="K97" s="116">
        <f>IF(TrRoad_act!K13=0,0,K33/TrRoad_act!K13*1000)</f>
        <v>19.132067055832916</v>
      </c>
      <c r="L97" s="116">
        <f>IF(TrRoad_act!L13=0,0,L33/TrRoad_act!L13*1000)</f>
        <v>20.037839068255931</v>
      </c>
      <c r="M97" s="116">
        <f>IF(TrRoad_act!M13=0,0,M33/TrRoad_act!M13*1000)</f>
        <v>21.116558098834464</v>
      </c>
      <c r="N97" s="116">
        <f>IF(TrRoad_act!N13=0,0,N33/TrRoad_act!N13*1000)</f>
        <v>21.067228050029321</v>
      </c>
      <c r="O97" s="116">
        <f>IF(TrRoad_act!O13=0,0,O33/TrRoad_act!O13*1000)</f>
        <v>22.194627648927558</v>
      </c>
      <c r="P97" s="116">
        <f>IF(TrRoad_act!P13=0,0,P33/TrRoad_act!P13*1000)</f>
        <v>21.928989851185037</v>
      </c>
      <c r="Q97" s="116">
        <f>IF(TrRoad_act!Q13=0,0,Q33/TrRoad_act!Q13*1000)</f>
        <v>26.642521262179539</v>
      </c>
      <c r="R97" s="116">
        <f>IF(TrRoad_act!R13=0,0,R33/TrRoad_act!R13*1000)</f>
        <v>26.745342919344377</v>
      </c>
      <c r="S97" s="116">
        <f>IF(TrRoad_act!S13=0,0,S33/TrRoad_act!S13*1000)</f>
        <v>26.785986198022481</v>
      </c>
      <c r="T97" s="116">
        <f>IF(TrRoad_act!T13=0,0,T33/TrRoad_act!T13*1000)</f>
        <v>26.515556042823953</v>
      </c>
      <c r="U97" s="116">
        <f>IF(TrRoad_act!U13=0,0,U33/TrRoad_act!U13*1000)</f>
        <v>26.462578649377299</v>
      </c>
      <c r="V97" s="116">
        <f>IF(TrRoad_act!V13=0,0,V33/TrRoad_act!V13*1000)</f>
        <v>48.887693829832195</v>
      </c>
      <c r="W97" s="116">
        <f>IF(TrRoad_act!W13=0,0,W33/TrRoad_act!W13*1000)</f>
        <v>44.447994294755027</v>
      </c>
      <c r="X97" s="116">
        <f>IF(TrRoad_act!X13=0,0,X33/TrRoad_act!X13*1000)</f>
        <v>35.916672926624315</v>
      </c>
      <c r="Y97" s="116">
        <f>IF(TrRoad_act!Y13=0,0,Y33/TrRoad_act!Y13*1000)</f>
        <v>32.032225817324488</v>
      </c>
      <c r="DA97" s="176" t="s">
        <v>419</v>
      </c>
    </row>
    <row r="98" spans="1:105" ht="11.45" customHeight="1" x14ac:dyDescent="0.25">
      <c r="A98" s="111" t="s">
        <v>110</v>
      </c>
      <c r="B98" s="101">
        <f>IF(TrRoad_act!B14=0,0,B34/TrRoad_act!B14*1000)</f>
        <v>0</v>
      </c>
      <c r="C98" s="101">
        <f>IF(TrRoad_act!C14=0,0,C34/TrRoad_act!C14*1000)</f>
        <v>0</v>
      </c>
      <c r="D98" s="101">
        <f>IF(TrRoad_act!D14=0,0,D34/TrRoad_act!D14*1000)</f>
        <v>0</v>
      </c>
      <c r="E98" s="101">
        <f>IF(TrRoad_act!E14=0,0,E34/TrRoad_act!E14*1000)</f>
        <v>0</v>
      </c>
      <c r="F98" s="101">
        <f>IF(TrRoad_act!F14=0,0,F34/TrRoad_act!F14*1000)</f>
        <v>0</v>
      </c>
      <c r="G98" s="101">
        <f>IF(TrRoad_act!G14=0,0,G34/TrRoad_act!G14*1000)</f>
        <v>0</v>
      </c>
      <c r="H98" s="101">
        <f>IF(TrRoad_act!H14=0,0,H34/TrRoad_act!H14*1000)</f>
        <v>0</v>
      </c>
      <c r="I98" s="101">
        <f>IF(TrRoad_act!I14=0,0,I34/TrRoad_act!I14*1000)</f>
        <v>0</v>
      </c>
      <c r="J98" s="101">
        <f>IF(TrRoad_act!J14=0,0,J34/TrRoad_act!J14*1000)</f>
        <v>0</v>
      </c>
      <c r="K98" s="101">
        <f>IF(TrRoad_act!K14=0,0,K34/TrRoad_act!K14*1000)</f>
        <v>0</v>
      </c>
      <c r="L98" s="101">
        <f>IF(TrRoad_act!L14=0,0,L34/TrRoad_act!L14*1000)</f>
        <v>0</v>
      </c>
      <c r="M98" s="101">
        <f>IF(TrRoad_act!M14=0,0,M34/TrRoad_act!M14*1000)</f>
        <v>0</v>
      </c>
      <c r="N98" s="101">
        <f>IF(TrRoad_act!N14=0,0,N34/TrRoad_act!N14*1000)</f>
        <v>0</v>
      </c>
      <c r="O98" s="101">
        <f>IF(TrRoad_act!O14=0,0,O34/TrRoad_act!O14*1000)</f>
        <v>0</v>
      </c>
      <c r="P98" s="101">
        <f>IF(TrRoad_act!P14=0,0,P34/TrRoad_act!P14*1000)</f>
        <v>0</v>
      </c>
      <c r="Q98" s="101">
        <f>IF(TrRoad_act!Q14=0,0,Q34/TrRoad_act!Q14*1000)</f>
        <v>0</v>
      </c>
      <c r="R98" s="101">
        <f>IF(TrRoad_act!R14=0,0,R34/TrRoad_act!R14*1000)</f>
        <v>0</v>
      </c>
      <c r="S98" s="101">
        <f>IF(TrRoad_act!S14=0,0,S34/TrRoad_act!S14*1000)</f>
        <v>0</v>
      </c>
      <c r="T98" s="101">
        <f>IF(TrRoad_act!T14=0,0,T34/TrRoad_act!T14*1000)</f>
        <v>0</v>
      </c>
      <c r="U98" s="101">
        <f>IF(TrRoad_act!U14=0,0,U34/TrRoad_act!U14*1000)</f>
        <v>0</v>
      </c>
      <c r="V98" s="101">
        <f>IF(TrRoad_act!V14=0,0,V34/TrRoad_act!V14*1000)</f>
        <v>0</v>
      </c>
      <c r="W98" s="101">
        <f>IF(TrRoad_act!W14=0,0,W34/TrRoad_act!W14*1000)</f>
        <v>0</v>
      </c>
      <c r="X98" s="101">
        <f>IF(TrRoad_act!X14=0,0,X34/TrRoad_act!X14*1000)</f>
        <v>0</v>
      </c>
      <c r="Y98" s="101">
        <f>IF(TrRoad_act!Y14=0,0,Y34/TrRoad_act!Y14*1000)</f>
        <v>0</v>
      </c>
      <c r="DA98" s="175" t="s">
        <v>704</v>
      </c>
    </row>
    <row r="99" spans="1:105" ht="11.45" customHeight="1" x14ac:dyDescent="0.25">
      <c r="A99" s="111" t="s">
        <v>111</v>
      </c>
      <c r="B99" s="101">
        <f>IF(TrRoad_act!B15=0,0,B36/TrRoad_act!B15*1000)</f>
        <v>16.857435707904557</v>
      </c>
      <c r="C99" s="101">
        <f>IF(TrRoad_act!C15=0,0,C36/TrRoad_act!C15*1000)</f>
        <v>16.711588706096464</v>
      </c>
      <c r="D99" s="101">
        <f>IF(TrRoad_act!D15=0,0,D36/TrRoad_act!D15*1000)</f>
        <v>17.324442085110412</v>
      </c>
      <c r="E99" s="101">
        <f>IF(TrRoad_act!E15=0,0,E36/TrRoad_act!E15*1000)</f>
        <v>16.736416750078089</v>
      </c>
      <c r="F99" s="101">
        <f>IF(TrRoad_act!F15=0,0,F36/TrRoad_act!F15*1000)</f>
        <v>17.883855080608029</v>
      </c>
      <c r="G99" s="101">
        <f>IF(TrRoad_act!G15=0,0,G36/TrRoad_act!G15*1000)</f>
        <v>18.237731859104279</v>
      </c>
      <c r="H99" s="101">
        <f>IF(TrRoad_act!H15=0,0,H36/TrRoad_act!H15*1000)</f>
        <v>17.537653015776542</v>
      </c>
      <c r="I99" s="101">
        <f>IF(TrRoad_act!I15=0,0,I36/TrRoad_act!I15*1000)</f>
        <v>18.084964918962925</v>
      </c>
      <c r="J99" s="101">
        <f>IF(TrRoad_act!J15=0,0,J36/TrRoad_act!J15*1000)</f>
        <v>17.646077816154936</v>
      </c>
      <c r="K99" s="101">
        <f>IF(TrRoad_act!K15=0,0,K36/TrRoad_act!K15*1000)</f>
        <v>19.315585048958916</v>
      </c>
      <c r="L99" s="101">
        <f>IF(TrRoad_act!L15=0,0,L36/TrRoad_act!L15*1000)</f>
        <v>20.223555760704716</v>
      </c>
      <c r="M99" s="101">
        <f>IF(TrRoad_act!M15=0,0,M36/TrRoad_act!M15*1000)</f>
        <v>21.301623606516138</v>
      </c>
      <c r="N99" s="101">
        <f>IF(TrRoad_act!N15=0,0,N36/TrRoad_act!N15*1000)</f>
        <v>21.246284317106536</v>
      </c>
      <c r="O99" s="101">
        <f>IF(TrRoad_act!O15=0,0,O36/TrRoad_act!O15*1000)</f>
        <v>22.384342583993369</v>
      </c>
      <c r="P99" s="101">
        <f>IF(TrRoad_act!P15=0,0,P36/TrRoad_act!P15*1000)</f>
        <v>22.111134274810418</v>
      </c>
      <c r="Q99" s="101">
        <f>IF(TrRoad_act!Q15=0,0,Q36/TrRoad_act!Q15*1000)</f>
        <v>26.889115268288286</v>
      </c>
      <c r="R99" s="101">
        <f>IF(TrRoad_act!R15=0,0,R36/TrRoad_act!R15*1000)</f>
        <v>27.029111011482303</v>
      </c>
      <c r="S99" s="101">
        <f>IF(TrRoad_act!S15=0,0,S36/TrRoad_act!S15*1000)</f>
        <v>27.116058653954269</v>
      </c>
      <c r="T99" s="101">
        <f>IF(TrRoad_act!T15=0,0,T36/TrRoad_act!T15*1000)</f>
        <v>27.127472189544626</v>
      </c>
      <c r="U99" s="101">
        <f>IF(TrRoad_act!U15=0,0,U36/TrRoad_act!U15*1000)</f>
        <v>27.046667389904673</v>
      </c>
      <c r="V99" s="101">
        <f>IF(TrRoad_act!V15=0,0,V36/TrRoad_act!V15*1000)</f>
        <v>50.193811346245752</v>
      </c>
      <c r="W99" s="101">
        <f>IF(TrRoad_act!W15=0,0,W36/TrRoad_act!W15*1000)</f>
        <v>45.568877010479412</v>
      </c>
      <c r="X99" s="101">
        <f>IF(TrRoad_act!X15=0,0,X36/TrRoad_act!X15*1000)</f>
        <v>36.564805647987498</v>
      </c>
      <c r="Y99" s="101">
        <f>IF(TrRoad_act!Y15=0,0,Y36/TrRoad_act!Y15*1000)</f>
        <v>32.772544292325968</v>
      </c>
      <c r="DA99" s="175" t="s">
        <v>705</v>
      </c>
    </row>
    <row r="100" spans="1:105" ht="11.45" customHeight="1" x14ac:dyDescent="0.25">
      <c r="A100" s="111" t="s">
        <v>112</v>
      </c>
      <c r="B100" s="101">
        <f>IF(TrRoad_act!B16=0,0,B38/TrRoad_act!B16*1000)</f>
        <v>12.90028358915794</v>
      </c>
      <c r="C100" s="101">
        <f>IF(TrRoad_act!C16=0,0,C38/TrRoad_act!C16*1000)</f>
        <v>13.487448454295739</v>
      </c>
      <c r="D100" s="101">
        <f>IF(TrRoad_act!D16=0,0,D38/TrRoad_act!D16*1000)</f>
        <v>14.226703636706594</v>
      </c>
      <c r="E100" s="101">
        <f>IF(TrRoad_act!E16=0,0,E38/TrRoad_act!E16*1000)</f>
        <v>13.901372384311454</v>
      </c>
      <c r="F100" s="101">
        <f>IF(TrRoad_act!F16=0,0,F38/TrRoad_act!F16*1000)</f>
        <v>14.267520499113759</v>
      </c>
      <c r="G100" s="101">
        <f>IF(TrRoad_act!G16=0,0,G38/TrRoad_act!G16*1000)</f>
        <v>14.720984324129784</v>
      </c>
      <c r="H100" s="101">
        <f>IF(TrRoad_act!H16=0,0,H38/TrRoad_act!H16*1000)</f>
        <v>14.3390209421432</v>
      </c>
      <c r="I100" s="101">
        <f>IF(TrRoad_act!I16=0,0,I38/TrRoad_act!I16*1000)</f>
        <v>14.879801612525535</v>
      </c>
      <c r="J100" s="101">
        <f>IF(TrRoad_act!J16=0,0,J38/TrRoad_act!J16*1000)</f>
        <v>14.614214968447072</v>
      </c>
      <c r="K100" s="101">
        <f>IF(TrRoad_act!K16=0,0,K38/TrRoad_act!K16*1000)</f>
        <v>16.010719261444944</v>
      </c>
      <c r="L100" s="101">
        <f>IF(TrRoad_act!L16=0,0,L38/TrRoad_act!L16*1000)</f>
        <v>16.750082626724645</v>
      </c>
      <c r="M100" s="101">
        <f>IF(TrRoad_act!M16=0,0,M38/TrRoad_act!M16*1000)</f>
        <v>17.569657529419647</v>
      </c>
      <c r="N100" s="101">
        <f>IF(TrRoad_act!N16=0,0,N38/TrRoad_act!N16*1000)</f>
        <v>17.447959152265305</v>
      </c>
      <c r="O100" s="101">
        <f>IF(TrRoad_act!O16=0,0,O38/TrRoad_act!O16*1000)</f>
        <v>18.279703119107577</v>
      </c>
      <c r="P100" s="101">
        <f>IF(TrRoad_act!P16=0,0,P38/TrRoad_act!P16*1000)</f>
        <v>17.9508656317877</v>
      </c>
      <c r="Q100" s="101">
        <f>IF(TrRoad_act!Q16=0,0,Q38/TrRoad_act!Q16*1000)</f>
        <v>21.597640099598078</v>
      </c>
      <c r="R100" s="101">
        <f>IF(TrRoad_act!R16=0,0,R38/TrRoad_act!R16*1000)</f>
        <v>21.605581487057766</v>
      </c>
      <c r="S100" s="101">
        <f>IF(TrRoad_act!S16=0,0,S38/TrRoad_act!S16*1000)</f>
        <v>21.626695614394237</v>
      </c>
      <c r="T100" s="101">
        <f>IF(TrRoad_act!T16=0,0,T38/TrRoad_act!T16*1000)</f>
        <v>21.933991624153055</v>
      </c>
      <c r="U100" s="101">
        <f>IF(TrRoad_act!U16=0,0,U38/TrRoad_act!U16*1000)</f>
        <v>21.986062053475067</v>
      </c>
      <c r="V100" s="101">
        <f>IF(TrRoad_act!V16=0,0,V38/TrRoad_act!V16*1000)</f>
        <v>41.090225521112131</v>
      </c>
      <c r="W100" s="101">
        <f>IF(TrRoad_act!W16=0,0,W38/TrRoad_act!W16*1000)</f>
        <v>37.723715266206618</v>
      </c>
      <c r="X100" s="101">
        <f>IF(TrRoad_act!X16=0,0,X38/TrRoad_act!X16*1000)</f>
        <v>30.738791297435352</v>
      </c>
      <c r="Y100" s="101">
        <f>IF(TrRoad_act!Y16=0,0,Y38/TrRoad_act!Y16*1000)</f>
        <v>28.085481399251538</v>
      </c>
      <c r="DA100" s="175" t="s">
        <v>706</v>
      </c>
    </row>
    <row r="101" spans="1:105" ht="11.45" customHeight="1" x14ac:dyDescent="0.25">
      <c r="A101" s="111" t="s">
        <v>113</v>
      </c>
      <c r="B101" s="101">
        <f>IF(TrRoad_act!B17=0,0,B39/TrRoad_act!B17*1000)</f>
        <v>0</v>
      </c>
      <c r="C101" s="101">
        <f>IF(TrRoad_act!C17=0,0,C39/TrRoad_act!C17*1000)</f>
        <v>0</v>
      </c>
      <c r="D101" s="101">
        <f>IF(TrRoad_act!D17=0,0,D39/TrRoad_act!D17*1000)</f>
        <v>0</v>
      </c>
      <c r="E101" s="101">
        <f>IF(TrRoad_act!E17=0,0,E39/TrRoad_act!E17*1000)</f>
        <v>0</v>
      </c>
      <c r="F101" s="101">
        <f>IF(TrRoad_act!F17=0,0,F39/TrRoad_act!F17*1000)</f>
        <v>0</v>
      </c>
      <c r="G101" s="101">
        <f>IF(TrRoad_act!G17=0,0,G39/TrRoad_act!G17*1000)</f>
        <v>0</v>
      </c>
      <c r="H101" s="101">
        <f>IF(TrRoad_act!H17=0,0,H39/TrRoad_act!H17*1000)</f>
        <v>0</v>
      </c>
      <c r="I101" s="101">
        <f>IF(TrRoad_act!I17=0,0,I39/TrRoad_act!I17*1000)</f>
        <v>0</v>
      </c>
      <c r="J101" s="101">
        <f>IF(TrRoad_act!J17=0,0,J39/TrRoad_act!J17*1000)</f>
        <v>0</v>
      </c>
      <c r="K101" s="101">
        <f>IF(TrRoad_act!K17=0,0,K39/TrRoad_act!K17*1000)</f>
        <v>0</v>
      </c>
      <c r="L101" s="101">
        <f>IF(TrRoad_act!L17=0,0,L39/TrRoad_act!L17*1000)</f>
        <v>0</v>
      </c>
      <c r="M101" s="101">
        <f>IF(TrRoad_act!M17=0,0,M39/TrRoad_act!M17*1000)</f>
        <v>0</v>
      </c>
      <c r="N101" s="101">
        <f>IF(TrRoad_act!N17=0,0,N39/TrRoad_act!N17*1000)</f>
        <v>0</v>
      </c>
      <c r="O101" s="101">
        <f>IF(TrRoad_act!O17=0,0,O39/TrRoad_act!O17*1000)</f>
        <v>0</v>
      </c>
      <c r="P101" s="101">
        <f>IF(TrRoad_act!P17=0,0,P39/TrRoad_act!P17*1000)</f>
        <v>0</v>
      </c>
      <c r="Q101" s="101">
        <f>IF(TrRoad_act!Q17=0,0,Q39/TrRoad_act!Q17*1000)</f>
        <v>23.051303885120507</v>
      </c>
      <c r="R101" s="101">
        <f>IF(TrRoad_act!R17=0,0,R39/TrRoad_act!R17*1000)</f>
        <v>20.149493459618736</v>
      </c>
      <c r="S101" s="101">
        <f>IF(TrRoad_act!S17=0,0,S39/TrRoad_act!S17*1000)</f>
        <v>14.803701907666021</v>
      </c>
      <c r="T101" s="101">
        <f>IF(TrRoad_act!T17=0,0,T39/TrRoad_act!T17*1000)</f>
        <v>7.9843786602314077</v>
      </c>
      <c r="U101" s="101">
        <f>IF(TrRoad_act!U17=0,0,U39/TrRoad_act!U17*1000)</f>
        <v>10.493686153670557</v>
      </c>
      <c r="V101" s="101">
        <f>IF(TrRoad_act!V17=0,0,V39/TrRoad_act!V17*1000)</f>
        <v>21.617726983950348</v>
      </c>
      <c r="W101" s="101">
        <f>IF(TrRoad_act!W17=0,0,W39/TrRoad_act!W17*1000)</f>
        <v>28.011410253654418</v>
      </c>
      <c r="X101" s="101">
        <f>IF(TrRoad_act!X17=0,0,X39/TrRoad_act!X17*1000)</f>
        <v>31.135810968113425</v>
      </c>
      <c r="Y101" s="101">
        <f>IF(TrRoad_act!Y17=0,0,Y39/TrRoad_act!Y17*1000)</f>
        <v>27.41094228366007</v>
      </c>
      <c r="DA101" s="175" t="s">
        <v>707</v>
      </c>
    </row>
    <row r="102" spans="1:105" ht="11.45" customHeight="1" x14ac:dyDescent="0.25">
      <c r="A102" s="111" t="s">
        <v>115</v>
      </c>
      <c r="B102" s="101">
        <f>IF(TrRoad_act!B18=0,0,B41/TrRoad_act!B18*1000)</f>
        <v>8.6754931897458398</v>
      </c>
      <c r="C102" s="101">
        <f>IF(TrRoad_act!C18=0,0,C41/TrRoad_act!C18*1000)</f>
        <v>8.9559359512151868</v>
      </c>
      <c r="D102" s="101">
        <f>IF(TrRoad_act!D18=0,0,D41/TrRoad_act!D18*1000)</f>
        <v>9.4253366920783357</v>
      </c>
      <c r="E102" s="101">
        <f>IF(TrRoad_act!E18=0,0,E41/TrRoad_act!E18*1000)</f>
        <v>9.1800991256883222</v>
      </c>
      <c r="F102" s="101">
        <f>IF(TrRoad_act!F18=0,0,F41/TrRoad_act!F18*1000)</f>
        <v>9.9486744104363147</v>
      </c>
      <c r="G102" s="101">
        <f>IF(TrRoad_act!G18=0,0,G41/TrRoad_act!G18*1000)</f>
        <v>9.5867131931464993</v>
      </c>
      <c r="H102" s="101">
        <f>IF(TrRoad_act!H18=0,0,H41/TrRoad_act!H18*1000)</f>
        <v>9.3193747309092565</v>
      </c>
      <c r="I102" s="101">
        <f>IF(TrRoad_act!I18=0,0,I41/TrRoad_act!I18*1000)</f>
        <v>9.66972132196139</v>
      </c>
      <c r="J102" s="101">
        <f>IF(TrRoad_act!J18=0,0,J41/TrRoad_act!J18*1000)</f>
        <v>9.5006261569733308</v>
      </c>
      <c r="K102" s="101">
        <f>IF(TrRoad_act!K18=0,0,K41/TrRoad_act!K18*1000)</f>
        <v>10.41445156241886</v>
      </c>
      <c r="L102" s="101">
        <f>IF(TrRoad_act!L18=0,0,L41/TrRoad_act!L18*1000)</f>
        <v>10.903795946626438</v>
      </c>
      <c r="M102" s="101">
        <f>IF(TrRoad_act!M18=0,0,M41/TrRoad_act!M18*1000)</f>
        <v>11.452175898235975</v>
      </c>
      <c r="N102" s="101">
        <f>IF(TrRoad_act!N18=0,0,N41/TrRoad_act!N18*1000)</f>
        <v>11.356935923691681</v>
      </c>
      <c r="O102" s="101">
        <f>IF(TrRoad_act!O18=0,0,O41/TrRoad_act!O18*1000)</f>
        <v>11.90937929784933</v>
      </c>
      <c r="P102" s="101">
        <f>IF(TrRoad_act!P18=0,0,P41/TrRoad_act!P18*1000)</f>
        <v>11.69923182027771</v>
      </c>
      <c r="Q102" s="101">
        <f>IF(TrRoad_act!Q18=0,0,Q41/TrRoad_act!Q18*1000)</f>
        <v>14.138225236710698</v>
      </c>
      <c r="R102" s="101">
        <f>IF(TrRoad_act!R18=0,0,R41/TrRoad_act!R18*1000)</f>
        <v>14.162872261769106</v>
      </c>
      <c r="S102" s="101">
        <f>IF(TrRoad_act!S18=0,0,S41/TrRoad_act!S18*1000)</f>
        <v>14.24519876349358</v>
      </c>
      <c r="T102" s="101">
        <f>IF(TrRoad_act!T18=0,0,T41/TrRoad_act!T18*1000)</f>
        <v>14.277713473751454</v>
      </c>
      <c r="U102" s="101">
        <f>IF(TrRoad_act!U18=0,0,U41/TrRoad_act!U18*1000)</f>
        <v>14.290914856036299</v>
      </c>
      <c r="V102" s="101">
        <f>IF(TrRoad_act!V18=0,0,V41/TrRoad_act!V18*1000)</f>
        <v>26.141060661784678</v>
      </c>
      <c r="W102" s="101">
        <f>IF(TrRoad_act!W18=0,0,W41/TrRoad_act!W18*1000)</f>
        <v>23.534657424715093</v>
      </c>
      <c r="X102" s="101">
        <f>IF(TrRoad_act!X18=0,0,X41/TrRoad_act!X18*1000)</f>
        <v>18.881149642144866</v>
      </c>
      <c r="Y102" s="101">
        <f>IF(TrRoad_act!Y18=0,0,Y41/TrRoad_act!Y18*1000)</f>
        <v>16.808093458512698</v>
      </c>
      <c r="DA102" s="175" t="s">
        <v>708</v>
      </c>
    </row>
    <row r="103" spans="1:105" ht="11.45" customHeight="1" x14ac:dyDescent="0.25">
      <c r="A103" s="27" t="s">
        <v>156</v>
      </c>
      <c r="B103" s="29">
        <f>IF(TrRoad_act!B19=0,0,B42/TrRoad_act!B19*1000)</f>
        <v>37.691227252074292</v>
      </c>
      <c r="C103" s="29">
        <f>IF(TrRoad_act!C19=0,0,C42/TrRoad_act!C19*1000)</f>
        <v>38.216107547161023</v>
      </c>
      <c r="D103" s="29">
        <f>IF(TrRoad_act!D19=0,0,D42/TrRoad_act!D19*1000)</f>
        <v>34.357065454313897</v>
      </c>
      <c r="E103" s="29">
        <f>IF(TrRoad_act!E19=0,0,E42/TrRoad_act!E19*1000)</f>
        <v>39.797697309770541</v>
      </c>
      <c r="F103" s="29">
        <f>IF(TrRoad_act!F19=0,0,F42/TrRoad_act!F19*1000)</f>
        <v>41.650416623595369</v>
      </c>
      <c r="G103" s="29">
        <f>IF(TrRoad_act!G19=0,0,G42/TrRoad_act!G19*1000)</f>
        <v>48.608988575770397</v>
      </c>
      <c r="H103" s="29">
        <f>IF(TrRoad_act!H19=0,0,H42/TrRoad_act!H19*1000)</f>
        <v>51.660375984117934</v>
      </c>
      <c r="I103" s="29">
        <f>IF(TrRoad_act!I19=0,0,I42/TrRoad_act!I19*1000)</f>
        <v>55.491147918340424</v>
      </c>
      <c r="J103" s="29">
        <f>IF(TrRoad_act!J19=0,0,J42/TrRoad_act!J19*1000)</f>
        <v>55.876431862342358</v>
      </c>
      <c r="K103" s="29">
        <f>IF(TrRoad_act!K19=0,0,K42/TrRoad_act!K19*1000)</f>
        <v>53.244194991006559</v>
      </c>
      <c r="L103" s="29">
        <f>IF(TrRoad_act!L19=0,0,L42/TrRoad_act!L19*1000)</f>
        <v>53.896558673033923</v>
      </c>
      <c r="M103" s="29">
        <f>IF(TrRoad_act!M19=0,0,M42/TrRoad_act!M19*1000)</f>
        <v>50.744173560749502</v>
      </c>
      <c r="N103" s="29">
        <f>IF(TrRoad_act!N19=0,0,N42/TrRoad_act!N19*1000)</f>
        <v>44.910247761015349</v>
      </c>
      <c r="O103" s="29">
        <f>IF(TrRoad_act!O19=0,0,O42/TrRoad_act!O19*1000)</f>
        <v>36.811869881053155</v>
      </c>
      <c r="P103" s="29">
        <f>IF(TrRoad_act!P19=0,0,P42/TrRoad_act!P19*1000)</f>
        <v>37.950998296695467</v>
      </c>
      <c r="Q103" s="29">
        <f>IF(TrRoad_act!Q19=0,0,Q42/TrRoad_act!Q19*1000)</f>
        <v>36.878417703664454</v>
      </c>
      <c r="R103" s="29">
        <f>IF(TrRoad_act!R19=0,0,R42/TrRoad_act!R19*1000)</f>
        <v>42.817880879904884</v>
      </c>
      <c r="S103" s="29">
        <f>IF(TrRoad_act!S19=0,0,S42/TrRoad_act!S19*1000)</f>
        <v>47.415118333689286</v>
      </c>
      <c r="T103" s="29">
        <f>IF(TrRoad_act!T19=0,0,T42/TrRoad_act!T19*1000)</f>
        <v>52.59003648269551</v>
      </c>
      <c r="U103" s="29">
        <f>IF(TrRoad_act!U19=0,0,U42/TrRoad_act!U19*1000)</f>
        <v>49.76408305582347</v>
      </c>
      <c r="V103" s="29">
        <f>IF(TrRoad_act!V19=0,0,V42/TrRoad_act!V19*1000)</f>
        <v>46.894960720894673</v>
      </c>
      <c r="W103" s="29">
        <f>IF(TrRoad_act!W19=0,0,W42/TrRoad_act!W19*1000)</f>
        <v>52.473341923066826</v>
      </c>
      <c r="X103" s="29">
        <f>IF(TrRoad_act!X19=0,0,X42/TrRoad_act!X19*1000)</f>
        <v>51.318144946515282</v>
      </c>
      <c r="Y103" s="29">
        <f>IF(TrRoad_act!Y19=0,0,Y42/TrRoad_act!Y19*1000)</f>
        <v>51.500841464061978</v>
      </c>
      <c r="DA103" s="173" t="s">
        <v>425</v>
      </c>
    </row>
    <row r="104" spans="1:105" ht="11.45" customHeight="1" x14ac:dyDescent="0.25">
      <c r="A104" s="136" t="s">
        <v>153</v>
      </c>
      <c r="B104" s="152">
        <f>IF(TrRoad_act!B20=0,0,B43/TrRoad_act!B20*1000)</f>
        <v>499.79044813007721</v>
      </c>
      <c r="C104" s="152">
        <f>IF(TrRoad_act!C20=0,0,C43/TrRoad_act!C20*1000)</f>
        <v>484.82127210155176</v>
      </c>
      <c r="D104" s="152">
        <f>IF(TrRoad_act!D20=0,0,D43/TrRoad_act!D20*1000)</f>
        <v>473.73129626511974</v>
      </c>
      <c r="E104" s="152">
        <f>IF(TrRoad_act!E20=0,0,E43/TrRoad_act!E20*1000)</f>
        <v>467.3425777291647</v>
      </c>
      <c r="F104" s="152">
        <f>IF(TrRoad_act!F20=0,0,F43/TrRoad_act!F20*1000)</f>
        <v>459.3823308751401</v>
      </c>
      <c r="G104" s="152">
        <f>IF(TrRoad_act!G20=0,0,G43/TrRoad_act!G20*1000)</f>
        <v>449.32272590888385</v>
      </c>
      <c r="H104" s="152">
        <f>IF(TrRoad_act!H20=0,0,H43/TrRoad_act!H20*1000)</f>
        <v>444.50722373424037</v>
      </c>
      <c r="I104" s="152">
        <f>IF(TrRoad_act!I20=0,0,I43/TrRoad_act!I20*1000)</f>
        <v>437.20244578918334</v>
      </c>
      <c r="J104" s="152">
        <f>IF(TrRoad_act!J20=0,0,J43/TrRoad_act!J20*1000)</f>
        <v>430.07873428702845</v>
      </c>
      <c r="K104" s="152">
        <f>IF(TrRoad_act!K20=0,0,K43/TrRoad_act!K20*1000)</f>
        <v>427.11249337619358</v>
      </c>
      <c r="L104" s="152">
        <f>IF(TrRoad_act!L20=0,0,L43/TrRoad_act!L20*1000)</f>
        <v>422.32008606816299</v>
      </c>
      <c r="M104" s="152">
        <f>IF(TrRoad_act!M20=0,0,M43/TrRoad_act!M20*1000)</f>
        <v>419.87696652559538</v>
      </c>
      <c r="N104" s="152">
        <f>IF(TrRoad_act!N20=0,0,N43/TrRoad_act!N20*1000)</f>
        <v>416.40975429160335</v>
      </c>
      <c r="O104" s="152">
        <f>IF(TrRoad_act!O20=0,0,O43/TrRoad_act!O20*1000)</f>
        <v>411.92184150422804</v>
      </c>
      <c r="P104" s="152">
        <f>IF(TrRoad_act!P20=0,0,P43/TrRoad_act!P20*1000)</f>
        <v>408.9689882516775</v>
      </c>
      <c r="Q104" s="152">
        <f>IF(TrRoad_act!Q20=0,0,Q43/TrRoad_act!Q20*1000)</f>
        <v>404.6266146184123</v>
      </c>
      <c r="R104" s="152">
        <f>IF(TrRoad_act!R20=0,0,R43/TrRoad_act!R20*1000)</f>
        <v>402.92114514004817</v>
      </c>
      <c r="S104" s="152">
        <f>IF(TrRoad_act!S20=0,0,S43/TrRoad_act!S20*1000)</f>
        <v>400.91498457634623</v>
      </c>
      <c r="T104" s="152">
        <f>IF(TrRoad_act!T20=0,0,T43/TrRoad_act!T20*1000)</f>
        <v>400.00529157147565</v>
      </c>
      <c r="U104" s="152">
        <f>IF(TrRoad_act!U20=0,0,U43/TrRoad_act!U20*1000)</f>
        <v>396.33399712079182</v>
      </c>
      <c r="V104" s="152">
        <f>IF(TrRoad_act!V20=0,0,V43/TrRoad_act!V20*1000)</f>
        <v>393.97351778515144</v>
      </c>
      <c r="W104" s="152">
        <f>IF(TrRoad_act!W20=0,0,W43/TrRoad_act!W20*1000)</f>
        <v>393.1973667317119</v>
      </c>
      <c r="X104" s="152">
        <f>IF(TrRoad_act!X20=0,0,X43/TrRoad_act!X20*1000)</f>
        <v>389.10305988221648</v>
      </c>
      <c r="Y104" s="152">
        <f>IF(TrRoad_act!Y20=0,0,Y43/TrRoad_act!Y20*1000)</f>
        <v>388.10152108239055</v>
      </c>
      <c r="DA104" s="174" t="s">
        <v>426</v>
      </c>
    </row>
    <row r="105" spans="1:105" ht="11.45" customHeight="1" x14ac:dyDescent="0.25">
      <c r="A105" s="111" t="s">
        <v>110</v>
      </c>
      <c r="B105" s="87">
        <f>IF(TrRoad_act!B21=0,0,B44/TrRoad_act!B21*1000)</f>
        <v>522.06093888306202</v>
      </c>
      <c r="C105" s="87">
        <f>IF(TrRoad_act!C21=0,0,C44/TrRoad_act!C21*1000)</f>
        <v>514.53715710943152</v>
      </c>
      <c r="D105" s="87">
        <f>IF(TrRoad_act!D21=0,0,D44/TrRoad_act!D21*1000)</f>
        <v>511.08844156927404</v>
      </c>
      <c r="E105" s="87">
        <f>IF(TrRoad_act!E21=0,0,E44/TrRoad_act!E21*1000)</f>
        <v>506.26418256255192</v>
      </c>
      <c r="F105" s="87">
        <f>IF(TrRoad_act!F21=0,0,F44/TrRoad_act!F21*1000)</f>
        <v>500.82625054986494</v>
      </c>
      <c r="G105" s="87">
        <f>IF(TrRoad_act!G21=0,0,G44/TrRoad_act!G21*1000)</f>
        <v>493.62788737849706</v>
      </c>
      <c r="H105" s="87">
        <f>IF(TrRoad_act!H21=0,0,H44/TrRoad_act!H21*1000)</f>
        <v>489.02280780759492</v>
      </c>
      <c r="I105" s="87">
        <f>IF(TrRoad_act!I21=0,0,I44/TrRoad_act!I21*1000)</f>
        <v>480.16684964581651</v>
      </c>
      <c r="J105" s="87">
        <f>IF(TrRoad_act!J21=0,0,J44/TrRoad_act!J21*1000)</f>
        <v>467.9857926443089</v>
      </c>
      <c r="K105" s="87">
        <f>IF(TrRoad_act!K21=0,0,K44/TrRoad_act!K21*1000)</f>
        <v>469.07319254118556</v>
      </c>
      <c r="L105" s="87">
        <f>IF(TrRoad_act!L21=0,0,L44/TrRoad_act!L21*1000)</f>
        <v>457.76896106012845</v>
      </c>
      <c r="M105" s="87">
        <f>IF(TrRoad_act!M21=0,0,M44/TrRoad_act!M21*1000)</f>
        <v>449.77725916804604</v>
      </c>
      <c r="N105" s="87">
        <f>IF(TrRoad_act!N21=0,0,N44/TrRoad_act!N21*1000)</f>
        <v>443.45558365682297</v>
      </c>
      <c r="O105" s="87">
        <f>IF(TrRoad_act!O21=0,0,O44/TrRoad_act!O21*1000)</f>
        <v>432.67263541252669</v>
      </c>
      <c r="P105" s="87">
        <f>IF(TrRoad_act!P21=0,0,P44/TrRoad_act!P21*1000)</f>
        <v>424.69441953730336</v>
      </c>
      <c r="Q105" s="87">
        <f>IF(TrRoad_act!Q21=0,0,Q44/TrRoad_act!Q21*1000)</f>
        <v>411.69223649010985</v>
      </c>
      <c r="R105" s="87">
        <f>IF(TrRoad_act!R21=0,0,R44/TrRoad_act!R21*1000)</f>
        <v>410.27085860910921</v>
      </c>
      <c r="S105" s="87">
        <f>IF(TrRoad_act!S21=0,0,S44/TrRoad_act!S21*1000)</f>
        <v>406.7307069588108</v>
      </c>
      <c r="T105" s="87">
        <f>IF(TrRoad_act!T21=0,0,T44/TrRoad_act!T21*1000)</f>
        <v>403.49924776464371</v>
      </c>
      <c r="U105" s="87">
        <f>IF(TrRoad_act!U21=0,0,U44/TrRoad_act!U21*1000)</f>
        <v>404.63154964699737</v>
      </c>
      <c r="V105" s="87">
        <f>IF(TrRoad_act!V21=0,0,V44/TrRoad_act!V21*1000)</f>
        <v>396.67546883494322</v>
      </c>
      <c r="W105" s="87">
        <f>IF(TrRoad_act!W21=0,0,W44/TrRoad_act!W21*1000)</f>
        <v>401.32457966162355</v>
      </c>
      <c r="X105" s="87">
        <f>IF(TrRoad_act!X21=0,0,X44/TrRoad_act!X21*1000)</f>
        <v>402.69972366252102</v>
      </c>
      <c r="Y105" s="87">
        <f>IF(TrRoad_act!Y21=0,0,Y44/TrRoad_act!Y21*1000)</f>
        <v>400.874596599043</v>
      </c>
      <c r="DA105" s="171" t="s">
        <v>709</v>
      </c>
    </row>
    <row r="106" spans="1:105" ht="11.45" customHeight="1" x14ac:dyDescent="0.25">
      <c r="A106" s="111" t="s">
        <v>111</v>
      </c>
      <c r="B106" s="87">
        <f>IF(TrRoad_act!B22=0,0,B46/TrRoad_act!B22*1000)</f>
        <v>471.43162242325394</v>
      </c>
      <c r="C106" s="87">
        <f>IF(TrRoad_act!C22=0,0,C46/TrRoad_act!C22*1000)</f>
        <v>447.46384458273371</v>
      </c>
      <c r="D106" s="87">
        <f>IF(TrRoad_act!D22=0,0,D46/TrRoad_act!D22*1000)</f>
        <v>438.42887685221922</v>
      </c>
      <c r="E106" s="87">
        <f>IF(TrRoad_act!E22=0,0,E46/TrRoad_act!E22*1000)</f>
        <v>433.70929319028716</v>
      </c>
      <c r="F106" s="87">
        <f>IF(TrRoad_act!F22=0,0,F46/TrRoad_act!F22*1000)</f>
        <v>427.59752666454887</v>
      </c>
      <c r="G106" s="87">
        <f>IF(TrRoad_act!G22=0,0,G46/TrRoad_act!G22*1000)</f>
        <v>421.85009294158118</v>
      </c>
      <c r="H106" s="87">
        <f>IF(TrRoad_act!H22=0,0,H46/TrRoad_act!H22*1000)</f>
        <v>420.85669031111001</v>
      </c>
      <c r="I106" s="87">
        <f>IF(TrRoad_act!I22=0,0,I46/TrRoad_act!I22*1000)</f>
        <v>417.45237163957802</v>
      </c>
      <c r="J106" s="87">
        <f>IF(TrRoad_act!J22=0,0,J46/TrRoad_act!J22*1000)</f>
        <v>414.56872408593875</v>
      </c>
      <c r="K106" s="87">
        <f>IF(TrRoad_act!K22=0,0,K46/TrRoad_act!K22*1000)</f>
        <v>411.11635318401221</v>
      </c>
      <c r="L106" s="87">
        <f>IF(TrRoad_act!L22=0,0,L46/TrRoad_act!L22*1000)</f>
        <v>409.49477465189688</v>
      </c>
      <c r="M106" s="87">
        <f>IF(TrRoad_act!M22=0,0,M46/TrRoad_act!M22*1000)</f>
        <v>409.78089303673204</v>
      </c>
      <c r="N106" s="87">
        <f>IF(TrRoad_act!N22=0,0,N46/TrRoad_act!N22*1000)</f>
        <v>407.8569011605328</v>
      </c>
      <c r="O106" s="87">
        <f>IF(TrRoad_act!O22=0,0,O46/TrRoad_act!O22*1000)</f>
        <v>405.14230543037161</v>
      </c>
      <c r="P106" s="87">
        <f>IF(TrRoad_act!P22=0,0,P46/TrRoad_act!P22*1000)</f>
        <v>403.30270794866618</v>
      </c>
      <c r="Q106" s="87">
        <f>IF(TrRoad_act!Q22=0,0,Q46/TrRoad_act!Q22*1000)</f>
        <v>400.48364304374354</v>
      </c>
      <c r="R106" s="87">
        <f>IF(TrRoad_act!R22=0,0,R46/TrRoad_act!R22*1000)</f>
        <v>398.97531199787056</v>
      </c>
      <c r="S106" s="87">
        <f>IF(TrRoad_act!S22=0,0,S46/TrRoad_act!S22*1000)</f>
        <v>397.36656016317244</v>
      </c>
      <c r="T106" s="87">
        <f>IF(TrRoad_act!T22=0,0,T46/TrRoad_act!T22*1000)</f>
        <v>396.89222874077967</v>
      </c>
      <c r="U106" s="87">
        <f>IF(TrRoad_act!U22=0,0,U46/TrRoad_act!U22*1000)</f>
        <v>392.59965066869023</v>
      </c>
      <c r="V106" s="87">
        <f>IF(TrRoad_act!V22=0,0,V46/TrRoad_act!V22*1000)</f>
        <v>391.19304901585178</v>
      </c>
      <c r="W106" s="87">
        <f>IF(TrRoad_act!W22=0,0,W46/TrRoad_act!W22*1000)</f>
        <v>389.95469192173522</v>
      </c>
      <c r="X106" s="87">
        <f>IF(TrRoad_act!X22=0,0,X46/TrRoad_act!X22*1000)</f>
        <v>385.28509057991289</v>
      </c>
      <c r="Y106" s="87">
        <f>IF(TrRoad_act!Y22=0,0,Y46/TrRoad_act!Y22*1000)</f>
        <v>384.55300232634795</v>
      </c>
      <c r="DA106" s="171" t="s">
        <v>710</v>
      </c>
    </row>
    <row r="107" spans="1:105" ht="11.45" customHeight="1" x14ac:dyDescent="0.25">
      <c r="A107" s="111" t="s">
        <v>112</v>
      </c>
      <c r="B107" s="87">
        <f>IF(TrRoad_act!B23=0,0,B48/TrRoad_act!B23*1000)</f>
        <v>571.21246055678751</v>
      </c>
      <c r="C107" s="87">
        <f>IF(TrRoad_act!C23=0,0,C48/TrRoad_act!C23*1000)</f>
        <v>555.94462995740935</v>
      </c>
      <c r="D107" s="87">
        <f>IF(TrRoad_act!D23=0,0,D48/TrRoad_act!D23*1000)</f>
        <v>525.35935692781584</v>
      </c>
      <c r="E107" s="87">
        <f>IF(TrRoad_act!E23=0,0,E48/TrRoad_act!E23*1000)</f>
        <v>516.94843466761824</v>
      </c>
      <c r="F107" s="87">
        <f>IF(TrRoad_act!F23=0,0,F48/TrRoad_act!F23*1000)</f>
        <v>513.54674309680854</v>
      </c>
      <c r="G107" s="87">
        <f>IF(TrRoad_act!G23=0,0,G48/TrRoad_act!G23*1000)</f>
        <v>505.77471444302682</v>
      </c>
      <c r="H107" s="87">
        <f>IF(TrRoad_act!H23=0,0,H48/TrRoad_act!H23*1000)</f>
        <v>497.38256144277773</v>
      </c>
      <c r="I107" s="87">
        <f>IF(TrRoad_act!I23=0,0,I48/TrRoad_act!I23*1000)</f>
        <v>491.85886422035856</v>
      </c>
      <c r="J107" s="87">
        <f>IF(TrRoad_act!J23=0,0,J48/TrRoad_act!J23*1000)</f>
        <v>488.85888391870338</v>
      </c>
      <c r="K107" s="87">
        <f>IF(TrRoad_act!K23=0,0,K48/TrRoad_act!K23*1000)</f>
        <v>487.56187720576588</v>
      </c>
      <c r="L107" s="87">
        <f>IF(TrRoad_act!L23=0,0,L48/TrRoad_act!L23*1000)</f>
        <v>486.16995971299946</v>
      </c>
      <c r="M107" s="87">
        <f>IF(TrRoad_act!M23=0,0,M48/TrRoad_act!M23*1000)</f>
        <v>484.86721409166927</v>
      </c>
      <c r="N107" s="87">
        <f>IF(TrRoad_act!N23=0,0,N48/TrRoad_act!N23*1000)</f>
        <v>479.64094084428535</v>
      </c>
      <c r="O107" s="87">
        <f>IF(TrRoad_act!O23=0,0,O48/TrRoad_act!O23*1000)</f>
        <v>477.92082470190451</v>
      </c>
      <c r="P107" s="87">
        <f>IF(TrRoad_act!P23=0,0,P48/TrRoad_act!P23*1000)</f>
        <v>471.62513137268309</v>
      </c>
      <c r="Q107" s="87">
        <f>IF(TrRoad_act!Q23=0,0,Q48/TrRoad_act!Q23*1000)</f>
        <v>470.94492250945177</v>
      </c>
      <c r="R107" s="87">
        <f>IF(TrRoad_act!R23=0,0,R48/TrRoad_act!R23*1000)</f>
        <v>468.58307580592691</v>
      </c>
      <c r="S107" s="87">
        <f>IF(TrRoad_act!S23=0,0,S48/TrRoad_act!S23*1000)</f>
        <v>467.40136920861869</v>
      </c>
      <c r="T107" s="87">
        <f>IF(TrRoad_act!T23=0,0,T48/TrRoad_act!T23*1000)</f>
        <v>466.04557706609779</v>
      </c>
      <c r="U107" s="87">
        <f>IF(TrRoad_act!U23=0,0,U48/TrRoad_act!U23*1000)</f>
        <v>466.66495923616895</v>
      </c>
      <c r="V107" s="87">
        <f>IF(TrRoad_act!V23=0,0,V48/TrRoad_act!V23*1000)</f>
        <v>464.45607889797003</v>
      </c>
      <c r="W107" s="87">
        <f>IF(TrRoad_act!W23=0,0,W48/TrRoad_act!W23*1000)</f>
        <v>463.32143667575269</v>
      </c>
      <c r="X107" s="87">
        <f>IF(TrRoad_act!X23=0,0,X48/TrRoad_act!X23*1000)</f>
        <v>462.57348561708602</v>
      </c>
      <c r="Y107" s="87">
        <f>IF(TrRoad_act!Y23=0,0,Y48/TrRoad_act!Y23*1000)</f>
        <v>461.76190727526586</v>
      </c>
      <c r="DA107" s="171" t="s">
        <v>711</v>
      </c>
    </row>
    <row r="108" spans="1:105" ht="11.45" customHeight="1" x14ac:dyDescent="0.25">
      <c r="A108" s="111" t="s">
        <v>113</v>
      </c>
      <c r="B108" s="87">
        <f>IF(TrRoad_act!B24=0,0,B49/TrRoad_act!B24*1000)</f>
        <v>0</v>
      </c>
      <c r="C108" s="87">
        <f>IF(TrRoad_act!C24=0,0,C49/TrRoad_act!C24*1000)</f>
        <v>0</v>
      </c>
      <c r="D108" s="87">
        <f>IF(TrRoad_act!D24=0,0,D49/TrRoad_act!D24*1000)</f>
        <v>0</v>
      </c>
      <c r="E108" s="87">
        <f>IF(TrRoad_act!E24=0,0,E49/TrRoad_act!E24*1000)</f>
        <v>0</v>
      </c>
      <c r="F108" s="87">
        <f>IF(TrRoad_act!F24=0,0,F49/TrRoad_act!F24*1000)</f>
        <v>0</v>
      </c>
      <c r="G108" s="87">
        <f>IF(TrRoad_act!G24=0,0,G49/TrRoad_act!G24*1000)</f>
        <v>0</v>
      </c>
      <c r="H108" s="87">
        <f>IF(TrRoad_act!H24=0,0,H49/TrRoad_act!H24*1000)</f>
        <v>0</v>
      </c>
      <c r="I108" s="87">
        <f>IF(TrRoad_act!I24=0,0,I49/TrRoad_act!I24*1000)</f>
        <v>0</v>
      </c>
      <c r="J108" s="87">
        <f>IF(TrRoad_act!J24=0,0,J49/TrRoad_act!J24*1000)</f>
        <v>0</v>
      </c>
      <c r="K108" s="87">
        <f>IF(TrRoad_act!K24=0,0,K49/TrRoad_act!K24*1000)</f>
        <v>0</v>
      </c>
      <c r="L108" s="87">
        <f>IF(TrRoad_act!L24=0,0,L49/TrRoad_act!L24*1000)</f>
        <v>0</v>
      </c>
      <c r="M108" s="87">
        <f>IF(TrRoad_act!M24=0,0,M49/TrRoad_act!M24*1000)</f>
        <v>0</v>
      </c>
      <c r="N108" s="87">
        <f>IF(TrRoad_act!N24=0,0,N49/TrRoad_act!N24*1000)</f>
        <v>0</v>
      </c>
      <c r="O108" s="87">
        <f>IF(TrRoad_act!O24=0,0,O49/TrRoad_act!O24*1000)</f>
        <v>0</v>
      </c>
      <c r="P108" s="87">
        <f>IF(TrRoad_act!P24=0,0,P49/TrRoad_act!P24*1000)</f>
        <v>0</v>
      </c>
      <c r="Q108" s="87">
        <f>IF(TrRoad_act!Q24=0,0,Q49/TrRoad_act!Q24*1000)</f>
        <v>566.4458130445812</v>
      </c>
      <c r="R108" s="87">
        <f>IF(TrRoad_act!R24=0,0,R49/TrRoad_act!R24*1000)</f>
        <v>572.66115352560473</v>
      </c>
      <c r="S108" s="87">
        <f>IF(TrRoad_act!S24=0,0,S49/TrRoad_act!S24*1000)</f>
        <v>571.2131235166803</v>
      </c>
      <c r="T108" s="87">
        <f>IF(TrRoad_act!T24=0,0,T49/TrRoad_act!T24*1000)</f>
        <v>574.32183398895131</v>
      </c>
      <c r="U108" s="87">
        <f>IF(TrRoad_act!U24=0,0,U49/TrRoad_act!U24*1000)</f>
        <v>570.57662934799623</v>
      </c>
      <c r="V108" s="87">
        <f>IF(TrRoad_act!V24=0,0,V49/TrRoad_act!V24*1000)</f>
        <v>566.50517420817346</v>
      </c>
      <c r="W108" s="87">
        <f>IF(TrRoad_act!W24=0,0,W49/TrRoad_act!W24*1000)</f>
        <v>563.84848257104932</v>
      </c>
      <c r="X108" s="87">
        <f>IF(TrRoad_act!X24=0,0,X49/TrRoad_act!X24*1000)</f>
        <v>565.87811481767937</v>
      </c>
      <c r="Y108" s="87">
        <f>IF(TrRoad_act!Y24=0,0,Y49/TrRoad_act!Y24*1000)</f>
        <v>555.82388244499305</v>
      </c>
      <c r="DA108" s="171" t="s">
        <v>712</v>
      </c>
    </row>
    <row r="109" spans="1:105" ht="11.45" customHeight="1" x14ac:dyDescent="0.25">
      <c r="A109" s="111" t="s">
        <v>115</v>
      </c>
      <c r="B109" s="87">
        <f>IF(TrRoad_act!B25=0,0,B51/TrRoad_act!B25*1000)</f>
        <v>0</v>
      </c>
      <c r="C109" s="87">
        <f>IF(TrRoad_act!C25=0,0,C51/TrRoad_act!C25*1000)</f>
        <v>0</v>
      </c>
      <c r="D109" s="87">
        <f>IF(TrRoad_act!D25=0,0,D51/TrRoad_act!D25*1000)</f>
        <v>0</v>
      </c>
      <c r="E109" s="87">
        <f>IF(TrRoad_act!E25=0,0,E51/TrRoad_act!E25*1000)</f>
        <v>0</v>
      </c>
      <c r="F109" s="87">
        <f>IF(TrRoad_act!F25=0,0,F51/TrRoad_act!F25*1000)</f>
        <v>0</v>
      </c>
      <c r="G109" s="87">
        <f>IF(TrRoad_act!G25=0,0,G51/TrRoad_act!G25*1000)</f>
        <v>0</v>
      </c>
      <c r="H109" s="87">
        <f>IF(TrRoad_act!H25=0,0,H51/TrRoad_act!H25*1000)</f>
        <v>0</v>
      </c>
      <c r="I109" s="87">
        <f>IF(TrRoad_act!I25=0,0,I51/TrRoad_act!I25*1000)</f>
        <v>0</v>
      </c>
      <c r="J109" s="87">
        <f>IF(TrRoad_act!J25=0,0,J51/TrRoad_act!J25*1000)</f>
        <v>0</v>
      </c>
      <c r="K109" s="87">
        <f>IF(TrRoad_act!K25=0,0,K51/TrRoad_act!K25*1000)</f>
        <v>0</v>
      </c>
      <c r="L109" s="87">
        <f>IF(TrRoad_act!L25=0,0,L51/TrRoad_act!L25*1000)</f>
        <v>0</v>
      </c>
      <c r="M109" s="87">
        <f>IF(TrRoad_act!M25=0,0,M51/TrRoad_act!M25*1000)</f>
        <v>0</v>
      </c>
      <c r="N109" s="87">
        <f>IF(TrRoad_act!N25=0,0,N51/TrRoad_act!N25*1000)</f>
        <v>91.52261578658144</v>
      </c>
      <c r="O109" s="87">
        <f>IF(TrRoad_act!O25=0,0,O51/TrRoad_act!O25*1000)</f>
        <v>92.235986651400225</v>
      </c>
      <c r="P109" s="87">
        <f>IF(TrRoad_act!P25=0,0,P51/TrRoad_act!P25*1000)</f>
        <v>92.796503188379376</v>
      </c>
      <c r="Q109" s="87">
        <f>IF(TrRoad_act!Q25=0,0,Q51/TrRoad_act!Q25*1000)</f>
        <v>95.49263765283925</v>
      </c>
      <c r="R109" s="87">
        <f>IF(TrRoad_act!R25=0,0,R51/TrRoad_act!R25*1000)</f>
        <v>98.413098378037077</v>
      </c>
      <c r="S109" s="87">
        <f>IF(TrRoad_act!S25=0,0,S51/TrRoad_act!S25*1000)</f>
        <v>98.797339082349623</v>
      </c>
      <c r="T109" s="87">
        <f>IF(TrRoad_act!T25=0,0,T51/TrRoad_act!T25*1000)</f>
        <v>107.26971645474796</v>
      </c>
      <c r="U109" s="87">
        <f>IF(TrRoad_act!U25=0,0,U51/TrRoad_act!U25*1000)</f>
        <v>125.17147696626657</v>
      </c>
      <c r="V109" s="87">
        <f>IF(TrRoad_act!V25=0,0,V51/TrRoad_act!V25*1000)</f>
        <v>138.84598605136549</v>
      </c>
      <c r="W109" s="87">
        <f>IF(TrRoad_act!W25=0,0,W51/TrRoad_act!W25*1000)</f>
        <v>157.69900402384016</v>
      </c>
      <c r="X109" s="87">
        <f>IF(TrRoad_act!X25=0,0,X51/TrRoad_act!X25*1000)</f>
        <v>163.52887819674342</v>
      </c>
      <c r="Y109" s="87">
        <f>IF(TrRoad_act!Y25=0,0,Y51/TrRoad_act!Y25*1000)</f>
        <v>175.80703888341458</v>
      </c>
      <c r="DA109" s="171" t="s">
        <v>713</v>
      </c>
    </row>
    <row r="110" spans="1:105" ht="11.45" customHeight="1" x14ac:dyDescent="0.25">
      <c r="A110" s="109" t="s">
        <v>154</v>
      </c>
      <c r="B110" s="116">
        <f>IF(TrRoad_act!B26=0,0,B52/TrRoad_act!B26*1000)</f>
        <v>10.875908894987944</v>
      </c>
      <c r="C110" s="116">
        <f>IF(TrRoad_act!C26=0,0,C52/TrRoad_act!C26*1000)</f>
        <v>13.669602749582706</v>
      </c>
      <c r="D110" s="116">
        <f>IF(TrRoad_act!D26=0,0,D52/TrRoad_act!D26*1000)</f>
        <v>9.9053335463279009</v>
      </c>
      <c r="E110" s="116">
        <f>IF(TrRoad_act!E26=0,0,E52/TrRoad_act!E26*1000)</f>
        <v>16.092694092130593</v>
      </c>
      <c r="F110" s="116">
        <f>IF(TrRoad_act!F26=0,0,F52/TrRoad_act!F26*1000)</f>
        <v>21.442295540772452</v>
      </c>
      <c r="G110" s="116">
        <f>IF(TrRoad_act!G26=0,0,G52/TrRoad_act!G26*1000)</f>
        <v>29.209844517608381</v>
      </c>
      <c r="H110" s="116">
        <f>IF(TrRoad_act!H26=0,0,H52/TrRoad_act!H26*1000)</f>
        <v>32.495129585747421</v>
      </c>
      <c r="I110" s="116">
        <f>IF(TrRoad_act!I26=0,0,I52/TrRoad_act!I26*1000)</f>
        <v>36.88418529422664</v>
      </c>
      <c r="J110" s="116">
        <f>IF(TrRoad_act!J26=0,0,J52/TrRoad_act!J26*1000)</f>
        <v>37.561822128512148</v>
      </c>
      <c r="K110" s="116">
        <f>IF(TrRoad_act!K26=0,0,K52/TrRoad_act!K26*1000)</f>
        <v>34.917343387236848</v>
      </c>
      <c r="L110" s="116">
        <f>IF(TrRoad_act!L26=0,0,L52/TrRoad_act!L26*1000)</f>
        <v>36.061263086800516</v>
      </c>
      <c r="M110" s="116">
        <f>IF(TrRoad_act!M26=0,0,M52/TrRoad_act!M26*1000)</f>
        <v>33.349061364633485</v>
      </c>
      <c r="N110" s="116">
        <f>IF(TrRoad_act!N26=0,0,N52/TrRoad_act!N26*1000)</f>
        <v>27.676375013484236</v>
      </c>
      <c r="O110" s="116">
        <f>IF(TrRoad_act!O26=0,0,O52/TrRoad_act!O26*1000)</f>
        <v>20.594279382341075</v>
      </c>
      <c r="P110" s="116">
        <f>IF(TrRoad_act!P26=0,0,P52/TrRoad_act!P26*1000)</f>
        <v>21.540275011826999</v>
      </c>
      <c r="Q110" s="116">
        <f>IF(TrRoad_act!Q26=0,0,Q52/TrRoad_act!Q26*1000)</f>
        <v>21.375220539344511</v>
      </c>
      <c r="R110" s="116">
        <f>IF(TrRoad_act!R26=0,0,R52/TrRoad_act!R26*1000)</f>
        <v>27.540537634165627</v>
      </c>
      <c r="S110" s="116">
        <f>IF(TrRoad_act!S26=0,0,S52/TrRoad_act!S26*1000)</f>
        <v>33.573361536602022</v>
      </c>
      <c r="T110" s="116">
        <f>IF(TrRoad_act!T26=0,0,T52/TrRoad_act!T26*1000)</f>
        <v>37.186118006057121</v>
      </c>
      <c r="U110" s="116">
        <f>IF(TrRoad_act!U26=0,0,U52/TrRoad_act!U26*1000)</f>
        <v>34.677399768935572</v>
      </c>
      <c r="V110" s="116">
        <f>IF(TrRoad_act!V26=0,0,V52/TrRoad_act!V26*1000)</f>
        <v>31.747380555038887</v>
      </c>
      <c r="W110" s="116">
        <f>IF(TrRoad_act!W26=0,0,W52/TrRoad_act!W26*1000)</f>
        <v>38.257376509450047</v>
      </c>
      <c r="X110" s="116">
        <f>IF(TrRoad_act!X26=0,0,X52/TrRoad_act!X26*1000)</f>
        <v>37.495398642932457</v>
      </c>
      <c r="Y110" s="116">
        <f>IF(TrRoad_act!Y26=0,0,Y52/TrRoad_act!Y26*1000)</f>
        <v>37.214642886639851</v>
      </c>
      <c r="DA110" s="176" t="s">
        <v>427</v>
      </c>
    </row>
    <row r="111" spans="1:105" ht="11.45" customHeight="1" x14ac:dyDescent="0.25">
      <c r="A111" s="128" t="s">
        <v>27</v>
      </c>
      <c r="B111" s="101">
        <f>IF(TrRoad_act!B27=0,0,B53/TrRoad_act!B27*1000)</f>
        <v>11.522936833406012</v>
      </c>
      <c r="C111" s="101">
        <f>IF(TrRoad_act!C27=0,0,C53/TrRoad_act!C27*1000)</f>
        <v>14.569782236335168</v>
      </c>
      <c r="D111" s="101">
        <f>IF(TrRoad_act!D27=0,0,D53/TrRoad_act!D27*1000)</f>
        <v>10.628139208545754</v>
      </c>
      <c r="E111" s="101">
        <f>IF(TrRoad_act!E27=0,0,E53/TrRoad_act!E27*1000)</f>
        <v>17.320809166267601</v>
      </c>
      <c r="F111" s="101">
        <f>IF(TrRoad_act!F27=0,0,F53/TrRoad_act!F27*1000)</f>
        <v>23.337410125330685</v>
      </c>
      <c r="G111" s="101">
        <f>IF(TrRoad_act!G27=0,0,G53/TrRoad_act!G27*1000)</f>
        <v>31.929269645913688</v>
      </c>
      <c r="H111" s="101">
        <f>IF(TrRoad_act!H27=0,0,H53/TrRoad_act!H27*1000)</f>
        <v>36.329090129621001</v>
      </c>
      <c r="I111" s="101">
        <f>IF(TrRoad_act!I27=0,0,I53/TrRoad_act!I27*1000)</f>
        <v>40.757421942307197</v>
      </c>
      <c r="J111" s="101">
        <f>IF(TrRoad_act!J27=0,0,J53/TrRoad_act!J27*1000)</f>
        <v>41.096439138783545</v>
      </c>
      <c r="K111" s="101">
        <f>IF(TrRoad_act!K27=0,0,K53/TrRoad_act!K27*1000)</f>
        <v>37.822124606804316</v>
      </c>
      <c r="L111" s="101">
        <f>IF(TrRoad_act!L27=0,0,L53/TrRoad_act!L27*1000)</f>
        <v>39.923262757350159</v>
      </c>
      <c r="M111" s="101">
        <f>IF(TrRoad_act!M27=0,0,M53/TrRoad_act!M27*1000)</f>
        <v>36.881136567775812</v>
      </c>
      <c r="N111" s="101">
        <f>IF(TrRoad_act!N27=0,0,N53/TrRoad_act!N27*1000)</f>
        <v>30.778540878236882</v>
      </c>
      <c r="O111" s="101">
        <f>IF(TrRoad_act!O27=0,0,O53/TrRoad_act!O27*1000)</f>
        <v>22.638073360480117</v>
      </c>
      <c r="P111" s="101">
        <f>IF(TrRoad_act!P27=0,0,P53/TrRoad_act!P27*1000)</f>
        <v>23.88458139608673</v>
      </c>
      <c r="Q111" s="101">
        <f>IF(TrRoad_act!Q27=0,0,Q53/TrRoad_act!Q27*1000)</f>
        <v>23.480787679607168</v>
      </c>
      <c r="R111" s="101">
        <f>IF(TrRoad_act!R27=0,0,R53/TrRoad_act!R27*1000)</f>
        <v>30.276045002214317</v>
      </c>
      <c r="S111" s="101">
        <f>IF(TrRoad_act!S27=0,0,S53/TrRoad_act!S27*1000)</f>
        <v>36.673736803321006</v>
      </c>
      <c r="T111" s="101">
        <f>IF(TrRoad_act!T27=0,0,T53/TrRoad_act!T27*1000)</f>
        <v>40.622905897001992</v>
      </c>
      <c r="U111" s="101">
        <f>IF(TrRoad_act!U27=0,0,U53/TrRoad_act!U27*1000)</f>
        <v>37.56315944513252</v>
      </c>
      <c r="V111" s="101">
        <f>IF(TrRoad_act!V27=0,0,V53/TrRoad_act!V27*1000)</f>
        <v>34.140831883730961</v>
      </c>
      <c r="W111" s="101">
        <f>IF(TrRoad_act!W27=0,0,W53/TrRoad_act!W27*1000)</f>
        <v>41.032113325036782</v>
      </c>
      <c r="X111" s="101">
        <f>IF(TrRoad_act!X27=0,0,X53/TrRoad_act!X27*1000)</f>
        <v>39.740405162633344</v>
      </c>
      <c r="Y111" s="101">
        <f>IF(TrRoad_act!Y27=0,0,Y53/TrRoad_act!Y27*1000)</f>
        <v>39.484744525648061</v>
      </c>
      <c r="DA111" s="175" t="s">
        <v>714</v>
      </c>
    </row>
    <row r="112" spans="1:105" ht="11.45" customHeight="1" x14ac:dyDescent="0.25">
      <c r="A112" s="138" t="s">
        <v>116</v>
      </c>
      <c r="B112" s="88">
        <f>IF(TrRoad_act!B28=0,0,B55/TrRoad_act!B28*1000)</f>
        <v>9.212878107934106</v>
      </c>
      <c r="C112" s="88">
        <f>IF(TrRoad_act!C28=0,0,C55/TrRoad_act!C28*1000)</f>
        <v>11.464657306127689</v>
      </c>
      <c r="D112" s="88">
        <f>IF(TrRoad_act!D28=0,0,D55/TrRoad_act!D28*1000)</f>
        <v>8.1822286618517204</v>
      </c>
      <c r="E112" s="88">
        <f>IF(TrRoad_act!E28=0,0,E55/TrRoad_act!E28*1000)</f>
        <v>13.068754955821381</v>
      </c>
      <c r="F112" s="88">
        <f>IF(TrRoad_act!F28=0,0,F55/TrRoad_act!F28*1000)</f>
        <v>16.980202783588624</v>
      </c>
      <c r="G112" s="88">
        <f>IF(TrRoad_act!G28=0,0,G55/TrRoad_act!G28*1000)</f>
        <v>22.804281941280568</v>
      </c>
      <c r="H112" s="88">
        <f>IF(TrRoad_act!H28=0,0,H55/TrRoad_act!H28*1000)</f>
        <v>25.281290155876491</v>
      </c>
      <c r="I112" s="88">
        <f>IF(TrRoad_act!I28=0,0,I55/TrRoad_act!I28*1000)</f>
        <v>28.268200184095598</v>
      </c>
      <c r="J112" s="88">
        <f>IF(TrRoad_act!J28=0,0,J55/TrRoad_act!J28*1000)</f>
        <v>29.008588787376407</v>
      </c>
      <c r="K112" s="88">
        <f>IF(TrRoad_act!K28=0,0,K55/TrRoad_act!K28*1000)</f>
        <v>26.7436949693573</v>
      </c>
      <c r="L112" s="88">
        <f>IF(TrRoad_act!L28=0,0,L55/TrRoad_act!L28*1000)</f>
        <v>26.721991011141341</v>
      </c>
      <c r="M112" s="88">
        <f>IF(TrRoad_act!M28=0,0,M55/TrRoad_act!M28*1000)</f>
        <v>24.512538945748808</v>
      </c>
      <c r="N112" s="88">
        <f>IF(TrRoad_act!N28=0,0,N55/TrRoad_act!N28*1000)</f>
        <v>20.571178589708175</v>
      </c>
      <c r="O112" s="88">
        <f>IF(TrRoad_act!O28=0,0,O55/TrRoad_act!O28*1000)</f>
        <v>15.620166050195877</v>
      </c>
      <c r="P112" s="88">
        <f>IF(TrRoad_act!P28=0,0,P55/TrRoad_act!P28*1000)</f>
        <v>16.135465078791277</v>
      </c>
      <c r="Q112" s="88">
        <f>IF(TrRoad_act!Q28=0,0,Q55/TrRoad_act!Q28*1000)</f>
        <v>16.215838199425821</v>
      </c>
      <c r="R112" s="88">
        <f>IF(TrRoad_act!R28=0,0,R55/TrRoad_act!R28*1000)</f>
        <v>21.408681960258839</v>
      </c>
      <c r="S112" s="88">
        <f>IF(TrRoad_act!S28=0,0,S55/TrRoad_act!S28*1000)</f>
        <v>26.676228048617951</v>
      </c>
      <c r="T112" s="88">
        <f>IF(TrRoad_act!T28=0,0,T55/TrRoad_act!T28*1000)</f>
        <v>28.840849300104722</v>
      </c>
      <c r="U112" s="88">
        <f>IF(TrRoad_act!U28=0,0,U55/TrRoad_act!U28*1000)</f>
        <v>28.263257100011138</v>
      </c>
      <c r="V112" s="88">
        <f>IF(TrRoad_act!V28=0,0,V55/TrRoad_act!V28*1000)</f>
        <v>25.972961201402562</v>
      </c>
      <c r="W112" s="88">
        <f>IF(TrRoad_act!W28=0,0,W55/TrRoad_act!W28*1000)</f>
        <v>31.46670058189062</v>
      </c>
      <c r="X112" s="88">
        <f>IF(TrRoad_act!X28=0,0,X55/TrRoad_act!X28*1000)</f>
        <v>31.948851368514148</v>
      </c>
      <c r="Y112" s="88">
        <f>IF(TrRoad_act!Y28=0,0,Y55/TrRoad_act!Y28*1000)</f>
        <v>31.851190579313648</v>
      </c>
      <c r="DA112" s="178" t="s">
        <v>715</v>
      </c>
    </row>
    <row r="113" spans="1:105" x14ac:dyDescent="0.25">
      <c r="A113" s="106"/>
      <c r="B113" s="106"/>
      <c r="C113" s="106"/>
      <c r="D113" s="106"/>
      <c r="E113" s="106"/>
      <c r="F113" s="106"/>
      <c r="G113" s="106"/>
      <c r="H113" s="106"/>
      <c r="I113" s="106"/>
      <c r="J113" s="106"/>
      <c r="K113" s="106"/>
      <c r="L113" s="106"/>
      <c r="M113" s="106"/>
      <c r="N113" s="106"/>
      <c r="O113" s="106"/>
      <c r="P113" s="106"/>
      <c r="Q113" s="106"/>
      <c r="R113" s="106"/>
      <c r="S113" s="106"/>
      <c r="T113" s="106"/>
      <c r="U113" s="106"/>
      <c r="V113" s="106"/>
      <c r="W113" s="106"/>
      <c r="X113" s="106"/>
      <c r="Y113" s="106"/>
      <c r="DA113" s="171"/>
    </row>
    <row r="114" spans="1:105" ht="11.45" customHeight="1" x14ac:dyDescent="0.25">
      <c r="A114" s="53" t="s">
        <v>96</v>
      </c>
      <c r="B114" s="62"/>
      <c r="C114" s="62"/>
      <c r="D114" s="62"/>
      <c r="E114" s="62"/>
      <c r="F114" s="62"/>
      <c r="G114" s="62"/>
      <c r="H114" s="62"/>
      <c r="I114" s="62"/>
      <c r="J114" s="62"/>
      <c r="K114" s="62"/>
      <c r="L114" s="62"/>
      <c r="M114" s="62"/>
      <c r="N114" s="62"/>
      <c r="O114" s="62"/>
      <c r="P114" s="62"/>
      <c r="Q114" s="62"/>
      <c r="R114" s="62"/>
      <c r="S114" s="62"/>
      <c r="T114" s="62"/>
      <c r="U114" s="62"/>
      <c r="V114" s="62"/>
      <c r="W114" s="62"/>
      <c r="X114" s="62"/>
      <c r="Y114" s="62"/>
      <c r="DA114" s="172"/>
    </row>
    <row r="115" spans="1:105" ht="11.45" customHeight="1" x14ac:dyDescent="0.25">
      <c r="A115" s="27" t="s">
        <v>33</v>
      </c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DA115" s="173"/>
    </row>
    <row r="116" spans="1:105" ht="11.45" customHeight="1" x14ac:dyDescent="0.25">
      <c r="A116" s="136" t="s">
        <v>173</v>
      </c>
      <c r="B116" s="152">
        <f>IF(B19=0,0,1000000*B19/TrRoad_act!B59)</f>
        <v>129.32119215471806</v>
      </c>
      <c r="C116" s="152">
        <f>IF(C19=0,0,1000000*C19/TrRoad_act!C59)</f>
        <v>111.31879672562343</v>
      </c>
      <c r="D116" s="152">
        <f>IF(D19=0,0,1000000*D19/TrRoad_act!D59)</f>
        <v>99.886745602942071</v>
      </c>
      <c r="E116" s="152">
        <f>IF(E19=0,0,1000000*E19/TrRoad_act!E59)</f>
        <v>89.987400116662073</v>
      </c>
      <c r="F116" s="152">
        <f>IF(F19=0,0,1000000*F19/TrRoad_act!F59)</f>
        <v>86.527964223725093</v>
      </c>
      <c r="G116" s="152">
        <f>IF(G19=0,0,1000000*G19/TrRoad_act!G59)</f>
        <v>71.268363502696246</v>
      </c>
      <c r="H116" s="152">
        <f>IF(H19=0,0,1000000*H19/TrRoad_act!H59)</f>
        <v>68.518482106624688</v>
      </c>
      <c r="I116" s="152">
        <f>IF(I19=0,0,1000000*I19/TrRoad_act!I59)</f>
        <v>64.47888353579286</v>
      </c>
      <c r="J116" s="152">
        <f>IF(J19=0,0,1000000*J19/TrRoad_act!J59)</f>
        <v>56.165567909626446</v>
      </c>
      <c r="K116" s="152">
        <f>IF(K19=0,0,1000000*K19/TrRoad_act!K59)</f>
        <v>51.216685786237512</v>
      </c>
      <c r="L116" s="152">
        <f>IF(L19=0,0,1000000*L19/TrRoad_act!L59)</f>
        <v>50.849938054702584</v>
      </c>
      <c r="M116" s="152">
        <f>IF(M19=0,0,1000000*M19/TrRoad_act!M59)</f>
        <v>45.997522917575338</v>
      </c>
      <c r="N116" s="152">
        <f>IF(N19=0,0,1000000*N19/TrRoad_act!N59)</f>
        <v>43.634997358307615</v>
      </c>
      <c r="O116" s="152">
        <f>IF(O19=0,0,1000000*O19/TrRoad_act!O59)</f>
        <v>39.953659886284967</v>
      </c>
      <c r="P116" s="152">
        <f>IF(P19=0,0,1000000*P19/TrRoad_act!P59)</f>
        <v>38.668242427845207</v>
      </c>
      <c r="Q116" s="152">
        <f>IF(Q19=0,0,1000000*Q19/TrRoad_act!Q59)</f>
        <v>37.897427146922205</v>
      </c>
      <c r="R116" s="152">
        <f>IF(R19=0,0,1000000*R19/TrRoad_act!R59)</f>
        <v>38.144719198124967</v>
      </c>
      <c r="S116" s="152">
        <f>IF(S19=0,0,1000000*S19/TrRoad_act!S59)</f>
        <v>34.622540351580646</v>
      </c>
      <c r="T116" s="152">
        <f>IF(T19=0,0,1000000*T19/TrRoad_act!T59)</f>
        <v>31.811668253320761</v>
      </c>
      <c r="U116" s="152">
        <f>IF(U19=0,0,1000000*U19/TrRoad_act!U59)</f>
        <v>32.591793488140176</v>
      </c>
      <c r="V116" s="152">
        <f>IF(V19=0,0,1000000*V19/TrRoad_act!V59)</f>
        <v>28.195630407730878</v>
      </c>
      <c r="W116" s="152">
        <f>IF(W19=0,0,1000000*W19/TrRoad_act!W59)</f>
        <v>28.356818391176915</v>
      </c>
      <c r="X116" s="152">
        <f>IF(X19=0,0,1000000*X19/TrRoad_act!X59)</f>
        <v>27.804255677238878</v>
      </c>
      <c r="Y116" s="152">
        <f>IF(Y19=0,0,1000000*Y19/TrRoad_act!Y59)</f>
        <v>29.044472482854761</v>
      </c>
      <c r="DA116" s="174" t="s">
        <v>716</v>
      </c>
    </row>
    <row r="117" spans="1:105" ht="11.45" customHeight="1" x14ac:dyDescent="0.25">
      <c r="A117" s="109" t="s">
        <v>20</v>
      </c>
      <c r="B117" s="116">
        <f>IF(B21=0,0,1000000*B21/TrRoad_act!B60)</f>
        <v>520.8509424380461</v>
      </c>
      <c r="C117" s="116">
        <f>IF(C21=0,0,1000000*C21/TrRoad_act!C60)</f>
        <v>464.16076265542188</v>
      </c>
      <c r="D117" s="116">
        <f>IF(D21=0,0,1000000*D21/TrRoad_act!D60)</f>
        <v>441.70438273754979</v>
      </c>
      <c r="E117" s="116">
        <f>IF(E21=0,0,1000000*E21/TrRoad_act!E60)</f>
        <v>456.54530276939101</v>
      </c>
      <c r="F117" s="116">
        <f>IF(F21=0,0,1000000*F21/TrRoad_act!F60)</f>
        <v>503.22770437825483</v>
      </c>
      <c r="G117" s="116">
        <f>IF(G21=0,0,1000000*G21/TrRoad_act!G60)</f>
        <v>493.76416590882235</v>
      </c>
      <c r="H117" s="116">
        <f>IF(H21=0,0,1000000*H21/TrRoad_act!H60)</f>
        <v>513.76168388099848</v>
      </c>
      <c r="I117" s="116">
        <f>IF(I21=0,0,1000000*I21/TrRoad_act!I60)</f>
        <v>521.14951446716373</v>
      </c>
      <c r="J117" s="116">
        <f>IF(J21=0,0,1000000*J21/TrRoad_act!J60)</f>
        <v>507.95743424654574</v>
      </c>
      <c r="K117" s="116">
        <f>IF(K21=0,0,1000000*K21/TrRoad_act!K60)</f>
        <v>519.19896858656921</v>
      </c>
      <c r="L117" s="116">
        <f>IF(L21=0,0,1000000*L21/TrRoad_act!L60)</f>
        <v>525.56893448077631</v>
      </c>
      <c r="M117" s="116">
        <f>IF(M21=0,0,1000000*M21/TrRoad_act!M60)</f>
        <v>505.44356291260311</v>
      </c>
      <c r="N117" s="116">
        <f>IF(N21=0,0,1000000*N21/TrRoad_act!N60)</f>
        <v>484.57972936183535</v>
      </c>
      <c r="O117" s="116">
        <f>IF(O21=0,0,1000000*O21/TrRoad_act!O60)</f>
        <v>444.5607481859625</v>
      </c>
      <c r="P117" s="116">
        <f>IF(P21=0,0,1000000*P21/TrRoad_act!P60)</f>
        <v>431.19173968819166</v>
      </c>
      <c r="Q117" s="116">
        <f>IF(Q21=0,0,1000000*Q21/TrRoad_act!Q60)</f>
        <v>438.72182114938073</v>
      </c>
      <c r="R117" s="116">
        <f>IF(R21=0,0,1000000*R21/TrRoad_act!R60)</f>
        <v>453.96819543522895</v>
      </c>
      <c r="S117" s="116">
        <f>IF(S21=0,0,1000000*S21/TrRoad_act!S60)</f>
        <v>490.59574607842308</v>
      </c>
      <c r="T117" s="116">
        <f>IF(T21=0,0,1000000*T21/TrRoad_act!T60)</f>
        <v>495.55208667662038</v>
      </c>
      <c r="U117" s="116">
        <f>IF(U21=0,0,1000000*U21/TrRoad_act!U60)</f>
        <v>488.83978502981518</v>
      </c>
      <c r="V117" s="116">
        <f>IF(V21=0,0,1000000*V21/TrRoad_act!V60)</f>
        <v>457.12019642752978</v>
      </c>
      <c r="W117" s="116">
        <f>IF(W21=0,0,1000000*W21/TrRoad_act!W60)</f>
        <v>442.79547501560654</v>
      </c>
      <c r="X117" s="116">
        <f>IF(X21=0,0,1000000*X21/TrRoad_act!X60)</f>
        <v>457.70879353604312</v>
      </c>
      <c r="Y117" s="116">
        <f>IF(Y21=0,0,1000000*Y21/TrRoad_act!Y60)</f>
        <v>452.92334573301707</v>
      </c>
      <c r="DA117" s="176" t="s">
        <v>717</v>
      </c>
    </row>
    <row r="118" spans="1:105" ht="11.45" customHeight="1" x14ac:dyDescent="0.25">
      <c r="A118" s="111" t="s">
        <v>110</v>
      </c>
      <c r="B118" s="87">
        <f>IF(B22=0,0,1000000*B22/TrRoad_act!B61)</f>
        <v>504.71977973118203</v>
      </c>
      <c r="C118" s="87">
        <f>IF(C22=0,0,1000000*C22/TrRoad_act!C61)</f>
        <v>431.8368030392636</v>
      </c>
      <c r="D118" s="87">
        <f>IF(D22=0,0,1000000*D22/TrRoad_act!D61)</f>
        <v>400.37762715051002</v>
      </c>
      <c r="E118" s="87">
        <f>IF(E22=0,0,1000000*E22/TrRoad_act!E61)</f>
        <v>397.02622566998804</v>
      </c>
      <c r="F118" s="87">
        <f>IF(F22=0,0,1000000*F22/TrRoad_act!F61)</f>
        <v>422.34663028192381</v>
      </c>
      <c r="G118" s="87">
        <f>IF(G22=0,0,1000000*G22/TrRoad_act!G61)</f>
        <v>396.55093034288325</v>
      </c>
      <c r="H118" s="87">
        <f>IF(H22=0,0,1000000*H22/TrRoad_act!H61)</f>
        <v>395.02420846823838</v>
      </c>
      <c r="I118" s="87">
        <f>IF(I22=0,0,1000000*I22/TrRoad_act!I61)</f>
        <v>381.88818217640272</v>
      </c>
      <c r="J118" s="87">
        <f>IF(J22=0,0,1000000*J22/TrRoad_act!J61)</f>
        <v>363.51369251118689</v>
      </c>
      <c r="K118" s="87">
        <f>IF(K22=0,0,1000000*K22/TrRoad_act!K61)</f>
        <v>378.58239229945269</v>
      </c>
      <c r="L118" s="87">
        <f>IF(L22=0,0,1000000*L22/TrRoad_act!L61)</f>
        <v>370.04947723077231</v>
      </c>
      <c r="M118" s="87">
        <f>IF(M22=0,0,1000000*M22/TrRoad_act!M61)</f>
        <v>335.99771722035308</v>
      </c>
      <c r="N118" s="87">
        <f>IF(N22=0,0,1000000*N22/TrRoad_act!N61)</f>
        <v>310.91165274043584</v>
      </c>
      <c r="O118" s="87">
        <f>IF(O22=0,0,1000000*O22/TrRoad_act!O61)</f>
        <v>294.86427039557924</v>
      </c>
      <c r="P118" s="87">
        <f>IF(P22=0,0,1000000*P22/TrRoad_act!P61)</f>
        <v>282.46072289438047</v>
      </c>
      <c r="Q118" s="87">
        <f>IF(Q22=0,0,1000000*Q22/TrRoad_act!Q61)</f>
        <v>290.11289517400508</v>
      </c>
      <c r="R118" s="87">
        <f>IF(R22=0,0,1000000*R22/TrRoad_act!R61)</f>
        <v>302.01341205155671</v>
      </c>
      <c r="S118" s="87">
        <f>IF(S22=0,0,1000000*S22/TrRoad_act!S61)</f>
        <v>318.80413245154494</v>
      </c>
      <c r="T118" s="87">
        <f>IF(T22=0,0,1000000*T22/TrRoad_act!T61)</f>
        <v>325.91722477930153</v>
      </c>
      <c r="U118" s="87">
        <f>IF(U22=0,0,1000000*U22/TrRoad_act!U61)</f>
        <v>323.36647041530813</v>
      </c>
      <c r="V118" s="87">
        <f>IF(V22=0,0,1000000*V22/TrRoad_act!V61)</f>
        <v>295.06700580569543</v>
      </c>
      <c r="W118" s="87">
        <f>IF(W22=0,0,1000000*W22/TrRoad_act!W61)</f>
        <v>319.07959282221731</v>
      </c>
      <c r="X118" s="87">
        <f>IF(X22=0,0,1000000*X22/TrRoad_act!X61)</f>
        <v>338.22344970845677</v>
      </c>
      <c r="Y118" s="87">
        <f>IF(Y22=0,0,1000000*Y22/TrRoad_act!Y61)</f>
        <v>354.35146158194499</v>
      </c>
      <c r="DA118" s="171" t="s">
        <v>718</v>
      </c>
    </row>
    <row r="119" spans="1:105" ht="11.45" customHeight="1" x14ac:dyDescent="0.25">
      <c r="A119" s="111" t="s">
        <v>111</v>
      </c>
      <c r="B119" s="87">
        <f>IF(B24=0,0,1000000*B24/TrRoad_act!B62)</f>
        <v>532.28518259951068</v>
      </c>
      <c r="C119" s="87">
        <f>IF(C24=0,0,1000000*C24/TrRoad_act!C62)</f>
        <v>571.00865392129799</v>
      </c>
      <c r="D119" s="87">
        <f>IF(D24=0,0,1000000*D24/TrRoad_act!D62)</f>
        <v>557.73876692992235</v>
      </c>
      <c r="E119" s="87">
        <f>IF(E24=0,0,1000000*E24/TrRoad_act!E62)</f>
        <v>658.20680435233282</v>
      </c>
      <c r="F119" s="87">
        <f>IF(F24=0,0,1000000*F24/TrRoad_act!F62)</f>
        <v>748.21927234365842</v>
      </c>
      <c r="G119" s="87">
        <f>IF(G24=0,0,1000000*G24/TrRoad_act!G62)</f>
        <v>855.48879188572278</v>
      </c>
      <c r="H119" s="87">
        <f>IF(H24=0,0,1000000*H24/TrRoad_act!H62)</f>
        <v>936.36439867506101</v>
      </c>
      <c r="I119" s="87">
        <f>IF(I24=0,0,1000000*I24/TrRoad_act!I62)</f>
        <v>985.64489202553875</v>
      </c>
      <c r="J119" s="87">
        <f>IF(J24=0,0,1000000*J24/TrRoad_act!J62)</f>
        <v>929.54199274588109</v>
      </c>
      <c r="K119" s="87">
        <f>IF(K24=0,0,1000000*K24/TrRoad_act!K62)</f>
        <v>931.18233778935223</v>
      </c>
      <c r="L119" s="87">
        <f>IF(L24=0,0,1000000*L24/TrRoad_act!L62)</f>
        <v>946.4227383963256</v>
      </c>
      <c r="M119" s="87">
        <f>IF(M24=0,0,1000000*M24/TrRoad_act!M62)</f>
        <v>890.46514446252331</v>
      </c>
      <c r="N119" s="87">
        <f>IF(N24=0,0,1000000*N24/TrRoad_act!N62)</f>
        <v>808.7793972913023</v>
      </c>
      <c r="O119" s="87">
        <f>IF(O24=0,0,1000000*O24/TrRoad_act!O62)</f>
        <v>685.78064664402416</v>
      </c>
      <c r="P119" s="87">
        <f>IF(P24=0,0,1000000*P24/TrRoad_act!P62)</f>
        <v>653.54845933294564</v>
      </c>
      <c r="Q119" s="87">
        <f>IF(Q24=0,0,1000000*Q24/TrRoad_act!Q62)</f>
        <v>662.18719881932373</v>
      </c>
      <c r="R119" s="87">
        <f>IF(R24=0,0,1000000*R24/TrRoad_act!R62)</f>
        <v>667.77690571999051</v>
      </c>
      <c r="S119" s="87">
        <f>IF(S24=0,0,1000000*S24/TrRoad_act!S62)</f>
        <v>735.95415094591465</v>
      </c>
      <c r="T119" s="87">
        <f>IF(T24=0,0,1000000*T24/TrRoad_act!T62)</f>
        <v>743.95940808322575</v>
      </c>
      <c r="U119" s="87">
        <f>IF(U24=0,0,1000000*U24/TrRoad_act!U62)</f>
        <v>718.87123503852138</v>
      </c>
      <c r="V119" s="87">
        <f>IF(V24=0,0,1000000*V24/TrRoad_act!V62)</f>
        <v>693.98972685790898</v>
      </c>
      <c r="W119" s="87">
        <f>IF(W24=0,0,1000000*W24/TrRoad_act!W62)</f>
        <v>600.71614620356718</v>
      </c>
      <c r="X119" s="87">
        <f>IF(X24=0,0,1000000*X24/TrRoad_act!X62)</f>
        <v>606.78626043131851</v>
      </c>
      <c r="Y119" s="87">
        <f>IF(Y24=0,0,1000000*Y24/TrRoad_act!Y62)</f>
        <v>574.58234853549038</v>
      </c>
      <c r="DA119" s="171" t="s">
        <v>719</v>
      </c>
    </row>
    <row r="120" spans="1:105" ht="11.45" customHeight="1" x14ac:dyDescent="0.25">
      <c r="A120" s="111" t="s">
        <v>112</v>
      </c>
      <c r="B120" s="87">
        <f>IF(B26=0,0,1000000*B26/TrRoad_act!B63)</f>
        <v>713.73759441786251</v>
      </c>
      <c r="C120" s="87">
        <f>IF(C26=0,0,1000000*C26/TrRoad_act!C63)</f>
        <v>606.76963161493973</v>
      </c>
      <c r="D120" s="87">
        <f>IF(D26=0,0,1000000*D26/TrRoad_act!D63)</f>
        <v>578.4555683535998</v>
      </c>
      <c r="E120" s="87">
        <f>IF(E26=0,0,1000000*E26/TrRoad_act!E63)</f>
        <v>565.54698629425127</v>
      </c>
      <c r="F120" s="87">
        <f>IF(F26=0,0,1000000*F26/TrRoad_act!F63)</f>
        <v>632.19094956912716</v>
      </c>
      <c r="G120" s="87">
        <f>IF(G26=0,0,1000000*G26/TrRoad_act!G63)</f>
        <v>656.10887498712691</v>
      </c>
      <c r="H120" s="87">
        <f>IF(H26=0,0,1000000*H26/TrRoad_act!H63)</f>
        <v>669.57154037114947</v>
      </c>
      <c r="I120" s="87">
        <f>IF(I26=0,0,1000000*I26/TrRoad_act!I63)</f>
        <v>646.64436541311909</v>
      </c>
      <c r="J120" s="87">
        <f>IF(J26=0,0,1000000*J26/TrRoad_act!J63)</f>
        <v>603.1163629163176</v>
      </c>
      <c r="K120" s="87">
        <f>IF(K26=0,0,1000000*K26/TrRoad_act!K63)</f>
        <v>541.80655253172188</v>
      </c>
      <c r="L120" s="87">
        <f>IF(L26=0,0,1000000*L26/TrRoad_act!L63)</f>
        <v>527.52120703725598</v>
      </c>
      <c r="M120" s="87">
        <f>IF(M26=0,0,1000000*M26/TrRoad_act!M63)</f>
        <v>544.67302343104598</v>
      </c>
      <c r="N120" s="87">
        <f>IF(N26=0,0,1000000*N26/TrRoad_act!N63)</f>
        <v>600.20268106876313</v>
      </c>
      <c r="O120" s="87">
        <f>IF(O26=0,0,1000000*O26/TrRoad_act!O63)</f>
        <v>576.84785674790191</v>
      </c>
      <c r="P120" s="87">
        <f>IF(P26=0,0,1000000*P26/TrRoad_act!P63)</f>
        <v>567.12084581656688</v>
      </c>
      <c r="Q120" s="87">
        <f>IF(Q26=0,0,1000000*Q26/TrRoad_act!Q63)</f>
        <v>562.85952730507586</v>
      </c>
      <c r="R120" s="87">
        <f>IF(R26=0,0,1000000*R26/TrRoad_act!R63)</f>
        <v>578.14970624854448</v>
      </c>
      <c r="S120" s="87">
        <f>IF(S26=0,0,1000000*S26/TrRoad_act!S63)</f>
        <v>625.89082731708766</v>
      </c>
      <c r="T120" s="87">
        <f>IF(T26=0,0,1000000*T26/TrRoad_act!T63)</f>
        <v>586.53995287002908</v>
      </c>
      <c r="U120" s="87">
        <f>IF(U26=0,0,1000000*U26/TrRoad_act!U63)</f>
        <v>604.32211458557219</v>
      </c>
      <c r="V120" s="87">
        <f>IF(V26=0,0,1000000*V26/TrRoad_act!V63)</f>
        <v>538.10502331402756</v>
      </c>
      <c r="W120" s="87">
        <f>IF(W26=0,0,1000000*W26/TrRoad_act!W63)</f>
        <v>563.47793169739919</v>
      </c>
      <c r="X120" s="87">
        <f>IF(X26=0,0,1000000*X26/TrRoad_act!X63)</f>
        <v>584.33243824914484</v>
      </c>
      <c r="Y120" s="87">
        <f>IF(Y26=0,0,1000000*Y26/TrRoad_act!Y63)</f>
        <v>557.49376350302418</v>
      </c>
      <c r="DA120" s="171" t="s">
        <v>720</v>
      </c>
    </row>
    <row r="121" spans="1:105" ht="11.45" customHeight="1" x14ac:dyDescent="0.25">
      <c r="A121" s="111" t="s">
        <v>113</v>
      </c>
      <c r="B121" s="87">
        <f>IF(B27=0,0,1000000*B27/TrRoad_act!B64)</f>
        <v>0</v>
      </c>
      <c r="C121" s="87">
        <f>IF(C27=0,0,1000000*C27/TrRoad_act!C64)</f>
        <v>0</v>
      </c>
      <c r="D121" s="87">
        <f>IF(D27=0,0,1000000*D27/TrRoad_act!D64)</f>
        <v>0</v>
      </c>
      <c r="E121" s="87">
        <f>IF(E27=0,0,1000000*E27/TrRoad_act!E64)</f>
        <v>0</v>
      </c>
      <c r="F121" s="87">
        <f>IF(F27=0,0,1000000*F27/TrRoad_act!F64)</f>
        <v>0</v>
      </c>
      <c r="G121" s="87">
        <f>IF(G27=0,0,1000000*G27/TrRoad_act!G64)</f>
        <v>0</v>
      </c>
      <c r="H121" s="87">
        <f>IF(H27=0,0,1000000*H27/TrRoad_act!H64)</f>
        <v>0</v>
      </c>
      <c r="I121" s="87">
        <f>IF(I27=0,0,1000000*I27/TrRoad_act!I64)</f>
        <v>0</v>
      </c>
      <c r="J121" s="87">
        <f>IF(J27=0,0,1000000*J27/TrRoad_act!J64)</f>
        <v>0</v>
      </c>
      <c r="K121" s="87">
        <f>IF(K27=0,0,1000000*K27/TrRoad_act!K64)</f>
        <v>0</v>
      </c>
      <c r="L121" s="87">
        <f>IF(L27=0,0,1000000*L27/TrRoad_act!L64)</f>
        <v>0</v>
      </c>
      <c r="M121" s="87">
        <f>IF(M27=0,0,1000000*M27/TrRoad_act!M64)</f>
        <v>0</v>
      </c>
      <c r="N121" s="87">
        <f>IF(N27=0,0,1000000*N27/TrRoad_act!N64)</f>
        <v>0</v>
      </c>
      <c r="O121" s="87">
        <f>IF(O27=0,0,1000000*O27/TrRoad_act!O64)</f>
        <v>0</v>
      </c>
      <c r="P121" s="87">
        <f>IF(P27=0,0,1000000*P27/TrRoad_act!P64)</f>
        <v>0</v>
      </c>
      <c r="Q121" s="87">
        <f>IF(Q27=0,0,1000000*Q27/TrRoad_act!Q64)</f>
        <v>468.84528667738169</v>
      </c>
      <c r="R121" s="87">
        <f>IF(R27=0,0,1000000*R27/TrRoad_act!R64)</f>
        <v>459.98177384086188</v>
      </c>
      <c r="S121" s="87">
        <f>IF(S27=0,0,1000000*S27/TrRoad_act!S64)</f>
        <v>513.44789609362749</v>
      </c>
      <c r="T121" s="87">
        <f>IF(T27=0,0,1000000*T27/TrRoad_act!T64)</f>
        <v>534.90853938369514</v>
      </c>
      <c r="U121" s="87">
        <f>IF(U27=0,0,1000000*U27/TrRoad_act!U64)</f>
        <v>538.10950652875545</v>
      </c>
      <c r="V121" s="87">
        <f>IF(V27=0,0,1000000*V27/TrRoad_act!V64)</f>
        <v>514.3414269192084</v>
      </c>
      <c r="W121" s="87">
        <f>IF(W27=0,0,1000000*W27/TrRoad_act!W64)</f>
        <v>502.93754359529015</v>
      </c>
      <c r="X121" s="87">
        <f>IF(X27=0,0,1000000*X27/TrRoad_act!X64)</f>
        <v>515.24599792401352</v>
      </c>
      <c r="Y121" s="87">
        <f>IF(Y27=0,0,1000000*Y27/TrRoad_act!Y64)</f>
        <v>517.4999777714562</v>
      </c>
      <c r="DA121" s="171" t="s">
        <v>721</v>
      </c>
    </row>
    <row r="122" spans="1:105" ht="11.45" customHeight="1" x14ac:dyDescent="0.25">
      <c r="A122" s="111" t="s">
        <v>114</v>
      </c>
      <c r="B122" s="87">
        <f>IF(B29=0,0,1000000*B29/TrRoad_act!B65)</f>
        <v>0</v>
      </c>
      <c r="C122" s="87">
        <f>IF(C29=0,0,1000000*C29/TrRoad_act!C65)</f>
        <v>0</v>
      </c>
      <c r="D122" s="87">
        <f>IF(D29=0,0,1000000*D29/TrRoad_act!D65)</f>
        <v>0</v>
      </c>
      <c r="E122" s="87">
        <f>IF(E29=0,0,1000000*E29/TrRoad_act!E65)</f>
        <v>0</v>
      </c>
      <c r="F122" s="87">
        <f>IF(F29=0,0,1000000*F29/TrRoad_act!F65)</f>
        <v>0</v>
      </c>
      <c r="G122" s="87">
        <f>IF(G29=0,0,1000000*G29/TrRoad_act!G65)</f>
        <v>0</v>
      </c>
      <c r="H122" s="87">
        <f>IF(H29=0,0,1000000*H29/TrRoad_act!H65)</f>
        <v>0</v>
      </c>
      <c r="I122" s="87">
        <f>IF(I29=0,0,1000000*I29/TrRoad_act!I65)</f>
        <v>0</v>
      </c>
      <c r="J122" s="87">
        <f>IF(J29=0,0,1000000*J29/TrRoad_act!J65)</f>
        <v>0</v>
      </c>
      <c r="K122" s="87">
        <f>IF(K29=0,0,1000000*K29/TrRoad_act!K65)</f>
        <v>0</v>
      </c>
      <c r="L122" s="87">
        <f>IF(L29=0,0,1000000*L29/TrRoad_act!L65)</f>
        <v>0</v>
      </c>
      <c r="M122" s="87">
        <f>IF(M29=0,0,1000000*M29/TrRoad_act!M65)</f>
        <v>0</v>
      </c>
      <c r="N122" s="87">
        <f>IF(N29=0,0,1000000*N29/TrRoad_act!N65)</f>
        <v>223.075848972671</v>
      </c>
      <c r="O122" s="87">
        <f>IF(O29=0,0,1000000*O29/TrRoad_act!O65)</f>
        <v>248.93515154765666</v>
      </c>
      <c r="P122" s="87">
        <f>IF(P29=0,0,1000000*P29/TrRoad_act!P65)</f>
        <v>431.63426059289793</v>
      </c>
      <c r="Q122" s="87">
        <f>IF(Q29=0,0,1000000*Q29/TrRoad_act!Q65)</f>
        <v>280.31435086194278</v>
      </c>
      <c r="R122" s="87">
        <f>IF(R29=0,0,1000000*R29/TrRoad_act!R65)</f>
        <v>292.16478076964819</v>
      </c>
      <c r="S122" s="87">
        <f>IF(S29=0,0,1000000*S29/TrRoad_act!S65)</f>
        <v>326.05295927250444</v>
      </c>
      <c r="T122" s="87">
        <f>IF(T29=0,0,1000000*T29/TrRoad_act!T65)</f>
        <v>355.68223063072276</v>
      </c>
      <c r="U122" s="87">
        <f>IF(U29=0,0,1000000*U29/TrRoad_act!U65)</f>
        <v>343.66112474156841</v>
      </c>
      <c r="V122" s="87">
        <f>IF(V29=0,0,1000000*V29/TrRoad_act!V65)</f>
        <v>337.29182360007803</v>
      </c>
      <c r="W122" s="87">
        <f>IF(W29=0,0,1000000*W29/TrRoad_act!W65)</f>
        <v>308.69697548903969</v>
      </c>
      <c r="X122" s="87">
        <f>IF(X29=0,0,1000000*X29/TrRoad_act!X65)</f>
        <v>316.91620592194209</v>
      </c>
      <c r="Y122" s="87">
        <f>IF(Y29=0,0,1000000*Y29/TrRoad_act!Y65)</f>
        <v>301.9994128197302</v>
      </c>
      <c r="DA122" s="171" t="s">
        <v>722</v>
      </c>
    </row>
    <row r="123" spans="1:105" ht="11.45" customHeight="1" x14ac:dyDescent="0.25">
      <c r="A123" s="111" t="s">
        <v>115</v>
      </c>
      <c r="B123" s="87">
        <f>IF(B32=0,0,1000000*B32/TrRoad_act!B66)</f>
        <v>0</v>
      </c>
      <c r="C123" s="87">
        <f>IF(C32=0,0,1000000*C32/TrRoad_act!C66)</f>
        <v>0</v>
      </c>
      <c r="D123" s="87">
        <f>IF(D32=0,0,1000000*D32/TrRoad_act!D66)</f>
        <v>0</v>
      </c>
      <c r="E123" s="87">
        <f>IF(E32=0,0,1000000*E32/TrRoad_act!E66)</f>
        <v>0</v>
      </c>
      <c r="F123" s="87">
        <f>IF(F32=0,0,1000000*F32/TrRoad_act!F66)</f>
        <v>0</v>
      </c>
      <c r="G123" s="87">
        <f>IF(G32=0,0,1000000*G32/TrRoad_act!G66)</f>
        <v>0</v>
      </c>
      <c r="H123" s="87">
        <f>IF(H32=0,0,1000000*H32/TrRoad_act!H66)</f>
        <v>0</v>
      </c>
      <c r="I123" s="87">
        <f>IF(I32=0,0,1000000*I32/TrRoad_act!I66)</f>
        <v>0</v>
      </c>
      <c r="J123" s="87">
        <f>IF(J32=0,0,1000000*J32/TrRoad_act!J66)</f>
        <v>0</v>
      </c>
      <c r="K123" s="87">
        <f>IF(K32=0,0,1000000*K32/TrRoad_act!K66)</f>
        <v>0</v>
      </c>
      <c r="L123" s="87">
        <f>IF(L32=0,0,1000000*L32/TrRoad_act!L66)</f>
        <v>106.51294387390521</v>
      </c>
      <c r="M123" s="87">
        <f>IF(M32=0,0,1000000*M32/TrRoad_act!M66)</f>
        <v>107.38940458533071</v>
      </c>
      <c r="N123" s="87">
        <f>IF(N32=0,0,1000000*N32/TrRoad_act!N66)</f>
        <v>103.53019526830893</v>
      </c>
      <c r="O123" s="87">
        <f>IF(O32=0,0,1000000*O32/TrRoad_act!O66)</f>
        <v>103.3943606838626</v>
      </c>
      <c r="P123" s="87">
        <f>IF(P32=0,0,1000000*P32/TrRoad_act!P66)</f>
        <v>101.87291521004485</v>
      </c>
      <c r="Q123" s="87">
        <f>IF(Q32=0,0,1000000*Q32/TrRoad_act!Q66)</f>
        <v>100.52960017015823</v>
      </c>
      <c r="R123" s="87">
        <f>IF(R32=0,0,1000000*R32/TrRoad_act!R66)</f>
        <v>95.354166496827133</v>
      </c>
      <c r="S123" s="87">
        <f>IF(S32=0,0,1000000*S32/TrRoad_act!S66)</f>
        <v>122.17687266881832</v>
      </c>
      <c r="T123" s="87">
        <f>IF(T32=0,0,1000000*T32/TrRoad_act!T66)</f>
        <v>123.68933048480085</v>
      </c>
      <c r="U123" s="87">
        <f>IF(U32=0,0,1000000*U32/TrRoad_act!U66)</f>
        <v>125.02768362077681</v>
      </c>
      <c r="V123" s="87">
        <f>IF(V32=0,0,1000000*V32/TrRoad_act!V66)</f>
        <v>128.4688884936507</v>
      </c>
      <c r="W123" s="87">
        <f>IF(W32=0,0,1000000*W32/TrRoad_act!W66)</f>
        <v>137.5404469340545</v>
      </c>
      <c r="X123" s="87">
        <f>IF(X32=0,0,1000000*X32/TrRoad_act!X66)</f>
        <v>129.2493323003971</v>
      </c>
      <c r="Y123" s="87">
        <f>IF(Y32=0,0,1000000*Y32/TrRoad_act!Y66)</f>
        <v>128.21599717191827</v>
      </c>
      <c r="DA123" s="171" t="s">
        <v>723</v>
      </c>
    </row>
    <row r="124" spans="1:105" ht="11.45" customHeight="1" x14ac:dyDescent="0.25">
      <c r="A124" s="109" t="s">
        <v>21</v>
      </c>
      <c r="B124" s="116">
        <f>IF(B33=0,0,1000000*B33/TrRoad_act!B67)</f>
        <v>29449.541204176487</v>
      </c>
      <c r="C124" s="116">
        <f>IF(C33=0,0,1000000*C33/TrRoad_act!C67)</f>
        <v>27393.473017484121</v>
      </c>
      <c r="D124" s="116">
        <f>IF(D33=0,0,1000000*D33/TrRoad_act!D67)</f>
        <v>26418.315511987352</v>
      </c>
      <c r="E124" s="116">
        <f>IF(E33=0,0,1000000*E33/TrRoad_act!E67)</f>
        <v>25594.633878629014</v>
      </c>
      <c r="F124" s="116">
        <f>IF(F33=0,0,1000000*F33/TrRoad_act!F67)</f>
        <v>24715.121722471558</v>
      </c>
      <c r="G124" s="116">
        <f>IF(G33=0,0,1000000*G33/TrRoad_act!G67)</f>
        <v>23782.499840985227</v>
      </c>
      <c r="H124" s="116">
        <f>IF(H33=0,0,1000000*H33/TrRoad_act!H67)</f>
        <v>22974.802668252942</v>
      </c>
      <c r="I124" s="116">
        <f>IF(I33=0,0,1000000*I33/TrRoad_act!I67)</f>
        <v>22399.731643071933</v>
      </c>
      <c r="J124" s="116">
        <f>IF(J33=0,0,1000000*J33/TrRoad_act!J67)</f>
        <v>21787.806903935274</v>
      </c>
      <c r="K124" s="116">
        <f>IF(K33=0,0,1000000*K33/TrRoad_act!K67)</f>
        <v>21339.407600575854</v>
      </c>
      <c r="L124" s="116">
        <f>IF(L33=0,0,1000000*L33/TrRoad_act!L67)</f>
        <v>20910.880881560406</v>
      </c>
      <c r="M124" s="116">
        <f>IF(M33=0,0,1000000*M33/TrRoad_act!M67)</f>
        <v>20577.739483918886</v>
      </c>
      <c r="N124" s="116">
        <f>IF(N33=0,0,1000000*N33/TrRoad_act!N67)</f>
        <v>20270.676198596611</v>
      </c>
      <c r="O124" s="116">
        <f>IF(O33=0,0,1000000*O33/TrRoad_act!O67)</f>
        <v>20019.493763081628</v>
      </c>
      <c r="P124" s="116">
        <f>IF(P33=0,0,1000000*P33/TrRoad_act!P67)</f>
        <v>19794.72993528593</v>
      </c>
      <c r="Q124" s="116">
        <f>IF(Q33=0,0,1000000*Q33/TrRoad_act!Q67)</f>
        <v>19758.568646669963</v>
      </c>
      <c r="R124" s="116">
        <f>IF(R33=0,0,1000000*R33/TrRoad_act!R67)</f>
        <v>18910.100565572091</v>
      </c>
      <c r="S124" s="116">
        <f>IF(S33=0,0,1000000*S33/TrRoad_act!S67)</f>
        <v>18175.664952618641</v>
      </c>
      <c r="T124" s="116">
        <f>IF(T33=0,0,1000000*T33/TrRoad_act!T67)</f>
        <v>16793.234107828881</v>
      </c>
      <c r="U124" s="116">
        <f>IF(U33=0,0,1000000*U33/TrRoad_act!U67)</f>
        <v>17116.75978541682</v>
      </c>
      <c r="V124" s="116">
        <f>IF(V33=0,0,1000000*V33/TrRoad_act!V67)</f>
        <v>16524.501145655111</v>
      </c>
      <c r="W124" s="116">
        <f>IF(W33=0,0,1000000*W33/TrRoad_act!W67)</f>
        <v>16343.636320246549</v>
      </c>
      <c r="X124" s="116">
        <f>IF(X33=0,0,1000000*X33/TrRoad_act!X67)</f>
        <v>16196.602896980357</v>
      </c>
      <c r="Y124" s="116">
        <f>IF(Y33=0,0,1000000*Y33/TrRoad_act!Y67)</f>
        <v>15553.185750550078</v>
      </c>
      <c r="DA124" s="176" t="s">
        <v>724</v>
      </c>
    </row>
    <row r="125" spans="1:105" ht="11.45" customHeight="1" x14ac:dyDescent="0.25">
      <c r="A125" s="111" t="s">
        <v>110</v>
      </c>
      <c r="B125" s="101">
        <f>IF(B34=0,0,1000000*B34/TrRoad_act!B68)</f>
        <v>0</v>
      </c>
      <c r="C125" s="101">
        <f>IF(C34=0,0,1000000*C34/TrRoad_act!C68)</f>
        <v>0</v>
      </c>
      <c r="D125" s="101">
        <f>IF(D34=0,0,1000000*D34/TrRoad_act!D68)</f>
        <v>0</v>
      </c>
      <c r="E125" s="101">
        <f>IF(E34=0,0,1000000*E34/TrRoad_act!E68)</f>
        <v>0</v>
      </c>
      <c r="F125" s="101">
        <f>IF(F34=0,0,1000000*F34/TrRoad_act!F68)</f>
        <v>0</v>
      </c>
      <c r="G125" s="101">
        <f>IF(G34=0,0,1000000*G34/TrRoad_act!G68)</f>
        <v>0</v>
      </c>
      <c r="H125" s="101">
        <f>IF(H34=0,0,1000000*H34/TrRoad_act!H68)</f>
        <v>0</v>
      </c>
      <c r="I125" s="101">
        <f>IF(I34=0,0,1000000*I34/TrRoad_act!I68)</f>
        <v>0</v>
      </c>
      <c r="J125" s="101">
        <f>IF(J34=0,0,1000000*J34/TrRoad_act!J68)</f>
        <v>0</v>
      </c>
      <c r="K125" s="101">
        <f>IF(K34=0,0,1000000*K34/TrRoad_act!K68)</f>
        <v>0</v>
      </c>
      <c r="L125" s="101">
        <f>IF(L34=0,0,1000000*L34/TrRoad_act!L68)</f>
        <v>0</v>
      </c>
      <c r="M125" s="101">
        <f>IF(M34=0,0,1000000*M34/TrRoad_act!M68)</f>
        <v>0</v>
      </c>
      <c r="N125" s="101">
        <f>IF(N34=0,0,1000000*N34/TrRoad_act!N68)</f>
        <v>0</v>
      </c>
      <c r="O125" s="101">
        <f>IF(O34=0,0,1000000*O34/TrRoad_act!O68)</f>
        <v>0</v>
      </c>
      <c r="P125" s="101">
        <f>IF(P34=0,0,1000000*P34/TrRoad_act!P68)</f>
        <v>0</v>
      </c>
      <c r="Q125" s="101">
        <f>IF(Q34=0,0,1000000*Q34/TrRoad_act!Q68)</f>
        <v>0</v>
      </c>
      <c r="R125" s="101">
        <f>IF(R34=0,0,1000000*R34/TrRoad_act!R68)</f>
        <v>0</v>
      </c>
      <c r="S125" s="101">
        <f>IF(S34=0,0,1000000*S34/TrRoad_act!S68)</f>
        <v>0</v>
      </c>
      <c r="T125" s="101">
        <f>IF(T34=0,0,1000000*T34/TrRoad_act!T68)</f>
        <v>0</v>
      </c>
      <c r="U125" s="101">
        <f>IF(U34=0,0,1000000*U34/TrRoad_act!U68)</f>
        <v>0</v>
      </c>
      <c r="V125" s="101">
        <f>IF(V34=0,0,1000000*V34/TrRoad_act!V68)</f>
        <v>0</v>
      </c>
      <c r="W125" s="101">
        <f>IF(W34=0,0,1000000*W34/TrRoad_act!W68)</f>
        <v>0</v>
      </c>
      <c r="X125" s="101">
        <f>IF(X34=0,0,1000000*X34/TrRoad_act!X68)</f>
        <v>0</v>
      </c>
      <c r="Y125" s="101">
        <f>IF(Y34=0,0,1000000*Y34/TrRoad_act!Y68)</f>
        <v>0</v>
      </c>
      <c r="DA125" s="175" t="s">
        <v>725</v>
      </c>
    </row>
    <row r="126" spans="1:105" ht="11.45" customHeight="1" x14ac:dyDescent="0.25">
      <c r="A126" s="111" t="s">
        <v>111</v>
      </c>
      <c r="B126" s="101">
        <f>IF(B36=0,0,1000000*B36/TrRoad_act!B69)</f>
        <v>29948.688253479057</v>
      </c>
      <c r="C126" s="101">
        <f>IF(C36=0,0,1000000*C36/TrRoad_act!C69)</f>
        <v>27815.520611589651</v>
      </c>
      <c r="D126" s="101">
        <f>IF(D36=0,0,1000000*D36/TrRoad_act!D69)</f>
        <v>26787.042595085353</v>
      </c>
      <c r="E126" s="101">
        <f>IF(E36=0,0,1000000*E36/TrRoad_act!E69)</f>
        <v>25900.175454072836</v>
      </c>
      <c r="F126" s="101">
        <f>IF(F36=0,0,1000000*F36/TrRoad_act!F69)</f>
        <v>25369.088666548283</v>
      </c>
      <c r="G126" s="101">
        <f>IF(G36=0,0,1000000*G36/TrRoad_act!G69)</f>
        <v>24500.840926843513</v>
      </c>
      <c r="H126" s="101">
        <f>IF(H36=0,0,1000000*H36/TrRoad_act!H69)</f>
        <v>23632.187962901749</v>
      </c>
      <c r="I126" s="101">
        <f>IF(I36=0,0,1000000*I36/TrRoad_act!I69)</f>
        <v>22980.474324340041</v>
      </c>
      <c r="J126" s="101">
        <f>IF(J36=0,0,1000000*J36/TrRoad_act!J69)</f>
        <v>22315.73634680804</v>
      </c>
      <c r="K126" s="101">
        <f>IF(K36=0,0,1000000*K36/TrRoad_act!K69)</f>
        <v>21809.409510530491</v>
      </c>
      <c r="L126" s="101">
        <f>IF(L36=0,0,1000000*L36/TrRoad_act!L69)</f>
        <v>21339.437492039102</v>
      </c>
      <c r="M126" s="101">
        <f>IF(M36=0,0,1000000*M36/TrRoad_act!M69)</f>
        <v>20962.475463457424</v>
      </c>
      <c r="N126" s="101">
        <f>IF(N36=0,0,1000000*N36/TrRoad_act!N69)</f>
        <v>20627.048913322204</v>
      </c>
      <c r="O126" s="101">
        <f>IF(O36=0,0,1000000*O36/TrRoad_act!O69)</f>
        <v>20349.367170733447</v>
      </c>
      <c r="P126" s="101">
        <f>IF(P36=0,0,1000000*P36/TrRoad_act!P69)</f>
        <v>20092.738200798998</v>
      </c>
      <c r="Q126" s="101">
        <f>IF(Q36=0,0,1000000*Q36/TrRoad_act!Q69)</f>
        <v>20000.378183598761</v>
      </c>
      <c r="R126" s="101">
        <f>IF(R36=0,0,1000000*R36/TrRoad_act!R69)</f>
        <v>19156.349174039802</v>
      </c>
      <c r="S126" s="101">
        <f>IF(S36=0,0,1000000*S36/TrRoad_act!S69)</f>
        <v>18437.693556543818</v>
      </c>
      <c r="T126" s="101">
        <f>IF(T36=0,0,1000000*T36/TrRoad_act!T69)</f>
        <v>17190.630283432485</v>
      </c>
      <c r="U126" s="101">
        <f>IF(U36=0,0,1000000*U36/TrRoad_act!U69)</f>
        <v>17523.277644540747</v>
      </c>
      <c r="V126" s="101">
        <f>IF(V36=0,0,1000000*V36/TrRoad_act!V69)</f>
        <v>16976.697548581131</v>
      </c>
      <c r="W126" s="101">
        <f>IF(W36=0,0,1000000*W36/TrRoad_act!W69)</f>
        <v>16747.935500578198</v>
      </c>
      <c r="X126" s="101">
        <f>IF(X36=0,0,1000000*X36/TrRoad_act!X69)</f>
        <v>16449.649665297133</v>
      </c>
      <c r="Y126" s="101">
        <f>IF(Y36=0,0,1000000*Y36/TrRoad_act!Y69)</f>
        <v>15843.099395953122</v>
      </c>
      <c r="DA126" s="175" t="s">
        <v>726</v>
      </c>
    </row>
    <row r="127" spans="1:105" ht="11.45" customHeight="1" x14ac:dyDescent="0.25">
      <c r="A127" s="111" t="s">
        <v>112</v>
      </c>
      <c r="B127" s="101">
        <f>IF(B38=0,0,1000000*B38/TrRoad_act!B70)</f>
        <v>14311.296003845273</v>
      </c>
      <c r="C127" s="101">
        <f>IF(C38=0,0,1000000*C38/TrRoad_act!C70)</f>
        <v>14015.375006572063</v>
      </c>
      <c r="D127" s="101">
        <f>IF(D38=0,0,1000000*D38/TrRoad_act!D70)</f>
        <v>13733.712576466703</v>
      </c>
      <c r="E127" s="101">
        <f>IF(E38=0,0,1000000*E38/TrRoad_act!E70)</f>
        <v>13431.22639525265</v>
      </c>
      <c r="F127" s="101">
        <f>IF(F38=0,0,1000000*F38/TrRoad_act!F70)</f>
        <v>12491.245015045719</v>
      </c>
      <c r="G127" s="101">
        <f>IF(G38=0,0,1000000*G38/TrRoad_act!G70)</f>
        <v>12204.631967010533</v>
      </c>
      <c r="H127" s="101">
        <f>IF(H38=0,0,1000000*H38/TrRoad_act!H70)</f>
        <v>11922.732445917671</v>
      </c>
      <c r="I127" s="101">
        <f>IF(I38=0,0,1000000*I38/TrRoad_act!I70)</f>
        <v>11676.503482290786</v>
      </c>
      <c r="J127" s="101">
        <f>IF(J38=0,0,1000000*J38/TrRoad_act!J70)</f>
        <v>11414.603147512906</v>
      </c>
      <c r="K127" s="101">
        <f>IF(K38=0,0,1000000*K38/TrRoad_act!K70)</f>
        <v>11171.361746852102</v>
      </c>
      <c r="L127" s="101">
        <f>IF(L38=0,0,1000000*L38/TrRoad_act!L70)</f>
        <v>10924.451061218448</v>
      </c>
      <c r="M127" s="101">
        <f>IF(M38=0,0,1000000*M38/TrRoad_act!M70)</f>
        <v>10690.571802647051</v>
      </c>
      <c r="N127" s="101">
        <f>IF(N38=0,0,1000000*N38/TrRoad_act!N70)</f>
        <v>10472.09949773245</v>
      </c>
      <c r="O127" s="101">
        <f>IF(O38=0,0,1000000*O38/TrRoad_act!O70)</f>
        <v>10275.364720671139</v>
      </c>
      <c r="P127" s="101">
        <f>IF(P38=0,0,1000000*P38/TrRoad_act!P70)</f>
        <v>10088.96764889861</v>
      </c>
      <c r="Q127" s="101">
        <f>IF(Q38=0,0,1000000*Q38/TrRoad_act!Q70)</f>
        <v>9966.7954909085875</v>
      </c>
      <c r="R127" s="101">
        <f>IF(R38=0,0,1000000*R38/TrRoad_act!R70)</f>
        <v>9482.8587718781855</v>
      </c>
      <c r="S127" s="101">
        <f>IF(S38=0,0,1000000*S38/TrRoad_act!S70)</f>
        <v>9090.8211468950958</v>
      </c>
      <c r="T127" s="101">
        <f>IF(T38=0,0,1000000*T38/TrRoad_act!T70)</f>
        <v>8575.8019914520446</v>
      </c>
      <c r="U127" s="101">
        <f>IF(U38=0,0,1000000*U38/TrRoad_act!U70)</f>
        <v>8788.7778067632371</v>
      </c>
      <c r="V127" s="101">
        <f>IF(V38=0,0,1000000*V38/TrRoad_act!V70)</f>
        <v>8572.5159010011048</v>
      </c>
      <c r="W127" s="101">
        <f>IF(W38=0,0,1000000*W38/TrRoad_act!W70)</f>
        <v>8560.0576092979081</v>
      </c>
      <c r="X127" s="101">
        <f>IF(X38=0,0,1000000*X38/TrRoad_act!X70)</f>
        <v>8553.1317472771225</v>
      </c>
      <c r="Y127" s="101">
        <f>IF(Y38=0,0,1000000*Y38/TrRoad_act!Y70)</f>
        <v>8407.3412743774697</v>
      </c>
      <c r="DA127" s="175" t="s">
        <v>727</v>
      </c>
    </row>
    <row r="128" spans="1:105" ht="11.45" customHeight="1" x14ac:dyDescent="0.25">
      <c r="A128" s="111" t="s">
        <v>113</v>
      </c>
      <c r="B128" s="101">
        <f>IF(B39=0,0,1000000*B39/TrRoad_act!B71)</f>
        <v>0</v>
      </c>
      <c r="C128" s="101">
        <f>IF(C39=0,0,1000000*C39/TrRoad_act!C71)</f>
        <v>0</v>
      </c>
      <c r="D128" s="101">
        <f>IF(D39=0,0,1000000*D39/TrRoad_act!D71)</f>
        <v>0</v>
      </c>
      <c r="E128" s="101">
        <f>IF(E39=0,0,1000000*E39/TrRoad_act!E71)</f>
        <v>0</v>
      </c>
      <c r="F128" s="101">
        <f>IF(F39=0,0,1000000*F39/TrRoad_act!F71)</f>
        <v>0</v>
      </c>
      <c r="G128" s="101">
        <f>IF(G39=0,0,1000000*G39/TrRoad_act!G71)</f>
        <v>0</v>
      </c>
      <c r="H128" s="101">
        <f>IF(H39=0,0,1000000*H39/TrRoad_act!H71)</f>
        <v>0</v>
      </c>
      <c r="I128" s="101">
        <f>IF(I39=0,0,1000000*I39/TrRoad_act!I71)</f>
        <v>0</v>
      </c>
      <c r="J128" s="101">
        <f>IF(J39=0,0,1000000*J39/TrRoad_act!J71)</f>
        <v>0</v>
      </c>
      <c r="K128" s="101">
        <f>IF(K39=0,0,1000000*K39/TrRoad_act!K71)</f>
        <v>0</v>
      </c>
      <c r="L128" s="101">
        <f>IF(L39=0,0,1000000*L39/TrRoad_act!L71)</f>
        <v>0</v>
      </c>
      <c r="M128" s="101">
        <f>IF(M39=0,0,1000000*M39/TrRoad_act!M71)</f>
        <v>0</v>
      </c>
      <c r="N128" s="101">
        <f>IF(N39=0,0,1000000*N39/TrRoad_act!N71)</f>
        <v>0</v>
      </c>
      <c r="O128" s="101">
        <f>IF(O39=0,0,1000000*O39/TrRoad_act!O71)</f>
        <v>0</v>
      </c>
      <c r="P128" s="101">
        <f>IF(P39=0,0,1000000*P39/TrRoad_act!P71)</f>
        <v>0</v>
      </c>
      <c r="Q128" s="101">
        <f>IF(Q39=0,0,1000000*Q39/TrRoad_act!Q71)</f>
        <v>20156.188950824246</v>
      </c>
      <c r="R128" s="101">
        <f>IF(R39=0,0,1000000*R39/TrRoad_act!R71)</f>
        <v>16422.043930764921</v>
      </c>
      <c r="S128" s="101">
        <f>IF(S39=0,0,1000000*S39/TrRoad_act!S71)</f>
        <v>11323.980327228215</v>
      </c>
      <c r="T128" s="101">
        <f>IF(T39=0,0,1000000*T39/TrRoad_act!T71)</f>
        <v>5567.2420228364026</v>
      </c>
      <c r="U128" s="101">
        <f>IF(U39=0,0,1000000*U39/TrRoad_act!U71)</f>
        <v>7331.2340938984089</v>
      </c>
      <c r="V128" s="101">
        <f>IF(V39=0,0,1000000*V39/TrRoad_act!V71)</f>
        <v>7724.5619115515237</v>
      </c>
      <c r="W128" s="101">
        <f>IF(W39=0,0,1000000*W39/TrRoad_act!W71)</f>
        <v>10668.843274066779</v>
      </c>
      <c r="X128" s="101">
        <f>IF(X39=0,0,1000000*X39/TrRoad_act!X71)</f>
        <v>14789.402618232649</v>
      </c>
      <c r="Y128" s="101">
        <f>IF(Y39=0,0,1000000*Y39/TrRoad_act!Y71)</f>
        <v>13727.103879143539</v>
      </c>
      <c r="DA128" s="175" t="s">
        <v>728</v>
      </c>
    </row>
    <row r="129" spans="1:105" ht="11.45" customHeight="1" x14ac:dyDescent="0.25">
      <c r="A129" s="111" t="s">
        <v>115</v>
      </c>
      <c r="B129" s="101">
        <f>IF(B41=0,0,1000000*B41/TrRoad_act!B72)</f>
        <v>12928.939487584754</v>
      </c>
      <c r="C129" s="101">
        <f>IF(C41=0,0,1000000*C41/TrRoad_act!C72)</f>
        <v>12778.541126392405</v>
      </c>
      <c r="D129" s="101">
        <f>IF(D41=0,0,1000000*D41/TrRoad_act!D72)</f>
        <v>12761.817463166417</v>
      </c>
      <c r="E129" s="101">
        <f>IF(E41=0,0,1000000*E41/TrRoad_act!E72)</f>
        <v>12721.162480160536</v>
      </c>
      <c r="F129" s="101">
        <f>IF(F41=0,0,1000000*F41/TrRoad_act!F72)</f>
        <v>12705.770305220898</v>
      </c>
      <c r="G129" s="101">
        <f>IF(G41=0,0,1000000*G41/TrRoad_act!G72)</f>
        <v>11839.198149057323</v>
      </c>
      <c r="H129" s="101">
        <f>IF(H41=0,0,1000000*H41/TrRoad_act!H72)</f>
        <v>11806.093801983252</v>
      </c>
      <c r="I129" s="101">
        <f>IF(I41=0,0,1000000*I41/TrRoad_act!I72)</f>
        <v>11791.995596763712</v>
      </c>
      <c r="J129" s="101">
        <f>IF(J41=0,0,1000000*J41/TrRoad_act!J72)</f>
        <v>11783.306723389951</v>
      </c>
      <c r="K129" s="101">
        <f>IF(K41=0,0,1000000*K41/TrRoad_act!K72)</f>
        <v>11774.214129462009</v>
      </c>
      <c r="L129" s="101">
        <f>IF(L41=0,0,1000000*L41/TrRoad_act!L72)</f>
        <v>11766.829112437761</v>
      </c>
      <c r="M129" s="101">
        <f>IF(M41=0,0,1000000*M41/TrRoad_act!M72)</f>
        <v>11764.767823264205</v>
      </c>
      <c r="N129" s="101">
        <f>IF(N41=0,0,1000000*N41/TrRoad_act!N72)</f>
        <v>11764.51641660594</v>
      </c>
      <c r="O129" s="101">
        <f>IF(O41=0,0,1000000*O41/TrRoad_act!O72)</f>
        <v>11793.966912740985</v>
      </c>
      <c r="P129" s="101">
        <f>IF(P41=0,0,1000000*P41/TrRoad_act!P72)</f>
        <v>11816.704498389958</v>
      </c>
      <c r="Q129" s="101">
        <f>IF(Q41=0,0,1000000*Q41/TrRoad_act!Q72)</f>
        <v>11881.471722399141</v>
      </c>
      <c r="R129" s="101">
        <f>IF(R41=0,0,1000000*R41/TrRoad_act!R72)</f>
        <v>11876.252083258865</v>
      </c>
      <c r="S129" s="101">
        <f>IF(S41=0,0,1000000*S41/TrRoad_act!S72)</f>
        <v>11922.950868169446</v>
      </c>
      <c r="T129" s="101">
        <f>IF(T41=0,0,1000000*T41/TrRoad_act!T72)</f>
        <v>11913.907571251104</v>
      </c>
      <c r="U129" s="101">
        <f>IF(U41=0,0,1000000*U41/TrRoad_act!U72)</f>
        <v>11906.380195975604</v>
      </c>
      <c r="V129" s="101">
        <f>IF(V41=0,0,1000000*V41/TrRoad_act!V72)</f>
        <v>11453.433559469795</v>
      </c>
      <c r="W129" s="101">
        <f>IF(W41=0,0,1000000*W41/TrRoad_act!W72)</f>
        <v>11455.853826328652</v>
      </c>
      <c r="X129" s="101">
        <f>IF(X41=0,0,1000000*X41/TrRoad_act!X72)</f>
        <v>11298.674670458466</v>
      </c>
      <c r="Y129" s="101">
        <f>IF(Y41=0,0,1000000*Y41/TrRoad_act!Y72)</f>
        <v>11004.631497410268</v>
      </c>
      <c r="DA129" s="175" t="s">
        <v>729</v>
      </c>
    </row>
    <row r="130" spans="1:105" ht="11.45" customHeight="1" x14ac:dyDescent="0.25">
      <c r="A130" s="27" t="s">
        <v>34</v>
      </c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DA130" s="173"/>
    </row>
    <row r="131" spans="1:105" ht="11.45" customHeight="1" x14ac:dyDescent="0.25">
      <c r="A131" s="136" t="s">
        <v>153</v>
      </c>
      <c r="B131" s="152">
        <f>IF(B43=0,0,1000000*B43/TrRoad_act!B74)</f>
        <v>1186.6827135245398</v>
      </c>
      <c r="C131" s="152">
        <f>IF(C43=0,0,1000000*C43/TrRoad_act!C74)</f>
        <v>1117.7290909573085</v>
      </c>
      <c r="D131" s="152">
        <f>IF(D43=0,0,1000000*D43/TrRoad_act!D74)</f>
        <v>1129.0883914363674</v>
      </c>
      <c r="E131" s="152">
        <f>IF(E43=0,0,1000000*E43/TrRoad_act!E74)</f>
        <v>1131.669931509746</v>
      </c>
      <c r="F131" s="152">
        <f>IF(F43=0,0,1000000*F43/TrRoad_act!F74)</f>
        <v>1117.0592003439858</v>
      </c>
      <c r="G131" s="152">
        <f>IF(G43=0,0,1000000*G43/TrRoad_act!G74)</f>
        <v>1099.5218703360008</v>
      </c>
      <c r="H131" s="152">
        <f>IF(H43=0,0,1000000*H43/TrRoad_act!H74)</f>
        <v>1122.3303032930933</v>
      </c>
      <c r="I131" s="152">
        <f>IF(I43=0,0,1000000*I43/TrRoad_act!I74)</f>
        <v>1113.5126574072558</v>
      </c>
      <c r="J131" s="152">
        <f>IF(J43=0,0,1000000*J43/TrRoad_act!J74)</f>
        <v>1098.6448005167128</v>
      </c>
      <c r="K131" s="152">
        <f>IF(K43=0,0,1000000*K43/TrRoad_act!K74)</f>
        <v>1115.7420180481529</v>
      </c>
      <c r="L131" s="152">
        <f>IF(L43=0,0,1000000*L43/TrRoad_act!L74)</f>
        <v>1094.6229399244182</v>
      </c>
      <c r="M131" s="152">
        <f>IF(M43=0,0,1000000*M43/TrRoad_act!M74)</f>
        <v>1091.4976620997927</v>
      </c>
      <c r="N131" s="152">
        <f>IF(N43=0,0,1000000*N43/TrRoad_act!N74)</f>
        <v>1072.4099370368442</v>
      </c>
      <c r="O131" s="152">
        <f>IF(O43=0,0,1000000*O43/TrRoad_act!O74)</f>
        <v>1048.7341793820724</v>
      </c>
      <c r="P131" s="152">
        <f>IF(P43=0,0,1000000*P43/TrRoad_act!P74)</f>
        <v>1044.4909085292118</v>
      </c>
      <c r="Q131" s="152">
        <f>IF(Q43=0,0,1000000*Q43/TrRoad_act!Q74)</f>
        <v>1027.1883175881662</v>
      </c>
      <c r="R131" s="152">
        <f>IF(R43=0,0,1000000*R43/TrRoad_act!R74)</f>
        <v>1047.7832450698586</v>
      </c>
      <c r="S131" s="152">
        <f>IF(S43=0,0,1000000*S43/TrRoad_act!S74)</f>
        <v>1061.030198153908</v>
      </c>
      <c r="T131" s="152">
        <f>IF(T43=0,0,1000000*T43/TrRoad_act!T74)</f>
        <v>1084.0455993193439</v>
      </c>
      <c r="U131" s="152">
        <f>IF(U43=0,0,1000000*U43/TrRoad_act!U74)</f>
        <v>1092.5485615062482</v>
      </c>
      <c r="V131" s="152">
        <f>IF(V43=0,0,1000000*V43/TrRoad_act!V74)</f>
        <v>1069.967587368182</v>
      </c>
      <c r="W131" s="152">
        <f>IF(W43=0,0,1000000*W43/TrRoad_act!W74)</f>
        <v>1071.4793709215296</v>
      </c>
      <c r="X131" s="152">
        <f>IF(X43=0,0,1000000*X43/TrRoad_act!X74)</f>
        <v>1052.9654790491718</v>
      </c>
      <c r="Y131" s="152">
        <f>IF(Y43=0,0,1000000*Y43/TrRoad_act!Y74)</f>
        <v>1035.1453330875902</v>
      </c>
      <c r="DA131" s="174" t="s">
        <v>730</v>
      </c>
    </row>
    <row r="132" spans="1:105" ht="11.45" customHeight="1" x14ac:dyDescent="0.25">
      <c r="A132" s="111" t="s">
        <v>110</v>
      </c>
      <c r="B132" s="87">
        <f>IF(B44=0,0,1000000*B44/TrRoad_act!B75)</f>
        <v>951.18058562429565</v>
      </c>
      <c r="C132" s="87">
        <f>IF(C44=0,0,1000000*C44/TrRoad_act!C75)</f>
        <v>909.17609352721797</v>
      </c>
      <c r="D132" s="87">
        <f>IF(D44=0,0,1000000*D44/TrRoad_act!D75)</f>
        <v>901.73347516678643</v>
      </c>
      <c r="E132" s="87">
        <f>IF(E44=0,0,1000000*E44/TrRoad_act!E75)</f>
        <v>895.59893795212406</v>
      </c>
      <c r="F132" s="87">
        <f>IF(F44=0,0,1000000*F44/TrRoad_act!F75)</f>
        <v>872.18433681242425</v>
      </c>
      <c r="G132" s="87">
        <f>IF(G44=0,0,1000000*G44/TrRoad_act!G75)</f>
        <v>821.6942211735194</v>
      </c>
      <c r="H132" s="87">
        <f>IF(H44=0,0,1000000*H44/TrRoad_act!H75)</f>
        <v>808.65955638667299</v>
      </c>
      <c r="I132" s="87">
        <f>IF(I44=0,0,1000000*I44/TrRoad_act!I75)</f>
        <v>771.70707779178554</v>
      </c>
      <c r="J132" s="87">
        <f>IF(J44=0,0,1000000*J44/TrRoad_act!J75)</f>
        <v>719.4497227321242</v>
      </c>
      <c r="K132" s="87">
        <f>IF(K44=0,0,1000000*K44/TrRoad_act!K75)</f>
        <v>766.33360198160142</v>
      </c>
      <c r="L132" s="87">
        <f>IF(L44=0,0,1000000*L44/TrRoad_act!L75)</f>
        <v>713.93576062457441</v>
      </c>
      <c r="M132" s="87">
        <f>IF(M44=0,0,1000000*M44/TrRoad_act!M75)</f>
        <v>684.60211567022304</v>
      </c>
      <c r="N132" s="87">
        <f>IF(N44=0,0,1000000*N44/TrRoad_act!N75)</f>
        <v>651.11679347234542</v>
      </c>
      <c r="O132" s="87">
        <f>IF(O44=0,0,1000000*O44/TrRoad_act!O75)</f>
        <v>606.93078738948839</v>
      </c>
      <c r="P132" s="87">
        <f>IF(P44=0,0,1000000*P44/TrRoad_act!P75)</f>
        <v>580.25922166123883</v>
      </c>
      <c r="Q132" s="87">
        <f>IF(Q44=0,0,1000000*Q44/TrRoad_act!Q75)</f>
        <v>520.70586718475272</v>
      </c>
      <c r="R132" s="87">
        <f>IF(R44=0,0,1000000*R44/TrRoad_act!R75)</f>
        <v>527.16267440853187</v>
      </c>
      <c r="S132" s="87">
        <f>IF(S44=0,0,1000000*S44/TrRoad_act!S75)</f>
        <v>531.89366319270073</v>
      </c>
      <c r="T132" s="87">
        <f>IF(T44=0,0,1000000*T44/TrRoad_act!T75)</f>
        <v>537.16507018670211</v>
      </c>
      <c r="U132" s="87">
        <f>IF(U44=0,0,1000000*U44/TrRoad_act!U75)</f>
        <v>545.56493441390592</v>
      </c>
      <c r="V132" s="87">
        <f>IF(V44=0,0,1000000*V44/TrRoad_act!V75)</f>
        <v>506.33320737968501</v>
      </c>
      <c r="W132" s="87">
        <f>IF(W44=0,0,1000000*W44/TrRoad_act!W75)</f>
        <v>511.97774378413908</v>
      </c>
      <c r="X132" s="87">
        <f>IF(X44=0,0,1000000*X44/TrRoad_act!X75)</f>
        <v>535.43980578476896</v>
      </c>
      <c r="Y132" s="87">
        <f>IF(Y44=0,0,1000000*Y44/TrRoad_act!Y75)</f>
        <v>524.61753534177637</v>
      </c>
      <c r="DA132" s="171" t="s">
        <v>731</v>
      </c>
    </row>
    <row r="133" spans="1:105" ht="11.45" customHeight="1" x14ac:dyDescent="0.25">
      <c r="A133" s="111" t="s">
        <v>111</v>
      </c>
      <c r="B133" s="87">
        <f>IF(B46=0,0,1000000*B46/TrRoad_act!B76)</f>
        <v>1822.4468169141905</v>
      </c>
      <c r="C133" s="87">
        <f>IF(C46=0,0,1000000*C46/TrRoad_act!C76)</f>
        <v>1695.1584089749092</v>
      </c>
      <c r="D133" s="87">
        <f>IF(D46=0,0,1000000*D46/TrRoad_act!D76)</f>
        <v>1628.2082869005931</v>
      </c>
      <c r="E133" s="87">
        <f>IF(E46=0,0,1000000*E46/TrRoad_act!E76)</f>
        <v>1611.6190549020971</v>
      </c>
      <c r="F133" s="87">
        <f>IF(F46=0,0,1000000*F46/TrRoad_act!F76)</f>
        <v>1554.9605006236452</v>
      </c>
      <c r="G133" s="87">
        <f>IF(G46=0,0,1000000*G46/TrRoad_act!G76)</f>
        <v>1504.6158395906148</v>
      </c>
      <c r="H133" s="87">
        <f>IF(H46=0,0,1000000*H46/TrRoad_act!H76)</f>
        <v>1522.1863468388719</v>
      </c>
      <c r="I133" s="87">
        <f>IF(I46=0,0,1000000*I46/TrRoad_act!I76)</f>
        <v>1484.6542973195985</v>
      </c>
      <c r="J133" s="87">
        <f>IF(J46=0,0,1000000*J46/TrRoad_act!J76)</f>
        <v>1448.2534054688654</v>
      </c>
      <c r="K133" s="87">
        <f>IF(K46=0,0,1000000*K46/TrRoad_act!K76)</f>
        <v>1408.882964401452</v>
      </c>
      <c r="L133" s="87">
        <f>IF(L46=0,0,1000000*L46/TrRoad_act!L76)</f>
        <v>1378.9947087583896</v>
      </c>
      <c r="M133" s="87">
        <f>IF(M46=0,0,1000000*M46/TrRoad_act!M76)</f>
        <v>1354.5058116491846</v>
      </c>
      <c r="N133" s="87">
        <f>IF(N46=0,0,1000000*N46/TrRoad_act!N76)</f>
        <v>1321.2697323575796</v>
      </c>
      <c r="O133" s="87">
        <f>IF(O46=0,0,1000000*O46/TrRoad_act!O76)</f>
        <v>1287.984020345925</v>
      </c>
      <c r="P133" s="87">
        <f>IF(P46=0,0,1000000*P46/TrRoad_act!P76)</f>
        <v>1285.704541370814</v>
      </c>
      <c r="Q133" s="87">
        <f>IF(Q46=0,0,1000000*Q46/TrRoad_act!Q76)</f>
        <v>1268.8481850662715</v>
      </c>
      <c r="R133" s="87">
        <f>IF(R46=0,0,1000000*R46/TrRoad_act!R76)</f>
        <v>1281.6021652283391</v>
      </c>
      <c r="S133" s="87">
        <f>IF(S46=0,0,1000000*S46/TrRoad_act!S76)</f>
        <v>1293.9004482597752</v>
      </c>
      <c r="T133" s="87">
        <f>IF(T46=0,0,1000000*T46/TrRoad_act!T76)</f>
        <v>1310.3514291330835</v>
      </c>
      <c r="U133" s="87">
        <f>IF(U46=0,0,1000000*U46/TrRoad_act!U76)</f>
        <v>1307.5106538053251</v>
      </c>
      <c r="V133" s="87">
        <f>IF(V46=0,0,1000000*V46/TrRoad_act!V76)</f>
        <v>1277.3523800328508</v>
      </c>
      <c r="W133" s="87">
        <f>IF(W46=0,0,1000000*W46/TrRoad_act!W76)</f>
        <v>1267.495605151903</v>
      </c>
      <c r="X133" s="87">
        <f>IF(X46=0,0,1000000*X46/TrRoad_act!X76)</f>
        <v>1227.5250198816645</v>
      </c>
      <c r="Y133" s="87">
        <f>IF(Y46=0,0,1000000*Y46/TrRoad_act!Y76)</f>
        <v>1201.0684651384734</v>
      </c>
      <c r="DA133" s="171" t="s">
        <v>732</v>
      </c>
    </row>
    <row r="134" spans="1:105" ht="11.45" customHeight="1" x14ac:dyDescent="0.25">
      <c r="A134" s="111" t="s">
        <v>112</v>
      </c>
      <c r="B134" s="87">
        <f>IF(B48=0,0,1000000*B48/TrRoad_act!B77)</f>
        <v>690.00040252250164</v>
      </c>
      <c r="C134" s="87">
        <f>IF(C48=0,0,1000000*C48/TrRoad_act!C77)</f>
        <v>671.50830074501846</v>
      </c>
      <c r="D134" s="87">
        <f>IF(D48=0,0,1000000*D48/TrRoad_act!D77)</f>
        <v>634.72671493465577</v>
      </c>
      <c r="E134" s="87">
        <f>IF(E48=0,0,1000000*E48/TrRoad_act!E77)</f>
        <v>637.6500164853901</v>
      </c>
      <c r="F134" s="87">
        <f>IF(F48=0,0,1000000*F48/TrRoad_act!F77)</f>
        <v>632.53946970322522</v>
      </c>
      <c r="G134" s="87">
        <f>IF(G48=0,0,1000000*G48/TrRoad_act!G77)</f>
        <v>623.44774237568345</v>
      </c>
      <c r="H134" s="87">
        <f>IF(H48=0,0,1000000*H48/TrRoad_act!H77)</f>
        <v>634.38308251471585</v>
      </c>
      <c r="I134" s="87">
        <f>IF(I48=0,0,1000000*I48/TrRoad_act!I77)</f>
        <v>629.4168280126537</v>
      </c>
      <c r="J134" s="87">
        <f>IF(J48=0,0,1000000*J48/TrRoad_act!J77)</f>
        <v>626.99339330812393</v>
      </c>
      <c r="K134" s="87">
        <f>IF(K48=0,0,1000000*K48/TrRoad_act!K77)</f>
        <v>625.92647899305291</v>
      </c>
      <c r="L134" s="87">
        <f>IF(L48=0,0,1000000*L48/TrRoad_act!L77)</f>
        <v>625.80317592151152</v>
      </c>
      <c r="M134" s="87">
        <f>IF(M48=0,0,1000000*M48/TrRoad_act!M77)</f>
        <v>625.08543967195317</v>
      </c>
      <c r="N134" s="87">
        <f>IF(N48=0,0,1000000*N48/TrRoad_act!N77)</f>
        <v>618.35702912143836</v>
      </c>
      <c r="O134" s="87">
        <f>IF(O48=0,0,1000000*O48/TrRoad_act!O77)</f>
        <v>616.95034014614896</v>
      </c>
      <c r="P134" s="87">
        <f>IF(P48=0,0,1000000*P48/TrRoad_act!P77)</f>
        <v>617.98218649799401</v>
      </c>
      <c r="Q134" s="87">
        <f>IF(Q48=0,0,1000000*Q48/TrRoad_act!Q77)</f>
        <v>620.78552302812363</v>
      </c>
      <c r="R134" s="87">
        <f>IF(R48=0,0,1000000*R48/TrRoad_act!R77)</f>
        <v>623.72058983637748</v>
      </c>
      <c r="S134" s="87">
        <f>IF(S48=0,0,1000000*S48/TrRoad_act!S77)</f>
        <v>633.19479300884848</v>
      </c>
      <c r="T134" s="87">
        <f>IF(T48=0,0,1000000*T48/TrRoad_act!T77)</f>
        <v>642.72164440884535</v>
      </c>
      <c r="U134" s="87">
        <f>IF(U48=0,0,1000000*U48/TrRoad_act!U77)</f>
        <v>651.81056913576856</v>
      </c>
      <c r="V134" s="87">
        <f>IF(V48=0,0,1000000*V48/TrRoad_act!V77)</f>
        <v>638.59668224335883</v>
      </c>
      <c r="W134" s="87">
        <f>IF(W48=0,0,1000000*W48/TrRoad_act!W77)</f>
        <v>636.676259452826</v>
      </c>
      <c r="X134" s="87">
        <f>IF(X48=0,0,1000000*X48/TrRoad_act!X77)</f>
        <v>635.55700186796719</v>
      </c>
      <c r="Y134" s="87">
        <f>IF(Y48=0,0,1000000*Y48/TrRoad_act!Y77)</f>
        <v>634.42013296843766</v>
      </c>
      <c r="DA134" s="171" t="s">
        <v>733</v>
      </c>
    </row>
    <row r="135" spans="1:105" ht="11.45" customHeight="1" x14ac:dyDescent="0.25">
      <c r="A135" s="111" t="s">
        <v>113</v>
      </c>
      <c r="B135" s="87">
        <f>IF(B49=0,0,1000000*B49/TrRoad_act!B78)</f>
        <v>0</v>
      </c>
      <c r="C135" s="87">
        <f>IF(C49=0,0,1000000*C49/TrRoad_act!C78)</f>
        <v>0</v>
      </c>
      <c r="D135" s="87">
        <f>IF(D49=0,0,1000000*D49/TrRoad_act!D78)</f>
        <v>0</v>
      </c>
      <c r="E135" s="87">
        <f>IF(E49=0,0,1000000*E49/TrRoad_act!E78)</f>
        <v>0</v>
      </c>
      <c r="F135" s="87">
        <f>IF(F49=0,0,1000000*F49/TrRoad_act!F78)</f>
        <v>0</v>
      </c>
      <c r="G135" s="87">
        <f>IF(G49=0,0,1000000*G49/TrRoad_act!G78)</f>
        <v>0</v>
      </c>
      <c r="H135" s="87">
        <f>IF(H49=0,0,1000000*H49/TrRoad_act!H78)</f>
        <v>0</v>
      </c>
      <c r="I135" s="87">
        <f>IF(I49=0,0,1000000*I49/TrRoad_act!I78)</f>
        <v>0</v>
      </c>
      <c r="J135" s="87">
        <f>IF(J49=0,0,1000000*J49/TrRoad_act!J78)</f>
        <v>0</v>
      </c>
      <c r="K135" s="87">
        <f>IF(K49=0,0,1000000*K49/TrRoad_act!K78)</f>
        <v>0</v>
      </c>
      <c r="L135" s="87">
        <f>IF(L49=0,0,1000000*L49/TrRoad_act!L78)</f>
        <v>0</v>
      </c>
      <c r="M135" s="87">
        <f>IF(M49=0,0,1000000*M49/TrRoad_act!M78)</f>
        <v>0</v>
      </c>
      <c r="N135" s="87">
        <f>IF(N49=0,0,1000000*N49/TrRoad_act!N78)</f>
        <v>0</v>
      </c>
      <c r="O135" s="87">
        <f>IF(O49=0,0,1000000*O49/TrRoad_act!O78)</f>
        <v>0</v>
      </c>
      <c r="P135" s="87">
        <f>IF(P49=0,0,1000000*P49/TrRoad_act!P78)</f>
        <v>0</v>
      </c>
      <c r="Q135" s="87">
        <f>IF(Q49=0,0,1000000*Q49/TrRoad_act!Q78)</f>
        <v>1112.514684803165</v>
      </c>
      <c r="R135" s="87">
        <f>IF(R49=0,0,1000000*R49/TrRoad_act!R78)</f>
        <v>1126.5483360840735</v>
      </c>
      <c r="S135" s="87">
        <f>IF(S49=0,0,1000000*S49/TrRoad_act!S78)</f>
        <v>1125.317354105259</v>
      </c>
      <c r="T135" s="87">
        <f>IF(T49=0,0,1000000*T49/TrRoad_act!T78)</f>
        <v>1133.3399756394654</v>
      </c>
      <c r="U135" s="87">
        <f>IF(U49=0,0,1000000*U49/TrRoad_act!U78)</f>
        <v>1122.0737219470966</v>
      </c>
      <c r="V135" s="87">
        <f>IF(V49=0,0,1000000*V49/TrRoad_act!V78)</f>
        <v>1079.0907111961744</v>
      </c>
      <c r="W135" s="87">
        <f>IF(W49=0,0,1000000*W49/TrRoad_act!W78)</f>
        <v>1056.2132347937179</v>
      </c>
      <c r="X135" s="87">
        <f>IF(X49=0,0,1000000*X49/TrRoad_act!X78)</f>
        <v>1026.479594697201</v>
      </c>
      <c r="Y135" s="87">
        <f>IF(Y49=0,0,1000000*Y49/TrRoad_act!Y78)</f>
        <v>976.45094591009797</v>
      </c>
      <c r="DA135" s="171" t="s">
        <v>734</v>
      </c>
    </row>
    <row r="136" spans="1:105" ht="11.45" customHeight="1" x14ac:dyDescent="0.25">
      <c r="A136" s="111" t="s">
        <v>115</v>
      </c>
      <c r="B136" s="87">
        <f>IF(B51=0,0,1000000*B51/TrRoad_act!B79)</f>
        <v>0</v>
      </c>
      <c r="C136" s="87">
        <f>IF(C51=0,0,1000000*C51/TrRoad_act!C79)</f>
        <v>0</v>
      </c>
      <c r="D136" s="87">
        <f>IF(D51=0,0,1000000*D51/TrRoad_act!D79)</f>
        <v>0</v>
      </c>
      <c r="E136" s="87">
        <f>IF(E51=0,0,1000000*E51/TrRoad_act!E79)</f>
        <v>0</v>
      </c>
      <c r="F136" s="87">
        <f>IF(F51=0,0,1000000*F51/TrRoad_act!F79)</f>
        <v>0</v>
      </c>
      <c r="G136" s="87">
        <f>IF(G51=0,0,1000000*G51/TrRoad_act!G79)</f>
        <v>0</v>
      </c>
      <c r="H136" s="87">
        <f>IF(H51=0,0,1000000*H51/TrRoad_act!H79)</f>
        <v>0</v>
      </c>
      <c r="I136" s="87">
        <f>IF(I51=0,0,1000000*I51/TrRoad_act!I79)</f>
        <v>0</v>
      </c>
      <c r="J136" s="87">
        <f>IF(J51=0,0,1000000*J51/TrRoad_act!J79)</f>
        <v>0</v>
      </c>
      <c r="K136" s="87">
        <f>IF(K51=0,0,1000000*K51/TrRoad_act!K79)</f>
        <v>0</v>
      </c>
      <c r="L136" s="87">
        <f>IF(L51=0,0,1000000*L51/TrRoad_act!L79)</f>
        <v>0</v>
      </c>
      <c r="M136" s="87">
        <f>IF(M51=0,0,1000000*M51/TrRoad_act!M79)</f>
        <v>0</v>
      </c>
      <c r="N136" s="87">
        <f>IF(N51=0,0,1000000*N51/TrRoad_act!N79)</f>
        <v>112.20508429701476</v>
      </c>
      <c r="O136" s="87">
        <f>IF(O51=0,0,1000000*O51/TrRoad_act!O79)</f>
        <v>113.15963941313856</v>
      </c>
      <c r="P136" s="87">
        <f>IF(P51=0,0,1000000*P51/TrRoad_act!P79)</f>
        <v>113.8539794411971</v>
      </c>
      <c r="Q136" s="87">
        <f>IF(Q51=0,0,1000000*Q51/TrRoad_act!Q79)</f>
        <v>117.21880455382819</v>
      </c>
      <c r="R136" s="87">
        <f>IF(R51=0,0,1000000*R51/TrRoad_act!R79)</f>
        <v>125.5058414648632</v>
      </c>
      <c r="S136" s="87">
        <f>IF(S51=0,0,1000000*S51/TrRoad_act!S79)</f>
        <v>128.90271609563922</v>
      </c>
      <c r="T136" s="87">
        <f>IF(T51=0,0,1000000*T51/TrRoad_act!T79)</f>
        <v>140.95553649921808</v>
      </c>
      <c r="U136" s="87">
        <f>IF(U51=0,0,1000000*U51/TrRoad_act!U79)</f>
        <v>164.37942095063093</v>
      </c>
      <c r="V136" s="87">
        <f>IF(V51=0,0,1000000*V51/TrRoad_act!V79)</f>
        <v>180.29921144447303</v>
      </c>
      <c r="W136" s="87">
        <f>IF(W51=0,0,1000000*W51/TrRoad_act!W79)</f>
        <v>206.93496587902081</v>
      </c>
      <c r="X136" s="87">
        <f>IF(X51=0,0,1000000*X51/TrRoad_act!X79)</f>
        <v>214.54869847432764</v>
      </c>
      <c r="Y136" s="87">
        <f>IF(Y51=0,0,1000000*Y51/TrRoad_act!Y79)</f>
        <v>230.83200399252209</v>
      </c>
      <c r="DA136" s="171" t="s">
        <v>735</v>
      </c>
    </row>
    <row r="137" spans="1:105" ht="11.45" customHeight="1" x14ac:dyDescent="0.25">
      <c r="A137" s="109" t="s">
        <v>154</v>
      </c>
      <c r="B137" s="116">
        <f>IF(B52=0,0,1000000*B52/TrRoad_act!B80)</f>
        <v>1458.1827075759211</v>
      </c>
      <c r="C137" s="116">
        <f>IF(C52=0,0,1000000*C52/TrRoad_act!C80)</f>
        <v>1824.6572771660617</v>
      </c>
      <c r="D137" s="116">
        <f>IF(D52=0,0,1000000*D52/TrRoad_act!D80)</f>
        <v>1192.248361470017</v>
      </c>
      <c r="E137" s="116">
        <f>IF(E52=0,0,1000000*E52/TrRoad_act!E80)</f>
        <v>2016.2045391931326</v>
      </c>
      <c r="F137" s="116">
        <f>IF(F52=0,0,1000000*F52/TrRoad_act!F80)</f>
        <v>3092.0612862591793</v>
      </c>
      <c r="G137" s="116">
        <f>IF(G52=0,0,1000000*G52/TrRoad_act!G80)</f>
        <v>4289.0732609140923</v>
      </c>
      <c r="H137" s="116">
        <f>IF(H52=0,0,1000000*H52/TrRoad_act!H80)</f>
        <v>4952.3628076100413</v>
      </c>
      <c r="I137" s="116">
        <f>IF(I52=0,0,1000000*I52/TrRoad_act!I80)</f>
        <v>5455.9912630566769</v>
      </c>
      <c r="J137" s="116">
        <f>IF(J52=0,0,1000000*J52/TrRoad_act!J80)</f>
        <v>5420.3914029913212</v>
      </c>
      <c r="K137" s="116">
        <f>IF(K52=0,0,1000000*K52/TrRoad_act!K80)</f>
        <v>5230.2778054498895</v>
      </c>
      <c r="L137" s="116">
        <f>IF(L52=0,0,1000000*L52/TrRoad_act!L80)</f>
        <v>5695.0905721907138</v>
      </c>
      <c r="M137" s="116">
        <f>IF(M52=0,0,1000000*M52/TrRoad_act!M80)</f>
        <v>5363.0862853486879</v>
      </c>
      <c r="N137" s="116">
        <f>IF(N52=0,0,1000000*N52/TrRoad_act!N80)</f>
        <v>4469.5268686917598</v>
      </c>
      <c r="O137" s="116">
        <f>IF(O52=0,0,1000000*O52/TrRoad_act!O80)</f>
        <v>3579.4698421934277</v>
      </c>
      <c r="P137" s="116">
        <f>IF(P52=0,0,1000000*P52/TrRoad_act!P80)</f>
        <v>3527.7503862497156</v>
      </c>
      <c r="Q137" s="116">
        <f>IF(Q52=0,0,1000000*Q52/TrRoad_act!Q80)</f>
        <v>3641.4048686686929</v>
      </c>
      <c r="R137" s="116">
        <f>IF(R52=0,0,1000000*R52/TrRoad_act!R80)</f>
        <v>4779.1233820187808</v>
      </c>
      <c r="S137" s="116">
        <f>IF(S52=0,0,1000000*S52/TrRoad_act!S80)</f>
        <v>6424.1422426076842</v>
      </c>
      <c r="T137" s="116">
        <f>IF(T52=0,0,1000000*T52/TrRoad_act!T80)</f>
        <v>6283.3659515797735</v>
      </c>
      <c r="U137" s="116">
        <f>IF(U52=0,0,1000000*U52/TrRoad_act!U80)</f>
        <v>6141.2493637364178</v>
      </c>
      <c r="V137" s="116">
        <f>IF(V52=0,0,1000000*V52/TrRoad_act!V80)</f>
        <v>5544.4773064213778</v>
      </c>
      <c r="W137" s="116">
        <f>IF(W52=0,0,1000000*W52/TrRoad_act!W80)</f>
        <v>6976.6266762465657</v>
      </c>
      <c r="X137" s="116">
        <f>IF(X52=0,0,1000000*X52/TrRoad_act!X80)</f>
        <v>6857.5271762160619</v>
      </c>
      <c r="Y137" s="116">
        <f>IF(Y52=0,0,1000000*Y52/TrRoad_act!Y80)</f>
        <v>6405.9376616802774</v>
      </c>
      <c r="DA137" s="176" t="s">
        <v>736</v>
      </c>
    </row>
    <row r="138" spans="1:105" ht="11.45" customHeight="1" x14ac:dyDescent="0.25">
      <c r="A138" s="128" t="s">
        <v>27</v>
      </c>
      <c r="B138" s="101">
        <f>IF(B53=0,0,1000000*B53/TrRoad_act!B81)</f>
        <v>1147.7767037709693</v>
      </c>
      <c r="C138" s="101">
        <f>IF(C53=0,0,1000000*C53/TrRoad_act!C81)</f>
        <v>1426.6032207716582</v>
      </c>
      <c r="D138" s="101">
        <f>IF(D53=0,0,1000000*D53/TrRoad_act!D81)</f>
        <v>928.30203663520649</v>
      </c>
      <c r="E138" s="101">
        <f>IF(E53=0,0,1000000*E53/TrRoad_act!E81)</f>
        <v>1590.8053917600405</v>
      </c>
      <c r="F138" s="101">
        <f>IF(F53=0,0,1000000*F53/TrRoad_act!F81)</f>
        <v>2450.6909422051162</v>
      </c>
      <c r="G138" s="101">
        <f>IF(G53=0,0,1000000*G53/TrRoad_act!G81)</f>
        <v>3416.8080710519957</v>
      </c>
      <c r="H138" s="101">
        <f>IF(H53=0,0,1000000*H53/TrRoad_act!H81)</f>
        <v>3782.3043041404517</v>
      </c>
      <c r="I138" s="101">
        <f>IF(I53=0,0,1000000*I53/TrRoad_act!I81)</f>
        <v>4324.5471633079596</v>
      </c>
      <c r="J138" s="101">
        <f>IF(J53=0,0,1000000*J53/TrRoad_act!J81)</f>
        <v>4351.5677743774868</v>
      </c>
      <c r="K138" s="101">
        <f>IF(K53=0,0,1000000*K53/TrRoad_act!K81)</f>
        <v>4325.463402976864</v>
      </c>
      <c r="L138" s="101">
        <f>IF(L53=0,0,1000000*L53/TrRoad_act!L81)</f>
        <v>4638.3026352263596</v>
      </c>
      <c r="M138" s="101">
        <f>IF(M53=0,0,1000000*M53/TrRoad_act!M81)</f>
        <v>4405.794587592648</v>
      </c>
      <c r="N138" s="101">
        <f>IF(N53=0,0,1000000*N53/TrRoad_act!N81)</f>
        <v>3607.7798046765529</v>
      </c>
      <c r="O138" s="101">
        <f>IF(O53=0,0,1000000*O53/TrRoad_act!O81)</f>
        <v>2911.7426333343569</v>
      </c>
      <c r="P138" s="101">
        <f>IF(P53=0,0,1000000*P53/TrRoad_act!P81)</f>
        <v>2845.6210794611234</v>
      </c>
      <c r="Q138" s="101">
        <f>IF(Q53=0,0,1000000*Q53/TrRoad_act!Q81)</f>
        <v>2963.686644682004</v>
      </c>
      <c r="R138" s="101">
        <f>IF(R53=0,0,1000000*R53/TrRoad_act!R81)</f>
        <v>3805.0502704482224</v>
      </c>
      <c r="S138" s="101">
        <f>IF(S53=0,0,1000000*S53/TrRoad_act!S81)</f>
        <v>5095.037761004709</v>
      </c>
      <c r="T138" s="101">
        <f>IF(T53=0,0,1000000*T53/TrRoad_act!T81)</f>
        <v>5069.6581722713117</v>
      </c>
      <c r="U138" s="101">
        <f>IF(U53=0,0,1000000*U53/TrRoad_act!U81)</f>
        <v>4809.198665235378</v>
      </c>
      <c r="V138" s="101">
        <f>IF(V53=0,0,1000000*V53/TrRoad_act!V81)</f>
        <v>4406.6749953993976</v>
      </c>
      <c r="W138" s="101">
        <f>IF(W53=0,0,1000000*W53/TrRoad_act!W81)</f>
        <v>5558.3383554619668</v>
      </c>
      <c r="X138" s="101">
        <f>IF(X53=0,0,1000000*X53/TrRoad_act!X81)</f>
        <v>5413.7810622567267</v>
      </c>
      <c r="Y138" s="101">
        <f>IF(Y53=0,0,1000000*Y53/TrRoad_act!Y81)</f>
        <v>4992.7676027268781</v>
      </c>
      <c r="DA138" s="175" t="s">
        <v>737</v>
      </c>
    </row>
    <row r="139" spans="1:105" ht="11.45" customHeight="1" x14ac:dyDescent="0.25">
      <c r="A139" s="138" t="s">
        <v>116</v>
      </c>
      <c r="B139" s="88">
        <f>IF(B55=0,0,1000000*B55/TrRoad_act!B82)</f>
        <v>11164.947066275749</v>
      </c>
      <c r="C139" s="88">
        <f>IF(C55=0,0,1000000*C55/TrRoad_act!C82)</f>
        <v>13882.001602789243</v>
      </c>
      <c r="D139" s="88">
        <f>IF(D55=0,0,1000000*D55/TrRoad_act!D82)</f>
        <v>9972.362644961564</v>
      </c>
      <c r="E139" s="88">
        <f>IF(E55=0,0,1000000*E55/TrRoad_act!E82)</f>
        <v>15833.846957909765</v>
      </c>
      <c r="F139" s="88">
        <f>IF(F55=0,0,1000000*F55/TrRoad_act!F82)</f>
        <v>20196.634320846981</v>
      </c>
      <c r="G139" s="88">
        <f>IF(G55=0,0,1000000*G55/TrRoad_act!G82)</f>
        <v>27135.584974223268</v>
      </c>
      <c r="H139" s="88">
        <f>IF(H55=0,0,1000000*H55/TrRoad_act!H82)</f>
        <v>30275.160186746169</v>
      </c>
      <c r="I139" s="88">
        <f>IF(I55=0,0,1000000*I55/TrRoad_act!I82)</f>
        <v>33916.617700575611</v>
      </c>
      <c r="J139" s="88">
        <f>IF(J55=0,0,1000000*J55/TrRoad_act!J82)</f>
        <v>34312.064676531605</v>
      </c>
      <c r="K139" s="88">
        <f>IF(K55=0,0,1000000*K55/TrRoad_act!K82)</f>
        <v>31214.700072862717</v>
      </c>
      <c r="L139" s="88">
        <f>IF(L55=0,0,1000000*L55/TrRoad_act!L82)</f>
        <v>32205.633049725224</v>
      </c>
      <c r="M139" s="88">
        <f>IF(M55=0,0,1000000*M55/TrRoad_act!M82)</f>
        <v>29447.451426521919</v>
      </c>
      <c r="N139" s="88">
        <f>IF(N55=0,0,1000000*N55/TrRoad_act!N82)</f>
        <v>24630.871759323465</v>
      </c>
      <c r="O139" s="88">
        <f>IF(O55=0,0,1000000*O55/TrRoad_act!O82)</f>
        <v>18727.885112796899</v>
      </c>
      <c r="P139" s="88">
        <f>IF(P55=0,0,1000000*P55/TrRoad_act!P82)</f>
        <v>19390.977918922927</v>
      </c>
      <c r="Q139" s="88">
        <f>IF(Q55=0,0,1000000*Q55/TrRoad_act!Q82)</f>
        <v>19304.448478429204</v>
      </c>
      <c r="R139" s="88">
        <f>IF(R55=0,0,1000000*R55/TrRoad_act!R82)</f>
        <v>25354.917359209634</v>
      </c>
      <c r="S139" s="88">
        <f>IF(S55=0,0,1000000*S55/TrRoad_act!S82)</f>
        <v>31772.034090000139</v>
      </c>
      <c r="T139" s="88">
        <f>IF(T55=0,0,1000000*T55/TrRoad_act!T82)</f>
        <v>34679.357322671174</v>
      </c>
      <c r="U139" s="88">
        <f>IF(U55=0,0,1000000*U55/TrRoad_act!U82)</f>
        <v>33782.672573213247</v>
      </c>
      <c r="V139" s="88">
        <f>IF(V55=0,0,1000000*V55/TrRoad_act!V82)</f>
        <v>30603.21681425218</v>
      </c>
      <c r="W139" s="88">
        <f>IF(W55=0,0,1000000*W55/TrRoad_act!W82)</f>
        <v>37568.961189205002</v>
      </c>
      <c r="X139" s="88">
        <f>IF(X55=0,0,1000000*X55/TrRoad_act!X82)</f>
        <v>38001.111112146682</v>
      </c>
      <c r="Y139" s="88">
        <f>IF(Y55=0,0,1000000*Y55/TrRoad_act!Y82)</f>
        <v>37462.179091245009</v>
      </c>
      <c r="DA139" s="178" t="s">
        <v>738</v>
      </c>
    </row>
    <row r="140" spans="1:105" x14ac:dyDescent="0.25">
      <c r="A140" s="106"/>
      <c r="B140" s="106"/>
      <c r="C140" s="106"/>
      <c r="D140" s="106"/>
      <c r="E140" s="106"/>
      <c r="F140" s="106"/>
      <c r="G140" s="106"/>
      <c r="H140" s="106"/>
      <c r="I140" s="106"/>
      <c r="J140" s="106"/>
      <c r="K140" s="106"/>
      <c r="L140" s="106"/>
      <c r="M140" s="106"/>
      <c r="N140" s="106"/>
      <c r="O140" s="106"/>
      <c r="P140" s="106"/>
      <c r="Q140" s="106"/>
      <c r="R140" s="106"/>
      <c r="S140" s="106"/>
      <c r="T140" s="106"/>
      <c r="U140" s="106"/>
      <c r="V140" s="106"/>
      <c r="W140" s="106"/>
      <c r="X140" s="106"/>
      <c r="Y140" s="106"/>
      <c r="DA140" s="171"/>
    </row>
    <row r="141" spans="1:105" ht="11.45" customHeight="1" x14ac:dyDescent="0.25">
      <c r="A141" s="53" t="s">
        <v>40</v>
      </c>
      <c r="B141" s="76">
        <f t="shared" ref="B141:K141" si="38">IF(B17=0,0,B17/B$17)</f>
        <v>1</v>
      </c>
      <c r="C141" s="76">
        <f t="shared" si="38"/>
        <v>1</v>
      </c>
      <c r="D141" s="76">
        <f t="shared" si="38"/>
        <v>1</v>
      </c>
      <c r="E141" s="76">
        <f t="shared" si="38"/>
        <v>1</v>
      </c>
      <c r="F141" s="76">
        <f t="shared" si="38"/>
        <v>1</v>
      </c>
      <c r="G141" s="76">
        <f t="shared" si="38"/>
        <v>1</v>
      </c>
      <c r="H141" s="76">
        <f t="shared" si="38"/>
        <v>1</v>
      </c>
      <c r="I141" s="76">
        <f t="shared" si="38"/>
        <v>1</v>
      </c>
      <c r="J141" s="76">
        <f t="shared" si="38"/>
        <v>1</v>
      </c>
      <c r="K141" s="76">
        <f t="shared" si="38"/>
        <v>1</v>
      </c>
      <c r="L141" s="76">
        <f t="shared" ref="L141" si="39">IF(L17=0,0,L17/L$17)</f>
        <v>1</v>
      </c>
      <c r="M141" s="76">
        <f t="shared" ref="M141:V141" si="40">IF(M17=0,0,M17/M$17)</f>
        <v>1</v>
      </c>
      <c r="N141" s="76">
        <f t="shared" si="40"/>
        <v>1</v>
      </c>
      <c r="O141" s="76">
        <f t="shared" si="40"/>
        <v>1</v>
      </c>
      <c r="P141" s="76">
        <f t="shared" si="40"/>
        <v>1</v>
      </c>
      <c r="Q141" s="76">
        <f t="shared" si="40"/>
        <v>1</v>
      </c>
      <c r="R141" s="76">
        <f t="shared" si="40"/>
        <v>1</v>
      </c>
      <c r="S141" s="76">
        <f t="shared" si="40"/>
        <v>1</v>
      </c>
      <c r="T141" s="76">
        <f t="shared" si="40"/>
        <v>1</v>
      </c>
      <c r="U141" s="76">
        <f t="shared" si="40"/>
        <v>1</v>
      </c>
      <c r="V141" s="76">
        <f t="shared" si="40"/>
        <v>1</v>
      </c>
      <c r="W141" s="76">
        <f t="shared" ref="W141:Y141" si="41">IF(W17=0,0,W17/W$17)</f>
        <v>1</v>
      </c>
      <c r="X141" s="76">
        <f t="shared" si="41"/>
        <v>1</v>
      </c>
      <c r="Y141" s="76">
        <f t="shared" si="41"/>
        <v>1</v>
      </c>
      <c r="DA141" s="183"/>
    </row>
    <row r="142" spans="1:105" ht="11.45" customHeight="1" x14ac:dyDescent="0.25">
      <c r="A142" s="27" t="s">
        <v>33</v>
      </c>
      <c r="B142" s="46">
        <f t="shared" ref="B142:K142" si="42">IF(B18=0,0,B18/B$17)</f>
        <v>0.7031891570231612</v>
      </c>
      <c r="C142" s="46">
        <f t="shared" si="42"/>
        <v>0.68738229274377571</v>
      </c>
      <c r="D142" s="46">
        <f t="shared" si="42"/>
        <v>0.69858094632956447</v>
      </c>
      <c r="E142" s="46">
        <f t="shared" si="42"/>
        <v>0.66796864570126202</v>
      </c>
      <c r="F142" s="46">
        <f t="shared" si="42"/>
        <v>0.65685619920869165</v>
      </c>
      <c r="G142" s="46">
        <f t="shared" si="42"/>
        <v>0.6146484480171206</v>
      </c>
      <c r="H142" s="46">
        <f t="shared" si="42"/>
        <v>0.61276124418303846</v>
      </c>
      <c r="I142" s="46">
        <f t="shared" si="42"/>
        <v>0.60628326738538385</v>
      </c>
      <c r="J142" s="46">
        <f t="shared" si="42"/>
        <v>0.60414149495390712</v>
      </c>
      <c r="K142" s="46">
        <f t="shared" si="42"/>
        <v>0.61296861016023629</v>
      </c>
      <c r="L142" s="46">
        <f t="shared" ref="L142" si="43">IF(L18=0,0,L18/L$17)</f>
        <v>0.60348774768917168</v>
      </c>
      <c r="M142" s="46">
        <f t="shared" ref="M142:V142" si="44">IF(M18=0,0,M18/M$17)</f>
        <v>0.60223534371461707</v>
      </c>
      <c r="N142" s="46">
        <f t="shared" si="44"/>
        <v>0.62486186011866074</v>
      </c>
      <c r="O142" s="46">
        <f t="shared" si="44"/>
        <v>0.63730903135060735</v>
      </c>
      <c r="P142" s="46">
        <f t="shared" si="44"/>
        <v>0.6356236605467992</v>
      </c>
      <c r="Q142" s="46">
        <f t="shared" si="44"/>
        <v>0.6426018846758621</v>
      </c>
      <c r="R142" s="46">
        <f t="shared" si="44"/>
        <v>0.61334146407853241</v>
      </c>
      <c r="S142" s="46">
        <f t="shared" si="44"/>
        <v>0.5850871070275464</v>
      </c>
      <c r="T142" s="46">
        <f t="shared" si="44"/>
        <v>0.58655643050150252</v>
      </c>
      <c r="U142" s="46">
        <f t="shared" si="44"/>
        <v>0.5914941785865746</v>
      </c>
      <c r="V142" s="46">
        <f t="shared" si="44"/>
        <v>0.59340855431419148</v>
      </c>
      <c r="W142" s="46">
        <f t="shared" ref="W142:Y142" si="45">IF(W18=0,0,W18/W$17)</f>
        <v>0.54611836545808912</v>
      </c>
      <c r="X142" s="46">
        <f t="shared" si="45"/>
        <v>0.55150702017924536</v>
      </c>
      <c r="Y142" s="46">
        <f t="shared" si="45"/>
        <v>0.55734193469084148</v>
      </c>
      <c r="DA142" s="211"/>
    </row>
    <row r="143" spans="1:105" ht="11.45" customHeight="1" x14ac:dyDescent="0.25">
      <c r="A143" s="153" t="s">
        <v>173</v>
      </c>
      <c r="B143" s="154">
        <f t="shared" ref="B143:K143" si="46">IF(B19=0,0,B19/B$17)</f>
        <v>1.1592124685322126E-2</v>
      </c>
      <c r="C143" s="154">
        <f t="shared" si="46"/>
        <v>1.0044697646008431E-2</v>
      </c>
      <c r="D143" s="154">
        <f t="shared" si="46"/>
        <v>1.0063326720763982E-2</v>
      </c>
      <c r="E143" s="154">
        <f t="shared" si="46"/>
        <v>8.0696901242346616E-3</v>
      </c>
      <c r="F143" s="154">
        <f t="shared" si="46"/>
        <v>6.7811562761105112E-3</v>
      </c>
      <c r="G143" s="154">
        <f t="shared" si="46"/>
        <v>6.7735466625199253E-3</v>
      </c>
      <c r="H143" s="154">
        <f t="shared" si="46"/>
        <v>6.4044408234135179E-3</v>
      </c>
      <c r="I143" s="154">
        <f t="shared" si="46"/>
        <v>6.180777721020647E-3</v>
      </c>
      <c r="J143" s="154">
        <f t="shared" si="46"/>
        <v>5.9990226523105152E-3</v>
      </c>
      <c r="K143" s="154">
        <f t="shared" si="46"/>
        <v>5.9792686228604883E-3</v>
      </c>
      <c r="L143" s="154">
        <f t="shared" ref="L143" si="47">IF(L19=0,0,L19/L$17)</f>
        <v>5.9415216752092808E-3</v>
      </c>
      <c r="M143" s="154">
        <f t="shared" ref="M143:V143" si="48">IF(M19=0,0,M19/M$17)</f>
        <v>5.7630049053352386E-3</v>
      </c>
      <c r="N143" s="154">
        <f t="shared" si="48"/>
        <v>6.01323229655331E-3</v>
      </c>
      <c r="O143" s="154">
        <f t="shared" si="48"/>
        <v>6.175854486481681E-3</v>
      </c>
      <c r="P143" s="154">
        <f t="shared" si="48"/>
        <v>6.1748851819848176E-3</v>
      </c>
      <c r="Q143" s="154">
        <f t="shared" si="48"/>
        <v>6.0526202473143529E-3</v>
      </c>
      <c r="R143" s="154">
        <f t="shared" si="48"/>
        <v>5.6739184920455987E-3</v>
      </c>
      <c r="S143" s="154">
        <f t="shared" si="48"/>
        <v>4.6164173180473353E-3</v>
      </c>
      <c r="T143" s="154">
        <f t="shared" si="48"/>
        <v>4.2190559922883255E-3</v>
      </c>
      <c r="U143" s="154">
        <f t="shared" si="48"/>
        <v>4.3879167686557592E-3</v>
      </c>
      <c r="V143" s="154">
        <f t="shared" si="48"/>
        <v>4.1048028150237935E-3</v>
      </c>
      <c r="W143" s="154">
        <f t="shared" ref="W143:Y143" si="49">IF(W19=0,0,W19/W$17)</f>
        <v>3.9316717692334776E-3</v>
      </c>
      <c r="X143" s="154">
        <f t="shared" si="49"/>
        <v>3.8801607480594496E-3</v>
      </c>
      <c r="Y143" s="154">
        <f t="shared" si="49"/>
        <v>4.2212766685826497E-3</v>
      </c>
      <c r="DA143" s="212"/>
    </row>
    <row r="144" spans="1:105" ht="11.45" customHeight="1" x14ac:dyDescent="0.25">
      <c r="A144" s="155" t="s">
        <v>20</v>
      </c>
      <c r="B144" s="156">
        <f t="shared" ref="B144:K144" si="50">IF(B21=0,0,B21/B$17)</f>
        <v>0.58091588543323291</v>
      </c>
      <c r="C144" s="156">
        <f t="shared" si="50"/>
        <v>0.57390010621195342</v>
      </c>
      <c r="D144" s="156">
        <f t="shared" si="50"/>
        <v>0.58463040665540711</v>
      </c>
      <c r="E144" s="156">
        <f t="shared" si="50"/>
        <v>0.56869625253909362</v>
      </c>
      <c r="F144" s="156">
        <f t="shared" si="50"/>
        <v>0.56505426980345619</v>
      </c>
      <c r="G144" s="156">
        <f t="shared" si="50"/>
        <v>0.53067769511152718</v>
      </c>
      <c r="H144" s="156">
        <f t="shared" si="50"/>
        <v>0.54005777469107497</v>
      </c>
      <c r="I144" s="156">
        <f t="shared" si="50"/>
        <v>0.53954287629009146</v>
      </c>
      <c r="J144" s="156">
        <f t="shared" si="50"/>
        <v>0.54277826024462417</v>
      </c>
      <c r="K144" s="156">
        <f t="shared" si="50"/>
        <v>0.55277790118528636</v>
      </c>
      <c r="L144" s="156">
        <f t="shared" ref="L144" si="51">IF(L21=0,0,L21/L$17)</f>
        <v>0.54709382873724532</v>
      </c>
      <c r="M144" s="156">
        <f t="shared" ref="M144:V144" si="52">IF(M21=0,0,M21/M$17)</f>
        <v>0.54600467723765933</v>
      </c>
      <c r="N144" s="156">
        <f t="shared" si="52"/>
        <v>0.56700751719072551</v>
      </c>
      <c r="O144" s="156">
        <f t="shared" si="52"/>
        <v>0.57515390785812914</v>
      </c>
      <c r="P144" s="156">
        <f t="shared" si="52"/>
        <v>0.57245872944681087</v>
      </c>
      <c r="Q144" s="156">
        <f t="shared" si="52"/>
        <v>0.57338311061114677</v>
      </c>
      <c r="R144" s="156">
        <f t="shared" si="52"/>
        <v>0.55241549070111207</v>
      </c>
      <c r="S144" s="156">
        <f t="shared" si="52"/>
        <v>0.53371676151218383</v>
      </c>
      <c r="T144" s="156">
        <f t="shared" si="52"/>
        <v>0.5397549012525632</v>
      </c>
      <c r="U144" s="156">
        <f t="shared" si="52"/>
        <v>0.54352173371501022</v>
      </c>
      <c r="V144" s="156">
        <f t="shared" si="52"/>
        <v>0.54454797522009601</v>
      </c>
      <c r="W144" s="156">
        <f t="shared" ref="W144:Y144" si="53">IF(W21=0,0,W21/W$17)</f>
        <v>0.50117915935143897</v>
      </c>
      <c r="X144" s="156">
        <f t="shared" si="53"/>
        <v>0.50779872739946819</v>
      </c>
      <c r="Y144" s="156">
        <f t="shared" si="53"/>
        <v>0.51392219342256296</v>
      </c>
      <c r="DA144" s="213"/>
    </row>
    <row r="145" spans="1:105" ht="11.45" customHeight="1" x14ac:dyDescent="0.25">
      <c r="A145" s="157" t="s">
        <v>110</v>
      </c>
      <c r="B145" s="103">
        <f t="shared" ref="B145:K145" si="54">IF(B22=0,0,B22/B$17)</f>
        <v>0.4560278055736976</v>
      </c>
      <c r="C145" s="103">
        <f t="shared" si="54"/>
        <v>0.42239177573536818</v>
      </c>
      <c r="D145" s="103">
        <f t="shared" si="54"/>
        <v>0.39992517026319091</v>
      </c>
      <c r="E145" s="103">
        <f t="shared" si="54"/>
        <v>0.35197417302671591</v>
      </c>
      <c r="F145" s="103">
        <f t="shared" si="54"/>
        <v>0.32480530623123971</v>
      </c>
      <c r="G145" s="103">
        <f t="shared" si="54"/>
        <v>0.29808931190153209</v>
      </c>
      <c r="H145" s="103">
        <f t="shared" si="54"/>
        <v>0.28277083264970593</v>
      </c>
      <c r="I145" s="103">
        <f t="shared" si="54"/>
        <v>0.26031596686796354</v>
      </c>
      <c r="J145" s="103">
        <f t="shared" si="54"/>
        <v>0.24714293098129383</v>
      </c>
      <c r="K145" s="103">
        <f t="shared" si="54"/>
        <v>0.24651065697394986</v>
      </c>
      <c r="L145" s="103">
        <f t="shared" ref="L145" si="55">IF(L22=0,0,L22/L$17)</f>
        <v>0.22878795606264529</v>
      </c>
      <c r="M145" s="103">
        <f t="shared" ref="M145:V145" si="56">IF(M22=0,0,M22/M$17)</f>
        <v>0.2143067610496171</v>
      </c>
      <c r="N145" s="103">
        <f t="shared" si="56"/>
        <v>0.21447310422539667</v>
      </c>
      <c r="O145" s="103">
        <f t="shared" si="56"/>
        <v>0.21978316071823573</v>
      </c>
      <c r="P145" s="103">
        <f t="shared" si="56"/>
        <v>0.21200580631517724</v>
      </c>
      <c r="Q145" s="103">
        <f t="shared" si="56"/>
        <v>0.21310779553677217</v>
      </c>
      <c r="R145" s="103">
        <f t="shared" si="56"/>
        <v>0.20190803596199494</v>
      </c>
      <c r="S145" s="103">
        <f t="shared" si="56"/>
        <v>0.1914971344580271</v>
      </c>
      <c r="T145" s="103">
        <f t="shared" si="56"/>
        <v>0.19202207350038647</v>
      </c>
      <c r="U145" s="103">
        <f t="shared" si="56"/>
        <v>0.19470925174923201</v>
      </c>
      <c r="V145" s="103">
        <f t="shared" si="56"/>
        <v>0.19011278961612549</v>
      </c>
      <c r="W145" s="103">
        <f t="shared" ref="W145:Y145" si="57">IF(W22=0,0,W22/W$17)</f>
        <v>0.19575786397485387</v>
      </c>
      <c r="X145" s="103">
        <f t="shared" si="57"/>
        <v>0.20313383628057208</v>
      </c>
      <c r="Y145" s="103">
        <f t="shared" si="57"/>
        <v>0.21543382764317484</v>
      </c>
      <c r="DA145" s="191"/>
    </row>
    <row r="146" spans="1:105" ht="11.45" customHeight="1" x14ac:dyDescent="0.25">
      <c r="A146" s="157" t="s">
        <v>111</v>
      </c>
      <c r="B146" s="103">
        <f t="shared" ref="B146:K146" si="58">IF(B24=0,0,B24/B$17)</f>
        <v>7.7083707326756262E-2</v>
      </c>
      <c r="C146" s="103">
        <f t="shared" si="58"/>
        <v>8.3325244022026554E-2</v>
      </c>
      <c r="D146" s="103">
        <f t="shared" si="58"/>
        <v>8.411051366207245E-2</v>
      </c>
      <c r="E146" s="103">
        <f t="shared" si="58"/>
        <v>9.6749269465755891E-2</v>
      </c>
      <c r="F146" s="103">
        <f t="shared" si="58"/>
        <v>0.10687198077516402</v>
      </c>
      <c r="G146" s="103">
        <f t="shared" si="58"/>
        <v>8.8515940092189827E-2</v>
      </c>
      <c r="H146" s="103">
        <f t="shared" si="58"/>
        <v>0.11492506438148027</v>
      </c>
      <c r="I146" s="103">
        <f t="shared" si="58"/>
        <v>0.14696935747141068</v>
      </c>
      <c r="J146" s="103">
        <f t="shared" si="58"/>
        <v>0.17432415597658563</v>
      </c>
      <c r="K146" s="103">
        <f t="shared" si="58"/>
        <v>0.19660859921564033</v>
      </c>
      <c r="L146" s="103">
        <f t="shared" ref="L146" si="59">IF(L24=0,0,L24/L$17)</f>
        <v>0.21537222414798043</v>
      </c>
      <c r="M146" s="103">
        <f t="shared" ref="M146:V146" si="60">IF(M24=0,0,M24/M$17)</f>
        <v>0.23362459419583406</v>
      </c>
      <c r="N146" s="103">
        <f t="shared" si="60"/>
        <v>0.24923388537450886</v>
      </c>
      <c r="O146" s="103">
        <f t="shared" si="60"/>
        <v>0.24579253458476719</v>
      </c>
      <c r="P146" s="103">
        <f t="shared" si="60"/>
        <v>0.25112588713428852</v>
      </c>
      <c r="Q146" s="103">
        <f t="shared" si="60"/>
        <v>0.25438675619294154</v>
      </c>
      <c r="R146" s="103">
        <f t="shared" si="60"/>
        <v>0.25018759154473502</v>
      </c>
      <c r="S146" s="103">
        <f t="shared" si="60"/>
        <v>0.24996167593889937</v>
      </c>
      <c r="T146" s="103">
        <f t="shared" si="60"/>
        <v>0.25799237498540117</v>
      </c>
      <c r="U146" s="103">
        <f t="shared" si="60"/>
        <v>0.25713850901738616</v>
      </c>
      <c r="V146" s="103">
        <f t="shared" si="60"/>
        <v>0.26890703053365783</v>
      </c>
      <c r="W146" s="103">
        <f t="shared" ref="W146:Y146" si="61">IF(W24=0,0,W24/W$17)</f>
        <v>0.22253463188612829</v>
      </c>
      <c r="X146" s="103">
        <f t="shared" si="61"/>
        <v>0.22031668578327554</v>
      </c>
      <c r="Y146" s="103">
        <f t="shared" si="61"/>
        <v>0.21268165726141511</v>
      </c>
      <c r="DA146" s="191"/>
    </row>
    <row r="147" spans="1:105" ht="11.45" customHeight="1" x14ac:dyDescent="0.25">
      <c r="A147" s="157" t="s">
        <v>112</v>
      </c>
      <c r="B147" s="103">
        <f t="shared" ref="B147:K147" si="62">IF(B26=0,0,B26/B$17)</f>
        <v>4.7804372532779082E-2</v>
      </c>
      <c r="C147" s="103">
        <f t="shared" si="62"/>
        <v>6.8183086454558742E-2</v>
      </c>
      <c r="D147" s="103">
        <f t="shared" si="62"/>
        <v>0.10059472273014368</v>
      </c>
      <c r="E147" s="103">
        <f t="shared" si="62"/>
        <v>0.11997281004662176</v>
      </c>
      <c r="F147" s="103">
        <f t="shared" si="62"/>
        <v>0.13337698279705243</v>
      </c>
      <c r="G147" s="103">
        <f t="shared" si="62"/>
        <v>0.14407244311780537</v>
      </c>
      <c r="H147" s="103">
        <f t="shared" si="62"/>
        <v>0.14236187765988881</v>
      </c>
      <c r="I147" s="103">
        <f t="shared" si="62"/>
        <v>0.13225755195071723</v>
      </c>
      <c r="J147" s="103">
        <f t="shared" si="62"/>
        <v>0.12131117328674476</v>
      </c>
      <c r="K147" s="103">
        <f t="shared" si="62"/>
        <v>0.10965864499569607</v>
      </c>
      <c r="L147" s="103">
        <f t="shared" ref="L147" si="63">IF(L26=0,0,L26/L$17)</f>
        <v>0.10293355205745564</v>
      </c>
      <c r="M147" s="103">
        <f t="shared" ref="M147:V147" si="64">IF(M26=0,0,M26/M$17)</f>
        <v>9.8072656350614795E-2</v>
      </c>
      <c r="N147" s="103">
        <f t="shared" si="64"/>
        <v>0.10329897095728097</v>
      </c>
      <c r="O147" s="103">
        <f t="shared" si="64"/>
        <v>0.10957618447926565</v>
      </c>
      <c r="P147" s="103">
        <f t="shared" si="64"/>
        <v>0.10930571485744127</v>
      </c>
      <c r="Q147" s="103">
        <f t="shared" si="64"/>
        <v>0.105723055086154</v>
      </c>
      <c r="R147" s="103">
        <f t="shared" si="64"/>
        <v>0.10011739695304556</v>
      </c>
      <c r="S147" s="103">
        <f t="shared" si="64"/>
        <v>9.2044125717496469E-2</v>
      </c>
      <c r="T147" s="103">
        <f t="shared" si="64"/>
        <v>8.9492617598110363E-2</v>
      </c>
      <c r="U147" s="103">
        <f t="shared" si="64"/>
        <v>9.1403467270133099E-2</v>
      </c>
      <c r="V147" s="103">
        <f t="shared" si="64"/>
        <v>8.5169581195650448E-2</v>
      </c>
      <c r="W147" s="103">
        <f t="shared" ref="W147:Y147" si="65">IF(W26=0,0,W26/W$17)</f>
        <v>8.2416691367203393E-2</v>
      </c>
      <c r="X147" s="103">
        <f t="shared" si="65"/>
        <v>8.3676911309596674E-2</v>
      </c>
      <c r="Y147" s="103">
        <f t="shared" si="65"/>
        <v>8.4743131423092699E-2</v>
      </c>
      <c r="DA147" s="191"/>
    </row>
    <row r="148" spans="1:105" ht="11.45" customHeight="1" x14ac:dyDescent="0.25">
      <c r="A148" s="157" t="s">
        <v>113</v>
      </c>
      <c r="B148" s="103">
        <f t="shared" ref="B148:K148" si="66">IF(B27=0,0,B27/B$17)</f>
        <v>0</v>
      </c>
      <c r="C148" s="103">
        <f t="shared" si="66"/>
        <v>0</v>
      </c>
      <c r="D148" s="103">
        <f t="shared" si="66"/>
        <v>0</v>
      </c>
      <c r="E148" s="103">
        <f t="shared" si="66"/>
        <v>0</v>
      </c>
      <c r="F148" s="103">
        <f t="shared" si="66"/>
        <v>0</v>
      </c>
      <c r="G148" s="103">
        <f t="shared" si="66"/>
        <v>0</v>
      </c>
      <c r="H148" s="103">
        <f t="shared" si="66"/>
        <v>0</v>
      </c>
      <c r="I148" s="103">
        <f t="shared" si="66"/>
        <v>0</v>
      </c>
      <c r="J148" s="103">
        <f t="shared" si="66"/>
        <v>0</v>
      </c>
      <c r="K148" s="103">
        <f t="shared" si="66"/>
        <v>0</v>
      </c>
      <c r="L148" s="103">
        <f t="shared" ref="L148" si="67">IF(L27=0,0,L27/L$17)</f>
        <v>0</v>
      </c>
      <c r="M148" s="103">
        <f t="shared" ref="M148:V148" si="68">IF(M27=0,0,M27/M$17)</f>
        <v>0</v>
      </c>
      <c r="N148" s="103">
        <f t="shared" si="68"/>
        <v>0</v>
      </c>
      <c r="O148" s="103">
        <f t="shared" si="68"/>
        <v>0</v>
      </c>
      <c r="P148" s="103">
        <f t="shared" si="68"/>
        <v>0</v>
      </c>
      <c r="Q148" s="103">
        <f t="shared" si="68"/>
        <v>1.583949628133515E-4</v>
      </c>
      <c r="R148" s="103">
        <f t="shared" si="68"/>
        <v>1.9013400633453772E-4</v>
      </c>
      <c r="S148" s="103">
        <f t="shared" si="68"/>
        <v>1.869938878164489E-4</v>
      </c>
      <c r="T148" s="103">
        <f t="shared" si="68"/>
        <v>1.9309832635580336E-4</v>
      </c>
      <c r="U148" s="103">
        <f t="shared" si="68"/>
        <v>1.9424975633808254E-4</v>
      </c>
      <c r="V148" s="103">
        <f t="shared" si="68"/>
        <v>1.9478892825228379E-4</v>
      </c>
      <c r="W148" s="103">
        <f t="shared" ref="W148:Y148" si="69">IF(W27=0,0,W27/W$17)</f>
        <v>1.7689386695512825E-4</v>
      </c>
      <c r="X148" s="103">
        <f t="shared" si="69"/>
        <v>1.7250043222769127E-4</v>
      </c>
      <c r="Y148" s="103">
        <f t="shared" si="69"/>
        <v>1.6966093120054609E-4</v>
      </c>
      <c r="DA148" s="191"/>
    </row>
    <row r="149" spans="1:105" ht="11.45" customHeight="1" x14ac:dyDescent="0.25">
      <c r="A149" s="157" t="s">
        <v>114</v>
      </c>
      <c r="B149" s="103">
        <f t="shared" ref="B149:K149" si="70">IF(B29=0,0,B29/B$17)</f>
        <v>0</v>
      </c>
      <c r="C149" s="103">
        <f t="shared" si="70"/>
        <v>0</v>
      </c>
      <c r="D149" s="103">
        <f t="shared" si="70"/>
        <v>0</v>
      </c>
      <c r="E149" s="103">
        <f t="shared" si="70"/>
        <v>0</v>
      </c>
      <c r="F149" s="103">
        <f t="shared" si="70"/>
        <v>0</v>
      </c>
      <c r="G149" s="103">
        <f t="shared" si="70"/>
        <v>0</v>
      </c>
      <c r="H149" s="103">
        <f t="shared" si="70"/>
        <v>0</v>
      </c>
      <c r="I149" s="103">
        <f t="shared" si="70"/>
        <v>0</v>
      </c>
      <c r="J149" s="103">
        <f t="shared" si="70"/>
        <v>0</v>
      </c>
      <c r="K149" s="103">
        <f t="shared" si="70"/>
        <v>0</v>
      </c>
      <c r="L149" s="103">
        <f t="shared" ref="L149" si="71">IF(L29=0,0,L29/L$17)</f>
        <v>0</v>
      </c>
      <c r="M149" s="103">
        <f t="shared" ref="M149:V149" si="72">IF(M29=0,0,M29/M$17)</f>
        <v>0</v>
      </c>
      <c r="N149" s="103">
        <f t="shared" si="72"/>
        <v>1.671071754490593E-7</v>
      </c>
      <c r="O149" s="103">
        <f t="shared" si="72"/>
        <v>3.6542349519369798E-7</v>
      </c>
      <c r="P149" s="103">
        <f t="shared" si="72"/>
        <v>1.9279281812603496E-5</v>
      </c>
      <c r="Q149" s="103">
        <f t="shared" si="72"/>
        <v>4.7748686933620698E-6</v>
      </c>
      <c r="R149" s="103">
        <f t="shared" si="72"/>
        <v>6.9755135169915756E-6</v>
      </c>
      <c r="S149" s="103">
        <f t="shared" si="72"/>
        <v>1.2876648279630947E-5</v>
      </c>
      <c r="T149" s="103">
        <f t="shared" si="72"/>
        <v>2.6324658797281407E-5</v>
      </c>
      <c r="U149" s="103">
        <f t="shared" si="72"/>
        <v>3.7192017533943196E-5</v>
      </c>
      <c r="V149" s="103">
        <f t="shared" si="72"/>
        <v>9.469921692986663E-5</v>
      </c>
      <c r="W149" s="103">
        <f t="shared" ref="W149:Y149" si="73">IF(W29=0,0,W29/W$17)</f>
        <v>2.1115393194049448E-4</v>
      </c>
      <c r="X149" s="103">
        <f t="shared" si="73"/>
        <v>3.5730001829480107E-4</v>
      </c>
      <c r="Y149" s="103">
        <f t="shared" si="73"/>
        <v>6.1174711970734782E-4</v>
      </c>
      <c r="DA149" s="191"/>
    </row>
    <row r="150" spans="1:105" ht="11.45" customHeight="1" x14ac:dyDescent="0.25">
      <c r="A150" s="157" t="s">
        <v>115</v>
      </c>
      <c r="B150" s="103">
        <f t="shared" ref="B150:K150" si="74">IF(B32=0,0,B32/B$17)</f>
        <v>0</v>
      </c>
      <c r="C150" s="103">
        <f t="shared" si="74"/>
        <v>0</v>
      </c>
      <c r="D150" s="103">
        <f t="shared" si="74"/>
        <v>0</v>
      </c>
      <c r="E150" s="103">
        <f t="shared" si="74"/>
        <v>0</v>
      </c>
      <c r="F150" s="103">
        <f t="shared" si="74"/>
        <v>0</v>
      </c>
      <c r="G150" s="103">
        <f t="shared" si="74"/>
        <v>0</v>
      </c>
      <c r="H150" s="103">
        <f t="shared" si="74"/>
        <v>0</v>
      </c>
      <c r="I150" s="103">
        <f t="shared" si="74"/>
        <v>0</v>
      </c>
      <c r="J150" s="103">
        <f t="shared" si="74"/>
        <v>0</v>
      </c>
      <c r="K150" s="103">
        <f t="shared" si="74"/>
        <v>0</v>
      </c>
      <c r="L150" s="103">
        <f t="shared" ref="L150" si="75">IF(L32=0,0,L32/L$17)</f>
        <v>9.6469163962610935E-8</v>
      </c>
      <c r="M150" s="103">
        <f t="shared" ref="M150:V150" si="76">IF(M32=0,0,M32/M$17)</f>
        <v>6.6564159347999285E-7</v>
      </c>
      <c r="N150" s="103">
        <f t="shared" si="76"/>
        <v>1.389526363529114E-6</v>
      </c>
      <c r="O150" s="103">
        <f t="shared" si="76"/>
        <v>1.6626523653966741E-6</v>
      </c>
      <c r="P150" s="103">
        <f t="shared" si="76"/>
        <v>2.0418580912127366E-6</v>
      </c>
      <c r="Q150" s="103">
        <f t="shared" si="76"/>
        <v>2.3339637723892772E-6</v>
      </c>
      <c r="R150" s="103">
        <f t="shared" si="76"/>
        <v>5.3567214851507606E-6</v>
      </c>
      <c r="S150" s="103">
        <f t="shared" si="76"/>
        <v>1.3954861664903458E-5</v>
      </c>
      <c r="T150" s="103">
        <f t="shared" si="76"/>
        <v>2.8412183512249045E-5</v>
      </c>
      <c r="U150" s="103">
        <f t="shared" si="76"/>
        <v>3.9063904386990795E-5</v>
      </c>
      <c r="V150" s="103">
        <f t="shared" si="76"/>
        <v>6.9085729480148671E-5</v>
      </c>
      <c r="W150" s="103">
        <f t="shared" ref="W150:Y150" si="77">IF(W32=0,0,W32/W$17)</f>
        <v>8.1924324357837583E-5</v>
      </c>
      <c r="X150" s="103">
        <f t="shared" si="77"/>
        <v>1.4149357550134536E-4</v>
      </c>
      <c r="Y150" s="103">
        <f t="shared" si="77"/>
        <v>2.8216904397233204E-4</v>
      </c>
      <c r="DA150" s="191"/>
    </row>
    <row r="151" spans="1:105" ht="11.45" customHeight="1" x14ac:dyDescent="0.25">
      <c r="A151" s="155" t="s">
        <v>21</v>
      </c>
      <c r="B151" s="156">
        <f t="shared" ref="B151:K151" si="78">IF(B33=0,0,B33/B$17)</f>
        <v>0.11068114690460608</v>
      </c>
      <c r="C151" s="156">
        <f t="shared" si="78"/>
        <v>0.10343748888581378</v>
      </c>
      <c r="D151" s="156">
        <f t="shared" si="78"/>
        <v>0.10388721295339338</v>
      </c>
      <c r="E151" s="156">
        <f t="shared" si="78"/>
        <v>9.1202703037933694E-2</v>
      </c>
      <c r="F151" s="156">
        <f t="shared" si="78"/>
        <v>8.5020773129124969E-2</v>
      </c>
      <c r="G151" s="156">
        <f t="shared" si="78"/>
        <v>7.7197206243073482E-2</v>
      </c>
      <c r="H151" s="156">
        <f t="shared" si="78"/>
        <v>6.6299028668549878E-2</v>
      </c>
      <c r="I151" s="156">
        <f t="shared" si="78"/>
        <v>6.055961337427173E-2</v>
      </c>
      <c r="J151" s="156">
        <f t="shared" si="78"/>
        <v>5.5364212056972471E-2</v>
      </c>
      <c r="K151" s="156">
        <f t="shared" si="78"/>
        <v>5.4211440352089454E-2</v>
      </c>
      <c r="L151" s="156">
        <f t="shared" ref="L151" si="79">IF(L33=0,0,L33/L$17)</f>
        <v>5.0452397276717124E-2</v>
      </c>
      <c r="M151" s="156">
        <f t="shared" ref="M151:V151" si="80">IF(M33=0,0,M33/M$17)</f>
        <v>5.0467661571622448E-2</v>
      </c>
      <c r="N151" s="156">
        <f t="shared" si="80"/>
        <v>5.1841110631382012E-2</v>
      </c>
      <c r="O151" s="156">
        <f t="shared" si="80"/>
        <v>5.5979269005996563E-2</v>
      </c>
      <c r="P151" s="156">
        <f t="shared" si="80"/>
        <v>5.6990045918003565E-2</v>
      </c>
      <c r="Q151" s="156">
        <f t="shared" si="80"/>
        <v>6.3166153817400941E-2</v>
      </c>
      <c r="R151" s="156">
        <f t="shared" si="80"/>
        <v>5.5252054885374664E-2</v>
      </c>
      <c r="S151" s="156">
        <f t="shared" si="80"/>
        <v>4.6753928197315144E-2</v>
      </c>
      <c r="T151" s="156">
        <f t="shared" si="80"/>
        <v>4.2582473256651064E-2</v>
      </c>
      <c r="U151" s="156">
        <f t="shared" si="80"/>
        <v>4.3584528102908623E-2</v>
      </c>
      <c r="V151" s="156">
        <f t="shared" si="80"/>
        <v>4.4755776279071735E-2</v>
      </c>
      <c r="W151" s="156">
        <f t="shared" ref="W151:Y151" si="81">IF(W33=0,0,W33/W$17)</f>
        <v>4.1007534337416711E-2</v>
      </c>
      <c r="X151" s="156">
        <f t="shared" si="81"/>
        <v>3.9828132031717742E-2</v>
      </c>
      <c r="Y151" s="156">
        <f t="shared" si="81"/>
        <v>3.9198464599695768E-2</v>
      </c>
      <c r="DA151" s="213"/>
    </row>
    <row r="152" spans="1:105" ht="11.45" customHeight="1" x14ac:dyDescent="0.25">
      <c r="A152" s="157" t="s">
        <v>110</v>
      </c>
      <c r="B152" s="103">
        <f t="shared" ref="B152:K152" si="82">IF(B34=0,0,B34/B$17)</f>
        <v>0</v>
      </c>
      <c r="C152" s="103">
        <f t="shared" si="82"/>
        <v>0</v>
      </c>
      <c r="D152" s="103">
        <f t="shared" si="82"/>
        <v>0</v>
      </c>
      <c r="E152" s="103">
        <f t="shared" si="82"/>
        <v>0</v>
      </c>
      <c r="F152" s="103">
        <f t="shared" si="82"/>
        <v>0</v>
      </c>
      <c r="G152" s="103">
        <f t="shared" si="82"/>
        <v>0</v>
      </c>
      <c r="H152" s="103">
        <f t="shared" si="82"/>
        <v>0</v>
      </c>
      <c r="I152" s="103">
        <f t="shared" si="82"/>
        <v>0</v>
      </c>
      <c r="J152" s="103">
        <f t="shared" si="82"/>
        <v>0</v>
      </c>
      <c r="K152" s="103">
        <f t="shared" si="82"/>
        <v>0</v>
      </c>
      <c r="L152" s="103">
        <f t="shared" ref="L152" si="83">IF(L34=0,0,L34/L$17)</f>
        <v>0</v>
      </c>
      <c r="M152" s="103">
        <f t="shared" ref="M152:V152" si="84">IF(M34=0,0,M34/M$17)</f>
        <v>0</v>
      </c>
      <c r="N152" s="103">
        <f t="shared" si="84"/>
        <v>0</v>
      </c>
      <c r="O152" s="103">
        <f t="shared" si="84"/>
        <v>0</v>
      </c>
      <c r="P152" s="103">
        <f t="shared" si="84"/>
        <v>0</v>
      </c>
      <c r="Q152" s="103">
        <f t="shared" si="84"/>
        <v>0</v>
      </c>
      <c r="R152" s="103">
        <f t="shared" si="84"/>
        <v>0</v>
      </c>
      <c r="S152" s="103">
        <f t="shared" si="84"/>
        <v>0</v>
      </c>
      <c r="T152" s="103">
        <f t="shared" si="84"/>
        <v>0</v>
      </c>
      <c r="U152" s="103">
        <f t="shared" si="84"/>
        <v>0</v>
      </c>
      <c r="V152" s="103">
        <f t="shared" si="84"/>
        <v>0</v>
      </c>
      <c r="W152" s="103">
        <f t="shared" ref="W152:Y152" si="85">IF(W34=0,0,W34/W$17)</f>
        <v>0</v>
      </c>
      <c r="X152" s="103">
        <f t="shared" si="85"/>
        <v>0</v>
      </c>
      <c r="Y152" s="103">
        <f t="shared" si="85"/>
        <v>0</v>
      </c>
      <c r="DA152" s="191"/>
    </row>
    <row r="153" spans="1:105" ht="11.45" customHeight="1" x14ac:dyDescent="0.25">
      <c r="A153" s="157" t="s">
        <v>111</v>
      </c>
      <c r="B153" s="103">
        <f t="shared" ref="B153:K153" si="86">IF(B36=0,0,B36/B$17)</f>
        <v>0.10903342912755844</v>
      </c>
      <c r="C153" s="103">
        <f t="shared" si="86"/>
        <v>0.10188986067047945</v>
      </c>
      <c r="D153" s="103">
        <f t="shared" si="86"/>
        <v>0.10242108032223475</v>
      </c>
      <c r="E153" s="103">
        <f t="shared" si="86"/>
        <v>9.0060746590604049E-2</v>
      </c>
      <c r="F153" s="103">
        <f t="shared" si="86"/>
        <v>8.28316289038626E-2</v>
      </c>
      <c r="G153" s="103">
        <f t="shared" si="86"/>
        <v>7.4921421943794253E-2</v>
      </c>
      <c r="H153" s="103">
        <f t="shared" si="86"/>
        <v>6.4378108729381905E-2</v>
      </c>
      <c r="I153" s="103">
        <f t="shared" si="86"/>
        <v>5.89284677152946E-2</v>
      </c>
      <c r="J153" s="103">
        <f t="shared" si="86"/>
        <v>5.3932637700994657E-2</v>
      </c>
      <c r="K153" s="103">
        <f t="shared" si="86"/>
        <v>5.2916647008778843E-2</v>
      </c>
      <c r="L153" s="103">
        <f t="shared" ref="L153" si="87">IF(L36=0,0,L36/L$17)</f>
        <v>4.9315300898708177E-2</v>
      </c>
      <c r="M153" s="103">
        <f t="shared" ref="M153:V153" si="88">IF(M36=0,0,M36/M$17)</f>
        <v>4.9422256599737112E-2</v>
      </c>
      <c r="N153" s="103">
        <f t="shared" si="88"/>
        <v>5.082618683854636E-2</v>
      </c>
      <c r="O153" s="103">
        <f t="shared" si="88"/>
        <v>5.4940998336229792E-2</v>
      </c>
      <c r="P153" s="103">
        <f t="shared" si="88"/>
        <v>5.6014439283169279E-2</v>
      </c>
      <c r="Q153" s="103">
        <f t="shared" si="88"/>
        <v>6.1567010434226035E-2</v>
      </c>
      <c r="R153" s="103">
        <f t="shared" si="88"/>
        <v>5.4007580175445928E-2</v>
      </c>
      <c r="S153" s="103">
        <f t="shared" si="88"/>
        <v>4.5853863452035938E-2</v>
      </c>
      <c r="T153" s="103">
        <f t="shared" si="88"/>
        <v>4.1717648596830387E-2</v>
      </c>
      <c r="U153" s="103">
        <f t="shared" si="88"/>
        <v>4.2630835037209019E-2</v>
      </c>
      <c r="V153" s="103">
        <f t="shared" si="88"/>
        <v>4.350107864072323E-2</v>
      </c>
      <c r="W153" s="103">
        <f t="shared" ref="W153:Y153" si="89">IF(W36=0,0,W36/W$17)</f>
        <v>3.9351800218044949E-2</v>
      </c>
      <c r="X153" s="103">
        <f t="shared" si="89"/>
        <v>3.7682734231853948E-2</v>
      </c>
      <c r="Y153" s="103">
        <f t="shared" si="89"/>
        <v>3.6875569456329735E-2</v>
      </c>
      <c r="DA153" s="191"/>
    </row>
    <row r="154" spans="1:105" ht="11.45" customHeight="1" x14ac:dyDescent="0.25">
      <c r="A154" s="157" t="s">
        <v>112</v>
      </c>
      <c r="B154" s="103">
        <f t="shared" ref="B154:K154" si="90">IF(B38=0,0,B38/B$17)</f>
        <v>1.3099979492351265E-3</v>
      </c>
      <c r="C154" s="103">
        <f t="shared" si="90"/>
        <v>1.1843372343199226E-3</v>
      </c>
      <c r="D154" s="103">
        <f t="shared" si="90"/>
        <v>1.0858910697958391E-3</v>
      </c>
      <c r="E154" s="103">
        <f t="shared" si="90"/>
        <v>8.7614286471154586E-4</v>
      </c>
      <c r="F154" s="103">
        <f t="shared" si="90"/>
        <v>1.9782695811249953E-3</v>
      </c>
      <c r="G154" s="103">
        <f t="shared" si="90"/>
        <v>1.6487992717377183E-3</v>
      </c>
      <c r="H154" s="103">
        <f t="shared" si="90"/>
        <v>1.3858942617083999E-3</v>
      </c>
      <c r="I154" s="103">
        <f t="shared" si="90"/>
        <v>1.1633704329671235E-3</v>
      </c>
      <c r="J154" s="103">
        <f t="shared" si="90"/>
        <v>1.0118723434304291E-3</v>
      </c>
      <c r="K154" s="103">
        <f t="shared" si="90"/>
        <v>9.0492872191722678E-4</v>
      </c>
      <c r="L154" s="103">
        <f t="shared" ref="L154" si="91">IF(L38=0,0,L38/L$17)</f>
        <v>7.7901243231244261E-4</v>
      </c>
      <c r="M154" s="103">
        <f t="shared" ref="M154:V154" si="92">IF(M38=0,0,M38/M$17)</f>
        <v>7.0533304885279317E-4</v>
      </c>
      <c r="N154" s="103">
        <f t="shared" si="92"/>
        <v>6.7856649402742121E-4</v>
      </c>
      <c r="O154" s="103">
        <f t="shared" si="92"/>
        <v>6.6368218935744928E-4</v>
      </c>
      <c r="P154" s="103">
        <f t="shared" si="92"/>
        <v>5.999493917676511E-4</v>
      </c>
      <c r="Q154" s="103">
        <f t="shared" si="92"/>
        <v>5.1686806674478187E-4</v>
      </c>
      <c r="R154" s="103">
        <f t="shared" si="92"/>
        <v>4.1658672629335492E-4</v>
      </c>
      <c r="S154" s="103">
        <f t="shared" si="92"/>
        <v>3.4010039452960172E-4</v>
      </c>
      <c r="T154" s="103">
        <f t="shared" si="92"/>
        <v>3.1017862067060994E-4</v>
      </c>
      <c r="U154" s="103">
        <f t="shared" si="92"/>
        <v>3.0959228023573129E-4</v>
      </c>
      <c r="V154" s="103">
        <f t="shared" si="92"/>
        <v>3.1351253654602186E-4</v>
      </c>
      <c r="W154" s="103">
        <f t="shared" ref="W154:Y154" si="93">IF(W38=0,0,W38/W$17)</f>
        <v>2.8950286920136526E-4</v>
      </c>
      <c r="X154" s="103">
        <f t="shared" si="93"/>
        <v>2.8109548004984485E-4</v>
      </c>
      <c r="Y154" s="103">
        <f t="shared" si="93"/>
        <v>2.7205552429496296E-4</v>
      </c>
      <c r="DA154" s="191"/>
    </row>
    <row r="155" spans="1:105" ht="11.45" customHeight="1" x14ac:dyDescent="0.25">
      <c r="A155" s="157" t="s">
        <v>113</v>
      </c>
      <c r="B155" s="103">
        <f t="shared" ref="B155:K155" si="94">IF(B39=0,0,B39/B$17)</f>
        <v>0</v>
      </c>
      <c r="C155" s="103">
        <f t="shared" si="94"/>
        <v>0</v>
      </c>
      <c r="D155" s="103">
        <f t="shared" si="94"/>
        <v>0</v>
      </c>
      <c r="E155" s="103">
        <f t="shared" si="94"/>
        <v>0</v>
      </c>
      <c r="F155" s="103">
        <f t="shared" si="94"/>
        <v>0</v>
      </c>
      <c r="G155" s="103">
        <f t="shared" si="94"/>
        <v>0</v>
      </c>
      <c r="H155" s="103">
        <f t="shared" si="94"/>
        <v>0</v>
      </c>
      <c r="I155" s="103">
        <f t="shared" si="94"/>
        <v>0</v>
      </c>
      <c r="J155" s="103">
        <f t="shared" si="94"/>
        <v>0</v>
      </c>
      <c r="K155" s="103">
        <f t="shared" si="94"/>
        <v>0</v>
      </c>
      <c r="L155" s="103">
        <f t="shared" ref="L155" si="95">IF(L39=0,0,L39/L$17)</f>
        <v>0</v>
      </c>
      <c r="M155" s="103">
        <f t="shared" ref="M155:V155" si="96">IF(M39=0,0,M39/M$17)</f>
        <v>0</v>
      </c>
      <c r="N155" s="103">
        <f t="shared" si="96"/>
        <v>0</v>
      </c>
      <c r="O155" s="103">
        <f t="shared" si="96"/>
        <v>0</v>
      </c>
      <c r="P155" s="103">
        <f t="shared" si="96"/>
        <v>0</v>
      </c>
      <c r="Q155" s="103">
        <f t="shared" si="96"/>
        <v>7.0448300786670761E-4</v>
      </c>
      <c r="R155" s="103">
        <f t="shared" si="96"/>
        <v>4.7695471327873932E-4</v>
      </c>
      <c r="S155" s="103">
        <f t="shared" si="96"/>
        <v>2.2470228625669502E-4</v>
      </c>
      <c r="T155" s="103">
        <f t="shared" si="96"/>
        <v>2.7383142584852754E-4</v>
      </c>
      <c r="U155" s="103">
        <f t="shared" si="96"/>
        <v>4.6118281165068609E-4</v>
      </c>
      <c r="V155" s="103">
        <f t="shared" si="96"/>
        <v>6.4781105260640012E-4</v>
      </c>
      <c r="W155" s="103">
        <f t="shared" ref="W155:Y155" si="97">IF(W39=0,0,W39/W$17)</f>
        <v>9.8631019739617472E-4</v>
      </c>
      <c r="X155" s="103">
        <f t="shared" si="97"/>
        <v>1.4177457675965345E-3</v>
      </c>
      <c r="Y155" s="103">
        <f t="shared" si="97"/>
        <v>1.4417302730159792E-3</v>
      </c>
      <c r="DA155" s="191"/>
    </row>
    <row r="156" spans="1:105" ht="11.45" customHeight="1" x14ac:dyDescent="0.25">
      <c r="A156" s="157" t="s">
        <v>115</v>
      </c>
      <c r="B156" s="103">
        <f t="shared" ref="B156:K156" si="98">IF(B41=0,0,B41/B$17)</f>
        <v>3.3771982781251775E-4</v>
      </c>
      <c r="C156" s="103">
        <f t="shared" si="98"/>
        <v>3.6329098101440204E-4</v>
      </c>
      <c r="D156" s="103">
        <f t="shared" si="98"/>
        <v>3.8024156136279351E-4</v>
      </c>
      <c r="E156" s="103">
        <f t="shared" si="98"/>
        <v>2.6581358261809992E-4</v>
      </c>
      <c r="F156" s="103">
        <f t="shared" si="98"/>
        <v>2.1087464413737061E-4</v>
      </c>
      <c r="G156" s="103">
        <f t="shared" si="98"/>
        <v>6.2698502754150666E-4</v>
      </c>
      <c r="H156" s="103">
        <f t="shared" si="98"/>
        <v>5.3502567745957125E-4</v>
      </c>
      <c r="I156" s="103">
        <f t="shared" si="98"/>
        <v>4.6777522601000273E-4</v>
      </c>
      <c r="J156" s="103">
        <f t="shared" si="98"/>
        <v>4.1970201254738136E-4</v>
      </c>
      <c r="K156" s="103">
        <f t="shared" si="98"/>
        <v>3.8986462139338349E-4</v>
      </c>
      <c r="L156" s="103">
        <f t="shared" ref="L156" si="99">IF(L41=0,0,L41/L$17)</f>
        <v>3.5808394569649668E-4</v>
      </c>
      <c r="M156" s="103">
        <f t="shared" ref="M156:V156" si="100">IF(M41=0,0,M41/M$17)</f>
        <v>3.4007192303253734E-4</v>
      </c>
      <c r="N156" s="103">
        <f t="shared" si="100"/>
        <v>3.3635729880823734E-4</v>
      </c>
      <c r="O156" s="103">
        <f t="shared" si="100"/>
        <v>3.7458848040932818E-4</v>
      </c>
      <c r="P156" s="103">
        <f t="shared" si="100"/>
        <v>3.7565724306664125E-4</v>
      </c>
      <c r="Q156" s="103">
        <f t="shared" si="100"/>
        <v>3.777923085634111E-4</v>
      </c>
      <c r="R156" s="103">
        <f t="shared" si="100"/>
        <v>3.5093327035664484E-4</v>
      </c>
      <c r="S156" s="103">
        <f t="shared" si="100"/>
        <v>3.3526206449290778E-4</v>
      </c>
      <c r="T156" s="103">
        <f t="shared" si="100"/>
        <v>2.8081461330154822E-4</v>
      </c>
      <c r="U156" s="103">
        <f t="shared" si="100"/>
        <v>1.8291797381318742E-4</v>
      </c>
      <c r="V156" s="103">
        <f t="shared" si="100"/>
        <v>2.9337404919607408E-4</v>
      </c>
      <c r="W156" s="103">
        <f t="shared" ref="W156:Y156" si="101">IF(W41=0,0,W41/W$17)</f>
        <v>3.7992105277422067E-4</v>
      </c>
      <c r="X156" s="103">
        <f t="shared" si="101"/>
        <v>4.4655655221740768E-4</v>
      </c>
      <c r="Y156" s="103">
        <f t="shared" si="101"/>
        <v>6.091093460550951E-4</v>
      </c>
      <c r="DA156" s="191"/>
    </row>
    <row r="157" spans="1:105" ht="11.45" customHeight="1" x14ac:dyDescent="0.25">
      <c r="A157" s="27" t="s">
        <v>34</v>
      </c>
      <c r="B157" s="46">
        <f t="shared" ref="B157:K157" si="102">IF(B42=0,0,B42/B$17)</f>
        <v>0.29681084297683896</v>
      </c>
      <c r="C157" s="46">
        <f t="shared" si="102"/>
        <v>0.31261770725622429</v>
      </c>
      <c r="D157" s="46">
        <f t="shared" si="102"/>
        <v>0.30141905367043564</v>
      </c>
      <c r="E157" s="46">
        <f t="shared" si="102"/>
        <v>0.33203135429873798</v>
      </c>
      <c r="F157" s="46">
        <f t="shared" si="102"/>
        <v>0.34314380079130835</v>
      </c>
      <c r="G157" s="46">
        <f t="shared" si="102"/>
        <v>0.38535155198287935</v>
      </c>
      <c r="H157" s="46">
        <f t="shared" si="102"/>
        <v>0.38723875581696154</v>
      </c>
      <c r="I157" s="46">
        <f t="shared" si="102"/>
        <v>0.3937167326146162</v>
      </c>
      <c r="J157" s="46">
        <f t="shared" si="102"/>
        <v>0.39585850504609282</v>
      </c>
      <c r="K157" s="46">
        <f t="shared" si="102"/>
        <v>0.38703138983976371</v>
      </c>
      <c r="L157" s="46">
        <f t="shared" ref="L157" si="103">IF(L42=0,0,L42/L$17)</f>
        <v>0.39651225231082826</v>
      </c>
      <c r="M157" s="46">
        <f t="shared" ref="M157:V157" si="104">IF(M42=0,0,M42/M$17)</f>
        <v>0.39776465628538288</v>
      </c>
      <c r="N157" s="46">
        <f t="shared" si="104"/>
        <v>0.37513813988133926</v>
      </c>
      <c r="O157" s="46">
        <f t="shared" si="104"/>
        <v>0.3626909686493926</v>
      </c>
      <c r="P157" s="46">
        <f t="shared" si="104"/>
        <v>0.36437633945320075</v>
      </c>
      <c r="Q157" s="46">
        <f t="shared" si="104"/>
        <v>0.35739811532413801</v>
      </c>
      <c r="R157" s="46">
        <f t="shared" si="104"/>
        <v>0.38665853592146754</v>
      </c>
      <c r="S157" s="46">
        <f t="shared" si="104"/>
        <v>0.4149128929724536</v>
      </c>
      <c r="T157" s="46">
        <f t="shared" si="104"/>
        <v>0.41344356949849748</v>
      </c>
      <c r="U157" s="46">
        <f t="shared" si="104"/>
        <v>0.40850582141342545</v>
      </c>
      <c r="V157" s="46">
        <f t="shared" si="104"/>
        <v>0.40659144568580857</v>
      </c>
      <c r="W157" s="46">
        <f t="shared" ref="W157:Y157" si="105">IF(W42=0,0,W42/W$17)</f>
        <v>0.45388163454191094</v>
      </c>
      <c r="X157" s="46">
        <f t="shared" si="105"/>
        <v>0.44849297982075464</v>
      </c>
      <c r="Y157" s="46">
        <f t="shared" si="105"/>
        <v>0.44265806530915852</v>
      </c>
      <c r="DA157" s="211"/>
    </row>
    <row r="158" spans="1:105" ht="11.45" customHeight="1" x14ac:dyDescent="0.25">
      <c r="A158" s="153" t="s">
        <v>153</v>
      </c>
      <c r="B158" s="154">
        <f t="shared" ref="B158:K158" si="106">IF(B43=0,0,B43/B$17)</f>
        <v>0.21586261827164452</v>
      </c>
      <c r="C158" s="154">
        <f t="shared" si="106"/>
        <v>0.20662254995730234</v>
      </c>
      <c r="D158" s="154">
        <f t="shared" si="106"/>
        <v>0.21909944989079791</v>
      </c>
      <c r="E158" s="154">
        <f t="shared" si="106"/>
        <v>0.20482332765442743</v>
      </c>
      <c r="F158" s="154">
        <f t="shared" si="106"/>
        <v>0.17463946037619035</v>
      </c>
      <c r="G158" s="154">
        <f t="shared" si="106"/>
        <v>0.16448090348860409</v>
      </c>
      <c r="H158" s="154">
        <f t="shared" si="106"/>
        <v>0.15499030013443379</v>
      </c>
      <c r="I158" s="154">
        <f t="shared" si="106"/>
        <v>0.14418259263205507</v>
      </c>
      <c r="J158" s="154">
        <f t="shared" si="106"/>
        <v>0.14216692791896179</v>
      </c>
      <c r="K158" s="154">
        <f t="shared" si="106"/>
        <v>0.14507809487107018</v>
      </c>
      <c r="L158" s="154">
        <f t="shared" ref="L158" si="107">IF(L43=0,0,L43/L$17)</f>
        <v>0.14346276987241061</v>
      </c>
      <c r="M158" s="154">
        <f t="shared" ref="M158:V158" si="108">IF(M43=0,0,M43/M$17)</f>
        <v>0.14811820461540831</v>
      </c>
      <c r="N158" s="154">
        <f t="shared" si="108"/>
        <v>0.15420473594660203</v>
      </c>
      <c r="O158" s="154">
        <f t="shared" si="108"/>
        <v>0.16819364257078584</v>
      </c>
      <c r="P158" s="154">
        <f t="shared" si="108"/>
        <v>0.16632336373631312</v>
      </c>
      <c r="Q158" s="154">
        <f t="shared" si="108"/>
        <v>0.15862511551532915</v>
      </c>
      <c r="R158" s="154">
        <f t="shared" si="108"/>
        <v>0.14808071257531036</v>
      </c>
      <c r="S158" s="154">
        <f t="shared" si="108"/>
        <v>0.13219452053964453</v>
      </c>
      <c r="T158" s="154">
        <f t="shared" si="108"/>
        <v>0.13351174977829891</v>
      </c>
      <c r="U158" s="154">
        <f t="shared" si="108"/>
        <v>0.13571909413675096</v>
      </c>
      <c r="V158" s="154">
        <f t="shared" si="108"/>
        <v>0.14284418519228895</v>
      </c>
      <c r="W158" s="154">
        <f t="shared" ref="W158:Y158" si="109">IF(W43=0,0,W43/W$17)</f>
        <v>0.13621844290885041</v>
      </c>
      <c r="X158" s="154">
        <f t="shared" si="109"/>
        <v>0.13368582310198704</v>
      </c>
      <c r="Y158" s="154">
        <f t="shared" si="109"/>
        <v>0.13581538102286164</v>
      </c>
      <c r="DA158" s="212"/>
    </row>
    <row r="159" spans="1:105" ht="11.45" customHeight="1" x14ac:dyDescent="0.25">
      <c r="A159" s="157" t="s">
        <v>110</v>
      </c>
      <c r="B159" s="103">
        <f t="shared" ref="B159:K159" si="110">IF(B44=0,0,B44/B$17)</f>
        <v>0.11822272477312562</v>
      </c>
      <c r="C159" s="103">
        <f t="shared" si="110"/>
        <v>0.1146129482653295</v>
      </c>
      <c r="D159" s="103">
        <f t="shared" si="110"/>
        <v>0.10681674060841216</v>
      </c>
      <c r="E159" s="103">
        <f t="shared" si="110"/>
        <v>9.457588628548895E-2</v>
      </c>
      <c r="F159" s="103">
        <f t="shared" si="110"/>
        <v>7.4971307663349446E-2</v>
      </c>
      <c r="G159" s="103">
        <f t="shared" si="110"/>
        <v>6.1509749481435318E-2</v>
      </c>
      <c r="H159" s="103">
        <f t="shared" si="110"/>
        <v>5.1330187823053861E-2</v>
      </c>
      <c r="I159" s="103">
        <f t="shared" si="110"/>
        <v>4.1901575803186625E-2</v>
      </c>
      <c r="J159" s="103">
        <f t="shared" si="110"/>
        <v>3.5959050421483764E-2</v>
      </c>
      <c r="K159" s="103">
        <f t="shared" si="110"/>
        <v>3.5524683719845761E-2</v>
      </c>
      <c r="L159" s="103">
        <f t="shared" ref="L159" si="111">IF(L44=0,0,L44/L$17)</f>
        <v>3.1726687945156047E-2</v>
      </c>
      <c r="M159" s="103">
        <f t="shared" ref="M159:V159" si="112">IF(M44=0,0,M44/M$17)</f>
        <v>2.8702248089702745E-2</v>
      </c>
      <c r="N159" s="103">
        <f t="shared" si="112"/>
        <v>2.7950619073329689E-2</v>
      </c>
      <c r="O159" s="103">
        <f t="shared" si="112"/>
        <v>2.7851412360886233E-2</v>
      </c>
      <c r="P159" s="103">
        <f t="shared" si="112"/>
        <v>2.525831243157247E-2</v>
      </c>
      <c r="Q159" s="103">
        <f t="shared" si="112"/>
        <v>2.1058522893781399E-2</v>
      </c>
      <c r="R159" s="103">
        <f t="shared" si="112"/>
        <v>1.8654276553093346E-2</v>
      </c>
      <c r="S159" s="103">
        <f t="shared" si="112"/>
        <v>1.6590473804147784E-2</v>
      </c>
      <c r="T159" s="103">
        <f t="shared" si="112"/>
        <v>1.5729321930660015E-2</v>
      </c>
      <c r="U159" s="103">
        <f t="shared" si="112"/>
        <v>1.5555491885447102E-2</v>
      </c>
      <c r="V159" s="103">
        <f t="shared" si="112"/>
        <v>1.4913719699229326E-2</v>
      </c>
      <c r="W159" s="103">
        <f t="shared" ref="W159:Y159" si="113">IF(W44=0,0,W44/W$17)</f>
        <v>1.3802110603668424E-2</v>
      </c>
      <c r="X159" s="103">
        <f t="shared" si="113"/>
        <v>1.4051273535520437E-2</v>
      </c>
      <c r="Y159" s="103">
        <f t="shared" si="113"/>
        <v>1.3815778986976817E-2</v>
      </c>
      <c r="DA159" s="191"/>
    </row>
    <row r="160" spans="1:105" ht="11.45" customHeight="1" x14ac:dyDescent="0.25">
      <c r="A160" s="157" t="s">
        <v>111</v>
      </c>
      <c r="B160" s="103">
        <f t="shared" ref="B160:K160" si="114">IF(B46=0,0,B46/B$17)</f>
        <v>9.3156623462703828E-2</v>
      </c>
      <c r="C160" s="103">
        <f t="shared" si="114"/>
        <v>8.6984488730923862E-2</v>
      </c>
      <c r="D160" s="103">
        <f t="shared" si="114"/>
        <v>0.10538393418717866</v>
      </c>
      <c r="E160" s="103">
        <f t="shared" si="114"/>
        <v>0.10287903071997265</v>
      </c>
      <c r="F160" s="103">
        <f t="shared" si="114"/>
        <v>9.2967988023677631E-2</v>
      </c>
      <c r="G160" s="103">
        <f t="shared" si="114"/>
        <v>9.6265486014036769E-2</v>
      </c>
      <c r="H160" s="103">
        <f t="shared" si="114"/>
        <v>9.6566528385701345E-2</v>
      </c>
      <c r="I160" s="103">
        <f t="shared" si="114"/>
        <v>9.5402775160886424E-2</v>
      </c>
      <c r="J160" s="103">
        <f t="shared" si="114"/>
        <v>9.9479178129756804E-2</v>
      </c>
      <c r="K160" s="103">
        <f t="shared" si="114"/>
        <v>0.10289393722267369</v>
      </c>
      <c r="L160" s="103">
        <f t="shared" ref="L160" si="115">IF(L46=0,0,L46/L$17)</f>
        <v>0.10532551063968301</v>
      </c>
      <c r="M160" s="103">
        <f t="shared" ref="M160:V160" si="116">IF(M46=0,0,M46/M$17)</f>
        <v>0.11289904374375316</v>
      </c>
      <c r="N160" s="103">
        <f t="shared" si="116"/>
        <v>0.12008212489973562</v>
      </c>
      <c r="O160" s="103">
        <f t="shared" si="116"/>
        <v>0.13379918043507816</v>
      </c>
      <c r="P160" s="103">
        <f t="shared" si="116"/>
        <v>0.13393699791919417</v>
      </c>
      <c r="Q160" s="103">
        <f t="shared" si="116"/>
        <v>0.13067790213162236</v>
      </c>
      <c r="R160" s="103">
        <f t="shared" si="116"/>
        <v>0.12327643117626794</v>
      </c>
      <c r="S160" s="103">
        <f t="shared" si="116"/>
        <v>0.11047013857441475</v>
      </c>
      <c r="T160" s="103">
        <f t="shared" si="116"/>
        <v>0.11264229131656964</v>
      </c>
      <c r="U160" s="103">
        <f t="shared" si="116"/>
        <v>0.11511974373540432</v>
      </c>
      <c r="V160" s="103">
        <f t="shared" si="116"/>
        <v>0.12289490038617205</v>
      </c>
      <c r="W160" s="103">
        <f t="shared" ref="W160:Y160" si="117">IF(W46=0,0,W46/W$17)</f>
        <v>0.11778991090563386</v>
      </c>
      <c r="X160" s="103">
        <f t="shared" si="117"/>
        <v>0.11534565018760405</v>
      </c>
      <c r="Y160" s="103">
        <f t="shared" si="117"/>
        <v>0.11766891319697917</v>
      </c>
      <c r="DA160" s="191"/>
    </row>
    <row r="161" spans="1:105" ht="11.45" customHeight="1" x14ac:dyDescent="0.25">
      <c r="A161" s="157" t="s">
        <v>112</v>
      </c>
      <c r="B161" s="103">
        <f t="shared" ref="B161:K161" si="118">IF(B48=0,0,B48/B$17)</f>
        <v>4.4832700358151062E-3</v>
      </c>
      <c r="C161" s="103">
        <f t="shared" si="118"/>
        <v>5.0251129610490016E-3</v>
      </c>
      <c r="D161" s="103">
        <f t="shared" si="118"/>
        <v>6.8987750952070707E-3</v>
      </c>
      <c r="E161" s="103">
        <f t="shared" si="118"/>
        <v>7.3684106489658556E-3</v>
      </c>
      <c r="F161" s="103">
        <f t="shared" si="118"/>
        <v>6.7001646891632783E-3</v>
      </c>
      <c r="G161" s="103">
        <f t="shared" si="118"/>
        <v>6.7056679931319883E-3</v>
      </c>
      <c r="H161" s="103">
        <f t="shared" si="118"/>
        <v>7.0935839256785803E-3</v>
      </c>
      <c r="I161" s="103">
        <f t="shared" si="118"/>
        <v>6.8782416679820336E-3</v>
      </c>
      <c r="J161" s="103">
        <f t="shared" si="118"/>
        <v>6.7286993677212375E-3</v>
      </c>
      <c r="K161" s="103">
        <f t="shared" si="118"/>
        <v>6.659473928550764E-3</v>
      </c>
      <c r="L161" s="103">
        <f t="shared" ref="L161" si="119">IF(L48=0,0,L48/L$17)</f>
        <v>6.4105712875715684E-3</v>
      </c>
      <c r="M161" s="103">
        <f t="shared" ref="M161:V161" si="120">IF(M48=0,0,M48/M$17)</f>
        <v>6.5169127819524036E-3</v>
      </c>
      <c r="N161" s="103">
        <f t="shared" si="120"/>
        <v>6.1719429424099189E-3</v>
      </c>
      <c r="O161" s="103">
        <f t="shared" si="120"/>
        <v>6.5429516175523833E-3</v>
      </c>
      <c r="P161" s="103">
        <f t="shared" si="120"/>
        <v>7.1279249287714971E-3</v>
      </c>
      <c r="Q161" s="103">
        <f t="shared" si="120"/>
        <v>6.74371675441907E-3</v>
      </c>
      <c r="R161" s="103">
        <f t="shared" si="120"/>
        <v>5.9969641353135057E-3</v>
      </c>
      <c r="S161" s="103">
        <f t="shared" si="120"/>
        <v>5.0065300880900027E-3</v>
      </c>
      <c r="T161" s="103">
        <f t="shared" si="120"/>
        <v>5.0128762383526626E-3</v>
      </c>
      <c r="U161" s="103">
        <f t="shared" si="120"/>
        <v>4.9179509081483273E-3</v>
      </c>
      <c r="V161" s="103">
        <f t="shared" si="120"/>
        <v>4.9374930428671892E-3</v>
      </c>
      <c r="W161" s="103">
        <f t="shared" ref="W161:Y161" si="121">IF(W48=0,0,W48/W$17)</f>
        <v>4.5404923820109621E-3</v>
      </c>
      <c r="X161" s="103">
        <f t="shared" si="121"/>
        <v>4.2019638510969589E-3</v>
      </c>
      <c r="Y161" s="103">
        <f t="shared" si="121"/>
        <v>4.2210640415197963E-3</v>
      </c>
      <c r="DA161" s="191"/>
    </row>
    <row r="162" spans="1:105" ht="11.45" customHeight="1" x14ac:dyDescent="0.25">
      <c r="A162" s="157" t="s">
        <v>113</v>
      </c>
      <c r="B162" s="103">
        <f t="shared" ref="B162:K162" si="122">IF(B49=0,0,B49/B$17)</f>
        <v>0</v>
      </c>
      <c r="C162" s="103">
        <f t="shared" si="122"/>
        <v>0</v>
      </c>
      <c r="D162" s="103">
        <f t="shared" si="122"/>
        <v>0</v>
      </c>
      <c r="E162" s="103">
        <f t="shared" si="122"/>
        <v>0</v>
      </c>
      <c r="F162" s="103">
        <f t="shared" si="122"/>
        <v>0</v>
      </c>
      <c r="G162" s="103">
        <f t="shared" si="122"/>
        <v>0</v>
      </c>
      <c r="H162" s="103">
        <f t="shared" si="122"/>
        <v>0</v>
      </c>
      <c r="I162" s="103">
        <f t="shared" si="122"/>
        <v>0</v>
      </c>
      <c r="J162" s="103">
        <f t="shared" si="122"/>
        <v>0</v>
      </c>
      <c r="K162" s="103">
        <f t="shared" si="122"/>
        <v>0</v>
      </c>
      <c r="L162" s="103">
        <f t="shared" ref="L162" si="123">IF(L49=0,0,L49/L$17)</f>
        <v>0</v>
      </c>
      <c r="M162" s="103">
        <f t="shared" ref="M162:V162" si="124">IF(M49=0,0,M49/M$17)</f>
        <v>0</v>
      </c>
      <c r="N162" s="103">
        <f t="shared" si="124"/>
        <v>0</v>
      </c>
      <c r="O162" s="103">
        <f t="shared" si="124"/>
        <v>0</v>
      </c>
      <c r="P162" s="103">
        <f t="shared" si="124"/>
        <v>0</v>
      </c>
      <c r="Q162" s="103">
        <f t="shared" si="124"/>
        <v>1.4479625082852206E-4</v>
      </c>
      <c r="R162" s="103">
        <f t="shared" si="124"/>
        <v>1.5283624452775346E-4</v>
      </c>
      <c r="S162" s="103">
        <f t="shared" si="124"/>
        <v>1.2711605212031301E-4</v>
      </c>
      <c r="T162" s="103">
        <f t="shared" si="124"/>
        <v>1.267163943560792E-4</v>
      </c>
      <c r="U162" s="103">
        <f t="shared" si="124"/>
        <v>1.2444319516454665E-4</v>
      </c>
      <c r="V162" s="103">
        <f t="shared" si="124"/>
        <v>9.4693881135196229E-5</v>
      </c>
      <c r="W162" s="103">
        <f t="shared" ref="W162:Y162" si="125">IF(W49=0,0,W49/W$17)</f>
        <v>7.8559229868983065E-5</v>
      </c>
      <c r="X162" s="103">
        <f t="shared" si="125"/>
        <v>7.1588019567470047E-5</v>
      </c>
      <c r="Y162" s="103">
        <f t="shared" si="125"/>
        <v>6.9320928228838662E-5</v>
      </c>
      <c r="DA162" s="191"/>
    </row>
    <row r="163" spans="1:105" ht="11.45" customHeight="1" x14ac:dyDescent="0.25">
      <c r="A163" s="157" t="s">
        <v>115</v>
      </c>
      <c r="B163" s="103">
        <f t="shared" ref="B163:K163" si="126">IF(B51=0,0,B51/B$17)</f>
        <v>0</v>
      </c>
      <c r="C163" s="103">
        <f t="shared" si="126"/>
        <v>0</v>
      </c>
      <c r="D163" s="103">
        <f t="shared" si="126"/>
        <v>0</v>
      </c>
      <c r="E163" s="103">
        <f t="shared" si="126"/>
        <v>0</v>
      </c>
      <c r="F163" s="103">
        <f t="shared" si="126"/>
        <v>0</v>
      </c>
      <c r="G163" s="103">
        <f t="shared" si="126"/>
        <v>0</v>
      </c>
      <c r="H163" s="103">
        <f t="shared" si="126"/>
        <v>0</v>
      </c>
      <c r="I163" s="103">
        <f t="shared" si="126"/>
        <v>0</v>
      </c>
      <c r="J163" s="103">
        <f t="shared" si="126"/>
        <v>0</v>
      </c>
      <c r="K163" s="103">
        <f t="shared" si="126"/>
        <v>0</v>
      </c>
      <c r="L163" s="103">
        <f t="shared" ref="L163" si="127">IF(L51=0,0,L51/L$17)</f>
        <v>0</v>
      </c>
      <c r="M163" s="103">
        <f t="shared" ref="M163:V163" si="128">IF(M51=0,0,M51/M$17)</f>
        <v>0</v>
      </c>
      <c r="N163" s="103">
        <f t="shared" si="128"/>
        <v>4.9031126841586742E-8</v>
      </c>
      <c r="O163" s="103">
        <f t="shared" si="128"/>
        <v>9.8157269071445952E-8</v>
      </c>
      <c r="P163" s="103">
        <f t="shared" si="128"/>
        <v>1.2845677495919152E-7</v>
      </c>
      <c r="Q163" s="103">
        <f t="shared" si="128"/>
        <v>1.7748467776071417E-7</v>
      </c>
      <c r="R163" s="103">
        <f t="shared" si="128"/>
        <v>2.0446610781045128E-7</v>
      </c>
      <c r="S163" s="103">
        <f t="shared" si="128"/>
        <v>2.6202087168538671E-7</v>
      </c>
      <c r="T163" s="103">
        <f t="shared" si="128"/>
        <v>5.4389836054326986E-7</v>
      </c>
      <c r="U163" s="103">
        <f t="shared" si="128"/>
        <v>1.4644125866507632E-6</v>
      </c>
      <c r="V163" s="103">
        <f t="shared" si="128"/>
        <v>3.3781828851846275E-6</v>
      </c>
      <c r="W163" s="103">
        <f t="shared" ref="W163:Y163" si="129">IF(W51=0,0,W51/W$17)</f>
        <v>7.3697876681760404E-6</v>
      </c>
      <c r="X163" s="103">
        <f t="shared" si="129"/>
        <v>1.5347508198133075E-5</v>
      </c>
      <c r="Y163" s="103">
        <f t="shared" si="129"/>
        <v>4.0303869157029521E-5</v>
      </c>
      <c r="DA163" s="191"/>
    </row>
    <row r="164" spans="1:105" ht="11.45" customHeight="1" x14ac:dyDescent="0.25">
      <c r="A164" s="155" t="s">
        <v>154</v>
      </c>
      <c r="B164" s="156">
        <f t="shared" ref="B164:K164" si="130">IF(B52=0,0,B52/B$17)</f>
        <v>8.0948224705194388E-2</v>
      </c>
      <c r="C164" s="156">
        <f t="shared" si="130"/>
        <v>0.10599515729892192</v>
      </c>
      <c r="D164" s="156">
        <f t="shared" si="130"/>
        <v>8.2319603779637707E-2</v>
      </c>
      <c r="E164" s="156">
        <f t="shared" si="130"/>
        <v>0.12720802664431052</v>
      </c>
      <c r="F164" s="156">
        <f t="shared" si="130"/>
        <v>0.168504340415118</v>
      </c>
      <c r="G164" s="156">
        <f t="shared" si="130"/>
        <v>0.22087064849427529</v>
      </c>
      <c r="H164" s="156">
        <f t="shared" si="130"/>
        <v>0.23224845568252775</v>
      </c>
      <c r="I164" s="156">
        <f t="shared" si="130"/>
        <v>0.24953413998256113</v>
      </c>
      <c r="J164" s="156">
        <f t="shared" si="130"/>
        <v>0.25369157712713108</v>
      </c>
      <c r="K164" s="156">
        <f t="shared" si="130"/>
        <v>0.2419532949686935</v>
      </c>
      <c r="L164" s="156">
        <f t="shared" ref="L164" si="131">IF(L52=0,0,L52/L$17)</f>
        <v>0.25304948243841763</v>
      </c>
      <c r="M164" s="156">
        <f t="shared" ref="M164:V164" si="132">IF(M52=0,0,M52/M$17)</f>
        <v>0.24964645166997457</v>
      </c>
      <c r="N164" s="156">
        <f t="shared" si="132"/>
        <v>0.22093340393473723</v>
      </c>
      <c r="O164" s="156">
        <f t="shared" si="132"/>
        <v>0.19449732607860681</v>
      </c>
      <c r="P164" s="156">
        <f t="shared" si="132"/>
        <v>0.1980529757168876</v>
      </c>
      <c r="Q164" s="156">
        <f t="shared" si="132"/>
        <v>0.19877299980880886</v>
      </c>
      <c r="R164" s="156">
        <f t="shared" si="132"/>
        <v>0.23857782334615718</v>
      </c>
      <c r="S164" s="156">
        <f t="shared" si="132"/>
        <v>0.28271837243280906</v>
      </c>
      <c r="T164" s="156">
        <f t="shared" si="132"/>
        <v>0.27993181972019854</v>
      </c>
      <c r="U164" s="156">
        <f t="shared" si="132"/>
        <v>0.27278672727667447</v>
      </c>
      <c r="V164" s="156">
        <f t="shared" si="132"/>
        <v>0.26374726049351965</v>
      </c>
      <c r="W164" s="156">
        <f t="shared" ref="W164:Y164" si="133">IF(W52=0,0,W52/W$17)</f>
        <v>0.3176631916330605</v>
      </c>
      <c r="X164" s="156">
        <f t="shared" si="133"/>
        <v>0.31480715671876763</v>
      </c>
      <c r="Y164" s="156">
        <f t="shared" si="133"/>
        <v>0.3068426842862968</v>
      </c>
      <c r="DA164" s="213"/>
    </row>
    <row r="165" spans="1:105" ht="11.45" customHeight="1" x14ac:dyDescent="0.25">
      <c r="A165" s="162" t="s">
        <v>27</v>
      </c>
      <c r="B165" s="104">
        <f t="shared" ref="B165:K165" si="134">IF(B53=0,0,B53/B$17)</f>
        <v>6.1742216676155724E-2</v>
      </c>
      <c r="C165" s="104">
        <f t="shared" si="134"/>
        <v>8.0223565640235472E-2</v>
      </c>
      <c r="D165" s="104">
        <f t="shared" si="134"/>
        <v>6.2224661844679501E-2</v>
      </c>
      <c r="E165" s="104">
        <f t="shared" si="134"/>
        <v>9.7370676982524607E-2</v>
      </c>
      <c r="F165" s="104">
        <f t="shared" si="134"/>
        <v>0.12872553062841929</v>
      </c>
      <c r="G165" s="104">
        <f t="shared" si="134"/>
        <v>0.16948167044722581</v>
      </c>
      <c r="H165" s="104">
        <f t="shared" si="134"/>
        <v>0.16954295622560522</v>
      </c>
      <c r="I165" s="104">
        <f t="shared" si="134"/>
        <v>0.19022432210346354</v>
      </c>
      <c r="J165" s="104">
        <f t="shared" si="134"/>
        <v>0.19640151586187163</v>
      </c>
      <c r="K165" s="104">
        <f t="shared" si="134"/>
        <v>0.19336328575529088</v>
      </c>
      <c r="L165" s="104">
        <f t="shared" ref="L165" si="135">IF(L53=0,0,L53/L$17)</f>
        <v>0.19819276782592299</v>
      </c>
      <c r="M165" s="104">
        <f t="shared" ref="M165:V165" si="136">IF(M53=0,0,M53/M$17)</f>
        <v>0.19724545347114192</v>
      </c>
      <c r="N165" s="104">
        <f t="shared" si="136"/>
        <v>0.17102624620269169</v>
      </c>
      <c r="O165" s="104">
        <f t="shared" si="136"/>
        <v>0.15153555579537967</v>
      </c>
      <c r="P165" s="104">
        <f t="shared" si="136"/>
        <v>0.15317080985100789</v>
      </c>
      <c r="Q165" s="104">
        <f t="shared" si="136"/>
        <v>0.15506884903265442</v>
      </c>
      <c r="R165" s="104">
        <f t="shared" si="136"/>
        <v>0.1813653151273463</v>
      </c>
      <c r="S165" s="104">
        <f t="shared" si="136"/>
        <v>0.21305474306863945</v>
      </c>
      <c r="T165" s="104">
        <f t="shared" si="136"/>
        <v>0.21660158548247127</v>
      </c>
      <c r="U165" s="104">
        <f t="shared" si="136"/>
        <v>0.20379759353089313</v>
      </c>
      <c r="V165" s="104">
        <f t="shared" si="136"/>
        <v>0.20051812069163516</v>
      </c>
      <c r="W165" s="104">
        <f t="shared" ref="W165:Y165" si="137">IF(W53=0,0,W53/W$17)</f>
        <v>0.24187160482673611</v>
      </c>
      <c r="X165" s="104">
        <f t="shared" si="137"/>
        <v>0.23751856328944679</v>
      </c>
      <c r="Y165" s="104">
        <f t="shared" si="137"/>
        <v>0.2287435695177909</v>
      </c>
      <c r="DA165" s="195"/>
    </row>
    <row r="166" spans="1:105" ht="11.45" customHeight="1" x14ac:dyDescent="0.25">
      <c r="A166" s="158" t="s">
        <v>116</v>
      </c>
      <c r="B166" s="105">
        <f t="shared" ref="B166:K166" si="138">IF(B55=0,0,B55/B$17)</f>
        <v>1.920600802903866E-2</v>
      </c>
      <c r="C166" s="105">
        <f t="shared" si="138"/>
        <v>2.5771591658686456E-2</v>
      </c>
      <c r="D166" s="105">
        <f t="shared" si="138"/>
        <v>2.0094941934958206E-2</v>
      </c>
      <c r="E166" s="105">
        <f t="shared" si="138"/>
        <v>2.9837349661785931E-2</v>
      </c>
      <c r="F166" s="105">
        <f t="shared" si="138"/>
        <v>3.9778809786698691E-2</v>
      </c>
      <c r="G166" s="105">
        <f t="shared" si="138"/>
        <v>5.1388978047049484E-2</v>
      </c>
      <c r="H166" s="105">
        <f t="shared" si="138"/>
        <v>6.2705499456922539E-2</v>
      </c>
      <c r="I166" s="105">
        <f t="shared" si="138"/>
        <v>5.9309817879097608E-2</v>
      </c>
      <c r="J166" s="105">
        <f t="shared" si="138"/>
        <v>5.7290061265259443E-2</v>
      </c>
      <c r="K166" s="105">
        <f t="shared" si="138"/>
        <v>4.8590009213402598E-2</v>
      </c>
      <c r="L166" s="105">
        <f t="shared" ref="L166" si="139">IF(L55=0,0,L55/L$17)</f>
        <v>5.4856714612494618E-2</v>
      </c>
      <c r="M166" s="105">
        <f t="shared" ref="M166:V166" si="140">IF(M55=0,0,M55/M$17)</f>
        <v>5.240099819883267E-2</v>
      </c>
      <c r="N166" s="105">
        <f t="shared" si="140"/>
        <v>4.9907157732045536E-2</v>
      </c>
      <c r="O166" s="105">
        <f t="shared" si="140"/>
        <v>4.2961770283227126E-2</v>
      </c>
      <c r="P166" s="105">
        <f t="shared" si="140"/>
        <v>4.4882165865879689E-2</v>
      </c>
      <c r="Q166" s="105">
        <f t="shared" si="140"/>
        <v>4.370415077615443E-2</v>
      </c>
      <c r="R166" s="105">
        <f t="shared" si="140"/>
        <v>5.7212508218810881E-2</v>
      </c>
      <c r="S166" s="105">
        <f t="shared" si="140"/>
        <v>6.9663629364169602E-2</v>
      </c>
      <c r="T166" s="105">
        <f t="shared" si="140"/>
        <v>6.3330234237727268E-2</v>
      </c>
      <c r="U166" s="105">
        <f t="shared" si="140"/>
        <v>6.898913374578132E-2</v>
      </c>
      <c r="V166" s="105">
        <f t="shared" si="140"/>
        <v>6.3229139801884521E-2</v>
      </c>
      <c r="W166" s="105">
        <f t="shared" ref="W166:Y166" si="141">IF(W55=0,0,W55/W$17)</f>
        <v>7.579158680632439E-2</v>
      </c>
      <c r="X166" s="105">
        <f t="shared" si="141"/>
        <v>7.7288593429320832E-2</v>
      </c>
      <c r="Y166" s="105">
        <f t="shared" si="141"/>
        <v>7.8099114768505937E-2</v>
      </c>
      <c r="DA166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pageSetUpPr fitToPage="1"/>
  </sheetPr>
  <dimension ref="A1:DA160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739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DA2" s="171"/>
    </row>
    <row r="3" spans="1:105" ht="11.45" customHeight="1" x14ac:dyDescent="0.25">
      <c r="A3" s="53" t="s">
        <v>44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X3" s="132"/>
      <c r="Y3" s="132"/>
      <c r="DA3" s="172"/>
    </row>
    <row r="4" spans="1:105" ht="11.45" customHeight="1" x14ac:dyDescent="0.25">
      <c r="A4" s="133" t="s">
        <v>45</v>
      </c>
      <c r="B4" s="146">
        <f t="shared" ref="B4:K4" si="0">B5+B9+B10+B15</f>
        <v>26506.972792799999</v>
      </c>
      <c r="C4" s="146">
        <f t="shared" si="0"/>
        <v>26315.522148960001</v>
      </c>
      <c r="D4" s="146">
        <f t="shared" si="0"/>
        <v>25422.667205760001</v>
      </c>
      <c r="E4" s="146">
        <f t="shared" si="0"/>
        <v>27741.164075280001</v>
      </c>
      <c r="F4" s="146">
        <f t="shared" si="0"/>
        <v>31471.113309839999</v>
      </c>
      <c r="G4" s="146">
        <f t="shared" si="0"/>
        <v>33797.171705759996</v>
      </c>
      <c r="H4" s="146">
        <f t="shared" si="0"/>
        <v>37454.149850760004</v>
      </c>
      <c r="I4" s="146">
        <f t="shared" si="0"/>
        <v>41628.376320119998</v>
      </c>
      <c r="J4" s="146">
        <f t="shared" si="0"/>
        <v>43567.922286000001</v>
      </c>
      <c r="K4" s="146">
        <f t="shared" si="0"/>
        <v>44374.900995000004</v>
      </c>
      <c r="L4" s="146">
        <f t="shared" ref="L4" si="1">L5+L9+L10+L15</f>
        <v>46979.108653679999</v>
      </c>
      <c r="M4" s="146">
        <f t="shared" ref="M4:V4" si="2">M5+M9+M10+M15</f>
        <v>47575.776284640022</v>
      </c>
      <c r="N4" s="146">
        <f t="shared" si="2"/>
        <v>45591.878535120006</v>
      </c>
      <c r="O4" s="146">
        <f t="shared" si="2"/>
        <v>42617.512260000003</v>
      </c>
      <c r="P4" s="146">
        <f t="shared" si="2"/>
        <v>43016.754328559997</v>
      </c>
      <c r="Q4" s="146">
        <f t="shared" si="2"/>
        <v>45558.244141920004</v>
      </c>
      <c r="R4" s="146">
        <f t="shared" si="2"/>
        <v>52126.743652920013</v>
      </c>
      <c r="S4" s="146">
        <f t="shared" si="2"/>
        <v>60420.234909240018</v>
      </c>
      <c r="T4" s="146">
        <f t="shared" si="2"/>
        <v>62050.692530519984</v>
      </c>
      <c r="U4" s="146">
        <f t="shared" si="2"/>
        <v>63155.744343359998</v>
      </c>
      <c r="V4" s="146">
        <f t="shared" si="2"/>
        <v>60410.471009040011</v>
      </c>
      <c r="W4" s="146">
        <f t="shared" ref="W4:Y4" si="3">W5+W9+W10+W15</f>
        <v>65515.655595239994</v>
      </c>
      <c r="X4" s="146">
        <f t="shared" si="3"/>
        <v>66921.284766240002</v>
      </c>
      <c r="Y4" s="146">
        <f t="shared" si="3"/>
        <v>66067.850030039976</v>
      </c>
      <c r="DA4" s="206" t="s">
        <v>740</v>
      </c>
    </row>
    <row r="5" spans="1:105" ht="11.45" customHeight="1" x14ac:dyDescent="0.25">
      <c r="A5" s="92" t="s">
        <v>46</v>
      </c>
      <c r="B5" s="101">
        <f t="shared" ref="B5:K5" si="4">SUM(B6:B8)</f>
        <v>26506.972792799999</v>
      </c>
      <c r="C5" s="101">
        <f t="shared" si="4"/>
        <v>26315.522148960001</v>
      </c>
      <c r="D5" s="101">
        <f t="shared" si="4"/>
        <v>25422.667205760001</v>
      </c>
      <c r="E5" s="101">
        <f t="shared" si="4"/>
        <v>27741.164075280001</v>
      </c>
      <c r="F5" s="101">
        <f t="shared" si="4"/>
        <v>31471.113309839999</v>
      </c>
      <c r="G5" s="101">
        <f t="shared" si="4"/>
        <v>33797.171705759996</v>
      </c>
      <c r="H5" s="101">
        <f t="shared" si="4"/>
        <v>37454.149850760004</v>
      </c>
      <c r="I5" s="101">
        <f t="shared" si="4"/>
        <v>41628.376320119998</v>
      </c>
      <c r="J5" s="101">
        <f t="shared" si="4"/>
        <v>43567.922286000001</v>
      </c>
      <c r="K5" s="101">
        <f t="shared" si="4"/>
        <v>44374.900995000004</v>
      </c>
      <c r="L5" s="101">
        <f t="shared" ref="L5" si="5">SUM(L6:L8)</f>
        <v>46979.108653679999</v>
      </c>
      <c r="M5" s="101">
        <f t="shared" ref="M5:V5" si="6">SUM(M6:M8)</f>
        <v>47575.776284640022</v>
      </c>
      <c r="N5" s="101">
        <f t="shared" si="6"/>
        <v>45591.878535120006</v>
      </c>
      <c r="O5" s="101">
        <f t="shared" si="6"/>
        <v>42617.512260000003</v>
      </c>
      <c r="P5" s="101">
        <f t="shared" si="6"/>
        <v>43016.754328559997</v>
      </c>
      <c r="Q5" s="101">
        <f t="shared" si="6"/>
        <v>45520.728456240002</v>
      </c>
      <c r="R5" s="101">
        <f t="shared" si="6"/>
        <v>52092.462154680012</v>
      </c>
      <c r="S5" s="101">
        <f t="shared" si="6"/>
        <v>60394.085734320019</v>
      </c>
      <c r="T5" s="101">
        <f t="shared" si="6"/>
        <v>62020.699854839986</v>
      </c>
      <c r="U5" s="101">
        <f t="shared" si="6"/>
        <v>63115.443831240002</v>
      </c>
      <c r="V5" s="101">
        <f t="shared" si="6"/>
        <v>60364.05918732001</v>
      </c>
      <c r="W5" s="101">
        <f t="shared" ref="W5:Y5" si="7">SUM(W6:W8)</f>
        <v>65448.992234519996</v>
      </c>
      <c r="X5" s="101">
        <f t="shared" si="7"/>
        <v>66829.832431200004</v>
      </c>
      <c r="Y5" s="101">
        <f t="shared" si="7"/>
        <v>65975.988322079982</v>
      </c>
      <c r="DA5" s="175"/>
    </row>
    <row r="6" spans="1:105" ht="11.45" customHeight="1" x14ac:dyDescent="0.25">
      <c r="A6" s="128" t="s">
        <v>52</v>
      </c>
      <c r="B6" s="101">
        <v>1268.4678004800001</v>
      </c>
      <c r="C6" s="101">
        <v>1748.9932052400002</v>
      </c>
      <c r="D6" s="101">
        <v>2474.2582952399998</v>
      </c>
      <c r="E6" s="101">
        <v>3193.5540747600007</v>
      </c>
      <c r="F6" s="101">
        <v>4002.3888300000008</v>
      </c>
      <c r="G6" s="101">
        <v>4623.1918952400001</v>
      </c>
      <c r="H6" s="101">
        <v>5073.8709747600005</v>
      </c>
      <c r="I6" s="101">
        <v>5223.1026009600009</v>
      </c>
      <c r="J6" s="101">
        <v>5130.5789700000005</v>
      </c>
      <c r="K6" s="101">
        <v>4797.9978757199997</v>
      </c>
      <c r="L6" s="101">
        <v>4818.3159747600002</v>
      </c>
      <c r="M6" s="101">
        <v>4667.3808757200022</v>
      </c>
      <c r="N6" s="101">
        <v>4661.5755747600006</v>
      </c>
      <c r="O6" s="101">
        <v>4623.841800000002</v>
      </c>
      <c r="P6" s="101">
        <v>4658.6729242800011</v>
      </c>
      <c r="Q6" s="101">
        <v>4731.2380504799994</v>
      </c>
      <c r="R6" s="101">
        <v>5009.88749904</v>
      </c>
      <c r="S6" s="101">
        <v>5316.2425169999997</v>
      </c>
      <c r="T6" s="101">
        <v>5388.0818670000017</v>
      </c>
      <c r="U6" s="101">
        <v>5616.5309999999999</v>
      </c>
      <c r="V6" s="101">
        <v>5036.0108990399985</v>
      </c>
      <c r="W6" s="101">
        <v>5268.2190757200005</v>
      </c>
      <c r="X6" s="101">
        <v>5456.8879495200008</v>
      </c>
      <c r="Y6" s="101">
        <v>5485.9140000000016</v>
      </c>
      <c r="DA6" s="175" t="s">
        <v>741</v>
      </c>
    </row>
    <row r="7" spans="1:105" ht="11.45" customHeight="1" x14ac:dyDescent="0.25">
      <c r="A7" s="128" t="s">
        <v>53</v>
      </c>
      <c r="B7" s="101">
        <v>15227.150510880001</v>
      </c>
      <c r="C7" s="101">
        <v>14125.02396228</v>
      </c>
      <c r="D7" s="101">
        <v>12933.867980880001</v>
      </c>
      <c r="E7" s="101">
        <v>12353.639870880001</v>
      </c>
      <c r="F7" s="101">
        <v>12540.909039120001</v>
      </c>
      <c r="G7" s="101">
        <v>12104.970680879998</v>
      </c>
      <c r="H7" s="101">
        <v>12418.109494560003</v>
      </c>
      <c r="I7" s="101">
        <v>12399.689637719999</v>
      </c>
      <c r="J7" s="101">
        <v>12252.33003456</v>
      </c>
      <c r="K7" s="101">
        <v>12458.407499999999</v>
      </c>
      <c r="L7" s="101">
        <v>12311.838000000002</v>
      </c>
      <c r="M7" s="101">
        <v>11644.478999999999</v>
      </c>
      <c r="N7" s="101">
        <v>11145.519</v>
      </c>
      <c r="O7" s="101">
        <v>10618.4925</v>
      </c>
      <c r="P7" s="101">
        <v>10257.775604999999</v>
      </c>
      <c r="Q7" s="101">
        <v>10602.484116840002</v>
      </c>
      <c r="R7" s="101">
        <v>11198.464144559999</v>
      </c>
      <c r="S7" s="101">
        <v>12240.958486680001</v>
      </c>
      <c r="T7" s="101">
        <v>12728.62203228</v>
      </c>
      <c r="U7" s="101">
        <v>13160.111413680001</v>
      </c>
      <c r="V7" s="101">
        <v>12264.22549044</v>
      </c>
      <c r="W7" s="101">
        <v>13561.265773439996</v>
      </c>
      <c r="X7" s="101">
        <v>14366.512119960002</v>
      </c>
      <c r="Y7" s="101">
        <v>15075.0011412</v>
      </c>
      <c r="DA7" s="175" t="s">
        <v>742</v>
      </c>
    </row>
    <row r="8" spans="1:105" ht="11.45" customHeight="1" x14ac:dyDescent="0.25">
      <c r="A8" s="128" t="s">
        <v>54</v>
      </c>
      <c r="B8" s="101">
        <v>10011.354481439999</v>
      </c>
      <c r="C8" s="101">
        <v>10441.504981440003</v>
      </c>
      <c r="D8" s="101">
        <v>10014.540929640001</v>
      </c>
      <c r="E8" s="101">
        <v>12193.970129640002</v>
      </c>
      <c r="F8" s="101">
        <v>14927.815440719998</v>
      </c>
      <c r="G8" s="101">
        <v>17069.009129639999</v>
      </c>
      <c r="H8" s="101">
        <v>19962.169381440002</v>
      </c>
      <c r="I8" s="101">
        <v>24005.58408144</v>
      </c>
      <c r="J8" s="101">
        <v>26185.013281439999</v>
      </c>
      <c r="K8" s="101">
        <v>27118.495619280002</v>
      </c>
      <c r="L8" s="101">
        <v>29848.954678919999</v>
      </c>
      <c r="M8" s="101">
        <v>31263.91640892002</v>
      </c>
      <c r="N8" s="101">
        <v>29784.78396036</v>
      </c>
      <c r="O8" s="101">
        <v>27375.177959999997</v>
      </c>
      <c r="P8" s="101">
        <v>28100.305799279999</v>
      </c>
      <c r="Q8" s="101">
        <v>30187.006288919998</v>
      </c>
      <c r="R8" s="101">
        <v>35884.110511080013</v>
      </c>
      <c r="S8" s="101">
        <v>42836.884730640013</v>
      </c>
      <c r="T8" s="101">
        <v>43903.995955559985</v>
      </c>
      <c r="U8" s="101">
        <v>44338.801417560004</v>
      </c>
      <c r="V8" s="101">
        <v>43063.82279784001</v>
      </c>
      <c r="W8" s="101">
        <v>46619.507385359997</v>
      </c>
      <c r="X8" s="101">
        <v>47006.432361720006</v>
      </c>
      <c r="Y8" s="101">
        <v>45415.073180879983</v>
      </c>
      <c r="DA8" s="175" t="s">
        <v>743</v>
      </c>
    </row>
    <row r="9" spans="1:105" ht="11.45" customHeight="1" x14ac:dyDescent="0.25">
      <c r="A9" s="92" t="s">
        <v>55</v>
      </c>
      <c r="B9" s="101">
        <v>0</v>
      </c>
      <c r="C9" s="101">
        <v>0</v>
      </c>
      <c r="D9" s="101">
        <v>0</v>
      </c>
      <c r="E9" s="101">
        <v>0</v>
      </c>
      <c r="F9" s="101">
        <v>0</v>
      </c>
      <c r="G9" s="101">
        <v>0</v>
      </c>
      <c r="H9" s="101">
        <v>0</v>
      </c>
      <c r="I9" s="101">
        <v>0</v>
      </c>
      <c r="J9" s="101">
        <v>0</v>
      </c>
      <c r="K9" s="101">
        <v>0</v>
      </c>
      <c r="L9" s="101">
        <v>0</v>
      </c>
      <c r="M9" s="101">
        <v>0</v>
      </c>
      <c r="N9" s="101">
        <v>0</v>
      </c>
      <c r="O9" s="101">
        <v>0</v>
      </c>
      <c r="P9" s="101">
        <v>0</v>
      </c>
      <c r="Q9" s="101">
        <v>37.515685680000004</v>
      </c>
      <c r="R9" s="101">
        <v>34.281498240000005</v>
      </c>
      <c r="S9" s="101">
        <v>26.149174920000018</v>
      </c>
      <c r="T9" s="101">
        <v>29.992675680000005</v>
      </c>
      <c r="U9" s="101">
        <v>40.300512119999993</v>
      </c>
      <c r="V9" s="101">
        <v>46.411821719999992</v>
      </c>
      <c r="W9" s="101">
        <v>66.66336072</v>
      </c>
      <c r="X9" s="101">
        <v>91.452335040000008</v>
      </c>
      <c r="Y9" s="101">
        <v>91.861707960000004</v>
      </c>
      <c r="DA9" s="175" t="s">
        <v>744</v>
      </c>
    </row>
    <row r="10" spans="1:105" ht="11.45" customHeight="1" x14ac:dyDescent="0.25">
      <c r="A10" s="92" t="s">
        <v>56</v>
      </c>
      <c r="B10" s="101">
        <f t="shared" ref="B10:K10" si="8">SUM(B11:B14)</f>
        <v>0</v>
      </c>
      <c r="C10" s="101">
        <f t="shared" si="8"/>
        <v>0</v>
      </c>
      <c r="D10" s="101">
        <f t="shared" si="8"/>
        <v>0</v>
      </c>
      <c r="E10" s="101">
        <f t="shared" si="8"/>
        <v>0</v>
      </c>
      <c r="F10" s="101">
        <f t="shared" si="8"/>
        <v>0</v>
      </c>
      <c r="G10" s="101">
        <f t="shared" si="8"/>
        <v>0</v>
      </c>
      <c r="H10" s="101">
        <f t="shared" si="8"/>
        <v>0</v>
      </c>
      <c r="I10" s="101">
        <f t="shared" si="8"/>
        <v>0</v>
      </c>
      <c r="J10" s="101">
        <f t="shared" si="8"/>
        <v>0</v>
      </c>
      <c r="K10" s="101">
        <f t="shared" si="8"/>
        <v>0</v>
      </c>
      <c r="L10" s="101">
        <f t="shared" ref="L10" si="9">SUM(L11:L14)</f>
        <v>0</v>
      </c>
      <c r="M10" s="101">
        <f t="shared" ref="M10:V10" si="10">SUM(M11:M14)</f>
        <v>0</v>
      </c>
      <c r="N10" s="101">
        <f t="shared" si="10"/>
        <v>0</v>
      </c>
      <c r="O10" s="101">
        <f t="shared" si="10"/>
        <v>0</v>
      </c>
      <c r="P10" s="101">
        <f t="shared" si="10"/>
        <v>0</v>
      </c>
      <c r="Q10" s="101">
        <f t="shared" si="10"/>
        <v>0</v>
      </c>
      <c r="R10" s="101">
        <f t="shared" si="10"/>
        <v>0</v>
      </c>
      <c r="S10" s="101">
        <f t="shared" si="10"/>
        <v>0</v>
      </c>
      <c r="T10" s="101">
        <f t="shared" si="10"/>
        <v>0</v>
      </c>
      <c r="U10" s="101">
        <f t="shared" si="10"/>
        <v>0</v>
      </c>
      <c r="V10" s="101">
        <f t="shared" si="10"/>
        <v>0</v>
      </c>
      <c r="W10" s="101">
        <f t="shared" ref="W10:Y10" si="11">SUM(W11:W14)</f>
        <v>0</v>
      </c>
      <c r="X10" s="101">
        <f t="shared" si="11"/>
        <v>0</v>
      </c>
      <c r="Y10" s="101">
        <f t="shared" si="11"/>
        <v>0</v>
      </c>
      <c r="DA10" s="175"/>
    </row>
    <row r="11" spans="1:105" ht="11.45" customHeight="1" x14ac:dyDescent="0.25">
      <c r="A11" s="128" t="s">
        <v>57</v>
      </c>
      <c r="B11" s="101">
        <v>0</v>
      </c>
      <c r="C11" s="101">
        <v>0</v>
      </c>
      <c r="D11" s="101">
        <v>0</v>
      </c>
      <c r="E11" s="101">
        <v>0</v>
      </c>
      <c r="F11" s="101">
        <v>0</v>
      </c>
      <c r="G11" s="101">
        <v>0</v>
      </c>
      <c r="H11" s="101">
        <v>0</v>
      </c>
      <c r="I11" s="101">
        <v>0</v>
      </c>
      <c r="J11" s="101">
        <v>0</v>
      </c>
      <c r="K11" s="101">
        <v>0</v>
      </c>
      <c r="L11" s="101">
        <v>0</v>
      </c>
      <c r="M11" s="101">
        <v>0</v>
      </c>
      <c r="N11" s="101">
        <v>0</v>
      </c>
      <c r="O11" s="101">
        <v>0</v>
      </c>
      <c r="P11" s="101">
        <v>0</v>
      </c>
      <c r="Q11" s="101">
        <v>0</v>
      </c>
      <c r="R11" s="101">
        <v>0</v>
      </c>
      <c r="S11" s="101">
        <v>0</v>
      </c>
      <c r="T11" s="101">
        <v>0</v>
      </c>
      <c r="U11" s="101">
        <v>0</v>
      </c>
      <c r="V11" s="101">
        <v>0</v>
      </c>
      <c r="W11" s="101">
        <v>0</v>
      </c>
      <c r="X11" s="101">
        <v>0</v>
      </c>
      <c r="Y11" s="101">
        <v>0</v>
      </c>
      <c r="DA11" s="175" t="s">
        <v>745</v>
      </c>
    </row>
    <row r="12" spans="1:105" ht="11.45" customHeight="1" x14ac:dyDescent="0.25">
      <c r="A12" s="128" t="s">
        <v>58</v>
      </c>
      <c r="B12" s="101">
        <v>0</v>
      </c>
      <c r="C12" s="101">
        <v>0</v>
      </c>
      <c r="D12" s="101">
        <v>0</v>
      </c>
      <c r="E12" s="101">
        <v>0</v>
      </c>
      <c r="F12" s="101">
        <v>0</v>
      </c>
      <c r="G12" s="101">
        <v>0</v>
      </c>
      <c r="H12" s="101">
        <v>0</v>
      </c>
      <c r="I12" s="101">
        <v>0</v>
      </c>
      <c r="J12" s="101">
        <v>0</v>
      </c>
      <c r="K12" s="101">
        <v>0</v>
      </c>
      <c r="L12" s="101">
        <v>0</v>
      </c>
      <c r="M12" s="101">
        <v>0</v>
      </c>
      <c r="N12" s="101">
        <v>0</v>
      </c>
      <c r="O12" s="101">
        <v>0</v>
      </c>
      <c r="P12" s="101">
        <v>0</v>
      </c>
      <c r="Q12" s="101">
        <v>0</v>
      </c>
      <c r="R12" s="101">
        <v>0</v>
      </c>
      <c r="S12" s="101">
        <v>0</v>
      </c>
      <c r="T12" s="101">
        <v>0</v>
      </c>
      <c r="U12" s="101">
        <v>0</v>
      </c>
      <c r="V12" s="101">
        <v>0</v>
      </c>
      <c r="W12" s="101">
        <v>0</v>
      </c>
      <c r="X12" s="101">
        <v>0</v>
      </c>
      <c r="Y12" s="101">
        <v>0</v>
      </c>
      <c r="DA12" s="175" t="s">
        <v>746</v>
      </c>
    </row>
    <row r="13" spans="1:105" ht="11.45" customHeight="1" x14ac:dyDescent="0.25">
      <c r="A13" s="128" t="s">
        <v>59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X13" s="101">
        <v>0</v>
      </c>
      <c r="Y13" s="101">
        <v>0</v>
      </c>
      <c r="DA13" s="175" t="s">
        <v>747</v>
      </c>
    </row>
    <row r="14" spans="1:105" ht="11.45" customHeight="1" x14ac:dyDescent="0.25">
      <c r="A14" s="128" t="s">
        <v>60</v>
      </c>
      <c r="B14" s="101">
        <v>0</v>
      </c>
      <c r="C14" s="101">
        <v>0</v>
      </c>
      <c r="D14" s="101">
        <v>0</v>
      </c>
      <c r="E14" s="101">
        <v>0</v>
      </c>
      <c r="F14" s="101">
        <v>0</v>
      </c>
      <c r="G14" s="101">
        <v>0</v>
      </c>
      <c r="H14" s="101">
        <v>0</v>
      </c>
      <c r="I14" s="101">
        <v>0</v>
      </c>
      <c r="J14" s="101">
        <v>0</v>
      </c>
      <c r="K14" s="101">
        <v>0</v>
      </c>
      <c r="L14" s="101">
        <v>0</v>
      </c>
      <c r="M14" s="101">
        <v>0</v>
      </c>
      <c r="N14" s="101">
        <v>0</v>
      </c>
      <c r="O14" s="101">
        <v>0</v>
      </c>
      <c r="P14" s="101">
        <v>0</v>
      </c>
      <c r="Q14" s="101">
        <v>0</v>
      </c>
      <c r="R14" s="101">
        <v>0</v>
      </c>
      <c r="S14" s="101">
        <v>0</v>
      </c>
      <c r="T14" s="101">
        <v>0</v>
      </c>
      <c r="U14" s="101">
        <v>0</v>
      </c>
      <c r="V14" s="101">
        <v>0</v>
      </c>
      <c r="W14" s="101">
        <v>0</v>
      </c>
      <c r="X14" s="101">
        <v>0</v>
      </c>
      <c r="Y14" s="101">
        <v>0</v>
      </c>
      <c r="DA14" s="175" t="s">
        <v>748</v>
      </c>
    </row>
    <row r="15" spans="1:105" ht="11.45" customHeight="1" x14ac:dyDescent="0.25">
      <c r="A15" s="85" t="s">
        <v>91</v>
      </c>
      <c r="B15" s="88">
        <v>0</v>
      </c>
      <c r="C15" s="88">
        <v>0</v>
      </c>
      <c r="D15" s="88">
        <v>0</v>
      </c>
      <c r="E15" s="88">
        <v>0</v>
      </c>
      <c r="F15" s="88">
        <v>0</v>
      </c>
      <c r="G15" s="88">
        <v>0</v>
      </c>
      <c r="H15" s="88">
        <v>0</v>
      </c>
      <c r="I15" s="88">
        <v>0</v>
      </c>
      <c r="J15" s="88">
        <v>0</v>
      </c>
      <c r="K15" s="88">
        <v>0</v>
      </c>
      <c r="L15" s="88">
        <v>0</v>
      </c>
      <c r="M15" s="88">
        <v>0</v>
      </c>
      <c r="N15" s="88">
        <v>0</v>
      </c>
      <c r="O15" s="88">
        <v>0</v>
      </c>
      <c r="P15" s="88">
        <v>0</v>
      </c>
      <c r="Q15" s="88">
        <v>0</v>
      </c>
      <c r="R15" s="88">
        <v>0</v>
      </c>
      <c r="S15" s="88">
        <v>0</v>
      </c>
      <c r="T15" s="88">
        <v>0</v>
      </c>
      <c r="U15" s="88">
        <v>0</v>
      </c>
      <c r="V15" s="88">
        <v>0</v>
      </c>
      <c r="W15" s="88">
        <v>0</v>
      </c>
      <c r="X15" s="88">
        <v>0</v>
      </c>
      <c r="Y15" s="88">
        <v>0</v>
      </c>
      <c r="DA15" s="178" t="s">
        <v>749</v>
      </c>
    </row>
    <row r="16" spans="1:105" ht="11.45" customHeight="1" x14ac:dyDescent="0.25">
      <c r="A16" s="33"/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DA16" s="208"/>
    </row>
    <row r="17" spans="1:105" ht="11.45" customHeight="1" x14ac:dyDescent="0.25">
      <c r="A17" s="53" t="s">
        <v>47</v>
      </c>
      <c r="B17" s="79">
        <f t="shared" ref="B17:K17" si="12">SUM(B18,B33)</f>
        <v>26506.972792800003</v>
      </c>
      <c r="C17" s="79">
        <f t="shared" si="12"/>
        <v>26315.522148960004</v>
      </c>
      <c r="D17" s="79">
        <f t="shared" si="12"/>
        <v>25422.667205760001</v>
      </c>
      <c r="E17" s="79">
        <f t="shared" si="12"/>
        <v>27741.164075280001</v>
      </c>
      <c r="F17" s="79">
        <f t="shared" si="12"/>
        <v>31471.113309840002</v>
      </c>
      <c r="G17" s="79">
        <f t="shared" si="12"/>
        <v>33797.171705759996</v>
      </c>
      <c r="H17" s="79">
        <f t="shared" si="12"/>
        <v>37454.149850760004</v>
      </c>
      <c r="I17" s="79">
        <f t="shared" si="12"/>
        <v>41628.376320120005</v>
      </c>
      <c r="J17" s="79">
        <f t="shared" si="12"/>
        <v>43567.922285999994</v>
      </c>
      <c r="K17" s="79">
        <f t="shared" si="12"/>
        <v>44374.900995000004</v>
      </c>
      <c r="L17" s="79">
        <f t="shared" ref="L17" si="13">SUM(L18,L33)</f>
        <v>46979.108653679999</v>
      </c>
      <c r="M17" s="79">
        <f t="shared" ref="M17:V17" si="14">SUM(M18,M33)</f>
        <v>47575.776284640022</v>
      </c>
      <c r="N17" s="79">
        <f t="shared" si="14"/>
        <v>45591.878535120006</v>
      </c>
      <c r="O17" s="79">
        <f t="shared" si="14"/>
        <v>42617.512259999996</v>
      </c>
      <c r="P17" s="79">
        <f t="shared" si="14"/>
        <v>43016.754328559997</v>
      </c>
      <c r="Q17" s="79">
        <f t="shared" si="14"/>
        <v>45558.244141920004</v>
      </c>
      <c r="R17" s="79">
        <f t="shared" si="14"/>
        <v>52126.74365292002</v>
      </c>
      <c r="S17" s="79">
        <f t="shared" si="14"/>
        <v>60420.234909240025</v>
      </c>
      <c r="T17" s="79">
        <f t="shared" si="14"/>
        <v>62050.692530519969</v>
      </c>
      <c r="U17" s="79">
        <f t="shared" si="14"/>
        <v>63155.744343359998</v>
      </c>
      <c r="V17" s="79">
        <f t="shared" si="14"/>
        <v>60410.471009040019</v>
      </c>
      <c r="W17" s="79">
        <f t="shared" ref="W17:Y17" si="15">SUM(W18,W33)</f>
        <v>65515.655595239987</v>
      </c>
      <c r="X17" s="79">
        <f t="shared" si="15"/>
        <v>66921.284766240002</v>
      </c>
      <c r="Y17" s="79">
        <f t="shared" si="15"/>
        <v>66067.85003003999</v>
      </c>
      <c r="DA17" s="172" t="s">
        <v>750</v>
      </c>
    </row>
    <row r="18" spans="1:105" ht="11.45" customHeight="1" x14ac:dyDescent="0.25">
      <c r="A18" s="27" t="s">
        <v>33</v>
      </c>
      <c r="B18" s="32">
        <f t="shared" ref="B18:K18" si="16">SUM(B19,B20,B27)</f>
        <v>18489.28557107033</v>
      </c>
      <c r="C18" s="32">
        <f t="shared" si="16"/>
        <v>17910.09285321294</v>
      </c>
      <c r="D18" s="32">
        <f t="shared" si="16"/>
        <v>17569.252153459565</v>
      </c>
      <c r="E18" s="32">
        <f t="shared" si="16"/>
        <v>18257.774603427461</v>
      </c>
      <c r="F18" s="32">
        <f t="shared" si="16"/>
        <v>20318.536015308724</v>
      </c>
      <c r="G18" s="32">
        <f t="shared" si="16"/>
        <v>20297.458667182877</v>
      </c>
      <c r="H18" s="32">
        <f t="shared" si="16"/>
        <v>22425.568436009187</v>
      </c>
      <c r="I18" s="32">
        <f t="shared" si="16"/>
        <v>24655.10552804351</v>
      </c>
      <c r="J18" s="32">
        <f t="shared" si="16"/>
        <v>25871.140853059602</v>
      </c>
      <c r="K18" s="32">
        <f t="shared" si="16"/>
        <v>26831.863051714932</v>
      </c>
      <c r="L18" s="32">
        <f t="shared" ref="L18" si="17">SUM(L19,L20,L27)</f>
        <v>28064.049610651655</v>
      </c>
      <c r="M18" s="32">
        <f t="shared" ref="M18:V18" si="18">SUM(M19,M20,M27)</f>
        <v>28386.525370142295</v>
      </c>
      <c r="N18" s="32">
        <f t="shared" si="18"/>
        <v>28232.942818761589</v>
      </c>
      <c r="O18" s="32">
        <f t="shared" si="18"/>
        <v>26905.899846378754</v>
      </c>
      <c r="P18" s="32">
        <f t="shared" si="18"/>
        <v>27072.348545240508</v>
      </c>
      <c r="Q18" s="32">
        <f t="shared" si="18"/>
        <v>28931.8660802341</v>
      </c>
      <c r="R18" s="32">
        <f t="shared" si="18"/>
        <v>31419.704677057249</v>
      </c>
      <c r="S18" s="32">
        <f t="shared" si="18"/>
        <v>34740.650394033073</v>
      </c>
      <c r="T18" s="32">
        <f t="shared" si="18"/>
        <v>35918.285289278429</v>
      </c>
      <c r="U18" s="32">
        <f t="shared" si="18"/>
        <v>36899.091013864578</v>
      </c>
      <c r="V18" s="32">
        <f t="shared" si="18"/>
        <v>35437.961240002813</v>
      </c>
      <c r="W18" s="32">
        <f t="shared" ref="W18:Y18" si="19">SUM(W19,W20,W27)</f>
        <v>35249.453185270999</v>
      </c>
      <c r="X18" s="32">
        <f t="shared" si="19"/>
        <v>36361.838554790869</v>
      </c>
      <c r="Y18" s="32">
        <f t="shared" si="19"/>
        <v>36312.279997468846</v>
      </c>
      <c r="DA18" s="173" t="s">
        <v>403</v>
      </c>
    </row>
    <row r="19" spans="1:105" ht="11.45" customHeight="1" x14ac:dyDescent="0.25">
      <c r="A19" s="136" t="s">
        <v>173</v>
      </c>
      <c r="B19" s="141">
        <v>301.30108452857883</v>
      </c>
      <c r="C19" s="141">
        <v>259.35791050951184</v>
      </c>
      <c r="D19" s="141">
        <v>251.85065821156795</v>
      </c>
      <c r="E19" s="141">
        <v>219.28225904829412</v>
      </c>
      <c r="F19" s="141">
        <v>209.175350413432</v>
      </c>
      <c r="G19" s="141">
        <v>223.7983461503658</v>
      </c>
      <c r="H19" s="141">
        <v>233.56761179052745</v>
      </c>
      <c r="I19" s="141">
        <v>248.50889383227644</v>
      </c>
      <c r="J19" s="141">
        <v>254.24334191141077</v>
      </c>
      <c r="K19" s="141">
        <v>258.64023089766175</v>
      </c>
      <c r="L19" s="141">
        <v>274.53315689339081</v>
      </c>
      <c r="M19" s="141">
        <v>269.75377377065939</v>
      </c>
      <c r="N19" s="141">
        <v>269.76890983008991</v>
      </c>
      <c r="O19" s="141">
        <v>258.37473369891103</v>
      </c>
      <c r="P19" s="141">
        <v>260.17437713026925</v>
      </c>
      <c r="Q19" s="141">
        <v>267.13951557094038</v>
      </c>
      <c r="R19" s="141">
        <v>280.84762182061809</v>
      </c>
      <c r="S19" s="141">
        <v>265.66262535867349</v>
      </c>
      <c r="T19" s="141">
        <v>253.33270609207324</v>
      </c>
      <c r="U19" s="141">
        <v>268.99152408379592</v>
      </c>
      <c r="V19" s="141">
        <v>240.661859172211</v>
      </c>
      <c r="W19" s="141">
        <v>249.62384447355043</v>
      </c>
      <c r="X19" s="141">
        <v>251.96835389522064</v>
      </c>
      <c r="Y19" s="141">
        <v>272.24082998880323</v>
      </c>
      <c r="DA19" s="174" t="s">
        <v>404</v>
      </c>
    </row>
    <row r="20" spans="1:105" ht="11.45" customHeight="1" x14ac:dyDescent="0.25">
      <c r="A20" s="109" t="s">
        <v>20</v>
      </c>
      <c r="B20" s="130">
        <f t="shared" ref="B20:K20" si="20">SUM(B21:B26)</f>
        <v>15126.7046761769</v>
      </c>
      <c r="C20" s="130">
        <f t="shared" si="20"/>
        <v>14809.833525469761</v>
      </c>
      <c r="D20" s="130">
        <f t="shared" si="20"/>
        <v>14551.866180341091</v>
      </c>
      <c r="E20" s="130">
        <f t="shared" si="20"/>
        <v>15382.451283198978</v>
      </c>
      <c r="F20" s="130">
        <f t="shared" si="20"/>
        <v>17313.017708026633</v>
      </c>
      <c r="G20" s="130">
        <f t="shared" si="20"/>
        <v>17362.592319088217</v>
      </c>
      <c r="H20" s="130">
        <f t="shared" si="20"/>
        <v>19616.194593818032</v>
      </c>
      <c r="I20" s="130">
        <f t="shared" si="20"/>
        <v>21795.161632479205</v>
      </c>
      <c r="J20" s="130">
        <f t="shared" si="20"/>
        <v>23147.773898560823</v>
      </c>
      <c r="K20" s="130">
        <f t="shared" si="20"/>
        <v>24121.839244229664</v>
      </c>
      <c r="L20" s="130">
        <f t="shared" ref="L20" si="21">SUM(L21:L26)</f>
        <v>25392.891530427827</v>
      </c>
      <c r="M20" s="130">
        <f t="shared" ref="M20:V20" si="22">SUM(M21:M26)</f>
        <v>25692.148950428131</v>
      </c>
      <c r="N20" s="130">
        <f t="shared" si="22"/>
        <v>25573.039401398102</v>
      </c>
      <c r="O20" s="130">
        <f t="shared" si="22"/>
        <v>24230.23364269911</v>
      </c>
      <c r="P20" s="130">
        <f t="shared" si="22"/>
        <v>24325.535013652359</v>
      </c>
      <c r="Q20" s="130">
        <f t="shared" si="22"/>
        <v>25737.229125589751</v>
      </c>
      <c r="R20" s="130">
        <f t="shared" si="22"/>
        <v>28189.609326259022</v>
      </c>
      <c r="S20" s="130">
        <f t="shared" si="22"/>
        <v>31594.683030774959</v>
      </c>
      <c r="T20" s="130">
        <f t="shared" si="22"/>
        <v>32987.798085882532</v>
      </c>
      <c r="U20" s="130">
        <f t="shared" si="22"/>
        <v>33839.593947189758</v>
      </c>
      <c r="V20" s="130">
        <f t="shared" si="22"/>
        <v>32467.949425164283</v>
      </c>
      <c r="W20" s="130">
        <f t="shared" ref="W20:Y20" si="23">SUM(W21:W26)</f>
        <v>32298.597781517321</v>
      </c>
      <c r="X20" s="130">
        <f t="shared" si="23"/>
        <v>33440.411829831944</v>
      </c>
      <c r="Y20" s="130">
        <f t="shared" si="23"/>
        <v>33460.040064294815</v>
      </c>
      <c r="DA20" s="176" t="s">
        <v>405</v>
      </c>
    </row>
    <row r="21" spans="1:105" ht="11.45" customHeight="1" x14ac:dyDescent="0.25">
      <c r="A21" s="111" t="s">
        <v>110</v>
      </c>
      <c r="B21" s="96">
        <v>11853.018848953558</v>
      </c>
      <c r="C21" s="96">
        <v>10906.316171165263</v>
      </c>
      <c r="D21" s="96">
        <v>10008.759544528779</v>
      </c>
      <c r="E21" s="96">
        <v>9564.3935020706158</v>
      </c>
      <c r="F21" s="96">
        <v>10019.126677026079</v>
      </c>
      <c r="G21" s="96">
        <v>9848.8869026030989</v>
      </c>
      <c r="H21" s="96">
        <v>10312.54872783861</v>
      </c>
      <c r="I21" s="96">
        <v>10466.45517654283</v>
      </c>
      <c r="J21" s="96">
        <v>10474.113592197336</v>
      </c>
      <c r="K21" s="96">
        <v>10663.10568398163</v>
      </c>
      <c r="L21" s="96">
        <v>10571.345737765405</v>
      </c>
      <c r="M21" s="96">
        <v>10031.235178054791</v>
      </c>
      <c r="N21" s="96">
        <v>9621.8094797242247</v>
      </c>
      <c r="O21" s="96">
        <v>9194.908291051679</v>
      </c>
      <c r="P21" s="96">
        <v>8932.7132376446771</v>
      </c>
      <c r="Q21" s="96">
        <v>9405.7632790269454</v>
      </c>
      <c r="R21" s="96">
        <v>9994.0441171114362</v>
      </c>
      <c r="S21" s="96">
        <v>11020.154371637494</v>
      </c>
      <c r="T21" s="96">
        <v>11529.942147764585</v>
      </c>
      <c r="U21" s="96">
        <v>11936.219655617257</v>
      </c>
      <c r="V21" s="96">
        <v>11146.186421909031</v>
      </c>
      <c r="W21" s="96">
        <v>12428.76655516447</v>
      </c>
      <c r="X21" s="96">
        <v>13191.025236167045</v>
      </c>
      <c r="Y21" s="96">
        <v>13893.873500818223</v>
      </c>
      <c r="DA21" s="171" t="s">
        <v>751</v>
      </c>
    </row>
    <row r="22" spans="1:105" ht="11.45" customHeight="1" x14ac:dyDescent="0.25">
      <c r="A22" s="111" t="s">
        <v>111</v>
      </c>
      <c r="B22" s="96">
        <v>2142.3243214904642</v>
      </c>
      <c r="C22" s="96">
        <v>2300.5103822142328</v>
      </c>
      <c r="D22" s="96">
        <v>2250.7993231161417</v>
      </c>
      <c r="E22" s="96">
        <v>2829.8536428907964</v>
      </c>
      <c r="F22" s="96">
        <v>3536.0157091959168</v>
      </c>
      <c r="G22" s="96">
        <v>3143.9091011399378</v>
      </c>
      <c r="H22" s="96">
        <v>4515.0002394962821</v>
      </c>
      <c r="I22" s="96">
        <v>6404.9795879986423</v>
      </c>
      <c r="J22" s="96">
        <v>7850.8153731071152</v>
      </c>
      <c r="K22" s="96">
        <v>8970.3504623112294</v>
      </c>
      <c r="L22" s="96">
        <v>10317.802099602015</v>
      </c>
      <c r="M22" s="96">
        <v>11313.671586866178</v>
      </c>
      <c r="N22" s="96">
        <v>11579.566309107622</v>
      </c>
      <c r="O22" s="96">
        <v>10696.809299512239</v>
      </c>
      <c r="P22" s="96">
        <v>11041.119818600127</v>
      </c>
      <c r="Q22" s="96">
        <v>11898.232199121408</v>
      </c>
      <c r="R22" s="96">
        <v>13479.11856052272</v>
      </c>
      <c r="S22" s="96">
        <v>15540.662631931657</v>
      </c>
      <c r="T22" s="96">
        <v>16361.629021237286</v>
      </c>
      <c r="U22" s="96">
        <v>16579.343112457627</v>
      </c>
      <c r="V22" s="96">
        <v>16565.567896996949</v>
      </c>
      <c r="W22" s="96">
        <v>14877.193102248037</v>
      </c>
      <c r="X22" s="96">
        <v>15049.433807341622</v>
      </c>
      <c r="Y22" s="96">
        <v>14329.327632392489</v>
      </c>
      <c r="DA22" s="171" t="s">
        <v>752</v>
      </c>
    </row>
    <row r="23" spans="1:105" ht="11.45" customHeight="1" x14ac:dyDescent="0.25">
      <c r="A23" s="111" t="s">
        <v>112</v>
      </c>
      <c r="B23" s="96">
        <v>1131.3615057328766</v>
      </c>
      <c r="C23" s="96">
        <v>1603.0069720902663</v>
      </c>
      <c r="D23" s="96">
        <v>2292.3073126961694</v>
      </c>
      <c r="E23" s="96">
        <v>2988.2041382375655</v>
      </c>
      <c r="F23" s="96">
        <v>3757.8753218046372</v>
      </c>
      <c r="G23" s="96">
        <v>4369.796315345181</v>
      </c>
      <c r="H23" s="96">
        <v>4788.6456264831386</v>
      </c>
      <c r="I23" s="96">
        <v>4923.726867937733</v>
      </c>
      <c r="J23" s="96">
        <v>4822.8449332563741</v>
      </c>
      <c r="K23" s="96">
        <v>4488.3830979368031</v>
      </c>
      <c r="L23" s="96">
        <v>4503.7436930604099</v>
      </c>
      <c r="M23" s="96">
        <v>4347.2421855071634</v>
      </c>
      <c r="N23" s="96">
        <v>4371.6589328528962</v>
      </c>
      <c r="O23" s="96">
        <v>4338.5058651193531</v>
      </c>
      <c r="P23" s="96">
        <v>4351.054922369588</v>
      </c>
      <c r="Q23" s="96">
        <v>4427.1979681919174</v>
      </c>
      <c r="R23" s="96">
        <v>4708.274034172262</v>
      </c>
      <c r="S23" s="96">
        <v>5024.3874641858938</v>
      </c>
      <c r="T23" s="96">
        <v>5085.5890974010063</v>
      </c>
      <c r="U23" s="96">
        <v>5312.6879766053289</v>
      </c>
      <c r="V23" s="96">
        <v>4743.5540341600026</v>
      </c>
      <c r="W23" s="96">
        <v>4976.569339732172</v>
      </c>
      <c r="X23" s="96">
        <v>5179.3974709806143</v>
      </c>
      <c r="Y23" s="96">
        <v>5209.6936606578538</v>
      </c>
      <c r="DA23" s="171" t="s">
        <v>753</v>
      </c>
    </row>
    <row r="24" spans="1:105" ht="11.45" customHeight="1" x14ac:dyDescent="0.25">
      <c r="A24" s="111" t="s">
        <v>113</v>
      </c>
      <c r="B24" s="96">
        <v>0</v>
      </c>
      <c r="C24" s="96">
        <v>0</v>
      </c>
      <c r="D24" s="96">
        <v>0</v>
      </c>
      <c r="E24" s="96">
        <v>0</v>
      </c>
      <c r="F24" s="96">
        <v>0</v>
      </c>
      <c r="G24" s="96">
        <v>0</v>
      </c>
      <c r="H24" s="96">
        <v>0</v>
      </c>
      <c r="I24" s="96">
        <v>0</v>
      </c>
      <c r="J24" s="96">
        <v>0</v>
      </c>
      <c r="K24" s="96">
        <v>0</v>
      </c>
      <c r="L24" s="96">
        <v>0</v>
      </c>
      <c r="M24" s="96">
        <v>0</v>
      </c>
      <c r="N24" s="96">
        <v>0</v>
      </c>
      <c r="O24" s="96">
        <v>0</v>
      </c>
      <c r="P24" s="96">
        <v>0</v>
      </c>
      <c r="Q24" s="96">
        <v>5.8970404435917985</v>
      </c>
      <c r="R24" s="96">
        <v>7.9496037913055524</v>
      </c>
      <c r="S24" s="96">
        <v>9.075027706827786</v>
      </c>
      <c r="T24" s="96">
        <v>9.7558714232318433</v>
      </c>
      <c r="U24" s="96">
        <v>10.037963775098069</v>
      </c>
      <c r="V24" s="96">
        <v>9.6453304322757756</v>
      </c>
      <c r="W24" s="96">
        <v>9.4964472833688625</v>
      </c>
      <c r="X24" s="96">
        <v>9.4928646543372928</v>
      </c>
      <c r="Y24" s="96">
        <v>9.2730590880487149</v>
      </c>
      <c r="DA24" s="171" t="s">
        <v>754</v>
      </c>
    </row>
    <row r="25" spans="1:105" ht="11.45" customHeight="1" x14ac:dyDescent="0.25">
      <c r="A25" s="111" t="s">
        <v>114</v>
      </c>
      <c r="B25" s="96">
        <v>0</v>
      </c>
      <c r="C25" s="96">
        <v>0</v>
      </c>
      <c r="D25" s="96">
        <v>0</v>
      </c>
      <c r="E25" s="96">
        <v>0</v>
      </c>
      <c r="F25" s="96">
        <v>0</v>
      </c>
      <c r="G25" s="96">
        <v>0</v>
      </c>
      <c r="H25" s="96">
        <v>0</v>
      </c>
      <c r="I25" s="96">
        <v>0</v>
      </c>
      <c r="J25" s="96">
        <v>0</v>
      </c>
      <c r="K25" s="96">
        <v>0</v>
      </c>
      <c r="L25" s="96">
        <v>0</v>
      </c>
      <c r="M25" s="96">
        <v>0</v>
      </c>
      <c r="N25" s="96">
        <v>4.6797133567977964E-3</v>
      </c>
      <c r="O25" s="96">
        <v>1.0187015840888628E-2</v>
      </c>
      <c r="P25" s="96">
        <v>0.64703503796662099</v>
      </c>
      <c r="Q25" s="96">
        <v>0.13863880588480471</v>
      </c>
      <c r="R25" s="96">
        <v>0.22301066129750685</v>
      </c>
      <c r="S25" s="96">
        <v>0.40353531308642621</v>
      </c>
      <c r="T25" s="96">
        <v>0.88194805643039964</v>
      </c>
      <c r="U25" s="96">
        <v>1.305238734451408</v>
      </c>
      <c r="V25" s="96">
        <v>2.9957416660256122</v>
      </c>
      <c r="W25" s="96">
        <v>6.5723370892790243</v>
      </c>
      <c r="X25" s="96">
        <v>11.062450688331641</v>
      </c>
      <c r="Y25" s="96">
        <v>17.87221133820201</v>
      </c>
      <c r="DA25" s="171" t="s">
        <v>755</v>
      </c>
    </row>
    <row r="26" spans="1:105" ht="11.45" customHeight="1" x14ac:dyDescent="0.25">
      <c r="A26" s="111" t="s">
        <v>115</v>
      </c>
      <c r="B26" s="96">
        <v>0</v>
      </c>
      <c r="C26" s="96">
        <v>0</v>
      </c>
      <c r="D26" s="96">
        <v>0</v>
      </c>
      <c r="E26" s="96">
        <v>0</v>
      </c>
      <c r="F26" s="96">
        <v>0</v>
      </c>
      <c r="G26" s="96">
        <v>0</v>
      </c>
      <c r="H26" s="96">
        <v>0</v>
      </c>
      <c r="I26" s="96">
        <v>0</v>
      </c>
      <c r="J26" s="96">
        <v>0</v>
      </c>
      <c r="K26" s="96">
        <v>0</v>
      </c>
      <c r="L26" s="96">
        <v>0</v>
      </c>
      <c r="M26" s="96">
        <v>0</v>
      </c>
      <c r="N26" s="96">
        <v>0</v>
      </c>
      <c r="O26" s="96">
        <v>0</v>
      </c>
      <c r="P26" s="96">
        <v>0</v>
      </c>
      <c r="Q26" s="96">
        <v>0</v>
      </c>
      <c r="R26" s="96">
        <v>0</v>
      </c>
      <c r="S26" s="96">
        <v>0</v>
      </c>
      <c r="T26" s="96">
        <v>0</v>
      </c>
      <c r="U26" s="96">
        <v>0</v>
      </c>
      <c r="V26" s="96">
        <v>0</v>
      </c>
      <c r="W26" s="96">
        <v>0</v>
      </c>
      <c r="X26" s="96">
        <v>0</v>
      </c>
      <c r="Y26" s="96">
        <v>0</v>
      </c>
      <c r="DA26" s="171" t="s">
        <v>756</v>
      </c>
    </row>
    <row r="27" spans="1:105" ht="11.45" customHeight="1" x14ac:dyDescent="0.25">
      <c r="A27" s="109" t="s">
        <v>21</v>
      </c>
      <c r="B27" s="130">
        <f t="shared" ref="B27:K27" si="24">SUM(B28:B32)</f>
        <v>3061.2798103648502</v>
      </c>
      <c r="C27" s="130">
        <f t="shared" si="24"/>
        <v>2840.9014172336651</v>
      </c>
      <c r="D27" s="130">
        <f t="shared" si="24"/>
        <v>2765.5353149069078</v>
      </c>
      <c r="E27" s="130">
        <f t="shared" si="24"/>
        <v>2656.0410611801899</v>
      </c>
      <c r="F27" s="130">
        <f t="shared" si="24"/>
        <v>2796.3429568686574</v>
      </c>
      <c r="G27" s="130">
        <f t="shared" si="24"/>
        <v>2711.0680019442939</v>
      </c>
      <c r="H27" s="130">
        <f t="shared" si="24"/>
        <v>2575.806230400628</v>
      </c>
      <c r="I27" s="130">
        <f t="shared" si="24"/>
        <v>2611.4350017320276</v>
      </c>
      <c r="J27" s="130">
        <f t="shared" si="24"/>
        <v>2469.1236125873688</v>
      </c>
      <c r="K27" s="130">
        <f t="shared" si="24"/>
        <v>2451.3835765876074</v>
      </c>
      <c r="L27" s="130">
        <f t="shared" ref="L27" si="25">SUM(L28:L32)</f>
        <v>2396.6249233304375</v>
      </c>
      <c r="M27" s="130">
        <f t="shared" ref="M27:V27" si="26">SUM(M28:M32)</f>
        <v>2424.6226459435061</v>
      </c>
      <c r="N27" s="130">
        <f t="shared" si="26"/>
        <v>2390.1345075333957</v>
      </c>
      <c r="O27" s="130">
        <f t="shared" si="26"/>
        <v>2417.291469980732</v>
      </c>
      <c r="P27" s="130">
        <f t="shared" si="26"/>
        <v>2486.6391544578787</v>
      </c>
      <c r="Q27" s="130">
        <f t="shared" si="26"/>
        <v>2927.4974390734087</v>
      </c>
      <c r="R27" s="130">
        <f t="shared" si="26"/>
        <v>2949.2477289776089</v>
      </c>
      <c r="S27" s="130">
        <f t="shared" si="26"/>
        <v>2880.3047378994406</v>
      </c>
      <c r="T27" s="130">
        <f t="shared" si="26"/>
        <v>2677.1544973038262</v>
      </c>
      <c r="U27" s="130">
        <f t="shared" si="26"/>
        <v>2790.5055425910236</v>
      </c>
      <c r="V27" s="130">
        <f t="shared" si="26"/>
        <v>2729.3499556663169</v>
      </c>
      <c r="W27" s="130">
        <f t="shared" ref="W27:Y27" si="27">SUM(W28:W32)</f>
        <v>2701.2315592801265</v>
      </c>
      <c r="X27" s="130">
        <f t="shared" si="27"/>
        <v>2669.4583710637053</v>
      </c>
      <c r="Y27" s="130">
        <f t="shared" si="27"/>
        <v>2579.9991031852283</v>
      </c>
      <c r="DA27" s="176" t="s">
        <v>406</v>
      </c>
    </row>
    <row r="28" spans="1:105" ht="11.45" customHeight="1" x14ac:dyDescent="0.25">
      <c r="A28" s="111" t="s">
        <v>110</v>
      </c>
      <c r="B28" s="97">
        <v>0</v>
      </c>
      <c r="C28" s="97">
        <v>0</v>
      </c>
      <c r="D28" s="97">
        <v>0</v>
      </c>
      <c r="E28" s="97">
        <v>0</v>
      </c>
      <c r="F28" s="97">
        <v>0</v>
      </c>
      <c r="G28" s="97">
        <v>0</v>
      </c>
      <c r="H28" s="97">
        <v>0</v>
      </c>
      <c r="I28" s="97">
        <v>0</v>
      </c>
      <c r="J28" s="97">
        <v>0</v>
      </c>
      <c r="K28" s="97">
        <v>0</v>
      </c>
      <c r="L28" s="97">
        <v>0</v>
      </c>
      <c r="M28" s="97">
        <v>0</v>
      </c>
      <c r="N28" s="97">
        <v>0</v>
      </c>
      <c r="O28" s="97">
        <v>0</v>
      </c>
      <c r="P28" s="97">
        <v>0</v>
      </c>
      <c r="Q28" s="97">
        <v>0</v>
      </c>
      <c r="R28" s="97">
        <v>0</v>
      </c>
      <c r="S28" s="97">
        <v>0</v>
      </c>
      <c r="T28" s="97">
        <v>0</v>
      </c>
      <c r="U28" s="97">
        <v>0</v>
      </c>
      <c r="V28" s="97">
        <v>0</v>
      </c>
      <c r="W28" s="97">
        <v>0</v>
      </c>
      <c r="X28" s="97">
        <v>0</v>
      </c>
      <c r="Y28" s="97">
        <v>0</v>
      </c>
      <c r="DA28" s="175" t="s">
        <v>757</v>
      </c>
    </row>
    <row r="29" spans="1:105" ht="11.45" customHeight="1" x14ac:dyDescent="0.25">
      <c r="A29" s="111" t="s">
        <v>111</v>
      </c>
      <c r="B29" s="97">
        <v>3030.2767624462235</v>
      </c>
      <c r="C29" s="97">
        <v>2813.0572561280187</v>
      </c>
      <c r="D29" s="97">
        <v>2740.7905174411203</v>
      </c>
      <c r="E29" s="97">
        <v>2634.2186688147785</v>
      </c>
      <c r="F29" s="97">
        <v>2740.6055253952059</v>
      </c>
      <c r="G29" s="97">
        <v>2661.0590146149684</v>
      </c>
      <c r="H29" s="97">
        <v>2529.188718717106</v>
      </c>
      <c r="I29" s="97">
        <v>2568.1246714432964</v>
      </c>
      <c r="J29" s="97">
        <v>2428.8956329841994</v>
      </c>
      <c r="K29" s="97">
        <v>2414.3443921215744</v>
      </c>
      <c r="L29" s="97">
        <v>2362.5400961898717</v>
      </c>
      <c r="M29" s="97">
        <v>2393.3575237483528</v>
      </c>
      <c r="N29" s="97">
        <v>2361.4172681682871</v>
      </c>
      <c r="O29" s="97">
        <v>2391.0139619183174</v>
      </c>
      <c r="P29" s="97">
        <v>2462.757395323621</v>
      </c>
      <c r="Q29" s="97">
        <v>2879.6254841055975</v>
      </c>
      <c r="R29" s="97">
        <v>2909.7149537154637</v>
      </c>
      <c r="S29" s="97">
        <v>2850.8347113696718</v>
      </c>
      <c r="T29" s="97">
        <v>2645.6932691065113</v>
      </c>
      <c r="U29" s="97">
        <v>2748.6790833211207</v>
      </c>
      <c r="V29" s="97">
        <v>2679.8111986339745</v>
      </c>
      <c r="W29" s="97">
        <v>2630.8009939977114</v>
      </c>
      <c r="X29" s="97">
        <v>2574.0393310917425</v>
      </c>
      <c r="Y29" s="97">
        <v>2484.4743226789651</v>
      </c>
      <c r="DA29" s="175" t="s">
        <v>758</v>
      </c>
    </row>
    <row r="30" spans="1:105" ht="11.45" customHeight="1" x14ac:dyDescent="0.25">
      <c r="A30" s="111" t="s">
        <v>112</v>
      </c>
      <c r="B30" s="97">
        <v>31.003047918626727</v>
      </c>
      <c r="C30" s="97">
        <v>27.84416110564624</v>
      </c>
      <c r="D30" s="97">
        <v>24.744797465787627</v>
      </c>
      <c r="E30" s="97">
        <v>21.822392365411453</v>
      </c>
      <c r="F30" s="97">
        <v>55.737431473451409</v>
      </c>
      <c r="G30" s="97">
        <v>50.008987329325514</v>
      </c>
      <c r="H30" s="97">
        <v>46.617511683522075</v>
      </c>
      <c r="I30" s="97">
        <v>43.310330288731137</v>
      </c>
      <c r="J30" s="97">
        <v>40.227979603169253</v>
      </c>
      <c r="K30" s="97">
        <v>37.039184466033191</v>
      </c>
      <c r="L30" s="97">
        <v>34.084827140565856</v>
      </c>
      <c r="M30" s="97">
        <v>31.265122195153289</v>
      </c>
      <c r="N30" s="97">
        <v>28.717239365108682</v>
      </c>
      <c r="O30" s="97">
        <v>26.277508062414732</v>
      </c>
      <c r="P30" s="97">
        <v>23.881759134257823</v>
      </c>
      <c r="Q30" s="97">
        <v>21.644070473096519</v>
      </c>
      <c r="R30" s="97">
        <v>19.591045373539995</v>
      </c>
      <c r="S30" s="97">
        <v>18.564967025531608</v>
      </c>
      <c r="T30" s="97">
        <v>17.626493155147628</v>
      </c>
      <c r="U30" s="97">
        <v>17.994581977916276</v>
      </c>
      <c r="V30" s="97">
        <v>17.461206649312086</v>
      </c>
      <c r="W30" s="97">
        <v>17.481059706860872</v>
      </c>
      <c r="X30" s="97">
        <v>17.399127138996995</v>
      </c>
      <c r="Y30" s="97">
        <v>16.724965392064711</v>
      </c>
      <c r="DA30" s="175" t="s">
        <v>759</v>
      </c>
    </row>
    <row r="31" spans="1:105" ht="11.45" customHeight="1" x14ac:dyDescent="0.25">
      <c r="A31" s="111" t="s">
        <v>113</v>
      </c>
      <c r="B31" s="97">
        <v>0</v>
      </c>
      <c r="C31" s="97">
        <v>0</v>
      </c>
      <c r="D31" s="97">
        <v>0</v>
      </c>
      <c r="E31" s="97">
        <v>0</v>
      </c>
      <c r="F31" s="97">
        <v>0</v>
      </c>
      <c r="G31" s="97">
        <v>0</v>
      </c>
      <c r="H31" s="97">
        <v>0</v>
      </c>
      <c r="I31" s="97">
        <v>0</v>
      </c>
      <c r="J31" s="97">
        <v>0</v>
      </c>
      <c r="K31" s="97">
        <v>0</v>
      </c>
      <c r="L31" s="97">
        <v>0</v>
      </c>
      <c r="M31" s="97">
        <v>0</v>
      </c>
      <c r="N31" s="97">
        <v>0</v>
      </c>
      <c r="O31" s="97">
        <v>0</v>
      </c>
      <c r="P31" s="97">
        <v>0</v>
      </c>
      <c r="Q31" s="97">
        <v>26.227884494714452</v>
      </c>
      <c r="R31" s="97">
        <v>19.941729888605291</v>
      </c>
      <c r="S31" s="97">
        <v>10.905059504237334</v>
      </c>
      <c r="T31" s="97">
        <v>13.834735042167242</v>
      </c>
      <c r="U31" s="97">
        <v>23.831877291986515</v>
      </c>
      <c r="V31" s="97">
        <v>32.077550383030335</v>
      </c>
      <c r="W31" s="97">
        <v>52.94950557555422</v>
      </c>
      <c r="X31" s="97">
        <v>78.019912832966028</v>
      </c>
      <c r="Y31" s="97">
        <v>78.799815114198481</v>
      </c>
      <c r="DA31" s="175" t="s">
        <v>760</v>
      </c>
    </row>
    <row r="32" spans="1:105" ht="11.45" customHeight="1" x14ac:dyDescent="0.25">
      <c r="A32" s="111" t="s">
        <v>115</v>
      </c>
      <c r="B32" s="97">
        <v>0</v>
      </c>
      <c r="C32" s="97">
        <v>0</v>
      </c>
      <c r="D32" s="97">
        <v>0</v>
      </c>
      <c r="E32" s="97">
        <v>0</v>
      </c>
      <c r="F32" s="97">
        <v>0</v>
      </c>
      <c r="G32" s="97">
        <v>0</v>
      </c>
      <c r="H32" s="97">
        <v>0</v>
      </c>
      <c r="I32" s="97">
        <v>0</v>
      </c>
      <c r="J32" s="97">
        <v>0</v>
      </c>
      <c r="K32" s="97">
        <v>0</v>
      </c>
      <c r="L32" s="97">
        <v>0</v>
      </c>
      <c r="M32" s="97">
        <v>0</v>
      </c>
      <c r="N32" s="97">
        <v>0</v>
      </c>
      <c r="O32" s="97">
        <v>0</v>
      </c>
      <c r="P32" s="97">
        <v>0</v>
      </c>
      <c r="Q32" s="97">
        <v>0</v>
      </c>
      <c r="R32" s="97">
        <v>0</v>
      </c>
      <c r="S32" s="97">
        <v>0</v>
      </c>
      <c r="T32" s="97">
        <v>0</v>
      </c>
      <c r="U32" s="97">
        <v>0</v>
      </c>
      <c r="V32" s="97">
        <v>0</v>
      </c>
      <c r="W32" s="97">
        <v>0</v>
      </c>
      <c r="X32" s="97">
        <v>0</v>
      </c>
      <c r="Y32" s="97">
        <v>0</v>
      </c>
      <c r="DA32" s="175" t="s">
        <v>761</v>
      </c>
    </row>
    <row r="33" spans="1:105" ht="11.45" customHeight="1" x14ac:dyDescent="0.25">
      <c r="A33" s="27" t="s">
        <v>34</v>
      </c>
      <c r="B33" s="32">
        <f t="shared" ref="B33:K33" si="28">B34+B40</f>
        <v>8017.6872217296732</v>
      </c>
      <c r="C33" s="32">
        <f t="shared" si="28"/>
        <v>8405.4292957470643</v>
      </c>
      <c r="D33" s="32">
        <f t="shared" si="28"/>
        <v>7853.4150523004337</v>
      </c>
      <c r="E33" s="32">
        <f t="shared" si="28"/>
        <v>9483.3894718525407</v>
      </c>
      <c r="F33" s="32">
        <f t="shared" si="28"/>
        <v>11152.577294531278</v>
      </c>
      <c r="G33" s="32">
        <f t="shared" si="28"/>
        <v>13499.71303857712</v>
      </c>
      <c r="H33" s="32">
        <f t="shared" si="28"/>
        <v>15028.581414750821</v>
      </c>
      <c r="I33" s="32">
        <f t="shared" si="28"/>
        <v>16973.270792076495</v>
      </c>
      <c r="J33" s="32">
        <f t="shared" si="28"/>
        <v>17696.781432940392</v>
      </c>
      <c r="K33" s="32">
        <f t="shared" si="28"/>
        <v>17543.037943285068</v>
      </c>
      <c r="L33" s="32">
        <f t="shared" ref="L33" si="29">L34+L40</f>
        <v>18915.059043028348</v>
      </c>
      <c r="M33" s="32">
        <f t="shared" ref="M33:V33" si="30">M34+M40</f>
        <v>19189.250914497727</v>
      </c>
      <c r="N33" s="32">
        <f t="shared" si="30"/>
        <v>17358.935716358417</v>
      </c>
      <c r="O33" s="32">
        <f t="shared" si="30"/>
        <v>15711.612413621244</v>
      </c>
      <c r="P33" s="32">
        <f t="shared" si="30"/>
        <v>15944.405783319493</v>
      </c>
      <c r="Q33" s="32">
        <f t="shared" si="30"/>
        <v>16626.3780616859</v>
      </c>
      <c r="R33" s="32">
        <f t="shared" si="30"/>
        <v>20707.038975862768</v>
      </c>
      <c r="S33" s="32">
        <f t="shared" si="30"/>
        <v>25679.584515206949</v>
      </c>
      <c r="T33" s="32">
        <f t="shared" si="30"/>
        <v>26132.407241241541</v>
      </c>
      <c r="U33" s="32">
        <f t="shared" si="30"/>
        <v>26256.653329495417</v>
      </c>
      <c r="V33" s="32">
        <f t="shared" si="30"/>
        <v>24972.509769037202</v>
      </c>
      <c r="W33" s="32">
        <f t="shared" ref="W33:Y33" si="31">W34+W40</f>
        <v>30266.202409968988</v>
      </c>
      <c r="X33" s="32">
        <f t="shared" si="31"/>
        <v>30559.446211449136</v>
      </c>
      <c r="Y33" s="32">
        <f t="shared" si="31"/>
        <v>29755.570032571144</v>
      </c>
      <c r="DA33" s="173" t="s">
        <v>411</v>
      </c>
    </row>
    <row r="34" spans="1:105" ht="11.45" customHeight="1" x14ac:dyDescent="0.25">
      <c r="A34" s="136" t="s">
        <v>153</v>
      </c>
      <c r="B34" s="141">
        <f t="shared" ref="B34:K34" si="32">SUM(B35:B39)</f>
        <v>5767.9595350176087</v>
      </c>
      <c r="C34" s="141">
        <f t="shared" si="32"/>
        <v>5479.029707092488</v>
      </c>
      <c r="D34" s="141">
        <f t="shared" si="32"/>
        <v>5650.5405197442597</v>
      </c>
      <c r="E34" s="141">
        <f t="shared" si="32"/>
        <v>5762.6368543687931</v>
      </c>
      <c r="F34" s="141">
        <f t="shared" si="32"/>
        <v>5577.364872586355</v>
      </c>
      <c r="G34" s="141">
        <f t="shared" si="32"/>
        <v>5654.8294927139232</v>
      </c>
      <c r="H34" s="141">
        <f t="shared" si="32"/>
        <v>5904.3591341476658</v>
      </c>
      <c r="I34" s="141">
        <f t="shared" si="32"/>
        <v>6098.4796070636385</v>
      </c>
      <c r="J34" s="141">
        <f t="shared" si="32"/>
        <v>6271.5964229812234</v>
      </c>
      <c r="K34" s="141">
        <f t="shared" si="32"/>
        <v>6503.8165661995063</v>
      </c>
      <c r="L34" s="141">
        <f t="shared" ref="L34" si="33">SUM(L35:L39)</f>
        <v>6792.2586608752108</v>
      </c>
      <c r="M34" s="141">
        <f t="shared" ref="M34:V34" si="34">SUM(M35:M39)</f>
        <v>7099.6934056123191</v>
      </c>
      <c r="N34" s="141">
        <f t="shared" si="34"/>
        <v>7094.2279423134696</v>
      </c>
      <c r="O34" s="141">
        <f t="shared" si="34"/>
        <v>7247.1535160284966</v>
      </c>
      <c r="P34" s="141">
        <f t="shared" si="34"/>
        <v>7236.7147512471411</v>
      </c>
      <c r="Q34" s="141">
        <f t="shared" si="34"/>
        <v>7329.3244648888467</v>
      </c>
      <c r="R34" s="141">
        <f t="shared" si="34"/>
        <v>7853.408838017619</v>
      </c>
      <c r="S34" s="141">
        <f t="shared" si="34"/>
        <v>8102.3666104067261</v>
      </c>
      <c r="T34" s="141">
        <f t="shared" si="34"/>
        <v>8379.3996736305326</v>
      </c>
      <c r="U34" s="141">
        <f t="shared" si="34"/>
        <v>8668.3707913144208</v>
      </c>
      <c r="V34" s="141">
        <f t="shared" si="34"/>
        <v>8724.800876184443</v>
      </c>
      <c r="W34" s="141">
        <f t="shared" ref="W34:Y34" si="35">SUM(W35:W39)</f>
        <v>9029.3432148584416</v>
      </c>
      <c r="X34" s="141">
        <f t="shared" si="35"/>
        <v>9055.5394588896161</v>
      </c>
      <c r="Y34" s="141">
        <f t="shared" si="35"/>
        <v>9082.1870462011302</v>
      </c>
      <c r="DA34" s="174" t="s">
        <v>412</v>
      </c>
    </row>
    <row r="35" spans="1:105" ht="11.45" customHeight="1" x14ac:dyDescent="0.25">
      <c r="A35" s="111" t="s">
        <v>110</v>
      </c>
      <c r="B35" s="96">
        <v>3072.830577397865</v>
      </c>
      <c r="C35" s="96">
        <v>2959.3498806052253</v>
      </c>
      <c r="D35" s="96">
        <v>2673.2577781396526</v>
      </c>
      <c r="E35" s="96">
        <v>2569.9641097610906</v>
      </c>
      <c r="F35" s="96">
        <v>2312.6070116804913</v>
      </c>
      <c r="G35" s="96">
        <v>2032.2854321265334</v>
      </c>
      <c r="H35" s="96">
        <v>1871.9931549308662</v>
      </c>
      <c r="I35" s="96">
        <v>1684.7255673448935</v>
      </c>
      <c r="J35" s="96">
        <v>1523.973100451253</v>
      </c>
      <c r="K35" s="96">
        <v>1536.6615851207082</v>
      </c>
      <c r="L35" s="96">
        <v>1465.9591053412053</v>
      </c>
      <c r="M35" s="96">
        <v>1343.4900481745512</v>
      </c>
      <c r="N35" s="96">
        <v>1253.935930732328</v>
      </c>
      <c r="O35" s="96">
        <v>1165.1992882335676</v>
      </c>
      <c r="P35" s="96">
        <v>1064.2409551870858</v>
      </c>
      <c r="Q35" s="96">
        <v>929.44268343623162</v>
      </c>
      <c r="R35" s="96">
        <v>923.34939496664856</v>
      </c>
      <c r="S35" s="96">
        <v>954.73795437074625</v>
      </c>
      <c r="T35" s="96">
        <v>944.46523036691269</v>
      </c>
      <c r="U35" s="96">
        <v>953.59499524449666</v>
      </c>
      <c r="V35" s="96">
        <v>874.38146769273078</v>
      </c>
      <c r="W35" s="96">
        <v>876.30303671269439</v>
      </c>
      <c r="X35" s="96">
        <v>912.45607920940608</v>
      </c>
      <c r="Y35" s="96">
        <v>891.01459905477259</v>
      </c>
      <c r="DA35" s="171" t="s">
        <v>762</v>
      </c>
    </row>
    <row r="36" spans="1:105" ht="11.45" customHeight="1" x14ac:dyDescent="0.25">
      <c r="A36" s="111" t="s">
        <v>111</v>
      </c>
      <c r="B36" s="96">
        <v>2589.0257107912475</v>
      </c>
      <c r="C36" s="96">
        <v>2401.5377544431758</v>
      </c>
      <c r="D36" s="96">
        <v>2820.0765565265642</v>
      </c>
      <c r="E36" s="96">
        <v>3009.1452004506791</v>
      </c>
      <c r="F36" s="96">
        <v>3075.9817841839513</v>
      </c>
      <c r="G36" s="96">
        <v>3419.1574680218964</v>
      </c>
      <c r="H36" s="96">
        <v>3793.7581426234597</v>
      </c>
      <c r="I36" s="96">
        <v>4157.6886369852091</v>
      </c>
      <c r="J36" s="96">
        <v>4480.1172653895137</v>
      </c>
      <c r="K36" s="96">
        <v>4694.5793877616352</v>
      </c>
      <c r="L36" s="96">
        <v>5045.8121009749811</v>
      </c>
      <c r="M36" s="96">
        <v>5467.3297894200832</v>
      </c>
      <c r="N36" s="96">
        <v>5579.0926090391458</v>
      </c>
      <c r="O36" s="96">
        <v>5822.8958009766957</v>
      </c>
      <c r="P36" s="96">
        <v>5888.7375532839005</v>
      </c>
      <c r="Q36" s="96">
        <v>6112.0950088959353</v>
      </c>
      <c r="R36" s="96">
        <v>6641.6468589966844</v>
      </c>
      <c r="S36" s="96">
        <v>6868.1694825384702</v>
      </c>
      <c r="T36" s="96">
        <v>7143.6660976051708</v>
      </c>
      <c r="U36" s="96">
        <v>7422.4966836002541</v>
      </c>
      <c r="V36" s="96">
        <v>7570.7348093563332</v>
      </c>
      <c r="W36" s="96">
        <v>7874.6540940037021</v>
      </c>
      <c r="X36" s="96">
        <v>7879.0524707271243</v>
      </c>
      <c r="Y36" s="96">
        <v>7927.88823943852</v>
      </c>
      <c r="DA36" s="171" t="s">
        <v>763</v>
      </c>
    </row>
    <row r="37" spans="1:105" ht="11.45" customHeight="1" x14ac:dyDescent="0.25">
      <c r="A37" s="111" t="s">
        <v>112</v>
      </c>
      <c r="B37" s="96">
        <v>106.10324682849669</v>
      </c>
      <c r="C37" s="96">
        <v>118.14207204408731</v>
      </c>
      <c r="D37" s="96">
        <v>157.20618507804295</v>
      </c>
      <c r="E37" s="96">
        <v>183.52754415702307</v>
      </c>
      <c r="F37" s="96">
        <v>188.77607672191212</v>
      </c>
      <c r="G37" s="96">
        <v>203.38659256549323</v>
      </c>
      <c r="H37" s="96">
        <v>238.6078365933401</v>
      </c>
      <c r="I37" s="96">
        <v>256.06540273353619</v>
      </c>
      <c r="J37" s="96">
        <v>267.50605714045628</v>
      </c>
      <c r="K37" s="96">
        <v>272.57559331716345</v>
      </c>
      <c r="L37" s="96">
        <v>280.4874545590248</v>
      </c>
      <c r="M37" s="96">
        <v>288.8735680176847</v>
      </c>
      <c r="N37" s="96">
        <v>261.19940254199531</v>
      </c>
      <c r="O37" s="96">
        <v>259.05842681823424</v>
      </c>
      <c r="P37" s="96">
        <v>283.73624277615494</v>
      </c>
      <c r="Q37" s="96">
        <v>282.3960118149854</v>
      </c>
      <c r="R37" s="96">
        <v>282.02241949419738</v>
      </c>
      <c r="S37" s="96">
        <v>273.29008578857412</v>
      </c>
      <c r="T37" s="96">
        <v>284.86627644384782</v>
      </c>
      <c r="U37" s="96">
        <v>285.8484414167545</v>
      </c>
      <c r="V37" s="96">
        <v>274.99565823068423</v>
      </c>
      <c r="W37" s="96">
        <v>274.16867628096816</v>
      </c>
      <c r="X37" s="96">
        <v>260.09135140038973</v>
      </c>
      <c r="Y37" s="96">
        <v>259.49537395008338</v>
      </c>
      <c r="DA37" s="171" t="s">
        <v>764</v>
      </c>
    </row>
    <row r="38" spans="1:105" ht="11.45" customHeight="1" x14ac:dyDescent="0.25">
      <c r="A38" s="111" t="s">
        <v>113</v>
      </c>
      <c r="B38" s="96">
        <v>0</v>
      </c>
      <c r="C38" s="96">
        <v>0</v>
      </c>
      <c r="D38" s="96">
        <v>0</v>
      </c>
      <c r="E38" s="96">
        <v>0</v>
      </c>
      <c r="F38" s="96">
        <v>0</v>
      </c>
      <c r="G38" s="96">
        <v>0</v>
      </c>
      <c r="H38" s="96">
        <v>0</v>
      </c>
      <c r="I38" s="96">
        <v>0</v>
      </c>
      <c r="J38" s="96">
        <v>0</v>
      </c>
      <c r="K38" s="96">
        <v>0</v>
      </c>
      <c r="L38" s="96">
        <v>0</v>
      </c>
      <c r="M38" s="96">
        <v>0</v>
      </c>
      <c r="N38" s="96">
        <v>0</v>
      </c>
      <c r="O38" s="96">
        <v>0</v>
      </c>
      <c r="P38" s="96">
        <v>0</v>
      </c>
      <c r="Q38" s="96">
        <v>5.3907607416937529</v>
      </c>
      <c r="R38" s="96">
        <v>6.390164560089163</v>
      </c>
      <c r="S38" s="96">
        <v>6.169087708934895</v>
      </c>
      <c r="T38" s="96">
        <v>6.4020692146009184</v>
      </c>
      <c r="U38" s="96">
        <v>6.4306710529154074</v>
      </c>
      <c r="V38" s="96">
        <v>4.6889409046938715</v>
      </c>
      <c r="W38" s="96">
        <v>4.2174078610769286</v>
      </c>
      <c r="X38" s="96">
        <v>3.9395575526966797</v>
      </c>
      <c r="Y38" s="96">
        <v>3.7888337577528044</v>
      </c>
      <c r="DA38" s="171" t="s">
        <v>765</v>
      </c>
    </row>
    <row r="39" spans="1:105" ht="11.45" customHeight="1" x14ac:dyDescent="0.25">
      <c r="A39" s="111" t="s">
        <v>115</v>
      </c>
      <c r="B39" s="96">
        <v>0</v>
      </c>
      <c r="C39" s="96">
        <v>0</v>
      </c>
      <c r="D39" s="96">
        <v>0</v>
      </c>
      <c r="E39" s="96">
        <v>0</v>
      </c>
      <c r="F39" s="96">
        <v>0</v>
      </c>
      <c r="G39" s="96">
        <v>0</v>
      </c>
      <c r="H39" s="96">
        <v>0</v>
      </c>
      <c r="I39" s="96">
        <v>0</v>
      </c>
      <c r="J39" s="96">
        <v>0</v>
      </c>
      <c r="K39" s="96">
        <v>0</v>
      </c>
      <c r="L39" s="96">
        <v>0</v>
      </c>
      <c r="M39" s="96">
        <v>0</v>
      </c>
      <c r="N39" s="96">
        <v>0</v>
      </c>
      <c r="O39" s="96">
        <v>0</v>
      </c>
      <c r="P39" s="96">
        <v>0</v>
      </c>
      <c r="Q39" s="96">
        <v>0</v>
      </c>
      <c r="R39" s="96">
        <v>0</v>
      </c>
      <c r="S39" s="96">
        <v>0</v>
      </c>
      <c r="T39" s="96">
        <v>0</v>
      </c>
      <c r="U39" s="96">
        <v>0</v>
      </c>
      <c r="V39" s="96">
        <v>0</v>
      </c>
      <c r="W39" s="96">
        <v>0</v>
      </c>
      <c r="X39" s="96">
        <v>0</v>
      </c>
      <c r="Y39" s="96">
        <v>0</v>
      </c>
      <c r="DA39" s="171" t="s">
        <v>766</v>
      </c>
    </row>
    <row r="40" spans="1:105" ht="11.45" customHeight="1" x14ac:dyDescent="0.25">
      <c r="A40" s="109" t="s">
        <v>154</v>
      </c>
      <c r="B40" s="130">
        <f t="shared" ref="B40:K40" si="36">SUM(B41:B42)</f>
        <v>2249.7276867120645</v>
      </c>
      <c r="C40" s="130">
        <f t="shared" si="36"/>
        <v>2926.3995886545754</v>
      </c>
      <c r="D40" s="130">
        <f t="shared" si="36"/>
        <v>2202.874532556174</v>
      </c>
      <c r="E40" s="130">
        <f t="shared" si="36"/>
        <v>3720.7526174837485</v>
      </c>
      <c r="F40" s="130">
        <f t="shared" si="36"/>
        <v>5575.2124219449242</v>
      </c>
      <c r="G40" s="130">
        <f t="shared" si="36"/>
        <v>7844.8835458631956</v>
      </c>
      <c r="H40" s="130">
        <f t="shared" si="36"/>
        <v>9124.222280603155</v>
      </c>
      <c r="I40" s="130">
        <f t="shared" si="36"/>
        <v>10874.791185012855</v>
      </c>
      <c r="J40" s="130">
        <f t="shared" si="36"/>
        <v>11425.185009959168</v>
      </c>
      <c r="K40" s="130">
        <f t="shared" si="36"/>
        <v>11039.221377085563</v>
      </c>
      <c r="L40" s="130">
        <f t="shared" ref="L40" si="37">SUM(L41:L42)</f>
        <v>12122.800382153138</v>
      </c>
      <c r="M40" s="130">
        <f t="shared" ref="M40:V40" si="38">SUM(M41:M42)</f>
        <v>12089.557508885408</v>
      </c>
      <c r="N40" s="130">
        <f t="shared" si="38"/>
        <v>10264.707774044948</v>
      </c>
      <c r="O40" s="130">
        <f t="shared" si="38"/>
        <v>8464.4588975927472</v>
      </c>
      <c r="P40" s="130">
        <f t="shared" si="38"/>
        <v>8707.6910320723509</v>
      </c>
      <c r="Q40" s="130">
        <f t="shared" si="38"/>
        <v>9297.0535967970554</v>
      </c>
      <c r="R40" s="130">
        <f t="shared" si="38"/>
        <v>12853.630137845148</v>
      </c>
      <c r="S40" s="130">
        <f t="shared" si="38"/>
        <v>17577.217904800222</v>
      </c>
      <c r="T40" s="130">
        <f t="shared" si="38"/>
        <v>17753.00756761101</v>
      </c>
      <c r="U40" s="130">
        <f t="shared" si="38"/>
        <v>17588.282538180996</v>
      </c>
      <c r="V40" s="130">
        <f t="shared" si="38"/>
        <v>16247.708892852759</v>
      </c>
      <c r="W40" s="130">
        <f t="shared" ref="W40:Y40" si="39">SUM(W41:W42)</f>
        <v>21236.859195110548</v>
      </c>
      <c r="X40" s="130">
        <f t="shared" si="39"/>
        <v>21503.90675255952</v>
      </c>
      <c r="Y40" s="130">
        <f t="shared" si="39"/>
        <v>20673.382986370016</v>
      </c>
      <c r="DA40" s="176" t="s">
        <v>413</v>
      </c>
    </row>
    <row r="41" spans="1:105" ht="11.45" customHeight="1" x14ac:dyDescent="0.25">
      <c r="A41" s="128" t="s">
        <v>27</v>
      </c>
      <c r="B41" s="97">
        <v>1715.9508414322218</v>
      </c>
      <c r="C41" s="97">
        <v>2214.8767497737012</v>
      </c>
      <c r="D41" s="97">
        <v>1665.1334139252781</v>
      </c>
      <c r="E41" s="97">
        <v>2848.0294113979699</v>
      </c>
      <c r="F41" s="97">
        <v>4259.0723515667169</v>
      </c>
      <c r="G41" s="97">
        <v>6019.6498578728588</v>
      </c>
      <c r="H41" s="97">
        <v>6660.7444780067517</v>
      </c>
      <c r="I41" s="97">
        <v>8290.0471307467596</v>
      </c>
      <c r="J41" s="97">
        <v>8845.0853606141936</v>
      </c>
      <c r="K41" s="97">
        <v>8822.2816636140724</v>
      </c>
      <c r="L41" s="97">
        <v>9494.7886808059338</v>
      </c>
      <c r="M41" s="97">
        <v>9551.9493153379044</v>
      </c>
      <c r="N41" s="97">
        <v>7945.9891881314243</v>
      </c>
      <c r="O41" s="97">
        <v>6594.7769535683456</v>
      </c>
      <c r="P41" s="97">
        <v>6734.3804478932316</v>
      </c>
      <c r="Q41" s="97">
        <v>7252.913635337356</v>
      </c>
      <c r="R41" s="97">
        <v>9771.2463287011124</v>
      </c>
      <c r="S41" s="97">
        <v>13246.078110677849</v>
      </c>
      <c r="T41" s="97">
        <v>13736.664842426255</v>
      </c>
      <c r="U41" s="97">
        <v>13140.117524806043</v>
      </c>
      <c r="V41" s="97">
        <v>12352.583479515049</v>
      </c>
      <c r="W41" s="97">
        <v>16169.93517125586</v>
      </c>
      <c r="X41" s="97">
        <v>16224.462906797939</v>
      </c>
      <c r="Y41" s="97">
        <v>15411.491492162751</v>
      </c>
      <c r="DA41" s="175" t="s">
        <v>767</v>
      </c>
    </row>
    <row r="42" spans="1:105" ht="11.45" customHeight="1" x14ac:dyDescent="0.25">
      <c r="A42" s="138" t="s">
        <v>116</v>
      </c>
      <c r="B42" s="98">
        <v>533.77684527984263</v>
      </c>
      <c r="C42" s="98">
        <v>711.52283888087413</v>
      </c>
      <c r="D42" s="98">
        <v>537.74111863089604</v>
      </c>
      <c r="E42" s="98">
        <v>872.72320608577843</v>
      </c>
      <c r="F42" s="98">
        <v>1316.1400703782076</v>
      </c>
      <c r="G42" s="98">
        <v>1825.2336879903366</v>
      </c>
      <c r="H42" s="98">
        <v>2463.4778025964038</v>
      </c>
      <c r="I42" s="98">
        <v>2584.7440542660956</v>
      </c>
      <c r="J42" s="98">
        <v>2580.0996493449752</v>
      </c>
      <c r="K42" s="98">
        <v>2216.9397134714909</v>
      </c>
      <c r="L42" s="98">
        <v>2628.0117013472041</v>
      </c>
      <c r="M42" s="98">
        <v>2537.6081935475031</v>
      </c>
      <c r="N42" s="98">
        <v>2318.7185859135238</v>
      </c>
      <c r="O42" s="98">
        <v>1869.6819440244017</v>
      </c>
      <c r="P42" s="98">
        <v>1973.3105841791194</v>
      </c>
      <c r="Q42" s="98">
        <v>2044.1399614596992</v>
      </c>
      <c r="R42" s="98">
        <v>3082.3838091440352</v>
      </c>
      <c r="S42" s="98">
        <v>4331.1397941223713</v>
      </c>
      <c r="T42" s="98">
        <v>4016.3427251847565</v>
      </c>
      <c r="U42" s="98">
        <v>4448.1650133749554</v>
      </c>
      <c r="V42" s="98">
        <v>3895.1254133377097</v>
      </c>
      <c r="W42" s="98">
        <v>5066.9240238546863</v>
      </c>
      <c r="X42" s="98">
        <v>5279.4438457615825</v>
      </c>
      <c r="Y42" s="98">
        <v>5261.8914942072624</v>
      </c>
      <c r="DA42" s="178" t="s">
        <v>768</v>
      </c>
    </row>
    <row r="43" spans="1:105" x14ac:dyDescent="0.25">
      <c r="A43" s="106"/>
      <c r="B43" s="106"/>
      <c r="C43" s="106"/>
      <c r="D43" s="106"/>
      <c r="E43" s="106"/>
      <c r="F43" s="106"/>
      <c r="G43" s="106"/>
      <c r="H43" s="106"/>
      <c r="I43" s="106"/>
      <c r="J43" s="106"/>
      <c r="K43" s="106"/>
      <c r="L43" s="106"/>
      <c r="M43" s="106"/>
      <c r="N43" s="106"/>
      <c r="O43" s="106"/>
      <c r="P43" s="106"/>
      <c r="Q43" s="106"/>
      <c r="R43" s="106"/>
      <c r="S43" s="106"/>
      <c r="T43" s="106"/>
      <c r="U43" s="106"/>
      <c r="V43" s="106"/>
      <c r="W43" s="106"/>
      <c r="X43" s="106"/>
      <c r="Y43" s="106"/>
      <c r="DA43" s="171"/>
    </row>
    <row r="44" spans="1:105" ht="11.45" customHeight="1" x14ac:dyDescent="0.25">
      <c r="A44" s="68" t="s">
        <v>36</v>
      </c>
      <c r="B44" s="69"/>
      <c r="C44" s="69"/>
      <c r="D44" s="69"/>
      <c r="E44" s="69"/>
      <c r="F44" s="69"/>
      <c r="G44" s="69"/>
      <c r="H44" s="69"/>
      <c r="I44" s="69"/>
      <c r="J44" s="69"/>
      <c r="K44" s="69"/>
      <c r="L44" s="69"/>
      <c r="M44" s="69"/>
      <c r="N44" s="69"/>
      <c r="O44" s="69"/>
      <c r="P44" s="69"/>
      <c r="Q44" s="69"/>
      <c r="R44" s="69"/>
      <c r="S44" s="69"/>
      <c r="T44" s="69"/>
      <c r="U44" s="69"/>
      <c r="V44" s="69"/>
      <c r="W44" s="69"/>
      <c r="X44" s="69"/>
      <c r="Y44" s="69"/>
      <c r="DA44" s="179"/>
    </row>
    <row r="45" spans="1:105" x14ac:dyDescent="0.25">
      <c r="A45" s="106"/>
      <c r="B45" s="106"/>
      <c r="C45" s="106"/>
      <c r="D45" s="106"/>
      <c r="E45" s="106"/>
      <c r="F45" s="106"/>
      <c r="G45" s="106"/>
      <c r="H45" s="106"/>
      <c r="I45" s="106"/>
      <c r="J45" s="106"/>
      <c r="K45" s="106"/>
      <c r="L45" s="106"/>
      <c r="M45" s="106"/>
      <c r="N45" s="106"/>
      <c r="O45" s="106"/>
      <c r="P45" s="106"/>
      <c r="Q45" s="106"/>
      <c r="R45" s="106"/>
      <c r="S45" s="106"/>
      <c r="T45" s="106"/>
      <c r="U45" s="106"/>
      <c r="V45" s="106"/>
      <c r="W45" s="106"/>
      <c r="X45" s="106"/>
      <c r="Y45" s="106"/>
      <c r="DA45" s="171"/>
    </row>
    <row r="46" spans="1:105" ht="11.45" customHeight="1" x14ac:dyDescent="0.25">
      <c r="A46" s="53" t="s">
        <v>48</v>
      </c>
      <c r="B46" s="132"/>
      <c r="C46" s="132"/>
      <c r="D46" s="132"/>
      <c r="E46" s="132"/>
      <c r="F46" s="132"/>
      <c r="G46" s="132"/>
      <c r="H46" s="132"/>
      <c r="I46" s="132"/>
      <c r="J46" s="132"/>
      <c r="K46" s="132"/>
      <c r="L46" s="132"/>
      <c r="M46" s="132"/>
      <c r="N46" s="132"/>
      <c r="O46" s="132"/>
      <c r="P46" s="132"/>
      <c r="Q46" s="132"/>
      <c r="R46" s="132"/>
      <c r="S46" s="132"/>
      <c r="T46" s="132"/>
      <c r="U46" s="132"/>
      <c r="V46" s="132"/>
      <c r="W46" s="132"/>
      <c r="X46" s="132"/>
      <c r="Y46" s="132"/>
      <c r="DA46" s="172"/>
    </row>
    <row r="47" spans="1:105" ht="11.45" customHeight="1" x14ac:dyDescent="0.25">
      <c r="A47" s="133" t="s">
        <v>45</v>
      </c>
      <c r="B47" s="145">
        <f>IF(B4=0,0,B4/TrRoad_ene!B4)</f>
        <v>2.9589520761636048</v>
      </c>
      <c r="C47" s="145">
        <f>IF(C4=0,0,C4/TrRoad_ene!C4)</f>
        <v>2.9570918323711592</v>
      </c>
      <c r="D47" s="145">
        <f>IF(D4=0,0,D4/TrRoad_ene!D4)</f>
        <v>2.9473726229345223</v>
      </c>
      <c r="E47" s="145">
        <f>IF(E4=0,0,E4/TrRoad_ene!E4)</f>
        <v>2.9424481862096754</v>
      </c>
      <c r="F47" s="145">
        <f>IF(F4=0,0,F4/TrRoad_ene!F4)</f>
        <v>2.9509523921118803</v>
      </c>
      <c r="G47" s="145">
        <f>IF(G4=0,0,G4/TrRoad_ene!G4)</f>
        <v>2.9438227658602312</v>
      </c>
      <c r="H47" s="145">
        <f>IF(H4=0,0,H4/TrRoad_ene!H4)</f>
        <v>2.9416603495244886</v>
      </c>
      <c r="I47" s="145">
        <f>IF(I4=0,0,I4/TrRoad_ene!I4)</f>
        <v>2.9541161912114706</v>
      </c>
      <c r="J47" s="145">
        <f>IF(J4=0,0,J4/TrRoad_ene!J4)</f>
        <v>2.8951823913938788</v>
      </c>
      <c r="K47" s="145">
        <f>IF(K4=0,0,K4/TrRoad_ene!K4)</f>
        <v>2.8641906902577832</v>
      </c>
      <c r="L47" s="145">
        <f>IF(L4=0,0,L4/TrRoad_ene!L4)</f>
        <v>2.836610068659446</v>
      </c>
      <c r="M47" s="145">
        <f>IF(M4=0,0,M4/TrRoad_ene!M4)</f>
        <v>2.8355124672249703</v>
      </c>
      <c r="N47" s="145">
        <f>IF(N4=0,0,N4/TrRoad_ene!N4)</f>
        <v>2.8460910196042297</v>
      </c>
      <c r="O47" s="145">
        <f>IF(O4=0,0,O4/TrRoad_ene!O4)</f>
        <v>2.8436468091621667</v>
      </c>
      <c r="P47" s="145">
        <f>IF(P4=0,0,P4/TrRoad_ene!P4)</f>
        <v>2.8549434973275432</v>
      </c>
      <c r="Q47" s="145">
        <f>IF(Q4=0,0,Q4/TrRoad_ene!Q4)</f>
        <v>2.8742154155107866</v>
      </c>
      <c r="R47" s="145">
        <f>IF(R4=0,0,R4/TrRoad_ene!R4)</f>
        <v>2.9283298038773573</v>
      </c>
      <c r="S47" s="145">
        <f>IF(S4=0,0,S4/TrRoad_ene!S4)</f>
        <v>2.9241990907255833</v>
      </c>
      <c r="T47" s="145">
        <f>IF(T4=0,0,T4/TrRoad_ene!T4)</f>
        <v>2.8847232268718264</v>
      </c>
      <c r="U47" s="145">
        <f>IF(U4=0,0,U4/TrRoad_ene!U4)</f>
        <v>2.8706007462408563</v>
      </c>
      <c r="V47" s="145">
        <f>IF(V4=0,0,V4/TrRoad_ene!V4)</f>
        <v>2.8655266791817677</v>
      </c>
      <c r="W47" s="145">
        <f>IF(W4=0,0,W4/TrRoad_ene!W4)</f>
        <v>2.8664329146782701</v>
      </c>
      <c r="X47" s="145">
        <f>IF(X4=0,0,X4/TrRoad_ene!X4)</f>
        <v>2.8562896453835367</v>
      </c>
      <c r="Y47" s="145">
        <f>IF(Y4=0,0,Y4/TrRoad_ene!Y4)</f>
        <v>2.8391874736784195</v>
      </c>
      <c r="DA47" s="206"/>
    </row>
    <row r="48" spans="1:105" ht="11.45" customHeight="1" x14ac:dyDescent="0.25">
      <c r="A48" s="92" t="s">
        <v>126</v>
      </c>
      <c r="B48" s="97">
        <f>IF(B7=0,0,(B7+B12)/(TrRoad_ene!B7+TrRoad_ene!B12))</f>
        <v>2.9014524000000002</v>
      </c>
      <c r="C48" s="97">
        <f>IF(C7=0,0,(C7+C12)/(TrRoad_ene!C7+TrRoad_ene!C12))</f>
        <v>2.9014524000000002</v>
      </c>
      <c r="D48" s="97">
        <f>IF(D7=0,0,(D7+D12)/(TrRoad_ene!D7+TrRoad_ene!D12))</f>
        <v>2.9014524000000002</v>
      </c>
      <c r="E48" s="97">
        <f>IF(E7=0,0,(E7+E12)/(TrRoad_ene!E7+TrRoad_ene!E12))</f>
        <v>2.8822442508181223</v>
      </c>
      <c r="F48" s="97">
        <f>IF(F7=0,0,(F7+F12)/(TrRoad_ene!F7+TrRoad_ene!F12))</f>
        <v>2.8923899812854454</v>
      </c>
      <c r="G48" s="97">
        <f>IF(G7=0,0,(G7+G12)/(TrRoad_ene!G7+TrRoad_ene!G12))</f>
        <v>2.8778758000866671</v>
      </c>
      <c r="H48" s="97">
        <f>IF(H7=0,0,(H7+H12)/(TrRoad_ene!H7+TrRoad_ene!H12))</f>
        <v>2.8643361619790437</v>
      </c>
      <c r="I48" s="97">
        <f>IF(I7=0,0,(I7+I12)/(TrRoad_ene!I7+TrRoad_ene!I12))</f>
        <v>2.853230855280652</v>
      </c>
      <c r="J48" s="97">
        <f>IF(J7=0,0,(J7+J12)/(TrRoad_ene!J7+TrRoad_ene!J12))</f>
        <v>2.8162951421184625</v>
      </c>
      <c r="K48" s="97">
        <f>IF(K7=0,0,(K7+K12)/(TrRoad_ene!K7+TrRoad_ene!K12))</f>
        <v>2.7919815634303555</v>
      </c>
      <c r="L48" s="97">
        <f>IF(L7=0,0,(L7+L12)/(TrRoad_ene!L7+TrRoad_ene!L12))</f>
        <v>2.7899215138805764</v>
      </c>
      <c r="M48" s="97">
        <f>IF(M7=0,0,(M7+M12)/(TrRoad_ene!M7+TrRoad_ene!M12))</f>
        <v>2.7897431355059328</v>
      </c>
      <c r="N48" s="97">
        <f>IF(N7=0,0,(N7+N12)/(TrRoad_ene!N7+TrRoad_ene!N12))</f>
        <v>2.8005621410333417</v>
      </c>
      <c r="O48" s="97">
        <f>IF(O7=0,0,(O7+O12)/(TrRoad_ene!O7+TrRoad_ene!O12))</f>
        <v>2.791518735747621</v>
      </c>
      <c r="P48" s="97">
        <f>IF(P7=0,0,(P7+P12)/(TrRoad_ene!P7+TrRoad_ene!P12))</f>
        <v>2.7963756721913429</v>
      </c>
      <c r="Q48" s="97">
        <f>IF(Q7=0,0,(Q7+Q12)/(TrRoad_ene!Q7+TrRoad_ene!Q12))</f>
        <v>2.7844988605272603</v>
      </c>
      <c r="R48" s="97">
        <f>IF(R7=0,0,(R7+R12)/(TrRoad_ene!R7+TrRoad_ene!R12))</f>
        <v>2.7806546255290887</v>
      </c>
      <c r="S48" s="97">
        <f>IF(S7=0,0,(S7+S12)/(TrRoad_ene!S7+TrRoad_ene!S12))</f>
        <v>2.7851585736852047</v>
      </c>
      <c r="T48" s="97">
        <f>IF(T7=0,0,(T7+T12)/(TrRoad_ene!T7+TrRoad_ene!T12))</f>
        <v>2.7914733861657761</v>
      </c>
      <c r="U48" s="97">
        <f>IF(U7=0,0,(U7+U12)/(TrRoad_ene!U7+TrRoad_ene!U12))</f>
        <v>2.7863787530778712</v>
      </c>
      <c r="V48" s="97">
        <f>IF(V7=0,0,(V7+V12)/(TrRoad_ene!V7+TrRoad_ene!V12))</f>
        <v>2.7810397882058</v>
      </c>
      <c r="W48" s="97">
        <f>IF(W7=0,0,(W7+W12)/(TrRoad_ene!W7+TrRoad_ene!W12))</f>
        <v>2.777828978842555</v>
      </c>
      <c r="X48" s="97">
        <f>IF(X7=0,0,(X7+X12)/(TrRoad_ene!X7+TrRoad_ene!X12))</f>
        <v>2.7716236354652763</v>
      </c>
      <c r="Y48" s="97">
        <f>IF(Y7=0,0,(Y7+Y12)/(TrRoad_ene!Y7+TrRoad_ene!Y12))</f>
        <v>2.7714901455393885</v>
      </c>
      <c r="DA48" s="175"/>
    </row>
    <row r="49" spans="1:105" ht="11.45" customHeight="1" x14ac:dyDescent="0.25">
      <c r="A49" s="92" t="s">
        <v>95</v>
      </c>
      <c r="B49" s="97">
        <f>IF(B8=0,0,(B8+B13+B14)/(TrRoad_ene!B8+TrRoad_ene!B13+TrRoad_ene!B14))</f>
        <v>3.1024188000000001</v>
      </c>
      <c r="C49" s="97">
        <f>IF(C8=0,0,(C8+C13+C14)/(TrRoad_ene!C8+TrRoad_ene!C13+TrRoad_ene!C14))</f>
        <v>3.1024188000000001</v>
      </c>
      <c r="D49" s="97">
        <f>IF(D8=0,0,(D8+D13+D14)/(TrRoad_ene!D8+TrRoad_ene!D13+TrRoad_ene!D14))</f>
        <v>3.1024188000000001</v>
      </c>
      <c r="E49" s="97">
        <f>IF(E8=0,0,(E8+E13+E14)/(TrRoad_ene!E8+TrRoad_ene!E13+TrRoad_ene!E14))</f>
        <v>3.1024188000000001</v>
      </c>
      <c r="F49" s="97">
        <f>IF(F8=0,0,(F8+F13+F14)/(TrRoad_ene!F8+TrRoad_ene!F13+TrRoad_ene!F14))</f>
        <v>3.1024188000000001</v>
      </c>
      <c r="G49" s="97">
        <f>IF(G8=0,0,(G8+G13+G14)/(TrRoad_ene!G8+TrRoad_ene!G13+TrRoad_ene!G14))</f>
        <v>3.0937113893467494</v>
      </c>
      <c r="H49" s="97">
        <f>IF(H8=0,0,(H8+H13+H14)/(TrRoad_ene!H8+TrRoad_ene!H13+TrRoad_ene!H14))</f>
        <v>3.0855714321277006</v>
      </c>
      <c r="I49" s="97">
        <f>IF(I8=0,0,(I8+I13+I14)/(TrRoad_ene!I8+TrRoad_ene!I13+TrRoad_ene!I14))</f>
        <v>3.0926377700111125</v>
      </c>
      <c r="J49" s="97">
        <f>IF(J8=0,0,(J8+J13+J14)/(TrRoad_ene!J8+TrRoad_ene!J13+TrRoad_ene!J14))</f>
        <v>2.9927212848476406</v>
      </c>
      <c r="K49" s="97">
        <f>IF(K8=0,0,(K8+K13+K14)/(TrRoad_ene!K8+TrRoad_ene!K13+TrRoad_ene!K14))</f>
        <v>2.9449059772232946</v>
      </c>
      <c r="L49" s="97">
        <f>IF(L8=0,0,(L8+L13+L14)/(TrRoad_ene!L8+TrRoad_ene!L13+TrRoad_ene!L14))</f>
        <v>2.892626550741622</v>
      </c>
      <c r="M49" s="97">
        <f>IF(M8=0,0,(M8+M13+M14)/(TrRoad_ene!M8+TrRoad_ene!M13+TrRoad_ene!M14))</f>
        <v>2.8862283331219567</v>
      </c>
      <c r="N49" s="97">
        <f>IF(N8=0,0,(N8+N13+N14)/(TrRoad_ene!N8+TrRoad_ene!N13+TrRoad_ene!N14))</f>
        <v>2.9003239185394762</v>
      </c>
      <c r="O49" s="97">
        <f>IF(O8=0,0,(O8+O13+O14)/(TrRoad_ene!O8+TrRoad_ene!O13+TrRoad_ene!O14))</f>
        <v>2.9038429541890873</v>
      </c>
      <c r="P49" s="97">
        <f>IF(P8=0,0,(P8+P13+P14)/(TrRoad_ene!P8+TrRoad_ene!P13+TrRoad_ene!P14))</f>
        <v>2.9179746673238678</v>
      </c>
      <c r="Q49" s="97">
        <f>IF(Q8=0,0,(Q8+Q13+Q14)/(TrRoad_ene!Q8+TrRoad_ene!Q13+TrRoad_ene!Q14))</f>
        <v>2.9508034285438232</v>
      </c>
      <c r="R49" s="97">
        <f>IF(R8=0,0,(R8+R13+R14)/(TrRoad_ene!R8+TrRoad_ene!R13+TrRoad_ene!R14))</f>
        <v>3.0266006370169847</v>
      </c>
      <c r="S49" s="97">
        <f>IF(S8=0,0,(S8+S13+S14)/(TrRoad_ene!S8+TrRoad_ene!S13+TrRoad_ene!S14))</f>
        <v>3.0089892280068469</v>
      </c>
      <c r="T49" s="97">
        <f>IF(T8=0,0,(T8+T13+T14)/(TrRoad_ene!T8+TrRoad_ene!T13+TrRoad_ene!T14))</f>
        <v>2.9483374527869368</v>
      </c>
      <c r="U49" s="97">
        <f>IF(U8=0,0,(U8+U13+U14)/(TrRoad_ene!U8+TrRoad_ene!U13+TrRoad_ene!U14))</f>
        <v>2.9306242129590485</v>
      </c>
      <c r="V49" s="97">
        <f>IF(V8=0,0,(V8+V13+V14)/(TrRoad_ene!V8+TrRoad_ene!V13+TrRoad_ene!V14))</f>
        <v>2.9221089626889576</v>
      </c>
      <c r="W49" s="97">
        <f>IF(W8=0,0,(W8+W13+W14)/(TrRoad_ene!W8+TrRoad_ene!W13+TrRoad_ene!W14))</f>
        <v>2.9249610245174775</v>
      </c>
      <c r="X49" s="97">
        <f>IF(X8=0,0,(X8+X13+X14)/(TrRoad_ene!X8+TrRoad_ene!X13+TrRoad_ene!X14))</f>
        <v>2.9154845659696318</v>
      </c>
      <c r="Y49" s="97">
        <f>IF(Y8=0,0,(Y8+Y13+Y14)/(TrRoad_ene!Y8+TrRoad_ene!Y13+TrRoad_ene!Y14))</f>
        <v>2.8953406840522322</v>
      </c>
      <c r="DA49" s="175"/>
    </row>
    <row r="50" spans="1:105" ht="11.45" customHeight="1" x14ac:dyDescent="0.25">
      <c r="A50" s="92" t="s">
        <v>127</v>
      </c>
      <c r="B50" s="97">
        <f>IF(B6=0,0,B6/TrRoad_ene!B6)</f>
        <v>2.6418708000000004</v>
      </c>
      <c r="C50" s="97">
        <f>IF(C6=0,0,C6/TrRoad_ene!C6)</f>
        <v>2.6418708000000004</v>
      </c>
      <c r="D50" s="97">
        <f>IF(D6=0,0,D6/TrRoad_ene!D6)</f>
        <v>2.6418708000000004</v>
      </c>
      <c r="E50" s="97">
        <f>IF(E6=0,0,E6/TrRoad_ene!E6)</f>
        <v>2.6418708000000004</v>
      </c>
      <c r="F50" s="97">
        <f>IF(F6=0,0,F6/TrRoad_ene!F6)</f>
        <v>2.6418708000000004</v>
      </c>
      <c r="G50" s="97">
        <f>IF(G6=0,0,G6/TrRoad_ene!G6)</f>
        <v>2.6418708000000004</v>
      </c>
      <c r="H50" s="97">
        <f>IF(H6=0,0,H6/TrRoad_ene!H6)</f>
        <v>2.6418708000000004</v>
      </c>
      <c r="I50" s="97">
        <f>IF(I6=0,0,I6/TrRoad_ene!I6)</f>
        <v>2.6418708000000004</v>
      </c>
      <c r="J50" s="97">
        <f>IF(J6=0,0,J6/TrRoad_ene!J6)</f>
        <v>2.6418708</v>
      </c>
      <c r="K50" s="97">
        <f>IF(K6=0,0,K6/TrRoad_ene!K6)</f>
        <v>2.6418708000000004</v>
      </c>
      <c r="L50" s="97">
        <f>IF(L6=0,0,L6/TrRoad_ene!L6)</f>
        <v>2.6418708000000004</v>
      </c>
      <c r="M50" s="97">
        <f>IF(M6=0,0,M6/TrRoad_ene!M6)</f>
        <v>2.6418708000000004</v>
      </c>
      <c r="N50" s="97">
        <f>IF(N6=0,0,N6/TrRoad_ene!N6)</f>
        <v>2.6418708000000004</v>
      </c>
      <c r="O50" s="97">
        <f>IF(O6=0,0,O6/TrRoad_ene!O6)</f>
        <v>2.6418708000000009</v>
      </c>
      <c r="P50" s="97">
        <f>IF(P6=0,0,P6/TrRoad_ene!P6)</f>
        <v>2.6418708000000004</v>
      </c>
      <c r="Q50" s="97">
        <f>IF(Q6=0,0,Q6/TrRoad_ene!Q6)</f>
        <v>2.6418708</v>
      </c>
      <c r="R50" s="97">
        <f>IF(R6=0,0,R6/TrRoad_ene!R6)</f>
        <v>2.6418708000000004</v>
      </c>
      <c r="S50" s="97">
        <f>IF(S6=0,0,S6/TrRoad_ene!S6)</f>
        <v>2.6418708000000004</v>
      </c>
      <c r="T50" s="97">
        <f>IF(T6=0,0,T6/TrRoad_ene!T6)</f>
        <v>2.6418708000000004</v>
      </c>
      <c r="U50" s="97">
        <f>IF(U6=0,0,U6/TrRoad_ene!U6)</f>
        <v>2.6418708000000004</v>
      </c>
      <c r="V50" s="97">
        <f>IF(V6=0,0,V6/TrRoad_ene!V6)</f>
        <v>2.6418708000000004</v>
      </c>
      <c r="W50" s="97">
        <f>IF(W6=0,0,W6/TrRoad_ene!W6)</f>
        <v>2.6418708000000004</v>
      </c>
      <c r="X50" s="97">
        <f>IF(X6=0,0,X6/TrRoad_ene!X6)</f>
        <v>2.6418708000000004</v>
      </c>
      <c r="Y50" s="97">
        <f>IF(Y6=0,0,Y6/TrRoad_ene!Y6)</f>
        <v>2.6418708000000004</v>
      </c>
      <c r="DA50" s="175"/>
    </row>
    <row r="51" spans="1:105" ht="11.45" customHeight="1" x14ac:dyDescent="0.25">
      <c r="A51" s="92" t="s">
        <v>128</v>
      </c>
      <c r="B51" s="97">
        <f>IF(B9=0,0,(B9+B11)/(TrRoad_ene!B9+TrRoad_ene!B11))</f>
        <v>0</v>
      </c>
      <c r="C51" s="97">
        <f>IF(C9=0,0,(C9+C11)/(TrRoad_ene!C9+TrRoad_ene!C11))</f>
        <v>0</v>
      </c>
      <c r="D51" s="97">
        <f>IF(D9=0,0,(D9+D11)/(TrRoad_ene!D9+TrRoad_ene!D11))</f>
        <v>0</v>
      </c>
      <c r="E51" s="97">
        <f>IF(E9=0,0,(E9+E11)/(TrRoad_ene!E9+TrRoad_ene!E11))</f>
        <v>0</v>
      </c>
      <c r="F51" s="97">
        <f>IF(F9=0,0,(F9+F11)/(TrRoad_ene!F9+TrRoad_ene!F11))</f>
        <v>0</v>
      </c>
      <c r="G51" s="97">
        <f>IF(G9=0,0,(G9+G11)/(TrRoad_ene!G9+TrRoad_ene!G11))</f>
        <v>0</v>
      </c>
      <c r="H51" s="97">
        <f>IF(H9=0,0,(H9+H11)/(TrRoad_ene!H9+TrRoad_ene!H11))</f>
        <v>0</v>
      </c>
      <c r="I51" s="97">
        <f>IF(I9=0,0,(I9+I11)/(TrRoad_ene!I9+TrRoad_ene!I11))</f>
        <v>0</v>
      </c>
      <c r="J51" s="97">
        <f>IF(J9=0,0,(J9+J11)/(TrRoad_ene!J9+TrRoad_ene!J11))</f>
        <v>0</v>
      </c>
      <c r="K51" s="97">
        <f>IF(K9=0,0,(K9+K11)/(TrRoad_ene!K9+TrRoad_ene!K11))</f>
        <v>0</v>
      </c>
      <c r="L51" s="97">
        <f>IF(L9=0,0,(L9+L11)/(TrRoad_ene!L9+TrRoad_ene!L11))</f>
        <v>0</v>
      </c>
      <c r="M51" s="97">
        <f>IF(M9=0,0,(M9+M11)/(TrRoad_ene!M9+TrRoad_ene!M11))</f>
        <v>0</v>
      </c>
      <c r="N51" s="97">
        <f>IF(N9=0,0,(N9+N11)/(TrRoad_ene!N9+TrRoad_ene!N11))</f>
        <v>0</v>
      </c>
      <c r="O51" s="97">
        <f>IF(O9=0,0,(O9+O11)/(TrRoad_ene!O9+TrRoad_ene!O11))</f>
        <v>0</v>
      </c>
      <c r="P51" s="97">
        <f>IF(P9=0,0,(P9+P11)/(TrRoad_ene!P9+TrRoad_ene!P11))</f>
        <v>0</v>
      </c>
      <c r="Q51" s="97">
        <f>IF(Q9=0,0,(Q9+Q11)/(TrRoad_ene!Q9+TrRoad_ene!Q11))</f>
        <v>2.3487948000000003</v>
      </c>
      <c r="R51" s="97">
        <f>IF(R9=0,0,(R9+R11)/(TrRoad_ene!R9+TrRoad_ene!R11))</f>
        <v>2.3487948000000003</v>
      </c>
      <c r="S51" s="97">
        <f>IF(S9=0,0,(S9+S11)/(TrRoad_ene!S9+TrRoad_ene!S11))</f>
        <v>2.3487948000000003</v>
      </c>
      <c r="T51" s="97">
        <f>IF(T9=0,0,(T9+T11)/(TrRoad_ene!T9+TrRoad_ene!T11))</f>
        <v>2.3487948000000003</v>
      </c>
      <c r="U51" s="97">
        <f>IF(U9=0,0,(U9+U11)/(TrRoad_ene!U9+TrRoad_ene!U11))</f>
        <v>2.3487948000000003</v>
      </c>
      <c r="V51" s="97">
        <f>IF(V9=0,0,(V9+V11)/(TrRoad_ene!V9+TrRoad_ene!V11))</f>
        <v>2.3487948000000003</v>
      </c>
      <c r="W51" s="97">
        <f>IF(W9=0,0,(W9+W11)/(TrRoad_ene!W9+TrRoad_ene!W11))</f>
        <v>2.3487948000000003</v>
      </c>
      <c r="X51" s="97">
        <f>IF(X9=0,0,(X9+X11)/(TrRoad_ene!X9+TrRoad_ene!X11))</f>
        <v>2.3487948000000003</v>
      </c>
      <c r="Y51" s="97">
        <f>IF(Y9=0,0,(Y9+Y11)/(TrRoad_ene!Y9+TrRoad_ene!Y11))</f>
        <v>2.3487948000000003</v>
      </c>
      <c r="DA51" s="175"/>
    </row>
    <row r="52" spans="1:105" ht="11.45" customHeight="1" x14ac:dyDescent="0.25">
      <c r="A52" s="85" t="s">
        <v>91</v>
      </c>
      <c r="B52" s="98">
        <f>IF(B15=0,0,B15/TrRoad_ene!B15)</f>
        <v>0</v>
      </c>
      <c r="C52" s="98">
        <f>IF(C15=0,0,C15/TrRoad_ene!C15)</f>
        <v>0</v>
      </c>
      <c r="D52" s="98">
        <f>IF(D15=0,0,D15/TrRoad_ene!D15)</f>
        <v>0</v>
      </c>
      <c r="E52" s="98">
        <f>IF(E15=0,0,E15/TrRoad_ene!E15)</f>
        <v>0</v>
      </c>
      <c r="F52" s="98">
        <f>IF(F15=0,0,F15/TrRoad_ene!F15)</f>
        <v>0</v>
      </c>
      <c r="G52" s="98">
        <f>IF(G15=0,0,G15/TrRoad_ene!G15)</f>
        <v>0</v>
      </c>
      <c r="H52" s="98">
        <f>IF(H15=0,0,H15/TrRoad_ene!H15)</f>
        <v>0</v>
      </c>
      <c r="I52" s="98">
        <f>IF(I15=0,0,I15/TrRoad_ene!I15)</f>
        <v>0</v>
      </c>
      <c r="J52" s="98">
        <f>IF(J15=0,0,J15/TrRoad_ene!J15)</f>
        <v>0</v>
      </c>
      <c r="K52" s="98">
        <f>IF(K15=0,0,K15/TrRoad_ene!K15)</f>
        <v>0</v>
      </c>
      <c r="L52" s="98">
        <f>IF(L15=0,0,L15/TrRoad_ene!L15)</f>
        <v>0</v>
      </c>
      <c r="M52" s="98">
        <f>IF(M15=0,0,M15/TrRoad_ene!M15)</f>
        <v>0</v>
      </c>
      <c r="N52" s="98">
        <f>IF(N15=0,0,N15/TrRoad_ene!N15)</f>
        <v>0</v>
      </c>
      <c r="O52" s="98">
        <f>IF(O15=0,0,O15/TrRoad_ene!O15)</f>
        <v>0</v>
      </c>
      <c r="P52" s="98">
        <f>IF(P15=0,0,P15/TrRoad_ene!P15)</f>
        <v>0</v>
      </c>
      <c r="Q52" s="98">
        <f>IF(Q15=0,0,Q15/TrRoad_ene!Q15)</f>
        <v>0</v>
      </c>
      <c r="R52" s="98">
        <f>IF(R15=0,0,R15/TrRoad_ene!R15)</f>
        <v>0</v>
      </c>
      <c r="S52" s="98">
        <f>IF(S15=0,0,S15/TrRoad_ene!S15)</f>
        <v>0</v>
      </c>
      <c r="T52" s="98">
        <f>IF(T15=0,0,T15/TrRoad_ene!T15)</f>
        <v>0</v>
      </c>
      <c r="U52" s="98">
        <f>IF(U15=0,0,U15/TrRoad_ene!U15)</f>
        <v>0</v>
      </c>
      <c r="V52" s="98">
        <f>IF(V15=0,0,V15/TrRoad_ene!V15)</f>
        <v>0</v>
      </c>
      <c r="W52" s="98">
        <f>IF(W15=0,0,W15/TrRoad_ene!W15)</f>
        <v>0</v>
      </c>
      <c r="X52" s="98">
        <f>IF(X15=0,0,X15/TrRoad_ene!X15)</f>
        <v>0</v>
      </c>
      <c r="Y52" s="98">
        <f>IF(Y15=0,0,Y15/TrRoad_ene!Y15)</f>
        <v>0</v>
      </c>
      <c r="DA52" s="178"/>
    </row>
    <row r="53" spans="1:105" x14ac:dyDescent="0.25">
      <c r="A53" s="106"/>
      <c r="B53" s="106"/>
      <c r="C53" s="106"/>
      <c r="D53" s="106"/>
      <c r="E53" s="106"/>
      <c r="F53" s="106"/>
      <c r="G53" s="106"/>
      <c r="H53" s="106"/>
      <c r="I53" s="106"/>
      <c r="J53" s="106"/>
      <c r="K53" s="106"/>
      <c r="L53" s="106"/>
      <c r="M53" s="106"/>
      <c r="N53" s="106"/>
      <c r="O53" s="106"/>
      <c r="P53" s="106"/>
      <c r="Q53" s="106"/>
      <c r="R53" s="106"/>
      <c r="S53" s="106"/>
      <c r="T53" s="106"/>
      <c r="U53" s="106"/>
      <c r="V53" s="106"/>
      <c r="W53" s="106"/>
      <c r="X53" s="106"/>
      <c r="Y53" s="106"/>
      <c r="DA53" s="171"/>
    </row>
    <row r="54" spans="1:105" ht="11.45" customHeight="1" x14ac:dyDescent="0.25">
      <c r="A54" s="53" t="s">
        <v>129</v>
      </c>
      <c r="B54" s="62">
        <f>IF(TrRoad_act!B30=0,0,B17/TrRoad_act!B30*1000
)</f>
        <v>264.72261354405845</v>
      </c>
      <c r="C54" s="62">
        <f>IF(TrRoad_act!C30=0,0,C17/TrRoad_act!C30*1000
)</f>
        <v>264.87842515445493</v>
      </c>
      <c r="D54" s="62">
        <f>IF(TrRoad_act!D30=0,0,D17/TrRoad_act!D30*1000
)</f>
        <v>251.79149203031974</v>
      </c>
      <c r="E54" s="62">
        <f>IF(TrRoad_act!E30=0,0,E17/TrRoad_act!E30*1000
)</f>
        <v>262.999168746804</v>
      </c>
      <c r="F54" s="62">
        <f>IF(TrRoad_act!F30=0,0,F17/TrRoad_act!F30*1000
)</f>
        <v>275.1918165514017</v>
      </c>
      <c r="G54" s="62">
        <f>IF(TrRoad_act!G30=0,0,G17/TrRoad_act!G30*1000
)</f>
        <v>295.05714217045295</v>
      </c>
      <c r="H54" s="62">
        <f>IF(TrRoad_act!H30=0,0,H17/TrRoad_act!H30*1000
)</f>
        <v>298.30014645153744</v>
      </c>
      <c r="I54" s="62">
        <f>IF(TrRoad_act!I30=0,0,I17/TrRoad_act!I30*1000
)</f>
        <v>303.76358751123388</v>
      </c>
      <c r="J54" s="62">
        <f>IF(TrRoad_act!J30=0,0,J17/TrRoad_act!J30*1000
)</f>
        <v>291.76358771724296</v>
      </c>
      <c r="K54" s="62">
        <f>IF(TrRoad_act!K30=0,0,K17/TrRoad_act!K30*1000
)</f>
        <v>279.08200641713552</v>
      </c>
      <c r="L54" s="62">
        <f>IF(TrRoad_act!L30=0,0,L17/TrRoad_act!L30*1000
)</f>
        <v>277.34660399822684</v>
      </c>
      <c r="M54" s="62">
        <f>IF(TrRoad_act!M30=0,0,M17/TrRoad_act!M30*1000
)</f>
        <v>272.53787969833297</v>
      </c>
      <c r="N54" s="62">
        <f>IF(TrRoad_act!N30=0,0,N17/TrRoad_act!N30*1000
)</f>
        <v>262.17783548945818</v>
      </c>
      <c r="O54" s="62">
        <f>IF(TrRoad_act!O30=0,0,O17/TrRoad_act!O30*1000
)</f>
        <v>250.01286098135432</v>
      </c>
      <c r="P54" s="62">
        <f>IF(TrRoad_act!P30=0,0,P17/TrRoad_act!P30*1000
)</f>
        <v>251.0403546081597</v>
      </c>
      <c r="Q54" s="62">
        <f>IF(TrRoad_act!Q30=0,0,Q17/TrRoad_act!Q30*1000
)</f>
        <v>250.58518541732323</v>
      </c>
      <c r="R54" s="62">
        <f>IF(TrRoad_act!R30=0,0,R17/TrRoad_act!R30*1000
)</f>
        <v>273.4176807850161</v>
      </c>
      <c r="S54" s="62">
        <f>IF(TrRoad_act!S30=0,0,S17/TrRoad_act!S30*1000
)</f>
        <v>288.90088365265888</v>
      </c>
      <c r="T54" s="62">
        <f>IF(TrRoad_act!T30=0,0,T17/TrRoad_act!T30*1000
)</f>
        <v>277.27619196769444</v>
      </c>
      <c r="U54" s="62">
        <f>IF(TrRoad_act!U30=0,0,U17/TrRoad_act!U30*1000
)</f>
        <v>271.72229453953105</v>
      </c>
      <c r="V54" s="62">
        <f>IF(TrRoad_act!V30=0,0,V17/TrRoad_act!V30*1000
)</f>
        <v>257.14014794267183</v>
      </c>
      <c r="W54" s="62">
        <f>IF(TrRoad_act!W30=0,0,W17/TrRoad_act!W30*1000
)</f>
        <v>277.48583629671407</v>
      </c>
      <c r="X54" s="62">
        <f>IF(TrRoad_act!X30=0,0,X17/TrRoad_act!X30*1000
)</f>
        <v>274.27626785116433</v>
      </c>
      <c r="Y54" s="62">
        <f>IF(TrRoad_act!Y30=0,0,Y17/TrRoad_act!Y30*1000
)</f>
        <v>265.9219722974708</v>
      </c>
      <c r="DA54" s="172" t="s">
        <v>769</v>
      </c>
    </row>
    <row r="55" spans="1:105" ht="11.45" customHeight="1" x14ac:dyDescent="0.25">
      <c r="A55" s="27" t="s">
        <v>33</v>
      </c>
      <c r="B55" s="29">
        <f>IF(TrRoad_act!B31=0,0,B18/TrRoad_act!B31*1000
)</f>
        <v>252.24875748427743</v>
      </c>
      <c r="C55" s="29">
        <f>IF(TrRoad_act!C31=0,0,C18/TrRoad_act!C31*1000
)</f>
        <v>246.00792020931729</v>
      </c>
      <c r="D55" s="29">
        <f>IF(TrRoad_act!D31=0,0,D18/TrRoad_act!D31*1000
)</f>
        <v>238.853779107164</v>
      </c>
      <c r="E55" s="29">
        <f>IF(TrRoad_act!E31=0,0,E18/TrRoad_act!E31*1000
)</f>
        <v>236.93891997694064</v>
      </c>
      <c r="F55" s="29">
        <f>IF(TrRoad_act!F31=0,0,F18/TrRoad_act!F31*1000
)</f>
        <v>237.7542975037278</v>
      </c>
      <c r="G55" s="29">
        <f>IF(TrRoad_act!G31=0,0,G18/TrRoad_act!G31*1000
)</f>
        <v>238.78278955819843</v>
      </c>
      <c r="H55" s="29">
        <f>IF(TrRoad_act!H31=0,0,H18/TrRoad_act!H31*1000
)</f>
        <v>236.62765712852953</v>
      </c>
      <c r="I55" s="29">
        <f>IF(TrRoad_act!I31=0,0,I18/TrRoad_act!I31*1000
)</f>
        <v>234.84508849915304</v>
      </c>
      <c r="J55" s="29">
        <f>IF(TrRoad_act!J31=0,0,J18/TrRoad_act!J31*1000
)</f>
        <v>224.25176279126066</v>
      </c>
      <c r="K55" s="29">
        <f>IF(TrRoad_act!K31=0,0,K18/TrRoad_act!K31*1000
)</f>
        <v>218.36354017232622</v>
      </c>
      <c r="L55" s="29">
        <f>IF(TrRoad_act!L31=0,0,L18/TrRoad_act!L31*1000
)</f>
        <v>214.21944478732496</v>
      </c>
      <c r="M55" s="29">
        <f>IF(TrRoad_act!M31=0,0,M18/TrRoad_act!M31*1000
)</f>
        <v>211.7841638887939</v>
      </c>
      <c r="N55" s="29">
        <f>IF(TrRoad_act!N31=0,0,N18/TrRoad_act!N31*1000
)</f>
        <v>211.50860391955129</v>
      </c>
      <c r="O55" s="29">
        <f>IF(TrRoad_act!O31=0,0,O18/TrRoad_act!O31*1000
)</f>
        <v>209.62213310768504</v>
      </c>
      <c r="P55" s="29">
        <f>IF(TrRoad_act!P31=0,0,P18/TrRoad_act!P31*1000
)</f>
        <v>209.17117568385473</v>
      </c>
      <c r="Q55" s="29">
        <f>IF(TrRoad_act!Q31=0,0,Q18/TrRoad_act!Q31*1000
)</f>
        <v>208.40990625077046</v>
      </c>
      <c r="R55" s="29">
        <f>IF(TrRoad_act!R31=0,0,R18/TrRoad_act!R31*1000
)</f>
        <v>215.58731217913038</v>
      </c>
      <c r="S55" s="29">
        <f>IF(TrRoad_act!S31=0,0,S18/TrRoad_act!S31*1000
)</f>
        <v>215.3115044027243</v>
      </c>
      <c r="T55" s="29">
        <f>IF(TrRoad_act!T31=0,0,T18/TrRoad_act!T31*1000
)</f>
        <v>205.04129527227548</v>
      </c>
      <c r="U55" s="29">
        <f>IF(TrRoad_act!U31=0,0,U18/TrRoad_act!U31*1000
)</f>
        <v>202.91431069154547</v>
      </c>
      <c r="V55" s="29">
        <f>IF(TrRoad_act!V31=0,0,V18/TrRoad_act!V31*1000
)</f>
        <v>192.89074088302988</v>
      </c>
      <c r="W55" s="29">
        <f>IF(TrRoad_act!W31=0,0,W18/TrRoad_act!W31*1000
)</f>
        <v>193.05867030993068</v>
      </c>
      <c r="X55" s="29">
        <f>IF(TrRoad_act!X31=0,0,X18/TrRoad_act!X31*1000
)</f>
        <v>191.53113812616004</v>
      </c>
      <c r="Y55" s="29">
        <f>IF(TrRoad_act!Y31=0,0,Y18/TrRoad_act!Y31*1000
)</f>
        <v>186.77540844778554</v>
      </c>
      <c r="DA55" s="173" t="s">
        <v>770</v>
      </c>
    </row>
    <row r="56" spans="1:105" ht="11.45" customHeight="1" x14ac:dyDescent="0.25">
      <c r="A56" s="136" t="s">
        <v>173</v>
      </c>
      <c r="B56" s="152">
        <f>IF(TrRoad_act!B32=0,0,B19/TrRoad_act!B32*1000
)</f>
        <v>138.54377681647992</v>
      </c>
      <c r="C56" s="152">
        <f>IF(TrRoad_act!C32=0,0,C19/TrRoad_act!C32*1000
)</f>
        <v>133.63678994691776</v>
      </c>
      <c r="D56" s="152">
        <f>IF(TrRoad_act!D32=0,0,D19/TrRoad_act!D32*1000
)</f>
        <v>136.47998836931021</v>
      </c>
      <c r="E56" s="152">
        <f>IF(TrRoad_act!E32=0,0,E19/TrRoad_act!E32*1000
)</f>
        <v>128.99387168428632</v>
      </c>
      <c r="F56" s="152">
        <f>IF(TrRoad_act!F32=0,0,F19/TrRoad_act!F32*1000
)</f>
        <v>129.36854713172548</v>
      </c>
      <c r="G56" s="152">
        <f>IF(TrRoad_act!G32=0,0,G19/TrRoad_act!G32*1000
)</f>
        <v>124.61887357629138</v>
      </c>
      <c r="H56" s="152">
        <f>IF(TrRoad_act!H32=0,0,H19/TrRoad_act!H32*1000
)</f>
        <v>122.59494843525397</v>
      </c>
      <c r="I56" s="152">
        <f>IF(TrRoad_act!I32=0,0,I19/TrRoad_act!I32*1000
)</f>
        <v>120.29144419479162</v>
      </c>
      <c r="J56" s="152">
        <f>IF(TrRoad_act!J32=0,0,J19/TrRoad_act!J32*1000
)</f>
        <v>121.76832993605858</v>
      </c>
      <c r="K56" s="152">
        <f>IF(TrRoad_act!K32=0,0,K19/TrRoad_act!K32*1000
)</f>
        <v>112.33031244970408</v>
      </c>
      <c r="L56" s="152">
        <f>IF(TrRoad_act!L32=0,0,L19/TrRoad_act!L32*1000
)</f>
        <v>110.52954298777033</v>
      </c>
      <c r="M56" s="152">
        <f>IF(TrRoad_act!M32=0,0,M19/TrRoad_act!M32*1000
)</f>
        <v>108.73660664731514</v>
      </c>
      <c r="N56" s="152">
        <f>IF(TrRoad_act!N32=0,0,N19/TrRoad_act!N32*1000
)</f>
        <v>107.92137786840311</v>
      </c>
      <c r="O56" s="152">
        <f>IF(TrRoad_act!O32=0,0,O19/TrRoad_act!O32*1000
)</f>
        <v>106.37958403281911</v>
      </c>
      <c r="P56" s="152">
        <f>IF(TrRoad_act!P32=0,0,P19/TrRoad_act!P32*1000
)</f>
        <v>105.86522506928274</v>
      </c>
      <c r="Q56" s="152">
        <f>IF(TrRoad_act!Q32=0,0,Q19/TrRoad_act!Q32*1000
)</f>
        <v>104.09925787972115</v>
      </c>
      <c r="R56" s="152">
        <f>IF(TrRoad_act!R32=0,0,R19/TrRoad_act!R32*1000
)</f>
        <v>102.75014627243067</v>
      </c>
      <c r="S56" s="152">
        <f>IF(TrRoad_act!S32=0,0,S19/TrRoad_act!S32*1000
)</f>
        <v>102.31239098144367</v>
      </c>
      <c r="T56" s="152">
        <f>IF(TrRoad_act!T32=0,0,T19/TrRoad_act!T32*1000
)</f>
        <v>101.83367585570925</v>
      </c>
      <c r="U56" s="152">
        <f>IF(TrRoad_act!U32=0,0,U19/TrRoad_act!U32*1000
)</f>
        <v>101.2592098458931</v>
      </c>
      <c r="V56" s="152">
        <f>IF(TrRoad_act!V32=0,0,V19/TrRoad_act!V32*1000
)</f>
        <v>100.68290821425161</v>
      </c>
      <c r="W56" s="152">
        <f>IF(TrRoad_act!W32=0,0,W19/TrRoad_act!W32*1000
)</f>
        <v>100.24720837888684</v>
      </c>
      <c r="X56" s="152">
        <f>IF(TrRoad_act!X32=0,0,X19/TrRoad_act!X32*1000
)</f>
        <v>99.728230049938503</v>
      </c>
      <c r="Y56" s="152">
        <f>IF(TrRoad_act!Y32=0,0,Y19/TrRoad_act!Y32*1000
)</f>
        <v>99.429880820017246</v>
      </c>
      <c r="DA56" s="174" t="s">
        <v>771</v>
      </c>
    </row>
    <row r="57" spans="1:105" ht="11.45" customHeight="1" x14ac:dyDescent="0.25">
      <c r="A57" s="109" t="s">
        <v>20</v>
      </c>
      <c r="B57" s="116">
        <f>IF(TrRoad_act!B33=0,0,B20/TrRoad_act!B33*1000
)</f>
        <v>217.64619962067769</v>
      </c>
      <c r="C57" s="116">
        <f>IF(TrRoad_act!C33=0,0,C20/TrRoad_act!C33*1000
)</f>
        <v>213.78181226547738</v>
      </c>
      <c r="D57" s="116">
        <f>IF(TrRoad_act!D33=0,0,D20/TrRoad_act!D33*1000
)</f>
        <v>207.46812116077396</v>
      </c>
      <c r="E57" s="116">
        <f>IF(TrRoad_act!E33=0,0,E20/TrRoad_act!E33*1000
)</f>
        <v>208.34325454365793</v>
      </c>
      <c r="F57" s="116">
        <f>IF(TrRoad_act!F33=0,0,F20/TrRoad_act!F33*1000
)</f>
        <v>210.61102354476128</v>
      </c>
      <c r="G57" s="116">
        <f>IF(TrRoad_act!G33=0,0,G20/TrRoad_act!G33*1000
)</f>
        <v>212.84487968398807</v>
      </c>
      <c r="H57" s="116">
        <f>IF(TrRoad_act!H33=0,0,H20/TrRoad_act!H33*1000
)</f>
        <v>214.88260543626026</v>
      </c>
      <c r="I57" s="116">
        <f>IF(TrRoad_act!I33=0,0,I20/TrRoad_act!I33*1000
)</f>
        <v>215.13082045717627</v>
      </c>
      <c r="J57" s="116">
        <f>IF(TrRoad_act!J33=0,0,J20/TrRoad_act!J33*1000
)</f>
        <v>207.23811465886595</v>
      </c>
      <c r="K57" s="116">
        <f>IF(TrRoad_act!K33=0,0,K20/TrRoad_act!K33*1000
)</f>
        <v>202.74584151811942</v>
      </c>
      <c r="L57" s="116">
        <f>IF(TrRoad_act!L33=0,0,L20/TrRoad_act!L33*1000
)</f>
        <v>200.05468444224769</v>
      </c>
      <c r="M57" s="116">
        <f>IF(TrRoad_act!M33=0,0,M20/TrRoad_act!M33*1000
)</f>
        <v>197.71683519290536</v>
      </c>
      <c r="N57" s="116">
        <f>IF(TrRoad_act!N33=0,0,N20/TrRoad_act!N33*1000
)</f>
        <v>197.60844707088768</v>
      </c>
      <c r="O57" s="116">
        <f>IF(TrRoad_act!O33=0,0,O20/TrRoad_act!O33*1000
)</f>
        <v>194.85839711646318</v>
      </c>
      <c r="P57" s="116">
        <f>IF(TrRoad_act!P33=0,0,P20/TrRoad_act!P33*1000
)</f>
        <v>194.03709670759321</v>
      </c>
      <c r="Q57" s="116">
        <f>IF(TrRoad_act!Q33=0,0,Q20/TrRoad_act!Q33*1000
)</f>
        <v>191.49049677092702</v>
      </c>
      <c r="R57" s="116">
        <f>IF(TrRoad_act!R33=0,0,R20/TrRoad_act!R33*1000
)</f>
        <v>199.64901986287066</v>
      </c>
      <c r="S57" s="116">
        <f>IF(TrRoad_act!S33=0,0,S20/TrRoad_act!S33*1000
)</f>
        <v>201.26769010542208</v>
      </c>
      <c r="T57" s="116">
        <f>IF(TrRoad_act!T33=0,0,T20/TrRoad_act!T33*1000
)</f>
        <v>192.92450267201863</v>
      </c>
      <c r="U57" s="116">
        <f>IF(TrRoad_act!U33=0,0,U20/TrRoad_act!U33*1000
)</f>
        <v>190.74762041120104</v>
      </c>
      <c r="V57" s="116">
        <f>IF(TrRoad_act!V33=0,0,V20/TrRoad_act!V33*1000
)</f>
        <v>180.82237746256399</v>
      </c>
      <c r="W57" s="116">
        <f>IF(TrRoad_act!W33=0,0,W20/TrRoad_act!W33*1000
)</f>
        <v>181.12763293320603</v>
      </c>
      <c r="X57" s="116">
        <f>IF(TrRoad_act!X33=0,0,X20/TrRoad_act!X33*1000
)</f>
        <v>180.22958785609549</v>
      </c>
      <c r="Y57" s="116">
        <f>IF(TrRoad_act!Y33=0,0,Y20/TrRoad_act!Y33*1000
)</f>
        <v>176.19919384303071</v>
      </c>
      <c r="DA57" s="176" t="s">
        <v>772</v>
      </c>
    </row>
    <row r="58" spans="1:105" ht="11.45" customHeight="1" x14ac:dyDescent="0.25">
      <c r="A58" s="111" t="s">
        <v>110</v>
      </c>
      <c r="B58" s="87">
        <f>IF(TrRoad_act!B34=0,0,B21/TrRoad_act!B34*1000
)</f>
        <v>215.2355143896865</v>
      </c>
      <c r="C58" s="87">
        <f>IF(TrRoad_act!C34=0,0,C21/TrRoad_act!C34*1000
)</f>
        <v>212.84136236370375</v>
      </c>
      <c r="D58" s="87">
        <f>IF(TrRoad_act!D34=0,0,D21/TrRoad_act!D34*1000
)</f>
        <v>202.68670597845747</v>
      </c>
      <c r="E58" s="87">
        <f>IF(TrRoad_act!E34=0,0,E21/TrRoad_act!E34*1000
)</f>
        <v>204.43046374309884</v>
      </c>
      <c r="F58" s="87">
        <f>IF(TrRoad_act!F34=0,0,F21/TrRoad_act!F34*1000
)</f>
        <v>210.20401113917518</v>
      </c>
      <c r="G58" s="87">
        <f>IF(TrRoad_act!G34=0,0,G21/TrRoad_act!G34*1000
)</f>
        <v>205.0391502790425</v>
      </c>
      <c r="H58" s="87">
        <f>IF(TrRoad_act!H34=0,0,H21/TrRoad_act!H34*1000
)</f>
        <v>204.03377455204031</v>
      </c>
      <c r="I58" s="87">
        <f>IF(TrRoad_act!I34=0,0,I21/TrRoad_act!I34*1000
)</f>
        <v>205.46756287912888</v>
      </c>
      <c r="J58" s="87">
        <f>IF(TrRoad_act!J34=0,0,J21/TrRoad_act!J34*1000
)</f>
        <v>204.84214416258888</v>
      </c>
      <c r="K58" s="87">
        <f>IF(TrRoad_act!K34=0,0,K21/TrRoad_act!K34*1000
)</f>
        <v>208.86154664580874</v>
      </c>
      <c r="L58" s="87">
        <f>IF(TrRoad_act!L34=0,0,L21/TrRoad_act!L34*1000
)</f>
        <v>211.36203406450906</v>
      </c>
      <c r="M58" s="87">
        <f>IF(TrRoad_act!M34=0,0,M21/TrRoad_act!M34*1000
)</f>
        <v>205.88416603041142</v>
      </c>
      <c r="N58" s="87">
        <f>IF(TrRoad_act!N34=0,0,N21/TrRoad_act!N34*1000
)</f>
        <v>198.79408382323609</v>
      </c>
      <c r="O58" s="87">
        <f>IF(TrRoad_act!O34=0,0,O21/TrRoad_act!O34*1000
)</f>
        <v>194.24041218096602</v>
      </c>
      <c r="P58" s="87">
        <f>IF(TrRoad_act!P34=0,0,P21/TrRoad_act!P34*1000
)</f>
        <v>192.08609831943383</v>
      </c>
      <c r="Q58" s="87">
        <f>IF(TrRoad_act!Q34=0,0,Q21/TrRoad_act!Q34*1000
)</f>
        <v>189.24741623133684</v>
      </c>
      <c r="R58" s="87">
        <f>IF(TrRoad_act!R34=0,0,R21/TrRoad_act!R34*1000
)</f>
        <v>199.92336247496459</v>
      </c>
      <c r="S58" s="87">
        <f>IF(TrRoad_act!S34=0,0,S21/TrRoad_act!S34*1000
)</f>
        <v>197.6225534120403</v>
      </c>
      <c r="T58" s="87">
        <f>IF(TrRoad_act!T34=0,0,T21/TrRoad_act!T34*1000
)</f>
        <v>194.35850993178619</v>
      </c>
      <c r="U58" s="87">
        <f>IF(TrRoad_act!U34=0,0,U21/TrRoad_act!U34*1000
)</f>
        <v>190.19017412955574</v>
      </c>
      <c r="V58" s="87">
        <f>IF(TrRoad_act!V34=0,0,V21/TrRoad_act!V34*1000
)</f>
        <v>179.23488967104595</v>
      </c>
      <c r="W58" s="87">
        <f>IF(TrRoad_act!W34=0,0,W21/TrRoad_act!W34*1000
)</f>
        <v>179.89684117948417</v>
      </c>
      <c r="X58" s="87">
        <f>IF(TrRoad_act!X34=0,0,X21/TrRoad_act!X34*1000
)</f>
        <v>179.3103092127827</v>
      </c>
      <c r="Y58" s="87">
        <f>IF(TrRoad_act!Y34=0,0,Y21/TrRoad_act!Y34*1000
)</f>
        <v>176.1331756312353</v>
      </c>
      <c r="DA58" s="171" t="s">
        <v>773</v>
      </c>
    </row>
    <row r="59" spans="1:105" ht="11.45" customHeight="1" x14ac:dyDescent="0.25">
      <c r="A59" s="111" t="s">
        <v>111</v>
      </c>
      <c r="B59" s="87">
        <f>IF(TrRoad_act!B35=0,0,B22/TrRoad_act!B35*1000
)</f>
        <v>229.4013470091231</v>
      </c>
      <c r="C59" s="87">
        <f>IF(TrRoad_act!C35=0,0,C22/TrRoad_act!C35*1000
)</f>
        <v>219.81412406328172</v>
      </c>
      <c r="D59" s="87">
        <f>IF(TrRoad_act!D35=0,0,D22/TrRoad_act!D35*1000
)</f>
        <v>222.1283548122048</v>
      </c>
      <c r="E59" s="87">
        <f>IF(TrRoad_act!E35=0,0,E22/TrRoad_act!E35*1000
)</f>
        <v>225.54066755866447</v>
      </c>
      <c r="F59" s="87">
        <f>IF(TrRoad_act!F35=0,0,F22/TrRoad_act!F35*1000
)</f>
        <v>215.066972850589</v>
      </c>
      <c r="G59" s="87">
        <f>IF(TrRoad_act!G35=0,0,G22/TrRoad_act!G35*1000
)</f>
        <v>235.5081132328113</v>
      </c>
      <c r="H59" s="87">
        <f>IF(TrRoad_act!H35=0,0,H22/TrRoad_act!H35*1000
)</f>
        <v>244.6741953481345</v>
      </c>
      <c r="I59" s="87">
        <f>IF(TrRoad_act!I35=0,0,I22/TrRoad_act!I35*1000
)</f>
        <v>242.34841400457344</v>
      </c>
      <c r="J59" s="87">
        <f>IF(TrRoad_act!J35=0,0,J22/TrRoad_act!J35*1000
)</f>
        <v>219.43229662338405</v>
      </c>
      <c r="K59" s="87">
        <f>IF(TrRoad_act!K35=0,0,K22/TrRoad_act!K35*1000
)</f>
        <v>212.66290871993601</v>
      </c>
      <c r="L59" s="87">
        <f>IF(TrRoad_act!L35=0,0,L22/TrRoad_act!L35*1000
)</f>
        <v>212.25374748818916</v>
      </c>
      <c r="M59" s="87">
        <f>IF(TrRoad_act!M35=0,0,M22/TrRoad_act!M35*1000
)</f>
        <v>203.70649538253832</v>
      </c>
      <c r="N59" s="87">
        <f>IF(TrRoad_act!N35=0,0,N22/TrRoad_act!N35*1000
)</f>
        <v>195.97258222456006</v>
      </c>
      <c r="O59" s="87">
        <f>IF(TrRoad_act!O35=0,0,O22/TrRoad_act!O35*1000
)</f>
        <v>190.11151037788821</v>
      </c>
      <c r="P59" s="87">
        <f>IF(TrRoad_act!P35=0,0,P22/TrRoad_act!P35*1000
)</f>
        <v>189.040576642909</v>
      </c>
      <c r="Q59" s="87">
        <f>IF(TrRoad_act!Q35=0,0,Q22/TrRoad_act!Q35*1000
)</f>
        <v>188.82424065041192</v>
      </c>
      <c r="R59" s="87">
        <f>IF(TrRoad_act!R35=0,0,R22/TrRoad_act!R35*1000
)</f>
        <v>201.03287354855826</v>
      </c>
      <c r="S59" s="87">
        <f>IF(TrRoad_act!S35=0,0,S22/TrRoad_act!S35*1000
)</f>
        <v>207.56965391936626</v>
      </c>
      <c r="T59" s="87">
        <f>IF(TrRoad_act!T35=0,0,T22/TrRoad_act!T35*1000
)</f>
        <v>198.34108298619108</v>
      </c>
      <c r="U59" s="87">
        <f>IF(TrRoad_act!U35=0,0,U22/TrRoad_act!U35*1000
)</f>
        <v>194.38367936334282</v>
      </c>
      <c r="V59" s="87">
        <f>IF(TrRoad_act!V35=0,0,V22/TrRoad_act!V35*1000
)</f>
        <v>186.58491489354981</v>
      </c>
      <c r="W59" s="87">
        <f>IF(TrRoad_act!W35=0,0,W22/TrRoad_act!W35*1000
)</f>
        <v>183.56806364949682</v>
      </c>
      <c r="X59" s="87">
        <f>IF(TrRoad_act!X35=0,0,X22/TrRoad_act!X35*1000
)</f>
        <v>183.43711117601353</v>
      </c>
      <c r="Y59" s="87">
        <f>IF(TrRoad_act!Y35=0,0,Y22/TrRoad_act!Y35*1000
)</f>
        <v>180.73128902618623</v>
      </c>
      <c r="DA59" s="171" t="s">
        <v>774</v>
      </c>
    </row>
    <row r="60" spans="1:105" ht="11.45" customHeight="1" x14ac:dyDescent="0.25">
      <c r="A60" s="111" t="s">
        <v>112</v>
      </c>
      <c r="B60" s="87">
        <f>IF(TrRoad_act!B36=0,0,B23/TrRoad_act!B36*1000
)</f>
        <v>222.15822586635596</v>
      </c>
      <c r="C60" s="87">
        <f>IF(TrRoad_act!C36=0,0,C23/TrRoad_act!C36*1000
)</f>
        <v>211.80746288668877</v>
      </c>
      <c r="D60" s="87">
        <f>IF(TrRoad_act!D36=0,0,D23/TrRoad_act!D36*1000
)</f>
        <v>215.7073828025928</v>
      </c>
      <c r="E60" s="87">
        <f>IF(TrRoad_act!E36=0,0,E23/TrRoad_act!E36*1000
)</f>
        <v>206.08711025048814</v>
      </c>
      <c r="F60" s="87">
        <f>IF(TrRoad_act!F36=0,0,F23/TrRoad_act!F36*1000
)</f>
        <v>207.63494043251276</v>
      </c>
      <c r="G60" s="87">
        <f>IF(TrRoad_act!G36=0,0,G23/TrRoad_act!G36*1000
)</f>
        <v>216.43074337142193</v>
      </c>
      <c r="H60" s="87">
        <f>IF(TrRoad_act!H36=0,0,H23/TrRoad_act!H36*1000
)</f>
        <v>214.81929114704707</v>
      </c>
      <c r="I60" s="87">
        <f>IF(TrRoad_act!I36=0,0,I23/TrRoad_act!I36*1000
)</f>
        <v>205.64629411608419</v>
      </c>
      <c r="J60" s="87">
        <f>IF(TrRoad_act!J36=0,0,J23/TrRoad_act!J36*1000
)</f>
        <v>194.57900350933156</v>
      </c>
      <c r="K60" s="87">
        <f>IF(TrRoad_act!K36=0,0,K23/TrRoad_act!K36*1000
)</f>
        <v>174.36565018268288</v>
      </c>
      <c r="L60" s="87">
        <f>IF(TrRoad_act!L36=0,0,L23/TrRoad_act!L36*1000
)</f>
        <v>159.12268215739664</v>
      </c>
      <c r="M60" s="87">
        <f>IF(TrRoad_act!M36=0,0,M23/TrRoad_act!M36*1000
)</f>
        <v>169.27483385257386</v>
      </c>
      <c r="N60" s="87">
        <f>IF(TrRoad_act!N36=0,0,N23/TrRoad_act!N36*1000
)</f>
        <v>199.41577214106087</v>
      </c>
      <c r="O60" s="87">
        <f>IF(TrRoad_act!O36=0,0,O23/TrRoad_act!O36*1000
)</f>
        <v>209.16427646533117</v>
      </c>
      <c r="P60" s="87">
        <f>IF(TrRoad_act!P36=0,0,P23/TrRoad_act!P36*1000
)</f>
        <v>212.78891967061236</v>
      </c>
      <c r="Q60" s="87">
        <f>IF(TrRoad_act!Q36=0,0,Q23/TrRoad_act!Q36*1000
)</f>
        <v>204.55378477496862</v>
      </c>
      <c r="R60" s="87">
        <f>IF(TrRoad_act!R36=0,0,R23/TrRoad_act!R36*1000
)</f>
        <v>195.46381077992973</v>
      </c>
      <c r="S60" s="87">
        <f>IF(TrRoad_act!S36=0,0,S23/TrRoad_act!S36*1000
)</f>
        <v>191.38609644646866</v>
      </c>
      <c r="T60" s="87">
        <f>IF(TrRoad_act!T36=0,0,T23/TrRoad_act!T36*1000
)</f>
        <v>175.07775425076679</v>
      </c>
      <c r="U60" s="87">
        <f>IF(TrRoad_act!U36=0,0,U23/TrRoad_act!U36*1000
)</f>
        <v>181.91384224695119</v>
      </c>
      <c r="V60" s="87">
        <f>IF(TrRoad_act!V36=0,0,V23/TrRoad_act!V36*1000
)</f>
        <v>167.18113954263086</v>
      </c>
      <c r="W60" s="87">
        <f>IF(TrRoad_act!W36=0,0,W23/TrRoad_act!W36*1000
)</f>
        <v>178.60509965839648</v>
      </c>
      <c r="X60" s="87">
        <f>IF(TrRoad_act!X36=0,0,X23/TrRoad_act!X36*1000
)</f>
        <v>176.06970393992125</v>
      </c>
      <c r="Y60" s="87">
        <f>IF(TrRoad_act!Y36=0,0,Y23/TrRoad_act!Y36*1000
)</f>
        <v>169.0123001368479</v>
      </c>
      <c r="DA60" s="171" t="s">
        <v>775</v>
      </c>
    </row>
    <row r="61" spans="1:105" ht="11.45" customHeight="1" x14ac:dyDescent="0.25">
      <c r="A61" s="111" t="s">
        <v>113</v>
      </c>
      <c r="B61" s="87">
        <f>IF(TrRoad_act!B37=0,0,B24/TrRoad_act!B37*1000
)</f>
        <v>0</v>
      </c>
      <c r="C61" s="87">
        <f>IF(TrRoad_act!C37=0,0,C24/TrRoad_act!C37*1000
)</f>
        <v>0</v>
      </c>
      <c r="D61" s="87">
        <f>IF(TrRoad_act!D37=0,0,D24/TrRoad_act!D37*1000
)</f>
        <v>0</v>
      </c>
      <c r="E61" s="87">
        <f>IF(TrRoad_act!E37=0,0,E24/TrRoad_act!E37*1000
)</f>
        <v>0</v>
      </c>
      <c r="F61" s="87">
        <f>IF(TrRoad_act!F37=0,0,F24/TrRoad_act!F37*1000
)</f>
        <v>0</v>
      </c>
      <c r="G61" s="87">
        <f>IF(TrRoad_act!G37=0,0,G24/TrRoad_act!G37*1000
)</f>
        <v>0</v>
      </c>
      <c r="H61" s="87">
        <f>IF(TrRoad_act!H37=0,0,H24/TrRoad_act!H37*1000
)</f>
        <v>0</v>
      </c>
      <c r="I61" s="87">
        <f>IF(TrRoad_act!I37=0,0,I24/TrRoad_act!I37*1000
)</f>
        <v>0</v>
      </c>
      <c r="J61" s="87">
        <f>IF(TrRoad_act!J37=0,0,J24/TrRoad_act!J37*1000
)</f>
        <v>0</v>
      </c>
      <c r="K61" s="87">
        <f>IF(TrRoad_act!K37=0,0,K24/TrRoad_act!K37*1000
)</f>
        <v>0</v>
      </c>
      <c r="L61" s="87">
        <f>IF(TrRoad_act!L37=0,0,L24/TrRoad_act!L37*1000
)</f>
        <v>0</v>
      </c>
      <c r="M61" s="87">
        <f>IF(TrRoad_act!M37=0,0,M24/TrRoad_act!M37*1000
)</f>
        <v>0</v>
      </c>
      <c r="N61" s="87">
        <f>IF(TrRoad_act!N37=0,0,N24/TrRoad_act!N37*1000
)</f>
        <v>0</v>
      </c>
      <c r="O61" s="87">
        <f>IF(TrRoad_act!O37=0,0,O24/TrRoad_act!O37*1000
)</f>
        <v>0</v>
      </c>
      <c r="P61" s="87">
        <f>IF(TrRoad_act!P37=0,0,P24/TrRoad_act!P37*1000
)</f>
        <v>0</v>
      </c>
      <c r="Q61" s="87">
        <f>IF(TrRoad_act!Q37=0,0,Q24/TrRoad_act!Q37*1000
)</f>
        <v>136.44509421775913</v>
      </c>
      <c r="R61" s="87">
        <f>IF(TrRoad_act!R37=0,0,R24/TrRoad_act!R37*1000
)</f>
        <v>137.78846885185717</v>
      </c>
      <c r="S61" s="87">
        <f>IF(TrRoad_act!S37=0,0,S24/TrRoad_act!S37*1000
)</f>
        <v>137.71763916422259</v>
      </c>
      <c r="T61" s="87">
        <f>IF(TrRoad_act!T37=0,0,T24/TrRoad_act!T37*1000
)</f>
        <v>138.65306865976368</v>
      </c>
      <c r="U61" s="87">
        <f>IF(TrRoad_act!U37=0,0,U24/TrRoad_act!U37*1000
)</f>
        <v>139.25785655698476</v>
      </c>
      <c r="V61" s="87">
        <f>IF(TrRoad_act!V37=0,0,V24/TrRoad_act!V37*1000
)</f>
        <v>139.69816177097468</v>
      </c>
      <c r="W61" s="87">
        <f>IF(TrRoad_act!W37=0,0,W24/TrRoad_act!W37*1000
)</f>
        <v>139.8799353889836</v>
      </c>
      <c r="X61" s="87">
        <f>IF(TrRoad_act!X37=0,0,X24/TrRoad_act!X37*1000
)</f>
        <v>139.93938742695966</v>
      </c>
      <c r="Y61" s="87">
        <f>IF(TrRoad_act!Y37=0,0,Y24/TrRoad_act!Y37*1000
)</f>
        <v>139.99887066164678</v>
      </c>
      <c r="DA61" s="171" t="s">
        <v>776</v>
      </c>
    </row>
    <row r="62" spans="1:105" ht="11.45" customHeight="1" x14ac:dyDescent="0.25">
      <c r="A62" s="111" t="s">
        <v>114</v>
      </c>
      <c r="B62" s="87">
        <f>IF(TrRoad_act!B38=0,0,B25/TrRoad_act!B38*1000
)</f>
        <v>0</v>
      </c>
      <c r="C62" s="87">
        <f>IF(TrRoad_act!C38=0,0,C25/TrRoad_act!C38*1000
)</f>
        <v>0</v>
      </c>
      <c r="D62" s="87">
        <f>IF(TrRoad_act!D38=0,0,D25/TrRoad_act!D38*1000
)</f>
        <v>0</v>
      </c>
      <c r="E62" s="87">
        <f>IF(TrRoad_act!E38=0,0,E25/TrRoad_act!E38*1000
)</f>
        <v>0</v>
      </c>
      <c r="F62" s="87">
        <f>IF(TrRoad_act!F38=0,0,F25/TrRoad_act!F38*1000
)</f>
        <v>0</v>
      </c>
      <c r="G62" s="87">
        <f>IF(TrRoad_act!G38=0,0,G25/TrRoad_act!G38*1000
)</f>
        <v>0</v>
      </c>
      <c r="H62" s="87">
        <f>IF(TrRoad_act!H38=0,0,H25/TrRoad_act!H38*1000
)</f>
        <v>0</v>
      </c>
      <c r="I62" s="87">
        <f>IF(TrRoad_act!I38=0,0,I25/TrRoad_act!I38*1000
)</f>
        <v>0</v>
      </c>
      <c r="J62" s="87">
        <f>IF(TrRoad_act!J38=0,0,J25/TrRoad_act!J38*1000
)</f>
        <v>0</v>
      </c>
      <c r="K62" s="87">
        <f>IF(TrRoad_act!K38=0,0,K25/TrRoad_act!K38*1000
)</f>
        <v>0</v>
      </c>
      <c r="L62" s="87">
        <f>IF(TrRoad_act!L38=0,0,L25/TrRoad_act!L38*1000
)</f>
        <v>0</v>
      </c>
      <c r="M62" s="87">
        <f>IF(TrRoad_act!M38=0,0,M25/TrRoad_act!M38*1000
)</f>
        <v>0</v>
      </c>
      <c r="N62" s="87">
        <f>IF(TrRoad_act!N38=0,0,N25/TrRoad_act!N38*1000
)</f>
        <v>43.751805073428933</v>
      </c>
      <c r="O62" s="87">
        <f>IF(TrRoad_act!O38=0,0,O25/TrRoad_act!O38*1000
)</f>
        <v>55.852033817619976</v>
      </c>
      <c r="P62" s="87">
        <f>IF(TrRoad_act!P38=0,0,P25/TrRoad_act!P38*1000
)</f>
        <v>117.777492846106</v>
      </c>
      <c r="Q62" s="87">
        <f>IF(TrRoad_act!Q38=0,0,Q25/TrRoad_act!Q38*1000
)</f>
        <v>59.116595660480293</v>
      </c>
      <c r="R62" s="87">
        <f>IF(TrRoad_act!R38=0,0,R25/TrRoad_act!R38*1000
)</f>
        <v>57.106478505096014</v>
      </c>
      <c r="S62" s="87">
        <f>IF(TrRoad_act!S38=0,0,S25/TrRoad_act!S38*1000
)</f>
        <v>49.173931930720897</v>
      </c>
      <c r="T62" s="87">
        <f>IF(TrRoad_act!T38=0,0,T25/TrRoad_act!T38*1000
)</f>
        <v>54.321803660672657</v>
      </c>
      <c r="U62" s="87">
        <f>IF(TrRoad_act!U38=0,0,U25/TrRoad_act!U38*1000
)</f>
        <v>54.761811600842748</v>
      </c>
      <c r="V62" s="87">
        <f>IF(TrRoad_act!V38=0,0,V25/TrRoad_act!V38*1000
)</f>
        <v>52.718732146862024</v>
      </c>
      <c r="W62" s="87">
        <f>IF(TrRoad_act!W38=0,0,W25/TrRoad_act!W38*1000
)</f>
        <v>45.616378491776508</v>
      </c>
      <c r="X62" s="87">
        <f>IF(TrRoad_act!X38=0,0,X25/TrRoad_act!X38*1000
)</f>
        <v>43.640390443803476</v>
      </c>
      <c r="Y62" s="87">
        <f>IF(TrRoad_act!Y38=0,0,Y25/TrRoad_act!Y38*1000
)</f>
        <v>40.157533207242807</v>
      </c>
      <c r="DA62" s="171" t="s">
        <v>777</v>
      </c>
    </row>
    <row r="63" spans="1:105" ht="11.45" customHeight="1" x14ac:dyDescent="0.25">
      <c r="A63" s="111" t="s">
        <v>115</v>
      </c>
      <c r="B63" s="87">
        <f>IF(TrRoad_act!B39=0,0,B26/TrRoad_act!B39*1000
)</f>
        <v>0</v>
      </c>
      <c r="C63" s="87">
        <f>IF(TrRoad_act!C39=0,0,C26/TrRoad_act!C39*1000
)</f>
        <v>0</v>
      </c>
      <c r="D63" s="87">
        <f>IF(TrRoad_act!D39=0,0,D26/TrRoad_act!D39*1000
)</f>
        <v>0</v>
      </c>
      <c r="E63" s="87">
        <f>IF(TrRoad_act!E39=0,0,E26/TrRoad_act!E39*1000
)</f>
        <v>0</v>
      </c>
      <c r="F63" s="87">
        <f>IF(TrRoad_act!F39=0,0,F26/TrRoad_act!F39*1000
)</f>
        <v>0</v>
      </c>
      <c r="G63" s="87">
        <f>IF(TrRoad_act!G39=0,0,G26/TrRoad_act!G39*1000
)</f>
        <v>0</v>
      </c>
      <c r="H63" s="87">
        <f>IF(TrRoad_act!H39=0,0,H26/TrRoad_act!H39*1000
)</f>
        <v>0</v>
      </c>
      <c r="I63" s="87">
        <f>IF(TrRoad_act!I39=0,0,I26/TrRoad_act!I39*1000
)</f>
        <v>0</v>
      </c>
      <c r="J63" s="87">
        <f>IF(TrRoad_act!J39=0,0,J26/TrRoad_act!J39*1000
)</f>
        <v>0</v>
      </c>
      <c r="K63" s="87">
        <f>IF(TrRoad_act!K39=0,0,K26/TrRoad_act!K39*1000
)</f>
        <v>0</v>
      </c>
      <c r="L63" s="87">
        <f>IF(TrRoad_act!L39=0,0,L26/TrRoad_act!L39*1000
)</f>
        <v>0</v>
      </c>
      <c r="M63" s="87">
        <f>IF(TrRoad_act!M39=0,0,M26/TrRoad_act!M39*1000
)</f>
        <v>0</v>
      </c>
      <c r="N63" s="87">
        <f>IF(TrRoad_act!N39=0,0,N26/TrRoad_act!N39*1000
)</f>
        <v>0</v>
      </c>
      <c r="O63" s="87">
        <f>IF(TrRoad_act!O39=0,0,O26/TrRoad_act!O39*1000
)</f>
        <v>0</v>
      </c>
      <c r="P63" s="87">
        <f>IF(TrRoad_act!P39=0,0,P26/TrRoad_act!P39*1000
)</f>
        <v>0</v>
      </c>
      <c r="Q63" s="87">
        <f>IF(TrRoad_act!Q39=0,0,Q26/TrRoad_act!Q39*1000
)</f>
        <v>0</v>
      </c>
      <c r="R63" s="87">
        <f>IF(TrRoad_act!R39=0,0,R26/TrRoad_act!R39*1000
)</f>
        <v>0</v>
      </c>
      <c r="S63" s="87">
        <f>IF(TrRoad_act!S39=0,0,S26/TrRoad_act!S39*1000
)</f>
        <v>0</v>
      </c>
      <c r="T63" s="87">
        <f>IF(TrRoad_act!T39=0,0,T26/TrRoad_act!T39*1000
)</f>
        <v>0</v>
      </c>
      <c r="U63" s="87">
        <f>IF(TrRoad_act!U39=0,0,U26/TrRoad_act!U39*1000
)</f>
        <v>0</v>
      </c>
      <c r="V63" s="87">
        <f>IF(TrRoad_act!V39=0,0,V26/TrRoad_act!V39*1000
)</f>
        <v>0</v>
      </c>
      <c r="W63" s="87">
        <f>IF(TrRoad_act!W39=0,0,W26/TrRoad_act!W39*1000
)</f>
        <v>0</v>
      </c>
      <c r="X63" s="87">
        <f>IF(TrRoad_act!X39=0,0,X26/TrRoad_act!X39*1000
)</f>
        <v>0</v>
      </c>
      <c r="Y63" s="87">
        <f>IF(TrRoad_act!Y39=0,0,Y26/TrRoad_act!Y39*1000
)</f>
        <v>0</v>
      </c>
      <c r="DA63" s="171" t="s">
        <v>778</v>
      </c>
    </row>
    <row r="64" spans="1:105" ht="11.45" customHeight="1" x14ac:dyDescent="0.25">
      <c r="A64" s="109" t="s">
        <v>21</v>
      </c>
      <c r="B64" s="116">
        <f>IF(TrRoad_act!B40=0,0,B27/TrRoad_act!B40*1000
)</f>
        <v>1887.6926947084335</v>
      </c>
      <c r="C64" s="116">
        <f>IF(TrRoad_act!C40=0,0,C27/TrRoad_act!C40*1000
)</f>
        <v>1790.4649880180405</v>
      </c>
      <c r="D64" s="116">
        <f>IF(TrRoad_act!D40=0,0,D27/TrRoad_act!D40*1000
)</f>
        <v>1760.4383164794835</v>
      </c>
      <c r="E64" s="116">
        <f>IF(TrRoad_act!E40=0,0,E27/TrRoad_act!E40*1000
)</f>
        <v>1742.0209539375901</v>
      </c>
      <c r="F64" s="116">
        <f>IF(TrRoad_act!F40=0,0,F27/TrRoad_act!F40*1000
)</f>
        <v>1705.5315745776491</v>
      </c>
      <c r="G64" s="116">
        <f>IF(TrRoad_act!G40=0,0,G27/TrRoad_act!G40*1000
)</f>
        <v>1659.0875473948615</v>
      </c>
      <c r="H64" s="116">
        <f>IF(TrRoad_act!H40=0,0,H27/TrRoad_act!H40*1000
)</f>
        <v>1631.9232871130032</v>
      </c>
      <c r="I64" s="116">
        <f>IF(TrRoad_act!I40=0,0,I27/TrRoad_act!I40*1000
)</f>
        <v>1624.5743390680818</v>
      </c>
      <c r="J64" s="116">
        <f>IF(TrRoad_act!J40=0,0,J27/TrRoad_act!J40*1000
)</f>
        <v>1560.6977576512234</v>
      </c>
      <c r="K64" s="116">
        <f>IF(TrRoad_act!K40=0,0,K27/TrRoad_act!K40*1000
)</f>
        <v>1533.2854405087171</v>
      </c>
      <c r="L64" s="116">
        <f>IF(TrRoad_act!L40=0,0,L27/TrRoad_act!L40*1000
)</f>
        <v>1504.9182176822012</v>
      </c>
      <c r="M64" s="116">
        <f>IF(TrRoad_act!M40=0,0,M27/TrRoad_act!M40*1000
)</f>
        <v>1505.7891631821799</v>
      </c>
      <c r="N64" s="116">
        <f>IF(TrRoad_act!N40=0,0,N27/TrRoad_act!N40*1000
)</f>
        <v>1521.1213237862314</v>
      </c>
      <c r="O64" s="116">
        <f>IF(TrRoad_act!O40=0,0,O27/TrRoad_act!O40*1000
)</f>
        <v>1532.2753111684399</v>
      </c>
      <c r="P64" s="116">
        <f>IF(TrRoad_act!P40=0,0,P27/TrRoad_act!P40*1000
)</f>
        <v>1550.485109171037</v>
      </c>
      <c r="Q64" s="116">
        <f>IF(TrRoad_act!Q40=0,0,Q27/TrRoad_act!Q40*1000
)</f>
        <v>1581.5761421250181</v>
      </c>
      <c r="R64" s="116">
        <f>IF(TrRoad_act!R40=0,0,R27/TrRoad_act!R40*1000
)</f>
        <v>1628.6017532207643</v>
      </c>
      <c r="S64" s="116">
        <f>IF(TrRoad_act!S40=0,0,S27/TrRoad_act!S40*1000
)</f>
        <v>1622.114728678923</v>
      </c>
      <c r="T64" s="116">
        <f>IF(TrRoad_act!T40=0,0,T27/TrRoad_act!T40*1000
)</f>
        <v>1574.7695491123475</v>
      </c>
      <c r="U64" s="116">
        <f>IF(TrRoad_act!U40=0,0,U27/TrRoad_act!U40*1000
)</f>
        <v>1564.0519020225181</v>
      </c>
      <c r="V64" s="116">
        <f>IF(TrRoad_act!V40=0,0,V27/TrRoad_act!V40*1000
)</f>
        <v>1539.441978187499</v>
      </c>
      <c r="W64" s="116">
        <f>IF(TrRoad_act!W40=0,0,W27/TrRoad_act!W40*1000
)</f>
        <v>1522.2337298702837</v>
      </c>
      <c r="X64" s="116">
        <f>IF(TrRoad_act!X40=0,0,X27/TrRoad_act!X40*1000
)</f>
        <v>1501.1920913777963</v>
      </c>
      <c r="Y64" s="116">
        <f>IF(TrRoad_act!Y40=0,0,Y27/TrRoad_act!Y40*1000
)</f>
        <v>1449.5541657641925</v>
      </c>
      <c r="DA64" s="176" t="s">
        <v>779</v>
      </c>
    </row>
    <row r="65" spans="1:105" ht="11.45" customHeight="1" x14ac:dyDescent="0.25">
      <c r="A65" s="111" t="s">
        <v>110</v>
      </c>
      <c r="B65" s="101">
        <f>IF(TrRoad_act!B41=0,0,B28/TrRoad_act!B41*1000
)</f>
        <v>0</v>
      </c>
      <c r="C65" s="101">
        <f>IF(TrRoad_act!C41=0,0,C28/TrRoad_act!C41*1000
)</f>
        <v>0</v>
      </c>
      <c r="D65" s="101">
        <f>IF(TrRoad_act!D41=0,0,D28/TrRoad_act!D41*1000
)</f>
        <v>0</v>
      </c>
      <c r="E65" s="101">
        <f>IF(TrRoad_act!E41=0,0,E28/TrRoad_act!E41*1000
)</f>
        <v>0</v>
      </c>
      <c r="F65" s="101">
        <f>IF(TrRoad_act!F41=0,0,F28/TrRoad_act!F41*1000
)</f>
        <v>0</v>
      </c>
      <c r="G65" s="101">
        <f>IF(TrRoad_act!G41=0,0,G28/TrRoad_act!G41*1000
)</f>
        <v>0</v>
      </c>
      <c r="H65" s="101">
        <f>IF(TrRoad_act!H41=0,0,H28/TrRoad_act!H41*1000
)</f>
        <v>0</v>
      </c>
      <c r="I65" s="101">
        <f>IF(TrRoad_act!I41=0,0,I28/TrRoad_act!I41*1000
)</f>
        <v>0</v>
      </c>
      <c r="J65" s="101">
        <f>IF(TrRoad_act!J41=0,0,J28/TrRoad_act!J41*1000
)</f>
        <v>0</v>
      </c>
      <c r="K65" s="101">
        <f>IF(TrRoad_act!K41=0,0,K28/TrRoad_act!K41*1000
)</f>
        <v>0</v>
      </c>
      <c r="L65" s="101">
        <f>IF(TrRoad_act!L41=0,0,L28/TrRoad_act!L41*1000
)</f>
        <v>0</v>
      </c>
      <c r="M65" s="101">
        <f>IF(TrRoad_act!M41=0,0,M28/TrRoad_act!M41*1000
)</f>
        <v>0</v>
      </c>
      <c r="N65" s="101">
        <f>IF(TrRoad_act!N41=0,0,N28/TrRoad_act!N41*1000
)</f>
        <v>0</v>
      </c>
      <c r="O65" s="101">
        <f>IF(TrRoad_act!O41=0,0,O28/TrRoad_act!O41*1000
)</f>
        <v>0</v>
      </c>
      <c r="P65" s="101">
        <f>IF(TrRoad_act!P41=0,0,P28/TrRoad_act!P41*1000
)</f>
        <v>0</v>
      </c>
      <c r="Q65" s="101">
        <f>IF(TrRoad_act!Q41=0,0,Q28/TrRoad_act!Q41*1000
)</f>
        <v>0</v>
      </c>
      <c r="R65" s="101">
        <f>IF(TrRoad_act!R41=0,0,R28/TrRoad_act!R41*1000
)</f>
        <v>0</v>
      </c>
      <c r="S65" s="101">
        <f>IF(TrRoad_act!S41=0,0,S28/TrRoad_act!S41*1000
)</f>
        <v>0</v>
      </c>
      <c r="T65" s="101">
        <f>IF(TrRoad_act!T41=0,0,T28/TrRoad_act!T41*1000
)</f>
        <v>0</v>
      </c>
      <c r="U65" s="101">
        <f>IF(TrRoad_act!U41=0,0,U28/TrRoad_act!U41*1000
)</f>
        <v>0</v>
      </c>
      <c r="V65" s="101">
        <f>IF(TrRoad_act!V41=0,0,V28/TrRoad_act!V41*1000
)</f>
        <v>0</v>
      </c>
      <c r="W65" s="101">
        <f>IF(TrRoad_act!W41=0,0,W28/TrRoad_act!W41*1000
)</f>
        <v>0</v>
      </c>
      <c r="X65" s="101">
        <f>IF(TrRoad_act!X41=0,0,X28/TrRoad_act!X41*1000
)</f>
        <v>0</v>
      </c>
      <c r="Y65" s="101">
        <f>IF(TrRoad_act!Y41=0,0,Y28/TrRoad_act!Y41*1000
)</f>
        <v>0</v>
      </c>
      <c r="DA65" s="175" t="s">
        <v>780</v>
      </c>
    </row>
    <row r="66" spans="1:105" ht="11.45" customHeight="1" x14ac:dyDescent="0.25">
      <c r="A66" s="111" t="s">
        <v>111</v>
      </c>
      <c r="B66" s="101">
        <f>IF(TrRoad_act!B42=0,0,B29/TrRoad_act!B42*1000
)</f>
        <v>1909.1581688682961</v>
      </c>
      <c r="C66" s="101">
        <f>IF(TrRoad_act!C42=0,0,C29/TrRoad_act!C42*1000
)</f>
        <v>1810.2459989342933</v>
      </c>
      <c r="D66" s="101">
        <f>IF(TrRoad_act!D42=0,0,D29/TrRoad_act!D42*1000
)</f>
        <v>1779.1174876588161</v>
      </c>
      <c r="E66" s="101">
        <f>IF(TrRoad_act!E42=0,0,E29/TrRoad_act!E42*1000
)</f>
        <v>1757.240469544829</v>
      </c>
      <c r="F66" s="101">
        <f>IF(TrRoad_act!F42=0,0,F29/TrRoad_act!F42*1000
)</f>
        <v>1729.2261529388572</v>
      </c>
      <c r="G66" s="101">
        <f>IF(TrRoad_act!G42=0,0,G29/TrRoad_act!G42*1000
)</f>
        <v>1698.8092521576202</v>
      </c>
      <c r="H66" s="101">
        <f>IF(TrRoad_act!H42=0,0,H29/TrRoad_act!H42*1000
)</f>
        <v>1669.6390355274973</v>
      </c>
      <c r="I66" s="101">
        <f>IF(TrRoad_act!I42=0,0,I29/TrRoad_act!I42*1000
)</f>
        <v>1659.6842534016653</v>
      </c>
      <c r="J66" s="101">
        <f>IF(TrRoad_act!J42=0,0,J29/TrRoad_act!J42*1000
)</f>
        <v>1592.2410457263727</v>
      </c>
      <c r="K66" s="101">
        <f>IF(TrRoad_act!K42=0,0,K29/TrRoad_act!K42*1000
)</f>
        <v>1561.9083994493956</v>
      </c>
      <c r="L66" s="101">
        <f>IF(TrRoad_act!L42=0,0,L29/TrRoad_act!L42*1000
)</f>
        <v>1531.7883709551759</v>
      </c>
      <c r="M66" s="101">
        <f>IF(TrRoad_act!M42=0,0,M29/TrRoad_act!M42*1000
)</f>
        <v>1531.1148724535919</v>
      </c>
      <c r="N66" s="101">
        <f>IF(TrRoad_act!N42=0,0,N29/TrRoad_act!N42*1000
)</f>
        <v>1545.8829534890106</v>
      </c>
      <c r="O66" s="101">
        <f>IF(TrRoad_act!O42=0,0,O29/TrRoad_act!O42*1000
)</f>
        <v>1557.460544525464</v>
      </c>
      <c r="P66" s="101">
        <f>IF(TrRoad_act!P42=0,0,P29/TrRoad_act!P42*1000
)</f>
        <v>1575.3166858021489</v>
      </c>
      <c r="Q66" s="101">
        <f>IF(TrRoad_act!Q42=0,0,Q29/TrRoad_act!Q42*1000
)</f>
        <v>1610.8946875410595</v>
      </c>
      <c r="R66" s="101">
        <f>IF(TrRoad_act!R42=0,0,R29/TrRoad_act!R42*1000
)</f>
        <v>1661.2362417551535</v>
      </c>
      <c r="S66" s="101">
        <f>IF(TrRoad_act!S42=0,0,S29/TrRoad_act!S42*1000
)</f>
        <v>1657.205107216118</v>
      </c>
      <c r="T66" s="101">
        <f>IF(TrRoad_act!T42=0,0,T29/TrRoad_act!T42*1000
)</f>
        <v>1625.1846613948969</v>
      </c>
      <c r="U66" s="101">
        <f>IF(TrRoad_act!U42=0,0,U29/TrRoad_act!U42*1000
)</f>
        <v>1609.8388945755703</v>
      </c>
      <c r="V66" s="101">
        <f>IF(TrRoad_act!V42=0,0,V29/TrRoad_act!V42*1000
)</f>
        <v>1596.6436204915194</v>
      </c>
      <c r="W66" s="101">
        <f>IF(TrRoad_act!W42=0,0,W29/TrRoad_act!W42*1000
)</f>
        <v>1583.8816718357582</v>
      </c>
      <c r="X66" s="101">
        <f>IF(TrRoad_act!X42=0,0,X29/TrRoad_act!X42*1000
)</f>
        <v>1557.5535755572646</v>
      </c>
      <c r="Y66" s="101">
        <f>IF(TrRoad_act!Y42=0,0,Y29/TrRoad_act!Y42*1000
)</f>
        <v>1518.1083464740843</v>
      </c>
      <c r="DA66" s="175" t="s">
        <v>781</v>
      </c>
    </row>
    <row r="67" spans="1:105" ht="11.45" customHeight="1" x14ac:dyDescent="0.25">
      <c r="A67" s="111" t="s">
        <v>112</v>
      </c>
      <c r="B67" s="101">
        <f>IF(TrRoad_act!B43=0,0,B30/TrRoad_act!B43*1000
)</f>
        <v>1244.1158038312744</v>
      </c>
      <c r="C67" s="101">
        <f>IF(TrRoad_act!C43=0,0,C30/TrRoad_act!C43*1000
)</f>
        <v>1244.1158038312744</v>
      </c>
      <c r="D67" s="101">
        <f>IF(TrRoad_act!D43=0,0,D30/TrRoad_act!D43*1000
)</f>
        <v>1244.1158038312742</v>
      </c>
      <c r="E67" s="101">
        <f>IF(TrRoad_act!E43=0,0,E30/TrRoad_act!E43*1000
)</f>
        <v>1242.9038790836407</v>
      </c>
      <c r="F67" s="101">
        <f>IF(TrRoad_act!F43=0,0,F30/TrRoad_act!F43*1000
)</f>
        <v>1174.763135420885</v>
      </c>
      <c r="G67" s="101">
        <f>IF(TrRoad_act!G43=0,0,G30/TrRoad_act!G43*1000
)</f>
        <v>1170.9609717532308</v>
      </c>
      <c r="H67" s="101">
        <f>IF(TrRoad_act!H43=0,0,H30/TrRoad_act!H43*1000
)</f>
        <v>1168.8171769752116</v>
      </c>
      <c r="I67" s="101">
        <f>IF(TrRoad_act!I43=0,0,I30/TrRoad_act!I43*1000
)</f>
        <v>1166.5073055283174</v>
      </c>
      <c r="J67" s="101">
        <f>IF(TrRoad_act!J43=0,0,J30/TrRoad_act!J43*1000
)</f>
        <v>1164.0762235763029</v>
      </c>
      <c r="K67" s="101">
        <f>IF(TrRoad_act!K43=0,0,K30/TrRoad_act!K43*1000
)</f>
        <v>1161.4450760318343</v>
      </c>
      <c r="L67" s="101">
        <f>IF(TrRoad_act!L43=0,0,L30/TrRoad_act!L43*1000
)</f>
        <v>1158.7170877126262</v>
      </c>
      <c r="M67" s="101">
        <f>IF(TrRoad_act!M43=0,0,M30/TrRoad_act!M43*1000
)</f>
        <v>1155.9505441363992</v>
      </c>
      <c r="N67" s="101">
        <f>IF(TrRoad_act!N43=0,0,N30/TrRoad_act!N43*1000
)</f>
        <v>1156.3873328696029</v>
      </c>
      <c r="O67" s="101">
        <f>IF(TrRoad_act!O43=0,0,O30/TrRoad_act!O43*1000
)</f>
        <v>1157.1250544515633</v>
      </c>
      <c r="P67" s="101">
        <f>IF(TrRoad_act!P43=0,0,P30/TrRoad_act!P43*1000
)</f>
        <v>1157.9033349728636</v>
      </c>
      <c r="Q67" s="101">
        <f>IF(TrRoad_act!Q43=0,0,Q30/TrRoad_act!Q43*1000
)</f>
        <v>1158.4258272715504</v>
      </c>
      <c r="R67" s="101">
        <f>IF(TrRoad_act!R43=0,0,R30/TrRoad_act!R43*1000
)</f>
        <v>1159.1030539405353</v>
      </c>
      <c r="S67" s="101">
        <f>IF(TrRoad_act!S43=0,0,S30/TrRoad_act!S43*1000
)</f>
        <v>1160.4616904101947</v>
      </c>
      <c r="T67" s="101">
        <f>IF(TrRoad_act!T43=0,0,T30/TrRoad_act!T43*1000
)</f>
        <v>1177.4580590626706</v>
      </c>
      <c r="U67" s="101">
        <f>IF(TrRoad_act!U43=0,0,U30/TrRoad_act!U43*1000
)</f>
        <v>1179.6890448929066</v>
      </c>
      <c r="V67" s="101">
        <f>IF(TrRoad_act!V43=0,0,V30/TrRoad_act!V43*1000
)</f>
        <v>1181.7116288579421</v>
      </c>
      <c r="W67" s="101">
        <f>IF(TrRoad_act!W43=0,0,W30/TrRoad_act!W43*1000
)</f>
        <v>1184.2962572482504</v>
      </c>
      <c r="X67" s="101">
        <f>IF(TrRoad_act!X43=0,0,X30/TrRoad_act!X43*1000
)</f>
        <v>1186.4988977310002</v>
      </c>
      <c r="Y67" s="101">
        <f>IF(TrRoad_act!Y43=0,0,Y30/TrRoad_act!Y43*1000
)</f>
        <v>1187.0974799955588</v>
      </c>
      <c r="DA67" s="175" t="s">
        <v>782</v>
      </c>
    </row>
    <row r="68" spans="1:105" ht="11.45" customHeight="1" x14ac:dyDescent="0.25">
      <c r="A68" s="111" t="s">
        <v>113</v>
      </c>
      <c r="B68" s="101">
        <f>IF(TrRoad_act!B44=0,0,B31/TrRoad_act!B44*1000
)</f>
        <v>0</v>
      </c>
      <c r="C68" s="101">
        <f>IF(TrRoad_act!C44=0,0,C31/TrRoad_act!C44*1000
)</f>
        <v>0</v>
      </c>
      <c r="D68" s="101">
        <f>IF(TrRoad_act!D44=0,0,D31/TrRoad_act!D44*1000
)</f>
        <v>0</v>
      </c>
      <c r="E68" s="101">
        <f>IF(TrRoad_act!E44=0,0,E31/TrRoad_act!E44*1000
)</f>
        <v>0</v>
      </c>
      <c r="F68" s="101">
        <f>IF(TrRoad_act!F44=0,0,F31/TrRoad_act!F44*1000
)</f>
        <v>0</v>
      </c>
      <c r="G68" s="101">
        <f>IF(TrRoad_act!G44=0,0,G31/TrRoad_act!G44*1000
)</f>
        <v>0</v>
      </c>
      <c r="H68" s="101">
        <f>IF(TrRoad_act!H44=0,0,H31/TrRoad_act!H44*1000
)</f>
        <v>0</v>
      </c>
      <c r="I68" s="101">
        <f>IF(TrRoad_act!I44=0,0,I31/TrRoad_act!I44*1000
)</f>
        <v>0</v>
      </c>
      <c r="J68" s="101">
        <f>IF(TrRoad_act!J44=0,0,J31/TrRoad_act!J44*1000
)</f>
        <v>0</v>
      </c>
      <c r="K68" s="101">
        <f>IF(TrRoad_act!K44=0,0,K31/TrRoad_act!K44*1000
)</f>
        <v>0</v>
      </c>
      <c r="L68" s="101">
        <f>IF(TrRoad_act!L44=0,0,L31/TrRoad_act!L44*1000
)</f>
        <v>0</v>
      </c>
      <c r="M68" s="101">
        <f>IF(TrRoad_act!M44=0,0,M31/TrRoad_act!M44*1000
)</f>
        <v>0</v>
      </c>
      <c r="N68" s="101">
        <f>IF(TrRoad_act!N44=0,0,N31/TrRoad_act!N44*1000
)</f>
        <v>0</v>
      </c>
      <c r="O68" s="101">
        <f>IF(TrRoad_act!O44=0,0,O31/TrRoad_act!O44*1000
)</f>
        <v>0</v>
      </c>
      <c r="P68" s="101">
        <f>IF(TrRoad_act!P44=0,0,P31/TrRoad_act!P44*1000
)</f>
        <v>0</v>
      </c>
      <c r="Q68" s="101">
        <f>IF(TrRoad_act!Q44=0,0,Q31/TrRoad_act!Q44*1000
)</f>
        <v>1099.2359664035894</v>
      </c>
      <c r="R68" s="101">
        <f>IF(TrRoad_act!R44=0,0,R31/TrRoad_act!R44*1000
)</f>
        <v>961.06713373171851</v>
      </c>
      <c r="S68" s="101">
        <f>IF(TrRoad_act!S44=0,0,S31/TrRoad_act!S44*1000
)</f>
        <v>706.22725427293756</v>
      </c>
      <c r="T68" s="101">
        <f>IF(TrRoad_act!T44=0,0,T31/TrRoad_act!T44*1000
)</f>
        <v>381.06792969742293</v>
      </c>
      <c r="U68" s="101">
        <f>IF(TrRoad_act!U44=0,0,U31/TrRoad_act!U44*1000
)</f>
        <v>500.58942417483121</v>
      </c>
      <c r="V68" s="101">
        <f>IF(TrRoad_act!V44=0,0,V31/TrRoad_act!V44*1000
)</f>
        <v>552.73442543058991</v>
      </c>
      <c r="W68" s="101">
        <f>IF(TrRoad_act!W44=0,0,W31/TrRoad_act!W44*1000
)</f>
        <v>781.83367943836254</v>
      </c>
      <c r="X68" s="101">
        <f>IF(TrRoad_act!X44=0,0,X31/TrRoad_act!X44*1000
)</f>
        <v>1068.499287050163</v>
      </c>
      <c r="Y68" s="101">
        <f>IF(TrRoad_act!Y44=0,0,Y31/TrRoad_act!Y44*1000
)</f>
        <v>1030.0587080160972</v>
      </c>
      <c r="DA68" s="175" t="s">
        <v>783</v>
      </c>
    </row>
    <row r="69" spans="1:105" ht="11.45" customHeight="1" x14ac:dyDescent="0.25">
      <c r="A69" s="111" t="s">
        <v>115</v>
      </c>
      <c r="B69" s="101">
        <f>IF(TrRoad_act!B45=0,0,B32/TrRoad_act!B45*1000
)</f>
        <v>0</v>
      </c>
      <c r="C69" s="101">
        <f>IF(TrRoad_act!C45=0,0,C32/TrRoad_act!C45*1000
)</f>
        <v>0</v>
      </c>
      <c r="D69" s="101">
        <f>IF(TrRoad_act!D45=0,0,D32/TrRoad_act!D45*1000
)</f>
        <v>0</v>
      </c>
      <c r="E69" s="101">
        <f>IF(TrRoad_act!E45=0,0,E32/TrRoad_act!E45*1000
)</f>
        <v>0</v>
      </c>
      <c r="F69" s="101">
        <f>IF(TrRoad_act!F45=0,0,F32/TrRoad_act!F45*1000
)</f>
        <v>0</v>
      </c>
      <c r="G69" s="101">
        <f>IF(TrRoad_act!G45=0,0,G32/TrRoad_act!G45*1000
)</f>
        <v>0</v>
      </c>
      <c r="H69" s="101">
        <f>IF(TrRoad_act!H45=0,0,H32/TrRoad_act!H45*1000
)</f>
        <v>0</v>
      </c>
      <c r="I69" s="101">
        <f>IF(TrRoad_act!I45=0,0,I32/TrRoad_act!I45*1000
)</f>
        <v>0</v>
      </c>
      <c r="J69" s="101">
        <f>IF(TrRoad_act!J45=0,0,J32/TrRoad_act!J45*1000
)</f>
        <v>0</v>
      </c>
      <c r="K69" s="101">
        <f>IF(TrRoad_act!K45=0,0,K32/TrRoad_act!K45*1000
)</f>
        <v>0</v>
      </c>
      <c r="L69" s="101">
        <f>IF(TrRoad_act!L45=0,0,L32/TrRoad_act!L45*1000
)</f>
        <v>0</v>
      </c>
      <c r="M69" s="101">
        <f>IF(TrRoad_act!M45=0,0,M32/TrRoad_act!M45*1000
)</f>
        <v>0</v>
      </c>
      <c r="N69" s="101">
        <f>IF(TrRoad_act!N45=0,0,N32/TrRoad_act!N45*1000
)</f>
        <v>0</v>
      </c>
      <c r="O69" s="101">
        <f>IF(TrRoad_act!O45=0,0,O32/TrRoad_act!O45*1000
)</f>
        <v>0</v>
      </c>
      <c r="P69" s="101">
        <f>IF(TrRoad_act!P45=0,0,P32/TrRoad_act!P45*1000
)</f>
        <v>0</v>
      </c>
      <c r="Q69" s="101">
        <f>IF(TrRoad_act!Q45=0,0,Q32/TrRoad_act!Q45*1000
)</f>
        <v>0</v>
      </c>
      <c r="R69" s="101">
        <f>IF(TrRoad_act!R45=0,0,R32/TrRoad_act!R45*1000
)</f>
        <v>0</v>
      </c>
      <c r="S69" s="101">
        <f>IF(TrRoad_act!S45=0,0,S32/TrRoad_act!S45*1000
)</f>
        <v>0</v>
      </c>
      <c r="T69" s="101">
        <f>IF(TrRoad_act!T45=0,0,T32/TrRoad_act!T45*1000
)</f>
        <v>0</v>
      </c>
      <c r="U69" s="101">
        <f>IF(TrRoad_act!U45=0,0,U32/TrRoad_act!U45*1000
)</f>
        <v>0</v>
      </c>
      <c r="V69" s="101">
        <f>IF(TrRoad_act!V45=0,0,V32/TrRoad_act!V45*1000
)</f>
        <v>0</v>
      </c>
      <c r="W69" s="101">
        <f>IF(TrRoad_act!W45=0,0,W32/TrRoad_act!W45*1000
)</f>
        <v>0</v>
      </c>
      <c r="X69" s="101">
        <f>IF(TrRoad_act!X45=0,0,X32/TrRoad_act!X45*1000
)</f>
        <v>0</v>
      </c>
      <c r="Y69" s="101">
        <f>IF(TrRoad_act!Y45=0,0,Y32/TrRoad_act!Y45*1000
)</f>
        <v>0</v>
      </c>
      <c r="DA69" s="175" t="s">
        <v>784</v>
      </c>
    </row>
    <row r="70" spans="1:105" ht="11.45" customHeight="1" x14ac:dyDescent="0.25">
      <c r="A70" s="27" t="s">
        <v>34</v>
      </c>
      <c r="B70" s="29">
        <f>IF(TrRoad_act!B46=0,0,B33/TrRoad_act!B46*1000
)</f>
        <v>298.79619421588853</v>
      </c>
      <c r="C70" s="29">
        <f>IF(TrRoad_act!C46=0,0,C33/TrRoad_act!C46*1000
)</f>
        <v>316.63012259696308</v>
      </c>
      <c r="D70" s="29">
        <f>IF(TrRoad_act!D46=0,0,D33/TrRoad_act!D46*1000
)</f>
        <v>286.50989541224521</v>
      </c>
      <c r="E70" s="29">
        <f>IF(TrRoad_act!E46=0,0,E33/TrRoad_act!E46*1000
)</f>
        <v>333.65005371340044</v>
      </c>
      <c r="F70" s="29">
        <f>IF(TrRoad_act!F46=0,0,F33/TrRoad_act!F46*1000
)</f>
        <v>385.89675071332579</v>
      </c>
      <c r="G70" s="29">
        <f>IF(TrRoad_act!G46=0,0,G33/TrRoad_act!G46*1000
)</f>
        <v>456.98788128475724</v>
      </c>
      <c r="H70" s="29">
        <f>IF(TrRoad_act!H46=0,0,H33/TrRoad_act!H46*1000
)</f>
        <v>488.14604676831419</v>
      </c>
      <c r="I70" s="29">
        <f>IF(TrRoad_act!I46=0,0,I33/TrRoad_act!I46*1000
)</f>
        <v>529.46376238041387</v>
      </c>
      <c r="J70" s="29">
        <f>IF(TrRoad_act!J46=0,0,J33/TrRoad_act!J46*1000
)</f>
        <v>521.11257676419427</v>
      </c>
      <c r="K70" s="29">
        <f>IF(TrRoad_act!K46=0,0,K33/TrRoad_act!K46*1000
)</f>
        <v>485.60618344279305</v>
      </c>
      <c r="L70" s="29">
        <f>IF(TrRoad_act!L46=0,0,L33/TrRoad_act!L46*1000
)</f>
        <v>492.81529470337415</v>
      </c>
      <c r="M70" s="29">
        <f>IF(TrRoad_act!M46=0,0,M33/TrRoad_act!M46*1000
)</f>
        <v>473.45125469541199</v>
      </c>
      <c r="N70" s="29">
        <f>IF(TrRoad_act!N46=0,0,N33/TrRoad_act!N46*1000
)</f>
        <v>429.53726105167681</v>
      </c>
      <c r="O70" s="29">
        <f>IF(TrRoad_act!O46=0,0,O33/TrRoad_act!O46*1000
)</f>
        <v>373.13548382756147</v>
      </c>
      <c r="P70" s="29">
        <f>IF(TrRoad_act!P46=0,0,P33/TrRoad_act!P46*1000
)</f>
        <v>380.28808226705877</v>
      </c>
      <c r="Q70" s="29">
        <f>IF(TrRoad_act!Q46=0,0,Q33/TrRoad_act!Q46*1000
)</f>
        <v>386.79057141238189</v>
      </c>
      <c r="R70" s="29">
        <f>IF(TrRoad_act!R46=0,0,R33/TrRoad_act!R46*1000
)</f>
        <v>461.09170721930616</v>
      </c>
      <c r="S70" s="29">
        <f>IF(TrRoad_act!S46=0,0,S33/TrRoad_act!S46*1000
)</f>
        <v>537.36878460596051</v>
      </c>
      <c r="T70" s="29">
        <f>IF(TrRoad_act!T46=0,0,T33/TrRoad_act!T46*1000
)</f>
        <v>537.58520478063463</v>
      </c>
      <c r="U70" s="29">
        <f>IF(TrRoad_act!U46=0,0,U33/TrRoad_act!U46*1000
)</f>
        <v>519.09230145327797</v>
      </c>
      <c r="V70" s="29">
        <f>IF(TrRoad_act!V46=0,0,V33/TrRoad_act!V46*1000
)</f>
        <v>487.63290587521374</v>
      </c>
      <c r="W70" s="29">
        <f>IF(TrRoad_act!W46=0,0,W33/TrRoad_act!W46*1000
)</f>
        <v>565.50826661387009</v>
      </c>
      <c r="X70" s="29">
        <f>IF(TrRoad_act!X46=0,0,X33/TrRoad_act!X46*1000
)</f>
        <v>564.40983697395529</v>
      </c>
      <c r="Y70" s="29">
        <f>IF(TrRoad_act!Y46=0,0,Y33/TrRoad_act!Y46*1000
)</f>
        <v>550.70843638461781</v>
      </c>
      <c r="DA70" s="173" t="s">
        <v>785</v>
      </c>
    </row>
    <row r="71" spans="1:105" ht="11.45" customHeight="1" x14ac:dyDescent="0.25">
      <c r="A71" s="136" t="s">
        <v>153</v>
      </c>
      <c r="B71" s="152">
        <f>IF(TrRoad_act!B47=0,0,B34/TrRoad_act!B47*1000
)</f>
        <v>280.26908733865668</v>
      </c>
      <c r="C71" s="152">
        <f>IF(TrRoad_act!C47=0,0,C34/TrRoad_act!C47*1000
)</f>
        <v>273.35314222373677</v>
      </c>
      <c r="D71" s="152">
        <f>IF(TrRoad_act!D47=0,0,D34/TrRoad_act!D47*1000
)</f>
        <v>274.26885060711032</v>
      </c>
      <c r="E71" s="152">
        <f>IF(TrRoad_act!E47=0,0,E34/TrRoad_act!E47*1000
)</f>
        <v>271.89478304885751</v>
      </c>
      <c r="F71" s="152">
        <f>IF(TrRoad_act!F47=0,0,F34/TrRoad_act!F47*1000
)</f>
        <v>272.15972237965383</v>
      </c>
      <c r="G71" s="152">
        <f>IF(TrRoad_act!G47=0,0,G34/TrRoad_act!G47*1000
)</f>
        <v>272.80337071491584</v>
      </c>
      <c r="H71" s="152">
        <f>IF(TrRoad_act!H47=0,0,H34/TrRoad_act!H47*1000
)</f>
        <v>272.35935551778567</v>
      </c>
      <c r="I71" s="152">
        <f>IF(TrRoad_act!I47=0,0,I34/TrRoad_act!I47*1000
)</f>
        <v>273.19421262488146</v>
      </c>
      <c r="J71" s="152">
        <f>IF(TrRoad_act!J47=0,0,J34/TrRoad_act!J47*1000
)</f>
        <v>266.9232098713731</v>
      </c>
      <c r="K71" s="152">
        <f>IF(TrRoad_act!K47=0,0,K34/TrRoad_act!K47*1000
)</f>
        <v>262.28074941031684</v>
      </c>
      <c r="L71" s="152">
        <f>IF(TrRoad_act!L47=0,0,L34/TrRoad_act!L47*1000
)</f>
        <v>259.54620829881787</v>
      </c>
      <c r="M71" s="152">
        <f>IF(TrRoad_act!M47=0,0,M34/TrRoad_act!M47*1000
)</f>
        <v>261.1935879247722</v>
      </c>
      <c r="N71" s="152">
        <f>IF(TrRoad_act!N47=0,0,N34/TrRoad_act!N47*1000
)</f>
        <v>263.08854259856844</v>
      </c>
      <c r="O71" s="152">
        <f>IF(TrRoad_act!O47=0,0,O34/TrRoad_act!O47*1000
)</f>
        <v>263.26814322103036</v>
      </c>
      <c r="P71" s="152">
        <f>IF(TrRoad_act!P47=0,0,P34/TrRoad_act!P47*1000
)</f>
        <v>263.37575192499077</v>
      </c>
      <c r="Q71" s="152">
        <f>IF(TrRoad_act!Q47=0,0,Q34/TrRoad_act!Q47*1000
)</f>
        <v>265.53345967020977</v>
      </c>
      <c r="R71" s="152">
        <f>IF(TrRoad_act!R47=0,0,R34/TrRoad_act!R47*1000
)</f>
        <v>269.99231907338714</v>
      </c>
      <c r="S71" s="152">
        <f>IF(TrRoad_act!S47=0,0,S34/TrRoad_act!S47*1000
)</f>
        <v>266.71126634650562</v>
      </c>
      <c r="T71" s="152">
        <f>IF(TrRoad_act!T47=0,0,T34/TrRoad_act!T47*1000
)</f>
        <v>261.36725095624524</v>
      </c>
      <c r="U71" s="152">
        <f>IF(TrRoad_act!U47=0,0,U34/TrRoad_act!U47*1000
)</f>
        <v>257.52848095780291</v>
      </c>
      <c r="V71" s="152">
        <f>IF(TrRoad_act!V47=0,0,V34/TrRoad_act!V47*1000
)</f>
        <v>257.83785633627679</v>
      </c>
      <c r="W71" s="152">
        <f>IF(TrRoad_act!W47=0,0,W34/TrRoad_act!W47*1000
)</f>
        <v>258.26140736576417</v>
      </c>
      <c r="X71" s="152">
        <f>IF(TrRoad_act!X47=0,0,X34/TrRoad_act!X47*1000
)</f>
        <v>255.46939086904385</v>
      </c>
      <c r="Y71" s="152">
        <f>IF(TrRoad_act!Y47=0,0,Y34/TrRoad_act!Y47*1000
)</f>
        <v>254.71015494113308</v>
      </c>
      <c r="DA71" s="174" t="s">
        <v>786</v>
      </c>
    </row>
    <row r="72" spans="1:105" ht="11.45" customHeight="1" x14ac:dyDescent="0.25">
      <c r="A72" s="111" t="s">
        <v>110</v>
      </c>
      <c r="B72" s="87">
        <f>IF(TrRoad_act!B48=0,0,B35/TrRoad_act!B48*1000
)</f>
        <v>248.77822385194895</v>
      </c>
      <c r="C72" s="87">
        <f>IF(TrRoad_act!C48=0,0,C35/TrRoad_act!C48*1000
)</f>
        <v>247.07882850438702</v>
      </c>
      <c r="D72" s="87">
        <f>IF(TrRoad_act!D48=0,0,D35/TrRoad_act!D48*1000
)</f>
        <v>245.51449248959989</v>
      </c>
      <c r="E72" s="87">
        <f>IF(TrRoad_act!E48=0,0,E35/TrRoad_act!E48*1000
)</f>
        <v>241.42656180968723</v>
      </c>
      <c r="F72" s="87">
        <f>IF(TrRoad_act!F48=0,0,F35/TrRoad_act!F48*1000
)</f>
        <v>240.61615907024958</v>
      </c>
      <c r="G72" s="87">
        <f>IF(TrRoad_act!G48=0,0,G35/TrRoad_act!G48*1000
)</f>
        <v>238.64660195679633</v>
      </c>
      <c r="H72" s="87">
        <f>IF(TrRoad_act!H48=0,0,H35/TrRoad_act!H48*1000
)</f>
        <v>235.6975703909774</v>
      </c>
      <c r="I72" s="87">
        <f>IF(TrRoad_act!I48=0,0,I35/TrRoad_act!I48*1000
)</f>
        <v>232.18019134878449</v>
      </c>
      <c r="J72" s="87">
        <f>IF(TrRoad_act!J48=0,0,J35/TrRoad_act!J48*1000
)</f>
        <v>225.85517531971286</v>
      </c>
      <c r="K72" s="87">
        <f>IF(TrRoad_act!K48=0,0,K35/TrRoad_act!K48*1000
)</f>
        <v>221.03955784923147</v>
      </c>
      <c r="L72" s="87">
        <f>IF(TrRoad_act!L48=0,0,L35/TrRoad_act!L48*1000
)</f>
        <v>218.07018220483758</v>
      </c>
      <c r="M72" s="87">
        <f>IF(TrRoad_act!M48=0,0,M35/TrRoad_act!M48*1000
)</f>
        <v>215.55727384248863</v>
      </c>
      <c r="N72" s="87">
        <f>IF(TrRoad_act!N48=0,0,N35/TrRoad_act!N48*1000
)</f>
        <v>215.28030787908926</v>
      </c>
      <c r="O72" s="87">
        <f>IF(TrRoad_act!O48=0,0,O35/TrRoad_act!O48*1000
)</f>
        <v>211.77085893688403</v>
      </c>
      <c r="P72" s="87">
        <f>IF(TrRoad_act!P48=0,0,P35/TrRoad_act!P48*1000
)</f>
        <v>209.60269021942918</v>
      </c>
      <c r="Q72" s="87">
        <f>IF(TrRoad_act!Q48=0,0,Q35/TrRoad_act!Q48*1000
)</f>
        <v>206.26518486763428</v>
      </c>
      <c r="R72" s="87">
        <f>IF(TrRoad_act!R48=0,0,R35/TrRoad_act!R48*1000
)</f>
        <v>204.46095353314519</v>
      </c>
      <c r="S72" s="87">
        <f>IF(TrRoad_act!S48=0,0,S35/TrRoad_act!S48*1000
)</f>
        <v>202.13363300902839</v>
      </c>
      <c r="T72" s="87">
        <f>IF(TrRoad_act!T48=0,0,T35/TrRoad_act!T48*1000
)</f>
        <v>200.08803506462255</v>
      </c>
      <c r="U72" s="87">
        <f>IF(TrRoad_act!U48=0,0,U35/TrRoad_act!U48*1000
)</f>
        <v>199.64772809609912</v>
      </c>
      <c r="V72" s="87">
        <f>IF(TrRoad_act!V48=0,0,V35/TrRoad_act!V48*1000
)</f>
        <v>198.04023645274179</v>
      </c>
      <c r="W72" s="87">
        <f>IF(TrRoad_act!W48=0,0,W35/TrRoad_act!W48*1000
)</f>
        <v>200.15829368027832</v>
      </c>
      <c r="X72" s="87">
        <f>IF(TrRoad_act!X48=0,0,X35/TrRoad_act!X48*1000
)</f>
        <v>198.33274104296748</v>
      </c>
      <c r="Y72" s="87">
        <f>IF(TrRoad_act!Y48=0,0,Y35/TrRoad_act!Y48*1000
)</f>
        <v>198.2094995084278</v>
      </c>
      <c r="DA72" s="171" t="s">
        <v>787</v>
      </c>
    </row>
    <row r="73" spans="1:105" ht="11.45" customHeight="1" x14ac:dyDescent="0.25">
      <c r="A73" s="111" t="s">
        <v>111</v>
      </c>
      <c r="B73" s="87">
        <f>IF(TrRoad_act!B49=0,0,B36/TrRoad_act!B49*1000
)</f>
        <v>329.97757253419115</v>
      </c>
      <c r="C73" s="87">
        <f>IF(TrRoad_act!C49=0,0,C36/TrRoad_act!C49*1000
)</f>
        <v>314.78904944290576</v>
      </c>
      <c r="D73" s="87">
        <f>IF(TrRoad_act!D49=0,0,D36/TrRoad_act!D49*1000
)</f>
        <v>309.97109648291007</v>
      </c>
      <c r="E73" s="87">
        <f>IF(TrRoad_act!E49=0,0,E36/TrRoad_act!E49*1000
)</f>
        <v>306.58970152526462</v>
      </c>
      <c r="F73" s="87">
        <f>IF(TrRoad_act!F49=0,0,F36/TrRoad_act!F49*1000
)</f>
        <v>303.90573189338761</v>
      </c>
      <c r="G73" s="87">
        <f>IF(TrRoad_act!G49=0,0,G36/TrRoad_act!G49*1000
)</f>
        <v>300.43145616930542</v>
      </c>
      <c r="H73" s="87">
        <f>IF(TrRoad_act!H49=0,0,H36/TrRoad_act!H49*1000
)</f>
        <v>297.89332459339073</v>
      </c>
      <c r="I73" s="87">
        <f>IF(TrRoad_act!I49=0,0,I36/TrRoad_act!I49*1000
)</f>
        <v>297.41010077091676</v>
      </c>
      <c r="J73" s="87">
        <f>IF(TrRoad_act!J49=0,0,J36/TrRoad_act!J49*1000
)</f>
        <v>287.09466955616716</v>
      </c>
      <c r="K73" s="87">
        <f>IF(TrRoad_act!K49=0,0,K36/TrRoad_act!K49*1000
)</f>
        <v>281.50296399709345</v>
      </c>
      <c r="L73" s="87">
        <f>IF(TrRoad_act!L49=0,0,L36/TrRoad_act!L49*1000
)</f>
        <v>276.62186257312277</v>
      </c>
      <c r="M73" s="87">
        <f>IF(TrRoad_act!M49=0,0,M36/TrRoad_act!M49*1000
)</f>
        <v>277.4913346824593</v>
      </c>
      <c r="N73" s="87">
        <f>IF(TrRoad_act!N49=0,0,N36/TrRoad_act!N49*1000
)</f>
        <v>278.93802988121735</v>
      </c>
      <c r="O73" s="87">
        <f>IF(TrRoad_act!O49=0,0,O36/TrRoad_act!O49*1000
)</f>
        <v>278.72718447094974</v>
      </c>
      <c r="P73" s="87">
        <f>IF(TrRoad_act!P49=0,0,P36/TrRoad_act!P49*1000
)</f>
        <v>278.6181940502737</v>
      </c>
      <c r="Q73" s="87">
        <f>IF(TrRoad_act!Q49=0,0,Q36/TrRoad_act!Q49*1000
)</f>
        <v>280.21615519847467</v>
      </c>
      <c r="R73" s="87">
        <f>IF(TrRoad_act!R49=0,0,R36/TrRoad_act!R49*1000
)</f>
        <v>285.34723419420993</v>
      </c>
      <c r="S73" s="87">
        <f>IF(TrRoad_act!S49=0,0,S36/TrRoad_act!S49*1000
)</f>
        <v>281.5845944765021</v>
      </c>
      <c r="T73" s="87">
        <f>IF(TrRoad_act!T49=0,0,T36/TrRoad_act!T49*1000
)</f>
        <v>274.62831639327408</v>
      </c>
      <c r="U73" s="87">
        <f>IF(TrRoad_act!U49=0,0,U36/TrRoad_act!U49*1000
)</f>
        <v>269.4390496568567</v>
      </c>
      <c r="V73" s="87">
        <f>IF(TrRoad_act!V49=0,0,V36/TrRoad_act!V49*1000
)</f>
        <v>269.01838751290489</v>
      </c>
      <c r="W73" s="87">
        <f>IF(TrRoad_act!W49=0,0,W36/TrRoad_act!W49*1000
)</f>
        <v>268.73577383885021</v>
      </c>
      <c r="X73" s="87">
        <f>IF(TrRoad_act!X49=0,0,X36/TrRoad_act!X49*1000
)</f>
        <v>265.98383307186231</v>
      </c>
      <c r="Y73" s="87">
        <f>IF(TrRoad_act!Y49=0,0,Y36/TrRoad_act!Y49*1000
)</f>
        <v>264.95817109839464</v>
      </c>
      <c r="DA73" s="171" t="s">
        <v>788</v>
      </c>
    </row>
    <row r="74" spans="1:105" ht="11.45" customHeight="1" x14ac:dyDescent="0.25">
      <c r="A74" s="111" t="s">
        <v>112</v>
      </c>
      <c r="B74" s="87">
        <f>IF(TrRoad_act!B50=0,0,B37/TrRoad_act!B50*1000
)</f>
        <v>277.52071353898708</v>
      </c>
      <c r="C74" s="87">
        <f>IF(TrRoad_act!C50=0,0,C37/TrRoad_act!C50*1000
)</f>
        <v>270.10786289418411</v>
      </c>
      <c r="D74" s="87">
        <f>IF(TrRoad_act!D50=0,0,D37/TrRoad_act!D50*1000
)</f>
        <v>255.23165925620052</v>
      </c>
      <c r="E74" s="87">
        <f>IF(TrRoad_act!E50=0,0,E37/TrRoad_act!E50*1000
)</f>
        <v>249.84696922763581</v>
      </c>
      <c r="F74" s="87">
        <f>IF(TrRoad_act!F50=0,0,F37/TrRoad_act!F50*1000
)</f>
        <v>248.29256510998414</v>
      </c>
      <c r="G74" s="87">
        <f>IF(TrRoad_act!G50=0,0,G37/TrRoad_act!G50*1000
)</f>
        <v>244.48770645741834</v>
      </c>
      <c r="H74" s="87">
        <f>IF(TrRoad_act!H50=0,0,H37/TrRoad_act!H50*1000
)</f>
        <v>238.38885276539278</v>
      </c>
      <c r="I74" s="87">
        <f>IF(TrRoad_act!I50=0,0,I37/TrRoad_act!I50*1000
)</f>
        <v>235.54651843184666</v>
      </c>
      <c r="J74" s="87">
        <f>IF(TrRoad_act!J50=0,0,J37/TrRoad_act!J50*1000
)</f>
        <v>233.97760832776467</v>
      </c>
      <c r="K74" s="87">
        <f>IF(TrRoad_act!K50=0,0,K37/TrRoad_act!K50*1000
)</f>
        <v>233.30121106149957</v>
      </c>
      <c r="L74" s="87">
        <f>IF(TrRoad_act!L50=0,0,L37/TrRoad_act!L50*1000
)</f>
        <v>232.48040763749208</v>
      </c>
      <c r="M74" s="87">
        <f>IF(TrRoad_act!M50=0,0,M37/TrRoad_act!M50*1000
)</f>
        <v>231.76845541440113</v>
      </c>
      <c r="N74" s="87">
        <f>IF(TrRoad_act!N50=0,0,N37/TrRoad_act!N50*1000
)</f>
        <v>229.26941926061571</v>
      </c>
      <c r="O74" s="87">
        <f>IF(TrRoad_act!O50=0,0,O37/TrRoad_act!O50*1000
)</f>
        <v>228.37209711808788</v>
      </c>
      <c r="P74" s="87">
        <f>IF(TrRoad_act!P50=0,0,P37/TrRoad_act!P50*1000
)</f>
        <v>224.52403241226438</v>
      </c>
      <c r="Q74" s="87">
        <f>IF(TrRoad_act!Q50=0,0,Q37/TrRoad_act!Q50*1000
)</f>
        <v>223.86587770262517</v>
      </c>
      <c r="R74" s="87">
        <f>IF(TrRoad_act!R50=0,0,R37/TrRoad_act!R50*1000
)</f>
        <v>222.20118816366531</v>
      </c>
      <c r="S74" s="87">
        <f>IF(TrRoad_act!S50=0,0,S37/TrRoad_act!S50*1000
)</f>
        <v>220.6677111110728</v>
      </c>
      <c r="T74" s="87">
        <f>IF(TrRoad_act!T50=0,0,T37/TrRoad_act!T50*1000
)</f>
        <v>219.04856158683063</v>
      </c>
      <c r="U74" s="87">
        <f>IF(TrRoad_act!U50=0,0,U37/TrRoad_act!U50*1000
)</f>
        <v>218.64360984972518</v>
      </c>
      <c r="V74" s="87">
        <f>IF(TrRoad_act!V50=0,0,V37/TrRoad_act!V50*1000
)</f>
        <v>218.46647354226656</v>
      </c>
      <c r="W74" s="87">
        <f>IF(TrRoad_act!W50=0,0,W37/TrRoad_act!W50*1000
)</f>
        <v>217.96360262374196</v>
      </c>
      <c r="X74" s="87">
        <f>IF(TrRoad_act!X50=0,0,X37/TrRoad_act!X50*1000
)</f>
        <v>217.6195667529208</v>
      </c>
      <c r="Y74" s="87">
        <f>IF(TrRoad_act!Y50=0,0,Y37/TrRoad_act!Y50*1000
)</f>
        <v>217.23962204863682</v>
      </c>
      <c r="DA74" s="171" t="s">
        <v>789</v>
      </c>
    </row>
    <row r="75" spans="1:105" ht="11.45" customHeight="1" x14ac:dyDescent="0.25">
      <c r="A75" s="111" t="s">
        <v>113</v>
      </c>
      <c r="B75" s="87">
        <f>IF(TrRoad_act!B51=0,0,B38/TrRoad_act!B51*1000
)</f>
        <v>0</v>
      </c>
      <c r="C75" s="87">
        <f>IF(TrRoad_act!C51=0,0,C38/TrRoad_act!C51*1000
)</f>
        <v>0</v>
      </c>
      <c r="D75" s="87">
        <f>IF(TrRoad_act!D51=0,0,D38/TrRoad_act!D51*1000
)</f>
        <v>0</v>
      </c>
      <c r="E75" s="87">
        <f>IF(TrRoad_act!E51=0,0,E38/TrRoad_act!E51*1000
)</f>
        <v>0</v>
      </c>
      <c r="F75" s="87">
        <f>IF(TrRoad_act!F51=0,0,F38/TrRoad_act!F51*1000
)</f>
        <v>0</v>
      </c>
      <c r="G75" s="87">
        <f>IF(TrRoad_act!G51=0,0,G38/TrRoad_act!G51*1000
)</f>
        <v>0</v>
      </c>
      <c r="H75" s="87">
        <f>IF(TrRoad_act!H51=0,0,H38/TrRoad_act!H51*1000
)</f>
        <v>0</v>
      </c>
      <c r="I75" s="87">
        <f>IF(TrRoad_act!I51=0,0,I38/TrRoad_act!I51*1000
)</f>
        <v>0</v>
      </c>
      <c r="J75" s="87">
        <f>IF(TrRoad_act!J51=0,0,J38/TrRoad_act!J51*1000
)</f>
        <v>0</v>
      </c>
      <c r="K75" s="87">
        <f>IF(TrRoad_act!K51=0,0,K38/TrRoad_act!K51*1000
)</f>
        <v>0</v>
      </c>
      <c r="L75" s="87">
        <f>IF(TrRoad_act!L51=0,0,L38/TrRoad_act!L51*1000
)</f>
        <v>0</v>
      </c>
      <c r="M75" s="87">
        <f>IF(TrRoad_act!M51=0,0,M38/TrRoad_act!M51*1000
)</f>
        <v>0</v>
      </c>
      <c r="N75" s="87">
        <f>IF(TrRoad_act!N51=0,0,N38/TrRoad_act!N51*1000
)</f>
        <v>0</v>
      </c>
      <c r="O75" s="87">
        <f>IF(TrRoad_act!O51=0,0,O38/TrRoad_act!O51*1000
)</f>
        <v>0</v>
      </c>
      <c r="P75" s="87">
        <f>IF(TrRoad_act!P51=0,0,P38/TrRoad_act!P51*1000
)</f>
        <v>0</v>
      </c>
      <c r="Q75" s="87">
        <f>IF(TrRoad_act!Q51=0,0,Q38/TrRoad_act!Q51*1000
)</f>
        <v>239.39201279587124</v>
      </c>
      <c r="R75" s="87">
        <f>IF(TrRoad_act!R51=0,0,R38/TrRoad_act!R51*1000
)</f>
        <v>241.92058702453281</v>
      </c>
      <c r="S75" s="87">
        <f>IF(TrRoad_act!S51=0,0,S38/TrRoad_act!S51*1000
)</f>
        <v>241.22210189466659</v>
      </c>
      <c r="T75" s="87">
        <f>IF(TrRoad_act!T51=0,0,T38/TrRoad_act!T51*1000
)</f>
        <v>242.4332801748526</v>
      </c>
      <c r="U75" s="87">
        <f>IF(TrRoad_act!U51=0,0,U38/TrRoad_act!U51*1000
)</f>
        <v>241.0600579079792</v>
      </c>
      <c r="V75" s="87">
        <f>IF(TrRoad_act!V51=0,0,V38/TrRoad_act!V51*1000
)</f>
        <v>241.25620562008487</v>
      </c>
      <c r="W75" s="87">
        <f>IF(TrRoad_act!W51=0,0,W38/TrRoad_act!W51*1000
)</f>
        <v>241.13111220281439</v>
      </c>
      <c r="X75" s="87">
        <f>IF(TrRoad_act!X51=0,0,X38/TrRoad_act!X51*1000
)</f>
        <v>243.95188206872109</v>
      </c>
      <c r="Y75" s="87">
        <f>IF(TrRoad_act!Y51=0,0,Y38/TrRoad_act!Y51*1000
)</f>
        <v>241.54443008315141</v>
      </c>
      <c r="DA75" s="171" t="s">
        <v>790</v>
      </c>
    </row>
    <row r="76" spans="1:105" ht="11.45" customHeight="1" x14ac:dyDescent="0.25">
      <c r="A76" s="111" t="s">
        <v>115</v>
      </c>
      <c r="B76" s="87">
        <f>IF(TrRoad_act!B52=0,0,B39/TrRoad_act!B52*1000
)</f>
        <v>0</v>
      </c>
      <c r="C76" s="87">
        <f>IF(TrRoad_act!C52=0,0,C39/TrRoad_act!C52*1000
)</f>
        <v>0</v>
      </c>
      <c r="D76" s="87">
        <f>IF(TrRoad_act!D52=0,0,D39/TrRoad_act!D52*1000
)</f>
        <v>0</v>
      </c>
      <c r="E76" s="87">
        <f>IF(TrRoad_act!E52=0,0,E39/TrRoad_act!E52*1000
)</f>
        <v>0</v>
      </c>
      <c r="F76" s="87">
        <f>IF(TrRoad_act!F52=0,0,F39/TrRoad_act!F52*1000
)</f>
        <v>0</v>
      </c>
      <c r="G76" s="87">
        <f>IF(TrRoad_act!G52=0,0,G39/TrRoad_act!G52*1000
)</f>
        <v>0</v>
      </c>
      <c r="H76" s="87">
        <f>IF(TrRoad_act!H52=0,0,H39/TrRoad_act!H52*1000
)</f>
        <v>0</v>
      </c>
      <c r="I76" s="87">
        <f>IF(TrRoad_act!I52=0,0,I39/TrRoad_act!I52*1000
)</f>
        <v>0</v>
      </c>
      <c r="J76" s="87">
        <f>IF(TrRoad_act!J52=0,0,J39/TrRoad_act!J52*1000
)</f>
        <v>0</v>
      </c>
      <c r="K76" s="87">
        <f>IF(TrRoad_act!K52=0,0,K39/TrRoad_act!K52*1000
)</f>
        <v>0</v>
      </c>
      <c r="L76" s="87">
        <f>IF(TrRoad_act!L52=0,0,L39/TrRoad_act!L52*1000
)</f>
        <v>0</v>
      </c>
      <c r="M76" s="87">
        <f>IF(TrRoad_act!M52=0,0,M39/TrRoad_act!M52*1000
)</f>
        <v>0</v>
      </c>
      <c r="N76" s="87">
        <f>IF(TrRoad_act!N52=0,0,N39/TrRoad_act!N52*1000
)</f>
        <v>0</v>
      </c>
      <c r="O76" s="87">
        <f>IF(TrRoad_act!O52=0,0,O39/TrRoad_act!O52*1000
)</f>
        <v>0</v>
      </c>
      <c r="P76" s="87">
        <f>IF(TrRoad_act!P52=0,0,P39/TrRoad_act!P52*1000
)</f>
        <v>0</v>
      </c>
      <c r="Q76" s="87">
        <f>IF(TrRoad_act!Q52=0,0,Q39/TrRoad_act!Q52*1000
)</f>
        <v>0</v>
      </c>
      <c r="R76" s="87">
        <f>IF(TrRoad_act!R52=0,0,R39/TrRoad_act!R52*1000
)</f>
        <v>0</v>
      </c>
      <c r="S76" s="87">
        <f>IF(TrRoad_act!S52=0,0,S39/TrRoad_act!S52*1000
)</f>
        <v>0</v>
      </c>
      <c r="T76" s="87">
        <f>IF(TrRoad_act!T52=0,0,T39/TrRoad_act!T52*1000
)</f>
        <v>0</v>
      </c>
      <c r="U76" s="87">
        <f>IF(TrRoad_act!U52=0,0,U39/TrRoad_act!U52*1000
)</f>
        <v>0</v>
      </c>
      <c r="V76" s="87">
        <f>IF(TrRoad_act!V52=0,0,V39/TrRoad_act!V52*1000
)</f>
        <v>0</v>
      </c>
      <c r="W76" s="87">
        <f>IF(TrRoad_act!W52=0,0,W39/TrRoad_act!W52*1000
)</f>
        <v>0</v>
      </c>
      <c r="X76" s="87">
        <f>IF(TrRoad_act!X52=0,0,X39/TrRoad_act!X52*1000
)</f>
        <v>0</v>
      </c>
      <c r="Y76" s="87">
        <f>IF(TrRoad_act!Y52=0,0,Y39/TrRoad_act!Y52*1000
)</f>
        <v>0</v>
      </c>
      <c r="DA76" s="171" t="s">
        <v>791</v>
      </c>
    </row>
    <row r="77" spans="1:105" ht="11.45" customHeight="1" x14ac:dyDescent="0.25">
      <c r="A77" s="109" t="s">
        <v>154</v>
      </c>
      <c r="B77" s="116">
        <f>IF(TrRoad_act!B53=0,0,B40/TrRoad_act!B53*1000
)</f>
        <v>359.7710654276795</v>
      </c>
      <c r="C77" s="116">
        <f>IF(TrRoad_act!C53=0,0,C40/TrRoad_act!C53*1000
)</f>
        <v>450.02517305673933</v>
      </c>
      <c r="D77" s="116">
        <f>IF(TrRoad_act!D53=0,0,D40/TrRoad_act!D53*1000
)</f>
        <v>323.55110112004257</v>
      </c>
      <c r="E77" s="116">
        <f>IF(TrRoad_act!E53=0,0,E40/TrRoad_act!E53*1000
)</f>
        <v>514.71246330551878</v>
      </c>
      <c r="F77" s="116">
        <f>IF(TrRoad_act!F53=0,0,F40/TrRoad_act!F53*1000
)</f>
        <v>663.1289276486699</v>
      </c>
      <c r="G77" s="116">
        <f>IF(TrRoad_act!G53=0,0,G40/TrRoad_act!G53*1000
)</f>
        <v>890.24543066037768</v>
      </c>
      <c r="H77" s="116">
        <f>IF(TrRoad_act!H53=0,0,H40/TrRoad_act!H53*1000
)</f>
        <v>1001.7263629857666</v>
      </c>
      <c r="I77" s="116">
        <f>IF(TrRoad_act!I53=0,0,I40/TrRoad_act!I53*1000
)</f>
        <v>1117.1275291137279</v>
      </c>
      <c r="J77" s="116">
        <f>IF(TrRoad_act!J53=0,0,J40/TrRoad_act!J53*1000
)</f>
        <v>1091.8845062631935</v>
      </c>
      <c r="K77" s="116">
        <f>IF(TrRoad_act!K53=0,0,K40/TrRoad_act!K53*1000
)</f>
        <v>974.42977591120871</v>
      </c>
      <c r="L77" s="116">
        <f>IF(TrRoad_act!L53=0,0,L40/TrRoad_act!L53*1000
)</f>
        <v>992.70448605077036</v>
      </c>
      <c r="M77" s="116">
        <f>IF(TrRoad_act!M53=0,0,M40/TrRoad_act!M53*1000
)</f>
        <v>905.6632371462947</v>
      </c>
      <c r="N77" s="116">
        <f>IF(TrRoad_act!N53=0,0,N40/TrRoad_act!N53*1000
)</f>
        <v>763.29246272838748</v>
      </c>
      <c r="O77" s="116">
        <f>IF(TrRoad_act!O53=0,0,O40/TrRoad_act!O53*1000
)</f>
        <v>580.57901513121794</v>
      </c>
      <c r="P77" s="116">
        <f>IF(TrRoad_act!P53=0,0,P40/TrRoad_act!P53*1000
)</f>
        <v>602.59136518290848</v>
      </c>
      <c r="Q77" s="116">
        <f>IF(TrRoad_act!Q53=0,0,Q40/TrRoad_act!Q53*1000
)</f>
        <v>604.36346009779425</v>
      </c>
      <c r="R77" s="116">
        <f>IF(TrRoad_act!R53=0,0,R40/TrRoad_act!R53*1000
)</f>
        <v>812.4310839468086</v>
      </c>
      <c r="S77" s="116">
        <f>IF(TrRoad_act!S53=0,0,S40/TrRoad_act!S53*1000
)</f>
        <v>1009.6717907303905</v>
      </c>
      <c r="T77" s="116">
        <f>IF(TrRoad_act!T53=0,0,T40/TrRoad_act!T53*1000
)</f>
        <v>1072.6336793778116</v>
      </c>
      <c r="U77" s="116">
        <f>IF(TrRoad_act!U53=0,0,U40/TrRoad_act!U53*1000
)</f>
        <v>1039.3734049668665</v>
      </c>
      <c r="V77" s="116">
        <f>IF(TrRoad_act!V53=0,0,V40/TrRoad_act!V53*1000
)</f>
        <v>935.20737325731807</v>
      </c>
      <c r="W77" s="116">
        <f>IF(TrRoad_act!W53=0,0,W40/TrRoad_act!W53*1000
)</f>
        <v>1144.3307192267137</v>
      </c>
      <c r="X77" s="116">
        <f>IF(TrRoad_act!X53=0,0,X40/TrRoad_act!X53*1000
)</f>
        <v>1150.1014553232762</v>
      </c>
      <c r="Y77" s="116">
        <f>IF(TrRoad_act!Y53=0,0,Y40/TrRoad_act!Y53*1000
)</f>
        <v>1125.1132220750035</v>
      </c>
      <c r="DA77" s="176" t="s">
        <v>792</v>
      </c>
    </row>
    <row r="78" spans="1:105" ht="11.45" customHeight="1" x14ac:dyDescent="0.25">
      <c r="A78" s="128" t="s">
        <v>27</v>
      </c>
      <c r="B78" s="101">
        <f>IF(TrRoad_act!B54=0,0,B41/TrRoad_act!B54*1000
)</f>
        <v>347.12195508926584</v>
      </c>
      <c r="C78" s="101">
        <f>IF(TrRoad_act!C54=0,0,C41/TrRoad_act!C54*1000
)</f>
        <v>434.42277843405213</v>
      </c>
      <c r="D78" s="101">
        <f>IF(TrRoad_act!D54=0,0,D41/TrRoad_act!D54*1000
)</f>
        <v>312.34675253279102</v>
      </c>
      <c r="E78" s="101">
        <f>IF(TrRoad_act!E54=0,0,E41/TrRoad_act!E54*1000
)</f>
        <v>498.01898650128658</v>
      </c>
      <c r="F78" s="101">
        <f>IF(TrRoad_act!F54=0,0,F41/TrRoad_act!F54*1000
)</f>
        <v>643.17009235377782</v>
      </c>
      <c r="G78" s="101">
        <f>IF(TrRoad_act!G54=0,0,G41/TrRoad_act!G54*1000
)</f>
        <v>864.39544196910663</v>
      </c>
      <c r="H78" s="101">
        <f>IF(TrRoad_act!H54=0,0,H41/TrRoad_act!H54*1000
)</f>
        <v>969.96424610554118</v>
      </c>
      <c r="I78" s="101">
        <f>IF(TrRoad_act!I54=0,0,I41/TrRoad_act!I54*1000
)</f>
        <v>1085.0847029773245</v>
      </c>
      <c r="J78" s="101">
        <f>IF(TrRoad_act!J54=0,0,J41/TrRoad_act!J54*1000
)</f>
        <v>1062.0899808614545</v>
      </c>
      <c r="K78" s="101">
        <f>IF(TrRoad_act!K54=0,0,K41/TrRoad_act!K54*1000
)</f>
        <v>950.7793580788956</v>
      </c>
      <c r="L78" s="101">
        <f>IF(TrRoad_act!L54=0,0,L41/TrRoad_act!L54*1000
)</f>
        <v>967.47388229120986</v>
      </c>
      <c r="M78" s="101">
        <f>IF(TrRoad_act!M54=0,0,M41/TrRoad_act!M54*1000
)</f>
        <v>883.53984972138596</v>
      </c>
      <c r="N78" s="101">
        <f>IF(TrRoad_act!N54=0,0,N41/TrRoad_act!N54*1000
)</f>
        <v>743.38003444021183</v>
      </c>
      <c r="O78" s="101">
        <f>IF(TrRoad_act!O54=0,0,O41/TrRoad_act!O54*1000
)</f>
        <v>565.73534816576694</v>
      </c>
      <c r="P78" s="101">
        <f>IF(TrRoad_act!P54=0,0,P41/TrRoad_act!P54*1000
)</f>
        <v>586.31207103371332</v>
      </c>
      <c r="Q78" s="101">
        <f>IF(TrRoad_act!Q54=0,0,Q41/TrRoad_act!Q54*1000
)</f>
        <v>588.08997286445765</v>
      </c>
      <c r="R78" s="101">
        <f>IF(TrRoad_act!R54=0,0,R41/TrRoad_act!R54*1000
)</f>
        <v>787.559146344895</v>
      </c>
      <c r="S78" s="101">
        <f>IF(TrRoad_act!S54=0,0,S41/TrRoad_act!S54*1000
)</f>
        <v>976.99351753045062</v>
      </c>
      <c r="T78" s="101">
        <f>IF(TrRoad_act!T54=0,0,T41/TrRoad_act!T54*1000
)</f>
        <v>1039.7112354243304</v>
      </c>
      <c r="U78" s="101">
        <f>IF(TrRoad_act!U54=0,0,U41/TrRoad_act!U54*1000
)</f>
        <v>1002.8327501187546</v>
      </c>
      <c r="V78" s="101">
        <f>IF(TrRoad_act!V54=0,0,V41/TrRoad_act!V54*1000
)</f>
        <v>903.561076696295</v>
      </c>
      <c r="W78" s="101">
        <f>IF(TrRoad_act!W54=0,0,W41/TrRoad_act!W54*1000
)</f>
        <v>1104.5792179285374</v>
      </c>
      <c r="X78" s="101">
        <f>IF(TrRoad_act!X54=0,0,X41/TrRoad_act!X54*1000
)</f>
        <v>1107.6987032701536</v>
      </c>
      <c r="Y78" s="101">
        <f>IF(TrRoad_act!Y54=0,0,Y41/TrRoad_act!Y54*1000
)</f>
        <v>1081.4322849037085</v>
      </c>
      <c r="DA78" s="175" t="s">
        <v>793</v>
      </c>
    </row>
    <row r="79" spans="1:105" ht="11.45" customHeight="1" x14ac:dyDescent="0.25">
      <c r="A79" s="138" t="s">
        <v>116</v>
      </c>
      <c r="B79" s="88">
        <f>IF(TrRoad_act!B55=0,0,B42/TrRoad_act!B55*1000
)</f>
        <v>407.50857531543716</v>
      </c>
      <c r="C79" s="88">
        <f>IF(TrRoad_act!C55=0,0,C42/TrRoad_act!C55*1000
)</f>
        <v>506.67063506517616</v>
      </c>
      <c r="D79" s="88">
        <f>IF(TrRoad_act!D55=0,0,D42/TrRoad_act!D55*1000
)</f>
        <v>363.98115345953272</v>
      </c>
      <c r="E79" s="88">
        <f>IF(TrRoad_act!E55=0,0,E42/TrRoad_act!E55*1000
)</f>
        <v>577.93106455614327</v>
      </c>
      <c r="F79" s="88">
        <f>IF(TrRoad_act!F55=0,0,F42/TrRoad_act!F55*1000
)</f>
        <v>737.15431169924273</v>
      </c>
      <c r="G79" s="88">
        <f>IF(TrRoad_act!G55=0,0,G42/TrRoad_act!G55*1000
)</f>
        <v>987.65606687247248</v>
      </c>
      <c r="H79" s="88">
        <f>IF(TrRoad_act!H55=0,0,H42/TrRoad_act!H55*1000
)</f>
        <v>1099.0320420884746</v>
      </c>
      <c r="I79" s="88">
        <f>IF(TrRoad_act!I55=0,0,I42/TrRoad_act!I55*1000
)</f>
        <v>1234.0028420873941</v>
      </c>
      <c r="J79" s="88">
        <f>IF(TrRoad_act!J55=0,0,J42/TrRoad_act!J55*1000
)</f>
        <v>1208.064346791409</v>
      </c>
      <c r="K79" s="88">
        <f>IF(TrRoad_act!K55=0,0,K42/TrRoad_act!K55*1000
)</f>
        <v>1081.4846565542832</v>
      </c>
      <c r="L79" s="88">
        <f>IF(TrRoad_act!L55=0,0,L42/TrRoad_act!L55*1000
)</f>
        <v>1095.96731131</v>
      </c>
      <c r="M79" s="88">
        <f>IF(TrRoad_act!M55=0,0,M42/TrRoad_act!M55*1000
)</f>
        <v>999.90697967302367</v>
      </c>
      <c r="N79" s="88">
        <f>IF(TrRoad_act!N55=0,0,N42/TrRoad_act!N55*1000
)</f>
        <v>840.43959039528795</v>
      </c>
      <c r="O79" s="88">
        <f>IF(TrRoad_act!O55=0,0,O42/TrRoad_act!O55*1000
)</f>
        <v>639.78931298349903</v>
      </c>
      <c r="P79" s="88">
        <f>IF(TrRoad_act!P55=0,0,P42/TrRoad_act!P55*1000
)</f>
        <v>665.66769544884573</v>
      </c>
      <c r="Q79" s="88">
        <f>IF(TrRoad_act!Q55=0,0,Q42/TrRoad_act!Q55*1000
)</f>
        <v>670.16238179813047</v>
      </c>
      <c r="R79" s="88">
        <f>IF(TrRoad_act!R55=0,0,R42/TrRoad_act!R55*1000
)</f>
        <v>902.81437535109626</v>
      </c>
      <c r="S79" s="88">
        <f>IF(TrRoad_act!S55=0,0,S42/TrRoad_act!S55*1000
)</f>
        <v>1124.7250409284934</v>
      </c>
      <c r="T79" s="88">
        <f>IF(TrRoad_act!T55=0,0,T42/TrRoad_act!T55*1000
)</f>
        <v>1202.9091649540148</v>
      </c>
      <c r="U79" s="88">
        <f>IF(TrRoad_act!U55=0,0,U42/TrRoad_act!U55*1000
)</f>
        <v>1164.744314462135</v>
      </c>
      <c r="V79" s="88">
        <f>IF(TrRoad_act!V55=0,0,V42/TrRoad_act!V55*1000
)</f>
        <v>1052.0611383404416</v>
      </c>
      <c r="W79" s="88">
        <f>IF(TrRoad_act!W55=0,0,W42/TrRoad_act!W55*1000
)</f>
        <v>1292.8059063883982</v>
      </c>
      <c r="X79" s="88">
        <f>IF(TrRoad_act!X55=0,0,X42/TrRoad_act!X55*1000
)</f>
        <v>1303.4377025450769</v>
      </c>
      <c r="Y79" s="88">
        <f>IF(TrRoad_act!Y55=0,0,Y42/TrRoad_act!Y55*1000
)</f>
        <v>1276.0768126342318</v>
      </c>
      <c r="DA79" s="178" t="s">
        <v>794</v>
      </c>
    </row>
    <row r="80" spans="1:105" x14ac:dyDescent="0.25">
      <c r="A80" s="106"/>
      <c r="B80" s="106"/>
      <c r="C80" s="106"/>
      <c r="D80" s="106"/>
      <c r="E80" s="106"/>
      <c r="F80" s="106"/>
      <c r="G80" s="106"/>
      <c r="H80" s="106"/>
      <c r="I80" s="106"/>
      <c r="J80" s="106"/>
      <c r="K80" s="106"/>
      <c r="L80" s="106"/>
      <c r="M80" s="106"/>
      <c r="N80" s="106"/>
      <c r="O80" s="106"/>
      <c r="P80" s="106"/>
      <c r="Q80" s="106"/>
      <c r="R80" s="106"/>
      <c r="S80" s="106"/>
      <c r="T80" s="106"/>
      <c r="U80" s="106"/>
      <c r="V80" s="106"/>
      <c r="W80" s="106"/>
      <c r="X80" s="106"/>
      <c r="Y80" s="106"/>
      <c r="DA80" s="171"/>
    </row>
    <row r="81" spans="1:105" ht="11.45" customHeight="1" x14ac:dyDescent="0.25">
      <c r="A81" s="53" t="s">
        <v>71</v>
      </c>
      <c r="B81" s="62"/>
      <c r="C81" s="62"/>
      <c r="D81" s="62"/>
      <c r="E81" s="62"/>
      <c r="F81" s="62"/>
      <c r="G81" s="62"/>
      <c r="H81" s="62"/>
      <c r="I81" s="62"/>
      <c r="J81" s="62"/>
      <c r="K81" s="62"/>
      <c r="L81" s="62"/>
      <c r="M81" s="62"/>
      <c r="N81" s="62"/>
      <c r="O81" s="62"/>
      <c r="P81" s="62"/>
      <c r="Q81" s="62"/>
      <c r="R81" s="62"/>
      <c r="S81" s="62"/>
      <c r="T81" s="62"/>
      <c r="U81" s="62"/>
      <c r="V81" s="62"/>
      <c r="W81" s="62"/>
      <c r="X81" s="62"/>
      <c r="Y81" s="62"/>
      <c r="DA81" s="172"/>
    </row>
    <row r="82" spans="1:105" ht="11.45" customHeight="1" x14ac:dyDescent="0.25">
      <c r="A82" s="27" t="s">
        <v>157</v>
      </c>
      <c r="B82" s="29">
        <f>IF(TrRoad_act!B4=0,0,B18/TrRoad_act!B4*1000)</f>
        <v>96.392874241886275</v>
      </c>
      <c r="C82" s="29">
        <f>IF(TrRoad_act!C4=0,0,C18/TrRoad_act!C4*1000)</f>
        <v>94.29270816088254</v>
      </c>
      <c r="D82" s="29">
        <f>IF(TrRoad_act!D4=0,0,D18/TrRoad_act!D4*1000)</f>
        <v>92.503415530722833</v>
      </c>
      <c r="E82" s="29">
        <f>IF(TrRoad_act!E4=0,0,E18/TrRoad_act!E4*1000)</f>
        <v>93.69506037411233</v>
      </c>
      <c r="F82" s="29">
        <f>IF(TrRoad_act!F4=0,0,F18/TrRoad_act!F4*1000)</f>
        <v>101.71061233425077</v>
      </c>
      <c r="G82" s="29">
        <f>IF(TrRoad_act!G4=0,0,G18/TrRoad_act!G4*1000)</f>
        <v>99.706046786582604</v>
      </c>
      <c r="H82" s="29">
        <f>IF(TrRoad_act!H4=0,0,H18/TrRoad_act!H4*1000)</f>
        <v>108.07512382069156</v>
      </c>
      <c r="I82" s="29">
        <f>IF(TrRoad_act!I4=0,0,I18/TrRoad_act!I4*1000)</f>
        <v>116.08456062599025</v>
      </c>
      <c r="J82" s="29">
        <f>IF(TrRoad_act!J4=0,0,J18/TrRoad_act!J4*1000)</f>
        <v>116.16205122352099</v>
      </c>
      <c r="K82" s="29">
        <f>IF(TrRoad_act!K4=0,0,K18/TrRoad_act!K4*1000)</f>
        <v>117.0044186540477</v>
      </c>
      <c r="L82" s="29">
        <f>IF(TrRoad_act!L4=0,0,L18/TrRoad_act!L4*1000)</f>
        <v>120.25021770222796</v>
      </c>
      <c r="M82" s="29">
        <f>IF(TrRoad_act!M4=0,0,M18/TrRoad_act!M4*1000)</f>
        <v>122.32013967176499</v>
      </c>
      <c r="N82" s="29">
        <f>IF(TrRoad_act!N4=0,0,N18/TrRoad_act!N4*1000)</f>
        <v>121.89786821363761</v>
      </c>
      <c r="O82" s="29">
        <f>IF(TrRoad_act!O4=0,0,O18/TrRoad_act!O4*1000)</f>
        <v>115.02097266898063</v>
      </c>
      <c r="P82" s="29">
        <f>IF(TrRoad_act!P4=0,0,P18/TrRoad_act!P4*1000)</f>
        <v>113.26639287204046</v>
      </c>
      <c r="Q82" s="29">
        <f>IF(TrRoad_act!Q4=0,0,Q18/TrRoad_act!Q4*1000)</f>
        <v>119.99707344897389</v>
      </c>
      <c r="R82" s="29">
        <f>IF(TrRoad_act!R4=0,0,R18/TrRoad_act!R4*1000)</f>
        <v>124.07028270752316</v>
      </c>
      <c r="S82" s="29">
        <f>IF(TrRoad_act!S4=0,0,S18/TrRoad_act!S4*1000)</f>
        <v>133.31019435176032</v>
      </c>
      <c r="T82" s="29">
        <f>IF(TrRoad_act!T4=0,0,T18/TrRoad_act!T4*1000)</f>
        <v>135.53073060554863</v>
      </c>
      <c r="U82" s="29">
        <f>IF(TrRoad_act!U4=0,0,U18/TrRoad_act!U4*1000)</f>
        <v>135.88284704403418</v>
      </c>
      <c r="V82" s="29">
        <f>IF(TrRoad_act!V4=0,0,V18/TrRoad_act!V4*1000)</f>
        <v>143.95127598481577</v>
      </c>
      <c r="W82" s="29">
        <f>IF(TrRoad_act!W4=0,0,W18/TrRoad_act!W4*1000)</f>
        <v>137.86914841277564</v>
      </c>
      <c r="X82" s="29">
        <f>IF(TrRoad_act!X4=0,0,X18/TrRoad_act!X4*1000)</f>
        <v>136.59273013068054</v>
      </c>
      <c r="Y82" s="29">
        <f>IF(TrRoad_act!Y4=0,0,Y18/TrRoad_act!Y4*1000)</f>
        <v>129.89414581445763</v>
      </c>
      <c r="DA82" s="173" t="s">
        <v>436</v>
      </c>
    </row>
    <row r="83" spans="1:105" ht="11.45" customHeight="1" x14ac:dyDescent="0.25">
      <c r="A83" s="136" t="s">
        <v>173</v>
      </c>
      <c r="B83" s="152">
        <f>IF(TrRoad_act!B5=0,0,B19/TrRoad_act!B5*1000)</f>
        <v>119.95679853608929</v>
      </c>
      <c r="C83" s="152">
        <f>IF(TrRoad_act!C5=0,0,C19/TrRoad_act!C5*1000)</f>
        <v>115.71035043430413</v>
      </c>
      <c r="D83" s="152">
        <f>IF(TrRoad_act!D5=0,0,D19/TrRoad_act!D5*1000)</f>
        <v>118.19269123288051</v>
      </c>
      <c r="E83" s="152">
        <f>IF(TrRoad_act!E5=0,0,E19/TrRoad_act!E5*1000)</f>
        <v>111.66276320512701</v>
      </c>
      <c r="F83" s="152">
        <f>IF(TrRoad_act!F5=0,0,F19/TrRoad_act!F5*1000)</f>
        <v>111.97210363244031</v>
      </c>
      <c r="G83" s="152">
        <f>IF(TrRoad_act!G5=0,0,G19/TrRoad_act!G5*1000)</f>
        <v>107.95888768562817</v>
      </c>
      <c r="H83" s="152">
        <f>IF(TrRoad_act!H5=0,0,H19/TrRoad_act!H5*1000)</f>
        <v>106.17591881305059</v>
      </c>
      <c r="I83" s="152">
        <f>IF(TrRoad_act!I5=0,0,I19/TrRoad_act!I5*1000)</f>
        <v>104.01397129279671</v>
      </c>
      <c r="J83" s="152">
        <f>IF(TrRoad_act!J5=0,0,J19/TrRoad_act!J5*1000)</f>
        <v>105.2356263674519</v>
      </c>
      <c r="K83" s="152">
        <f>IF(TrRoad_act!K5=0,0,K19/TrRoad_act!K5*1000)</f>
        <v>97.032460384048562</v>
      </c>
      <c r="L83" s="152">
        <f>IF(TrRoad_act!L5=0,0,L19/TrRoad_act!L5*1000)</f>
        <v>95.641241927083101</v>
      </c>
      <c r="M83" s="152">
        <f>IF(TrRoad_act!M5=0,0,M19/TrRoad_act!M5*1000)</f>
        <v>94.172308801445269</v>
      </c>
      <c r="N83" s="152">
        <f>IF(TrRoad_act!N5=0,0,N19/TrRoad_act!N5*1000)</f>
        <v>94.046709889213773</v>
      </c>
      <c r="O83" s="152">
        <f>IF(TrRoad_act!O5=0,0,O19/TrRoad_act!O5*1000)</f>
        <v>92.750847835197177</v>
      </c>
      <c r="P83" s="152">
        <f>IF(TrRoad_act!P5=0,0,P19/TrRoad_act!P5*1000)</f>
        <v>92.102405672299639</v>
      </c>
      <c r="Q83" s="152">
        <f>IF(TrRoad_act!Q5=0,0,Q19/TrRoad_act!Q5*1000)</f>
        <v>90.40976244809481</v>
      </c>
      <c r="R83" s="152">
        <f>IF(TrRoad_act!R5=0,0,R19/TrRoad_act!R5*1000)</f>
        <v>89.181217702040485</v>
      </c>
      <c r="S83" s="152">
        <f>IF(TrRoad_act!S5=0,0,S19/TrRoad_act!S5*1000)</f>
        <v>88.847312400968761</v>
      </c>
      <c r="T83" s="152">
        <f>IF(TrRoad_act!T5=0,0,T19/TrRoad_act!T5*1000)</f>
        <v>88.469869081489406</v>
      </c>
      <c r="U83" s="152">
        <f>IF(TrRoad_act!U5=0,0,U19/TrRoad_act!U5*1000)</f>
        <v>87.912489124820979</v>
      </c>
      <c r="V83" s="152">
        <f>IF(TrRoad_act!V5=0,0,V19/TrRoad_act!V5*1000)</f>
        <v>87.50541950749809</v>
      </c>
      <c r="W83" s="152">
        <f>IF(TrRoad_act!W5=0,0,W19/TrRoad_act!W5*1000)</f>
        <v>87.090757959057768</v>
      </c>
      <c r="X83" s="152">
        <f>IF(TrRoad_act!X5=0,0,X19/TrRoad_act!X5*1000)</f>
        <v>86.639146278429052</v>
      </c>
      <c r="Y83" s="152">
        <f>IF(TrRoad_act!Y5=0,0,Y19/TrRoad_act!Y5*1000)</f>
        <v>86.275832627179412</v>
      </c>
      <c r="DA83" s="174" t="s">
        <v>437</v>
      </c>
    </row>
    <row r="84" spans="1:105" ht="11.45" customHeight="1" x14ac:dyDescent="0.25">
      <c r="A84" s="109" t="s">
        <v>20</v>
      </c>
      <c r="B84" s="116">
        <f>IF(TrRoad_act!B6=0,0,B20/TrRoad_act!B6*1000)</f>
        <v>116.26982841027595</v>
      </c>
      <c r="C84" s="116">
        <f>IF(TrRoad_act!C6=0,0,C20/TrRoad_act!C6*1000)</f>
        <v>111.9412964888115</v>
      </c>
      <c r="D84" s="116">
        <f>IF(TrRoad_act!D6=0,0,D20/TrRoad_act!D6*1000)</f>
        <v>107.15659926613469</v>
      </c>
      <c r="E84" s="116">
        <f>IF(TrRoad_act!E6=0,0,E20/TrRoad_act!E6*1000)</f>
        <v>108.86377412030417</v>
      </c>
      <c r="F84" s="116">
        <f>IF(TrRoad_act!F6=0,0,F20/TrRoad_act!F6*1000)</f>
        <v>117.93608792933674</v>
      </c>
      <c r="G84" s="116">
        <f>IF(TrRoad_act!G6=0,0,G20/TrRoad_act!G6*1000)</f>
        <v>114.00257596249649</v>
      </c>
      <c r="H84" s="116">
        <f>IF(TrRoad_act!H6=0,0,H20/TrRoad_act!H6*1000)</f>
        <v>125.26305615464899</v>
      </c>
      <c r="I84" s="116">
        <f>IF(TrRoad_act!I6=0,0,I20/TrRoad_act!I6*1000)</f>
        <v>134.28935078545413</v>
      </c>
      <c r="J84" s="116">
        <f>IF(TrRoad_act!J6=0,0,J20/TrRoad_act!J6*1000)</f>
        <v>134.11224738447754</v>
      </c>
      <c r="K84" s="116">
        <f>IF(TrRoad_act!K6=0,0,K20/TrRoad_act!K6*1000)</f>
        <v>131.98787054043962</v>
      </c>
      <c r="L84" s="116">
        <f>IF(TrRoad_act!L6=0,0,L20/TrRoad_act!L6*1000)</f>
        <v>134.48912414823275</v>
      </c>
      <c r="M84" s="116">
        <f>IF(TrRoad_act!M6=0,0,M20/TrRoad_act!M6*1000)</f>
        <v>135.8632541547629</v>
      </c>
      <c r="N84" s="116">
        <f>IF(TrRoad_act!N6=0,0,N20/TrRoad_act!N6*1000)</f>
        <v>135.07552873063165</v>
      </c>
      <c r="O84" s="116">
        <f>IF(TrRoad_act!O6=0,0,O20/TrRoad_act!O6*1000)</f>
        <v>125.32706605442911</v>
      </c>
      <c r="P84" s="116">
        <f>IF(TrRoad_act!P6=0,0,P20/TrRoad_act!P6*1000)</f>
        <v>123.45981877894128</v>
      </c>
      <c r="Q84" s="116">
        <f>IF(TrRoad_act!Q6=0,0,Q20/TrRoad_act!Q6*1000)</f>
        <v>128.32043239562122</v>
      </c>
      <c r="R84" s="116">
        <f>IF(TrRoad_act!R6=0,0,R20/TrRoad_act!R6*1000)</f>
        <v>132.14829187531771</v>
      </c>
      <c r="S84" s="116">
        <f>IF(TrRoad_act!S6=0,0,S20/TrRoad_act!S6*1000)</f>
        <v>142.61067968482683</v>
      </c>
      <c r="T84" s="116">
        <f>IF(TrRoad_act!T6=0,0,T20/TrRoad_act!T6*1000)</f>
        <v>144.92996013339601</v>
      </c>
      <c r="U84" s="116">
        <f>IF(TrRoad_act!U6=0,0,U20/TrRoad_act!U6*1000)</f>
        <v>145.70017414992037</v>
      </c>
      <c r="V84" s="116">
        <f>IF(TrRoad_act!V6=0,0,V20/TrRoad_act!V6*1000)</f>
        <v>144.86213101844592</v>
      </c>
      <c r="W84" s="116">
        <f>IF(TrRoad_act!W6=0,0,W20/TrRoad_act!W6*1000)</f>
        <v>139.38631875331143</v>
      </c>
      <c r="X84" s="116">
        <f>IF(TrRoad_act!X6=0,0,X20/TrRoad_act!X6*1000)</f>
        <v>140.91030912168929</v>
      </c>
      <c r="Y84" s="116">
        <f>IF(TrRoad_act!Y6=0,0,Y20/TrRoad_act!Y6*1000)</f>
        <v>134.9622625822816</v>
      </c>
      <c r="DA84" s="176" t="s">
        <v>438</v>
      </c>
    </row>
    <row r="85" spans="1:105" ht="11.45" customHeight="1" x14ac:dyDescent="0.25">
      <c r="A85" s="111" t="s">
        <v>110</v>
      </c>
      <c r="B85" s="87">
        <f>IF(TrRoad_act!B7=0,0,B21/TrRoad_act!B7*1000)</f>
        <v>115.37799638029814</v>
      </c>
      <c r="C85" s="87">
        <f>IF(TrRoad_act!C7=0,0,C21/TrRoad_act!C7*1000)</f>
        <v>111.79677311602053</v>
      </c>
      <c r="D85" s="87">
        <f>IF(TrRoad_act!D7=0,0,D21/TrRoad_act!D7*1000)</f>
        <v>104.84136167204987</v>
      </c>
      <c r="E85" s="87">
        <f>IF(TrRoad_act!E7=0,0,E21/TrRoad_act!E7*1000)</f>
        <v>106.94258158472695</v>
      </c>
      <c r="F85" s="87">
        <f>IF(TrRoad_act!F7=0,0,F21/TrRoad_act!F7*1000)</f>
        <v>117.92206530776437</v>
      </c>
      <c r="G85" s="87">
        <f>IF(TrRoad_act!G7=0,0,G21/TrRoad_act!G7*1000)</f>
        <v>109.69863072080641</v>
      </c>
      <c r="H85" s="87">
        <f>IF(TrRoad_act!H7=0,0,H21/TrRoad_act!H7*1000)</f>
        <v>119.06262943158762</v>
      </c>
      <c r="I85" s="87">
        <f>IF(TrRoad_act!I7=0,0,I21/TrRoad_act!I7*1000)</f>
        <v>128.821245389571</v>
      </c>
      <c r="J85" s="87">
        <f>IF(TrRoad_act!J7=0,0,J21/TrRoad_act!J7*1000)</f>
        <v>133.61061036565616</v>
      </c>
      <c r="K85" s="87">
        <f>IF(TrRoad_act!K7=0,0,K21/TrRoad_act!K7*1000)</f>
        <v>137.30293024453684</v>
      </c>
      <c r="L85" s="87">
        <f>IF(TrRoad_act!L7=0,0,L21/TrRoad_act!L7*1000)</f>
        <v>143.6668667049025</v>
      </c>
      <c r="M85" s="87">
        <f>IF(TrRoad_act!M7=0,0,M21/TrRoad_act!M7*1000)</f>
        <v>143.44263391520437</v>
      </c>
      <c r="N85" s="87">
        <f>IF(TrRoad_act!N7=0,0,N21/TrRoad_act!N7*1000)</f>
        <v>138.04165459372069</v>
      </c>
      <c r="O85" s="87">
        <f>IF(TrRoad_act!O7=0,0,O21/TrRoad_act!O7*1000)</f>
        <v>126.89256545133779</v>
      </c>
      <c r="P85" s="87">
        <f>IF(TrRoad_act!P7=0,0,P21/TrRoad_act!P7*1000)</f>
        <v>124.22477042327486</v>
      </c>
      <c r="Q85" s="87">
        <f>IF(TrRoad_act!Q7=0,0,Q21/TrRoad_act!Q7*1000)</f>
        <v>128.92059327066207</v>
      </c>
      <c r="R85" s="87">
        <f>IF(TrRoad_act!R7=0,0,R21/TrRoad_act!R7*1000)</f>
        <v>134.54130854409664</v>
      </c>
      <c r="S85" s="87">
        <f>IF(TrRoad_act!S7=0,0,S21/TrRoad_act!S7*1000)</f>
        <v>142.3886742655433</v>
      </c>
      <c r="T85" s="87">
        <f>IF(TrRoad_act!T7=0,0,T21/TrRoad_act!T7*1000)</f>
        <v>148.49951522647615</v>
      </c>
      <c r="U85" s="87">
        <f>IF(TrRoad_act!U7=0,0,U21/TrRoad_act!U7*1000)</f>
        <v>147.75358287019461</v>
      </c>
      <c r="V85" s="87">
        <f>IF(TrRoad_act!V7=0,0,V21/TrRoad_act!V7*1000)</f>
        <v>146.14620776451781</v>
      </c>
      <c r="W85" s="87">
        <f>IF(TrRoad_act!W7=0,0,W21/TrRoad_act!W7*1000)</f>
        <v>140.64160963561304</v>
      </c>
      <c r="X85" s="87">
        <f>IF(TrRoad_act!X7=0,0,X21/TrRoad_act!X7*1000)</f>
        <v>142.32642937800918</v>
      </c>
      <c r="Y85" s="87">
        <f>IF(TrRoad_act!Y7=0,0,Y21/TrRoad_act!Y7*1000)</f>
        <v>136.7810537762287</v>
      </c>
      <c r="DA85" s="171" t="s">
        <v>795</v>
      </c>
    </row>
    <row r="86" spans="1:105" ht="11.45" customHeight="1" x14ac:dyDescent="0.25">
      <c r="A86" s="111" t="s">
        <v>111</v>
      </c>
      <c r="B86" s="87">
        <f>IF(TrRoad_act!B8=0,0,B22/TrRoad_act!B8*1000)</f>
        <v>118.22282074334402</v>
      </c>
      <c r="C86" s="87">
        <f>IF(TrRoad_act!C8=0,0,C22/TrRoad_act!C8*1000)</f>
        <v>111.00054875929041</v>
      </c>
      <c r="D86" s="87">
        <f>IF(TrRoad_act!D8=0,0,D22/TrRoad_act!D8*1000)</f>
        <v>110.46067212715764</v>
      </c>
      <c r="E86" s="87">
        <f>IF(TrRoad_act!E8=0,0,E22/TrRoad_act!E8*1000)</f>
        <v>113.42954883006976</v>
      </c>
      <c r="F86" s="87">
        <f>IF(TrRoad_act!F8=0,0,F22/TrRoad_act!F8*1000)</f>
        <v>115.99094677646559</v>
      </c>
      <c r="G86" s="87">
        <f>IF(TrRoad_act!G8=0,0,G22/TrRoad_act!G8*1000)</f>
        <v>121.1341453794122</v>
      </c>
      <c r="H86" s="87">
        <f>IF(TrRoad_act!H8=0,0,H22/TrRoad_act!H8*1000)</f>
        <v>137.26438465792177</v>
      </c>
      <c r="I86" s="87">
        <f>IF(TrRoad_act!I8=0,0,I22/TrRoad_act!I8*1000)</f>
        <v>146.07661581605413</v>
      </c>
      <c r="J86" s="87">
        <f>IF(TrRoad_act!J8=0,0,J22/TrRoad_act!J8*1000)</f>
        <v>137.60001353722666</v>
      </c>
      <c r="K86" s="87">
        <f>IF(TrRoad_act!K8=0,0,K22/TrRoad_act!K8*1000)</f>
        <v>134.40312266551396</v>
      </c>
      <c r="L86" s="87">
        <f>IF(TrRoad_act!L8=0,0,L22/TrRoad_act!L8*1000)</f>
        <v>138.70154552484101</v>
      </c>
      <c r="M86" s="87">
        <f>IF(TrRoad_act!M8=0,0,M22/TrRoad_act!M8*1000)</f>
        <v>136.44463818404441</v>
      </c>
      <c r="N86" s="87">
        <f>IF(TrRoad_act!N8=0,0,N22/TrRoad_act!N8*1000)</f>
        <v>130.82727905545673</v>
      </c>
      <c r="O86" s="87">
        <f>IF(TrRoad_act!O8=0,0,O22/TrRoad_act!O8*1000)</f>
        <v>119.39916572666569</v>
      </c>
      <c r="P86" s="87">
        <f>IF(TrRoad_act!P8=0,0,P22/TrRoad_act!P8*1000)</f>
        <v>117.53402100709484</v>
      </c>
      <c r="Q86" s="87">
        <f>IF(TrRoad_act!Q8=0,0,Q22/TrRoad_act!Q8*1000)</f>
        <v>123.66487892978232</v>
      </c>
      <c r="R86" s="87">
        <f>IF(TrRoad_act!R8=0,0,R22/TrRoad_act!R8*1000)</f>
        <v>130.06351103250594</v>
      </c>
      <c r="S86" s="87">
        <f>IF(TrRoad_act!S8=0,0,S22/TrRoad_act!S8*1000)</f>
        <v>143.78020369978557</v>
      </c>
      <c r="T86" s="87">
        <f>IF(TrRoad_act!T8=0,0,T22/TrRoad_act!T8*1000)</f>
        <v>145.69023658395668</v>
      </c>
      <c r="U86" s="87">
        <f>IF(TrRoad_act!U8=0,0,U22/TrRoad_act!U8*1000)</f>
        <v>145.17974738686223</v>
      </c>
      <c r="V86" s="87">
        <f>IF(TrRoad_act!V8=0,0,V22/TrRoad_act!V8*1000)</f>
        <v>146.2641258139256</v>
      </c>
      <c r="W86" s="87">
        <f>IF(TrRoad_act!W8=0,0,W22/TrRoad_act!W8*1000)</f>
        <v>137.96969705047607</v>
      </c>
      <c r="X86" s="87">
        <f>IF(TrRoad_act!X8=0,0,X22/TrRoad_act!X8*1000)</f>
        <v>139.97929124726483</v>
      </c>
      <c r="Y86" s="87">
        <f>IF(TrRoad_act!Y8=0,0,Y22/TrRoad_act!Y8*1000)</f>
        <v>134.93183272001832</v>
      </c>
      <c r="DA86" s="171" t="s">
        <v>796</v>
      </c>
    </row>
    <row r="87" spans="1:105" ht="11.45" customHeight="1" x14ac:dyDescent="0.25">
      <c r="A87" s="111" t="s">
        <v>112</v>
      </c>
      <c r="B87" s="87">
        <f>IF(TrRoad_act!B9=0,0,B23/TrRoad_act!B9*1000)</f>
        <v>122.35074202299487</v>
      </c>
      <c r="C87" s="87">
        <f>IF(TrRoad_act!C9=0,0,C23/TrRoad_act!C9*1000)</f>
        <v>114.33760792598783</v>
      </c>
      <c r="D87" s="87">
        <f>IF(TrRoad_act!D9=0,0,D23/TrRoad_act!D9*1000)</f>
        <v>114.85788730723522</v>
      </c>
      <c r="E87" s="87">
        <f>IF(TrRoad_act!E9=0,0,E23/TrRoad_act!E9*1000)</f>
        <v>111.01535136477388</v>
      </c>
      <c r="F87" s="87">
        <f>IF(TrRoad_act!F9=0,0,F23/TrRoad_act!F9*1000)</f>
        <v>119.86553337675905</v>
      </c>
      <c r="G87" s="87">
        <f>IF(TrRoad_act!G9=0,0,G23/TrRoad_act!G9*1000)</f>
        <v>119.50846671123756</v>
      </c>
      <c r="H87" s="87">
        <f>IF(TrRoad_act!H9=0,0,H23/TrRoad_act!H9*1000)</f>
        <v>129.09912154905916</v>
      </c>
      <c r="I87" s="87">
        <f>IF(TrRoad_act!I9=0,0,I23/TrRoad_act!I9*1000)</f>
        <v>132.33907480107305</v>
      </c>
      <c r="J87" s="87">
        <f>IF(TrRoad_act!J9=0,0,J23/TrRoad_act!J9*1000)</f>
        <v>129.81445316979517</v>
      </c>
      <c r="K87" s="87">
        <f>IF(TrRoad_act!K9=0,0,K23/TrRoad_act!K9*1000)</f>
        <v>117.02301042082665</v>
      </c>
      <c r="L87" s="87">
        <f>IF(TrRoad_act!L9=0,0,L23/TrRoad_act!L9*1000)</f>
        <v>110.28051776144058</v>
      </c>
      <c r="M87" s="87">
        <f>IF(TrRoad_act!M9=0,0,M23/TrRoad_act!M9*1000)</f>
        <v>119.91652206805794</v>
      </c>
      <c r="N87" s="87">
        <f>IF(TrRoad_act!N9=0,0,N23/TrRoad_act!N9*1000)</f>
        <v>140.52673020110859</v>
      </c>
      <c r="O87" s="87">
        <f>IF(TrRoad_act!O9=0,0,O23/TrRoad_act!O9*1000)</f>
        <v>138.68884309114804</v>
      </c>
      <c r="P87" s="87">
        <f>IF(TrRoad_act!P9=0,0,P23/TrRoad_act!P9*1000)</f>
        <v>139.57837655131192</v>
      </c>
      <c r="Q87" s="87">
        <f>IF(TrRoad_act!Q9=0,0,Q23/TrRoad_act!Q9*1000)</f>
        <v>141.31373453835204</v>
      </c>
      <c r="R87" s="87">
        <f>IF(TrRoad_act!R9=0,0,R23/TrRoad_act!R9*1000)</f>
        <v>133.37947349241105</v>
      </c>
      <c r="S87" s="87">
        <f>IF(TrRoad_act!S9=0,0,S23/TrRoad_act!S9*1000)</f>
        <v>139.80304724201577</v>
      </c>
      <c r="T87" s="87">
        <f>IF(TrRoad_act!T9=0,0,T23/TrRoad_act!T9*1000)</f>
        <v>135.59073543018766</v>
      </c>
      <c r="U87" s="87">
        <f>IF(TrRoad_act!U9=0,0,U23/TrRoad_act!U9*1000)</f>
        <v>143.2501068528795</v>
      </c>
      <c r="V87" s="87">
        <f>IF(TrRoad_act!V9=0,0,V23/TrRoad_act!V9*1000)</f>
        <v>138.07601406764306</v>
      </c>
      <c r="W87" s="87">
        <f>IF(TrRoad_act!W9=0,0,W23/TrRoad_act!W9*1000)</f>
        <v>141.69598923201502</v>
      </c>
      <c r="X87" s="87">
        <f>IF(TrRoad_act!X9=0,0,X23/TrRoad_act!X9*1000)</f>
        <v>141.91541703599518</v>
      </c>
      <c r="Y87" s="87">
        <f>IF(TrRoad_act!Y9=0,0,Y23/TrRoad_act!Y9*1000)</f>
        <v>133.46119565195056</v>
      </c>
      <c r="DA87" s="171" t="s">
        <v>797</v>
      </c>
    </row>
    <row r="88" spans="1:105" ht="11.45" customHeight="1" x14ac:dyDescent="0.25">
      <c r="A88" s="111" t="s">
        <v>113</v>
      </c>
      <c r="B88" s="87">
        <f>IF(TrRoad_act!B10=0,0,B24/TrRoad_act!B10*1000)</f>
        <v>0</v>
      </c>
      <c r="C88" s="87">
        <f>IF(TrRoad_act!C10=0,0,C24/TrRoad_act!C10*1000)</f>
        <v>0</v>
      </c>
      <c r="D88" s="87">
        <f>IF(TrRoad_act!D10=0,0,D24/TrRoad_act!D10*1000)</f>
        <v>0</v>
      </c>
      <c r="E88" s="87">
        <f>IF(TrRoad_act!E10=0,0,E24/TrRoad_act!E10*1000)</f>
        <v>0</v>
      </c>
      <c r="F88" s="87">
        <f>IF(TrRoad_act!F10=0,0,F24/TrRoad_act!F10*1000)</f>
        <v>0</v>
      </c>
      <c r="G88" s="87">
        <f>IF(TrRoad_act!G10=0,0,G24/TrRoad_act!G10*1000)</f>
        <v>0</v>
      </c>
      <c r="H88" s="87">
        <f>IF(TrRoad_act!H10=0,0,H24/TrRoad_act!H10*1000)</f>
        <v>0</v>
      </c>
      <c r="I88" s="87">
        <f>IF(TrRoad_act!I10=0,0,I24/TrRoad_act!I10*1000)</f>
        <v>0</v>
      </c>
      <c r="J88" s="87">
        <f>IF(TrRoad_act!J10=0,0,J24/TrRoad_act!J10*1000)</f>
        <v>0</v>
      </c>
      <c r="K88" s="87">
        <f>IF(TrRoad_act!K10=0,0,K24/TrRoad_act!K10*1000)</f>
        <v>0</v>
      </c>
      <c r="L88" s="87">
        <f>IF(TrRoad_act!L10=0,0,L24/TrRoad_act!L10*1000)</f>
        <v>0</v>
      </c>
      <c r="M88" s="87">
        <f>IF(TrRoad_act!M10=0,0,M24/TrRoad_act!M10*1000)</f>
        <v>0</v>
      </c>
      <c r="N88" s="87">
        <f>IF(TrRoad_act!N10=0,0,N24/TrRoad_act!N10*1000)</f>
        <v>0</v>
      </c>
      <c r="O88" s="87">
        <f>IF(TrRoad_act!O10=0,0,O24/TrRoad_act!O10*1000)</f>
        <v>0</v>
      </c>
      <c r="P88" s="87">
        <f>IF(TrRoad_act!P10=0,0,P24/TrRoad_act!P10*1000)</f>
        <v>0</v>
      </c>
      <c r="Q88" s="87">
        <f>IF(TrRoad_act!Q10=0,0,Q24/TrRoad_act!Q10*1000)</f>
        <v>94.261594057331493</v>
      </c>
      <c r="R88" s="87">
        <f>IF(TrRoad_act!R10=0,0,R24/TrRoad_act!R10*1000)</f>
        <v>94.023304648848381</v>
      </c>
      <c r="S88" s="87">
        <f>IF(TrRoad_act!S10=0,0,S24/TrRoad_act!S10*1000)</f>
        <v>100.59950002439135</v>
      </c>
      <c r="T88" s="87">
        <f>IF(TrRoad_act!T10=0,0,T24/TrRoad_act!T10*1000)</f>
        <v>107.38126970889749</v>
      </c>
      <c r="U88" s="87">
        <f>IF(TrRoad_act!U10=0,0,U24/TrRoad_act!U10*1000)</f>
        <v>109.6601698116536</v>
      </c>
      <c r="V88" s="87">
        <f>IF(TrRoad_act!V10=0,0,V24/TrRoad_act!V10*1000)</f>
        <v>115.37764010152789</v>
      </c>
      <c r="W88" s="87">
        <f>IF(TrRoad_act!W10=0,0,W24/TrRoad_act!W10*1000)</f>
        <v>110.97345964119334</v>
      </c>
      <c r="X88" s="87">
        <f>IF(TrRoad_act!X10=0,0,X24/TrRoad_act!X10*1000)</f>
        <v>112.79371795408473</v>
      </c>
      <c r="Y88" s="87">
        <f>IF(TrRoad_act!Y10=0,0,Y24/TrRoad_act!Y10*1000)</f>
        <v>110.55063242910448</v>
      </c>
      <c r="DA88" s="171" t="s">
        <v>798</v>
      </c>
    </row>
    <row r="89" spans="1:105" ht="11.45" customHeight="1" x14ac:dyDescent="0.25">
      <c r="A89" s="111" t="s">
        <v>114</v>
      </c>
      <c r="B89" s="87">
        <f>IF(TrRoad_act!B11=0,0,B25/TrRoad_act!B11*1000)</f>
        <v>0</v>
      </c>
      <c r="C89" s="87">
        <f>IF(TrRoad_act!C11=0,0,C25/TrRoad_act!C11*1000)</f>
        <v>0</v>
      </c>
      <c r="D89" s="87">
        <f>IF(TrRoad_act!D11=0,0,D25/TrRoad_act!D11*1000)</f>
        <v>0</v>
      </c>
      <c r="E89" s="87">
        <f>IF(TrRoad_act!E11=0,0,E25/TrRoad_act!E11*1000)</f>
        <v>0</v>
      </c>
      <c r="F89" s="87">
        <f>IF(TrRoad_act!F11=0,0,F25/TrRoad_act!F11*1000)</f>
        <v>0</v>
      </c>
      <c r="G89" s="87">
        <f>IF(TrRoad_act!G11=0,0,G25/TrRoad_act!G11*1000)</f>
        <v>0</v>
      </c>
      <c r="H89" s="87">
        <f>IF(TrRoad_act!H11=0,0,H25/TrRoad_act!H11*1000)</f>
        <v>0</v>
      </c>
      <c r="I89" s="87">
        <f>IF(TrRoad_act!I11=0,0,I25/TrRoad_act!I11*1000)</f>
        <v>0</v>
      </c>
      <c r="J89" s="87">
        <f>IF(TrRoad_act!J11=0,0,J25/TrRoad_act!J11*1000)</f>
        <v>0</v>
      </c>
      <c r="K89" s="87">
        <f>IF(TrRoad_act!K11=0,0,K25/TrRoad_act!K11*1000)</f>
        <v>0</v>
      </c>
      <c r="L89" s="87">
        <f>IF(TrRoad_act!L11=0,0,L25/TrRoad_act!L11*1000)</f>
        <v>0</v>
      </c>
      <c r="M89" s="87">
        <f>IF(TrRoad_act!M11=0,0,M25/TrRoad_act!M11*1000)</f>
        <v>0</v>
      </c>
      <c r="N89" s="87">
        <f>IF(TrRoad_act!N11=0,0,N25/TrRoad_act!N11*1000)</f>
        <v>30.831553800148342</v>
      </c>
      <c r="O89" s="87">
        <f>IF(TrRoad_act!O11=0,0,O25/TrRoad_act!O11*1000)</f>
        <v>37.03335046191453</v>
      </c>
      <c r="P89" s="87">
        <f>IF(TrRoad_act!P11=0,0,P25/TrRoad_act!P11*1000)</f>
        <v>77.255861213029135</v>
      </c>
      <c r="Q89" s="87">
        <f>IF(TrRoad_act!Q11=0,0,Q25/TrRoad_act!Q11*1000)</f>
        <v>40.840050528356144</v>
      </c>
      <c r="R89" s="87">
        <f>IF(TrRoad_act!R11=0,0,R25/TrRoad_act!R11*1000)</f>
        <v>38.967991085526776</v>
      </c>
      <c r="S89" s="87">
        <f>IF(TrRoad_act!S11=0,0,S25/TrRoad_act!S11*1000)</f>
        <v>35.920402037715988</v>
      </c>
      <c r="T89" s="87">
        <f>IF(TrRoad_act!T11=0,0,T25/TrRoad_act!T11*1000)</f>
        <v>42.070069608587097</v>
      </c>
      <c r="U89" s="87">
        <f>IF(TrRoad_act!U11=0,0,U25/TrRoad_act!U11*1000)</f>
        <v>43.122806194312325</v>
      </c>
      <c r="V89" s="87">
        <f>IF(TrRoad_act!V11=0,0,V25/TrRoad_act!V11*1000)</f>
        <v>43.54075119629298</v>
      </c>
      <c r="W89" s="87">
        <f>IF(TrRoad_act!W11=0,0,W25/TrRoad_act!W11*1000)</f>
        <v>36.18966025010932</v>
      </c>
      <c r="X89" s="87">
        <f>IF(TrRoad_act!X11=0,0,X25/TrRoad_act!X11*1000)</f>
        <v>35.174956683969306</v>
      </c>
      <c r="Y89" s="87">
        <f>IF(TrRoad_act!Y11=0,0,Y25/TrRoad_act!Y11*1000)</f>
        <v>31.710546462784144</v>
      </c>
      <c r="DA89" s="171" t="s">
        <v>799</v>
      </c>
    </row>
    <row r="90" spans="1:105" ht="11.45" customHeight="1" x14ac:dyDescent="0.25">
      <c r="A90" s="111" t="s">
        <v>115</v>
      </c>
      <c r="B90" s="87">
        <f>IF(TrRoad_act!B12=0,0,B26/TrRoad_act!B12*1000)</f>
        <v>0</v>
      </c>
      <c r="C90" s="87">
        <f>IF(TrRoad_act!C12=0,0,C26/TrRoad_act!C12*1000)</f>
        <v>0</v>
      </c>
      <c r="D90" s="87">
        <f>IF(TrRoad_act!D12=0,0,D26/TrRoad_act!D12*1000)</f>
        <v>0</v>
      </c>
      <c r="E90" s="87">
        <f>IF(TrRoad_act!E12=0,0,E26/TrRoad_act!E12*1000)</f>
        <v>0</v>
      </c>
      <c r="F90" s="87">
        <f>IF(TrRoad_act!F12=0,0,F26/TrRoad_act!F12*1000)</f>
        <v>0</v>
      </c>
      <c r="G90" s="87">
        <f>IF(TrRoad_act!G12=0,0,G26/TrRoad_act!G12*1000)</f>
        <v>0</v>
      </c>
      <c r="H90" s="87">
        <f>IF(TrRoad_act!H12=0,0,H26/TrRoad_act!H12*1000)</f>
        <v>0</v>
      </c>
      <c r="I90" s="87">
        <f>IF(TrRoad_act!I12=0,0,I26/TrRoad_act!I12*1000)</f>
        <v>0</v>
      </c>
      <c r="J90" s="87">
        <f>IF(TrRoad_act!J12=0,0,J26/TrRoad_act!J12*1000)</f>
        <v>0</v>
      </c>
      <c r="K90" s="87">
        <f>IF(TrRoad_act!K12=0,0,K26/TrRoad_act!K12*1000)</f>
        <v>0</v>
      </c>
      <c r="L90" s="87">
        <f>IF(TrRoad_act!L12=0,0,L26/TrRoad_act!L12*1000)</f>
        <v>0</v>
      </c>
      <c r="M90" s="87">
        <f>IF(TrRoad_act!M12=0,0,M26/TrRoad_act!M12*1000)</f>
        <v>0</v>
      </c>
      <c r="N90" s="87">
        <f>IF(TrRoad_act!N12=0,0,N26/TrRoad_act!N12*1000)</f>
        <v>0</v>
      </c>
      <c r="O90" s="87">
        <f>IF(TrRoad_act!O12=0,0,O26/TrRoad_act!O12*1000)</f>
        <v>0</v>
      </c>
      <c r="P90" s="87">
        <f>IF(TrRoad_act!P12=0,0,P26/TrRoad_act!P12*1000)</f>
        <v>0</v>
      </c>
      <c r="Q90" s="87">
        <f>IF(TrRoad_act!Q12=0,0,Q26/TrRoad_act!Q12*1000)</f>
        <v>0</v>
      </c>
      <c r="R90" s="87">
        <f>IF(TrRoad_act!R12=0,0,R26/TrRoad_act!R12*1000)</f>
        <v>0</v>
      </c>
      <c r="S90" s="87">
        <f>IF(TrRoad_act!S12=0,0,S26/TrRoad_act!S12*1000)</f>
        <v>0</v>
      </c>
      <c r="T90" s="87">
        <f>IF(TrRoad_act!T12=0,0,T26/TrRoad_act!T12*1000)</f>
        <v>0</v>
      </c>
      <c r="U90" s="87">
        <f>IF(TrRoad_act!U12=0,0,U26/TrRoad_act!U12*1000)</f>
        <v>0</v>
      </c>
      <c r="V90" s="87">
        <f>IF(TrRoad_act!V12=0,0,V26/TrRoad_act!V12*1000)</f>
        <v>0</v>
      </c>
      <c r="W90" s="87">
        <f>IF(TrRoad_act!W12=0,0,W26/TrRoad_act!W12*1000)</f>
        <v>0</v>
      </c>
      <c r="X90" s="87">
        <f>IF(TrRoad_act!X12=0,0,X26/TrRoad_act!X12*1000)</f>
        <v>0</v>
      </c>
      <c r="Y90" s="87">
        <f>IF(TrRoad_act!Y12=0,0,Y26/TrRoad_act!Y12*1000)</f>
        <v>0</v>
      </c>
      <c r="DA90" s="171" t="s">
        <v>800</v>
      </c>
    </row>
    <row r="91" spans="1:105" ht="11.45" customHeight="1" x14ac:dyDescent="0.25">
      <c r="A91" s="109" t="s">
        <v>21</v>
      </c>
      <c r="B91" s="116">
        <f>IF(TrRoad_act!B13=0,0,B27/TrRoad_act!B13*1000)</f>
        <v>51.710807607514361</v>
      </c>
      <c r="C91" s="116">
        <f>IF(TrRoad_act!C13=0,0,C27/TrRoad_act!C13*1000)</f>
        <v>51.27980897533692</v>
      </c>
      <c r="D91" s="116">
        <f>IF(TrRoad_act!D13=0,0,D27/TrRoad_act!D13*1000)</f>
        <v>53.183371440517455</v>
      </c>
      <c r="E91" s="116">
        <f>IF(TrRoad_act!E13=0,0,E27/TrRoad_act!E13*1000)</f>
        <v>51.473663976360271</v>
      </c>
      <c r="F91" s="116">
        <f>IF(TrRoad_act!F13=0,0,F27/TrRoad_act!F13*1000)</f>
        <v>54.722954146157683</v>
      </c>
      <c r="G91" s="116">
        <f>IF(TrRoad_act!G13=0,0,G27/TrRoad_act!G13*1000)</f>
        <v>55.10300816959947</v>
      </c>
      <c r="H91" s="116">
        <f>IF(TrRoad_act!H13=0,0,H27/TrRoad_act!H13*1000)</f>
        <v>52.891298365515972</v>
      </c>
      <c r="I91" s="116">
        <f>IF(TrRoad_act!I13=0,0,I27/TrRoad_act!I13*1000)</f>
        <v>54.747065025828668</v>
      </c>
      <c r="J91" s="116">
        <f>IF(TrRoad_act!J13=0,0,J27/TrRoad_act!J13*1000)</f>
        <v>51.763597748162866</v>
      </c>
      <c r="K91" s="116">
        <f>IF(TrRoad_act!K13=0,0,K27/TrRoad_act!K13*1000)</f>
        <v>55.840172587417022</v>
      </c>
      <c r="L91" s="116">
        <f>IF(TrRoad_act!L13=0,0,L27/TrRoad_act!L13*1000)</f>
        <v>57.473019744135193</v>
      </c>
      <c r="M91" s="116">
        <f>IF(TrRoad_act!M13=0,0,M27/TrRoad_act!M13*1000)</f>
        <v>60.464405135748272</v>
      </c>
      <c r="N91" s="116">
        <f>IF(TrRoad_act!N13=0,0,N27/TrRoad_act!N13*1000)</f>
        <v>60.634072592744502</v>
      </c>
      <c r="O91" s="116">
        <f>IF(TrRoad_act!O13=0,0,O27/TrRoad_act!O13*1000)</f>
        <v>63.949509787850047</v>
      </c>
      <c r="P91" s="116">
        <f>IF(TrRoad_act!P13=0,0,P27/TrRoad_act!P13*1000)</f>
        <v>63.5027109264487</v>
      </c>
      <c r="Q91" s="116">
        <f>IF(TrRoad_act!Q13=0,0,Q27/TrRoad_act!Q13*1000)</f>
        <v>77.900410832182246</v>
      </c>
      <c r="R91" s="116">
        <f>IF(TrRoad_act!R13=0,0,R27/TrRoad_act!R13*1000)</f>
        <v>80.199263854288617</v>
      </c>
      <c r="S91" s="116">
        <f>IF(TrRoad_act!S13=0,0,S27/TrRoad_act!S13*1000)</f>
        <v>79.864265573254968</v>
      </c>
      <c r="T91" s="116">
        <f>IF(TrRoad_act!T13=0,0,T27/TrRoad_act!T13*1000)</f>
        <v>77.499840704719375</v>
      </c>
      <c r="U91" s="116">
        <f>IF(TrRoad_act!U13=0,0,U27/TrRoad_act!U13*1000)</f>
        <v>77.009204729854957</v>
      </c>
      <c r="V91" s="116">
        <f>IF(TrRoad_act!V13=0,0,V27/TrRoad_act!V13*1000)</f>
        <v>141.41709614851382</v>
      </c>
      <c r="W91" s="116">
        <f>IF(TrRoad_act!W13=0,0,W27/TrRoad_act!W13*1000)</f>
        <v>128.09937683312594</v>
      </c>
      <c r="X91" s="116">
        <f>IF(TrRoad_act!X13=0,0,X27/TrRoad_act!X13*1000)</f>
        <v>102.74655983463705</v>
      </c>
      <c r="Y91" s="116">
        <f>IF(TrRoad_act!Y13=0,0,Y27/TrRoad_act!Y13*1000)</f>
        <v>90.602777671656611</v>
      </c>
      <c r="DA91" s="176" t="s">
        <v>439</v>
      </c>
    </row>
    <row r="92" spans="1:105" ht="11.45" customHeight="1" x14ac:dyDescent="0.25">
      <c r="A92" s="111" t="s">
        <v>110</v>
      </c>
      <c r="B92" s="101">
        <f>IF(TrRoad_act!B14=0,0,B28/TrRoad_act!B14*1000)</f>
        <v>0</v>
      </c>
      <c r="C92" s="101">
        <f>IF(TrRoad_act!C14=0,0,C28/TrRoad_act!C14*1000)</f>
        <v>0</v>
      </c>
      <c r="D92" s="101">
        <f>IF(TrRoad_act!D14=0,0,D28/TrRoad_act!D14*1000)</f>
        <v>0</v>
      </c>
      <c r="E92" s="101">
        <f>IF(TrRoad_act!E14=0,0,E28/TrRoad_act!E14*1000)</f>
        <v>0</v>
      </c>
      <c r="F92" s="101">
        <f>IF(TrRoad_act!F14=0,0,F28/TrRoad_act!F14*1000)</f>
        <v>0</v>
      </c>
      <c r="G92" s="101">
        <f>IF(TrRoad_act!G14=0,0,G28/TrRoad_act!G14*1000)</f>
        <v>0</v>
      </c>
      <c r="H92" s="101">
        <f>IF(TrRoad_act!H14=0,0,H28/TrRoad_act!H14*1000)</f>
        <v>0</v>
      </c>
      <c r="I92" s="101">
        <f>IF(TrRoad_act!I14=0,0,I28/TrRoad_act!I14*1000)</f>
        <v>0</v>
      </c>
      <c r="J92" s="101">
        <f>IF(TrRoad_act!J14=0,0,J28/TrRoad_act!J14*1000)</f>
        <v>0</v>
      </c>
      <c r="K92" s="101">
        <f>IF(TrRoad_act!K14=0,0,K28/TrRoad_act!K14*1000)</f>
        <v>0</v>
      </c>
      <c r="L92" s="101">
        <f>IF(TrRoad_act!L14=0,0,L28/TrRoad_act!L14*1000)</f>
        <v>0</v>
      </c>
      <c r="M92" s="101">
        <f>IF(TrRoad_act!M14=0,0,M28/TrRoad_act!M14*1000)</f>
        <v>0</v>
      </c>
      <c r="N92" s="101">
        <f>IF(TrRoad_act!N14=0,0,N28/TrRoad_act!N14*1000)</f>
        <v>0</v>
      </c>
      <c r="O92" s="101">
        <f>IF(TrRoad_act!O14=0,0,O28/TrRoad_act!O14*1000)</f>
        <v>0</v>
      </c>
      <c r="P92" s="101">
        <f>IF(TrRoad_act!P14=0,0,P28/TrRoad_act!P14*1000)</f>
        <v>0</v>
      </c>
      <c r="Q92" s="101">
        <f>IF(TrRoad_act!Q14=0,0,Q28/TrRoad_act!Q14*1000)</f>
        <v>0</v>
      </c>
      <c r="R92" s="101">
        <f>IF(TrRoad_act!R14=0,0,R28/TrRoad_act!R14*1000)</f>
        <v>0</v>
      </c>
      <c r="S92" s="101">
        <f>IF(TrRoad_act!S14=0,0,S28/TrRoad_act!S14*1000)</f>
        <v>0</v>
      </c>
      <c r="T92" s="101">
        <f>IF(TrRoad_act!T14=0,0,T28/TrRoad_act!T14*1000)</f>
        <v>0</v>
      </c>
      <c r="U92" s="101">
        <f>IF(TrRoad_act!U14=0,0,U28/TrRoad_act!U14*1000)</f>
        <v>0</v>
      </c>
      <c r="V92" s="101">
        <f>IF(TrRoad_act!V14=0,0,V28/TrRoad_act!V14*1000)</f>
        <v>0</v>
      </c>
      <c r="W92" s="101">
        <f>IF(TrRoad_act!W14=0,0,W28/TrRoad_act!W14*1000)</f>
        <v>0</v>
      </c>
      <c r="X92" s="101">
        <f>IF(TrRoad_act!X14=0,0,X28/TrRoad_act!X14*1000)</f>
        <v>0</v>
      </c>
      <c r="Y92" s="101">
        <f>IF(TrRoad_act!Y14=0,0,Y28/TrRoad_act!Y14*1000)</f>
        <v>0</v>
      </c>
      <c r="DA92" s="175" t="s">
        <v>801</v>
      </c>
    </row>
    <row r="93" spans="1:105" ht="11.45" customHeight="1" x14ac:dyDescent="0.25">
      <c r="A93" s="111" t="s">
        <v>111</v>
      </c>
      <c r="B93" s="101">
        <f>IF(TrRoad_act!B15=0,0,B29/TrRoad_act!B15*1000)</f>
        <v>52.298825459994418</v>
      </c>
      <c r="C93" s="101">
        <f>IF(TrRoad_act!C15=0,0,C29/TrRoad_act!C15*1000)</f>
        <v>51.846346979661348</v>
      </c>
      <c r="D93" s="101">
        <f>IF(TrRoad_act!D15=0,0,D29/TrRoad_act!D15*1000)</f>
        <v>53.747674824357738</v>
      </c>
      <c r="E93" s="101">
        <f>IF(TrRoad_act!E15=0,0,E29/TrRoad_act!E15*1000)</f>
        <v>51.923373970077165</v>
      </c>
      <c r="F93" s="101">
        <f>IF(TrRoad_act!F15=0,0,F29/TrRoad_act!F15*1000)</f>
        <v>55.48320821855387</v>
      </c>
      <c r="G93" s="101">
        <f>IF(TrRoad_act!G15=0,0,G29/TrRoad_act!G15*1000)</f>
        <v>56.422278768362979</v>
      </c>
      <c r="H93" s="101">
        <f>IF(TrRoad_act!H15=0,0,H29/TrRoad_act!H15*1000)</f>
        <v>54.113681132048313</v>
      </c>
      <c r="I93" s="101">
        <f>IF(TrRoad_act!I15=0,0,I29/TrRoad_act!I15*1000)</f>
        <v>55.9302455777107</v>
      </c>
      <c r="J93" s="101">
        <f>IF(TrRoad_act!J15=0,0,J29/TrRoad_act!J15*1000)</f>
        <v>52.809792674484626</v>
      </c>
      <c r="K93" s="101">
        <f>IF(TrRoad_act!K15=0,0,K29/TrRoad_act!K15*1000)</f>
        <v>56.882581864244017</v>
      </c>
      <c r="L93" s="101">
        <f>IF(TrRoad_act!L15=0,0,L29/TrRoad_act!L15*1000)</f>
        <v>58.499194343818147</v>
      </c>
      <c r="M93" s="101">
        <f>IF(TrRoad_act!M15=0,0,M29/TrRoad_act!M15*1000)</f>
        <v>61.481349594626394</v>
      </c>
      <c r="N93" s="101">
        <f>IF(TrRoad_act!N15=0,0,N29/TrRoad_act!N15*1000)</f>
        <v>61.621106584994266</v>
      </c>
      <c r="O93" s="101">
        <f>IF(TrRoad_act!O15=0,0,O29/TrRoad_act!O15*1000)</f>
        <v>65.000615496683906</v>
      </c>
      <c r="P93" s="101">
        <f>IF(TrRoad_act!P15=0,0,P29/TrRoad_act!P15*1000)</f>
        <v>64.519729679693313</v>
      </c>
      <c r="Q93" s="101">
        <f>IF(TrRoad_act!Q15=0,0,Q29/TrRoad_act!Q15*1000)</f>
        <v>79.344493524175135</v>
      </c>
      <c r="R93" s="101">
        <f>IF(TrRoad_act!R15=0,0,R29/TrRoad_act!R15*1000)</f>
        <v>81.80632460535513</v>
      </c>
      <c r="S93" s="101">
        <f>IF(TrRoad_act!S15=0,0,S29/TrRoad_act!S15*1000)</f>
        <v>81.591928395750244</v>
      </c>
      <c r="T93" s="101">
        <f>IF(TrRoad_act!T15=0,0,T29/TrRoad_act!T15*1000)</f>
        <v>79.980942255870445</v>
      </c>
      <c r="U93" s="101">
        <f>IF(TrRoad_act!U15=0,0,U29/TrRoad_act!U15*1000)</f>
        <v>79.263618332704553</v>
      </c>
      <c r="V93" s="101">
        <f>IF(TrRoad_act!V15=0,0,V29/TrRoad_act!V15*1000)</f>
        <v>146.67178600638343</v>
      </c>
      <c r="W93" s="101">
        <f>IF(TrRoad_act!W15=0,0,W29/TrRoad_act!W15*1000)</f>
        <v>133.28718918668278</v>
      </c>
      <c r="X93" s="101">
        <f>IF(TrRoad_act!X15=0,0,X29/TrRoad_act!X15*1000)</f>
        <v>106.60412652438676</v>
      </c>
      <c r="Y93" s="101">
        <f>IF(TrRoad_act!Y15=0,0,Y29/TrRoad_act!Y15*1000)</f>
        <v>94.887680809475128</v>
      </c>
      <c r="DA93" s="175" t="s">
        <v>802</v>
      </c>
    </row>
    <row r="94" spans="1:105" ht="11.45" customHeight="1" x14ac:dyDescent="0.25">
      <c r="A94" s="111" t="s">
        <v>112</v>
      </c>
      <c r="B94" s="101">
        <f>IF(TrRoad_act!B16=0,0,B30/TrRoad_act!B16*1000)</f>
        <v>34.08088252591557</v>
      </c>
      <c r="C94" s="101">
        <f>IF(TrRoad_act!C16=0,0,C30/TrRoad_act!C16*1000)</f>
        <v>35.632096237909053</v>
      </c>
      <c r="D94" s="101">
        <f>IF(TrRoad_act!D16=0,0,D30/TrRoad_act!D16*1000)</f>
        <v>37.585112918068965</v>
      </c>
      <c r="E94" s="101">
        <f>IF(TrRoad_act!E16=0,0,E30/TrRoad_act!E16*1000)</f>
        <v>36.725629782038816</v>
      </c>
      <c r="F94" s="101">
        <f>IF(TrRoad_act!F16=0,0,F30/TrRoad_act!F16*1000)</f>
        <v>37.692945795010075</v>
      </c>
      <c r="G94" s="101">
        <f>IF(TrRoad_act!G16=0,0,G30/TrRoad_act!G16*1000)</f>
        <v>38.890938633176219</v>
      </c>
      <c r="H94" s="101">
        <f>IF(TrRoad_act!H16=0,0,H30/TrRoad_act!H16*1000)</f>
        <v>37.881840727636614</v>
      </c>
      <c r="I94" s="101">
        <f>IF(TrRoad_act!I16=0,0,I30/TrRoad_act!I16*1000)</f>
        <v>39.310513389924132</v>
      </c>
      <c r="J94" s="101">
        <f>IF(TrRoad_act!J16=0,0,J30/TrRoad_act!J16*1000)</f>
        <v>38.60886779006325</v>
      </c>
      <c r="K94" s="101">
        <f>IF(TrRoad_act!K16=0,0,K30/TrRoad_act!K16*1000)</f>
        <v>42.298251703808972</v>
      </c>
      <c r="L94" s="101">
        <f>IF(TrRoad_act!L16=0,0,L30/TrRoad_act!L16*1000)</f>
        <v>44.251554189131141</v>
      </c>
      <c r="M94" s="101">
        <f>IF(TrRoad_act!M16=0,0,M30/TrRoad_act!M16*1000)</f>
        <v>46.416765192973905</v>
      </c>
      <c r="N94" s="101">
        <f>IF(TrRoad_act!N16=0,0,N30/TrRoad_act!N16*1000)</f>
        <v>46.095253803962464</v>
      </c>
      <c r="O94" s="101">
        <f>IF(TrRoad_act!O16=0,0,O30/TrRoad_act!O16*1000)</f>
        <v>48.292613903039239</v>
      </c>
      <c r="P94" s="101">
        <f>IF(TrRoad_act!P16=0,0,P30/TrRoad_act!P16*1000)</f>
        <v>47.423867747343479</v>
      </c>
      <c r="Q94" s="101">
        <f>IF(TrRoad_act!Q16=0,0,Q30/TrRoad_act!Q16*1000)</f>
        <v>57.058174728037251</v>
      </c>
      <c r="R94" s="101">
        <f>IF(TrRoad_act!R16=0,0,R30/TrRoad_act!R16*1000)</f>
        <v>57.079154847678488</v>
      </c>
      <c r="S94" s="101">
        <f>IF(TrRoad_act!S16=0,0,S30/TrRoad_act!S16*1000)</f>
        <v>57.134935644156208</v>
      </c>
      <c r="T94" s="101">
        <f>IF(TrRoad_act!T16=0,0,T30/TrRoad_act!T16*1000)</f>
        <v>57.94677199929454</v>
      </c>
      <c r="U94" s="101">
        <f>IF(TrRoad_act!U16=0,0,U30/TrRoad_act!U16*1000)</f>
        <v>58.084335346063824</v>
      </c>
      <c r="V94" s="101">
        <f>IF(TrRoad_act!V16=0,0,V30/TrRoad_act!V16*1000)</f>
        <v>108.55506696964095</v>
      </c>
      <c r="W94" s="101">
        <f>IF(TrRoad_act!W16=0,0,W30/TrRoad_act!W16*1000)</f>
        <v>99.661181829305491</v>
      </c>
      <c r="X94" s="101">
        <f>IF(TrRoad_act!X16=0,0,X30/TrRoad_act!X16*1000)</f>
        <v>81.207915155988573</v>
      </c>
      <c r="Y94" s="101">
        <f>IF(TrRoad_act!Y16=0,0,Y30/TrRoad_act!Y16*1000)</f>
        <v>74.198213212625774</v>
      </c>
      <c r="DA94" s="175" t="s">
        <v>803</v>
      </c>
    </row>
    <row r="95" spans="1:105" ht="11.45" customHeight="1" x14ac:dyDescent="0.25">
      <c r="A95" s="111" t="s">
        <v>113</v>
      </c>
      <c r="B95" s="101">
        <f>IF(TrRoad_act!B17=0,0,B31/TrRoad_act!B17*1000)</f>
        <v>0</v>
      </c>
      <c r="C95" s="101">
        <f>IF(TrRoad_act!C17=0,0,C31/TrRoad_act!C17*1000)</f>
        <v>0</v>
      </c>
      <c r="D95" s="101">
        <f>IF(TrRoad_act!D17=0,0,D31/TrRoad_act!D17*1000)</f>
        <v>0</v>
      </c>
      <c r="E95" s="101">
        <f>IF(TrRoad_act!E17=0,0,E31/TrRoad_act!E17*1000)</f>
        <v>0</v>
      </c>
      <c r="F95" s="101">
        <f>IF(TrRoad_act!F17=0,0,F31/TrRoad_act!F17*1000)</f>
        <v>0</v>
      </c>
      <c r="G95" s="101">
        <f>IF(TrRoad_act!G17=0,0,G31/TrRoad_act!G17*1000)</f>
        <v>0</v>
      </c>
      <c r="H95" s="101">
        <f>IF(TrRoad_act!H17=0,0,H31/TrRoad_act!H17*1000)</f>
        <v>0</v>
      </c>
      <c r="I95" s="101">
        <f>IF(TrRoad_act!I17=0,0,I31/TrRoad_act!I17*1000)</f>
        <v>0</v>
      </c>
      <c r="J95" s="101">
        <f>IF(TrRoad_act!J17=0,0,J31/TrRoad_act!J17*1000)</f>
        <v>0</v>
      </c>
      <c r="K95" s="101">
        <f>IF(TrRoad_act!K17=0,0,K31/TrRoad_act!K17*1000)</f>
        <v>0</v>
      </c>
      <c r="L95" s="101">
        <f>IF(TrRoad_act!L17=0,0,L31/TrRoad_act!L17*1000)</f>
        <v>0</v>
      </c>
      <c r="M95" s="101">
        <f>IF(TrRoad_act!M17=0,0,M31/TrRoad_act!M17*1000)</f>
        <v>0</v>
      </c>
      <c r="N95" s="101">
        <f>IF(TrRoad_act!N17=0,0,N31/TrRoad_act!N17*1000)</f>
        <v>0</v>
      </c>
      <c r="O95" s="101">
        <f>IF(TrRoad_act!O17=0,0,O31/TrRoad_act!O17*1000)</f>
        <v>0</v>
      </c>
      <c r="P95" s="101">
        <f>IF(TrRoad_act!P17=0,0,P31/TrRoad_act!P17*1000)</f>
        <v>0</v>
      </c>
      <c r="Q95" s="101">
        <f>IF(TrRoad_act!Q17=0,0,Q31/TrRoad_act!Q17*1000)</f>
        <v>54.14278269859085</v>
      </c>
      <c r="R95" s="101">
        <f>IF(TrRoad_act!R17=0,0,R31/TrRoad_act!R17*1000)</f>
        <v>47.327025460586498</v>
      </c>
      <c r="S95" s="101">
        <f>IF(TrRoad_act!S17=0,0,S31/TrRoad_act!S17*1000)</f>
        <v>34.770858061476034</v>
      </c>
      <c r="T95" s="101">
        <f>IF(TrRoad_act!T17=0,0,T31/TrRoad_act!T17*1000)</f>
        <v>18.753667078382502</v>
      </c>
      <c r="U95" s="101">
        <f>IF(TrRoad_act!U17=0,0,U31/TrRoad_act!U17*1000)</f>
        <v>24.647515470573413</v>
      </c>
      <c r="V95" s="101">
        <f>IF(TrRoad_act!V17=0,0,V31/TrRoad_act!V17*1000)</f>
        <v>50.775604727722261</v>
      </c>
      <c r="W95" s="101">
        <f>IF(TrRoad_act!W17=0,0,W31/TrRoad_act!W17*1000)</f>
        <v>65.793054744450188</v>
      </c>
      <c r="X95" s="101">
        <f>IF(TrRoad_act!X17=0,0,X31/TrRoad_act!X17*1000)</f>
        <v>73.131630895687792</v>
      </c>
      <c r="Y95" s="101">
        <f>IF(TrRoad_act!Y17=0,0,Y31/TrRoad_act!Y17*1000)</f>
        <v>64.382678698960902</v>
      </c>
      <c r="DA95" s="175" t="s">
        <v>804</v>
      </c>
    </row>
    <row r="96" spans="1:105" ht="11.45" customHeight="1" x14ac:dyDescent="0.25">
      <c r="A96" s="111" t="s">
        <v>115</v>
      </c>
      <c r="B96" s="101">
        <f>IF(TrRoad_act!B18=0,0,B32/TrRoad_act!B18*1000)</f>
        <v>0</v>
      </c>
      <c r="C96" s="101">
        <f>IF(TrRoad_act!C18=0,0,C32/TrRoad_act!C18*1000)</f>
        <v>0</v>
      </c>
      <c r="D96" s="101">
        <f>IF(TrRoad_act!D18=0,0,D32/TrRoad_act!D18*1000)</f>
        <v>0</v>
      </c>
      <c r="E96" s="101">
        <f>IF(TrRoad_act!E18=0,0,E32/TrRoad_act!E18*1000)</f>
        <v>0</v>
      </c>
      <c r="F96" s="101">
        <f>IF(TrRoad_act!F18=0,0,F32/TrRoad_act!F18*1000)</f>
        <v>0</v>
      </c>
      <c r="G96" s="101">
        <f>IF(TrRoad_act!G18=0,0,G32/TrRoad_act!G18*1000)</f>
        <v>0</v>
      </c>
      <c r="H96" s="101">
        <f>IF(TrRoad_act!H18=0,0,H32/TrRoad_act!H18*1000)</f>
        <v>0</v>
      </c>
      <c r="I96" s="101">
        <f>IF(TrRoad_act!I18=0,0,I32/TrRoad_act!I18*1000)</f>
        <v>0</v>
      </c>
      <c r="J96" s="101">
        <f>IF(TrRoad_act!J18=0,0,J32/TrRoad_act!J18*1000)</f>
        <v>0</v>
      </c>
      <c r="K96" s="101">
        <f>IF(TrRoad_act!K18=0,0,K32/TrRoad_act!K18*1000)</f>
        <v>0</v>
      </c>
      <c r="L96" s="101">
        <f>IF(TrRoad_act!L18=0,0,L32/TrRoad_act!L18*1000)</f>
        <v>0</v>
      </c>
      <c r="M96" s="101">
        <f>IF(TrRoad_act!M18=0,0,M32/TrRoad_act!M18*1000)</f>
        <v>0</v>
      </c>
      <c r="N96" s="101">
        <f>IF(TrRoad_act!N18=0,0,N32/TrRoad_act!N18*1000)</f>
        <v>0</v>
      </c>
      <c r="O96" s="101">
        <f>IF(TrRoad_act!O18=0,0,O32/TrRoad_act!O18*1000)</f>
        <v>0</v>
      </c>
      <c r="P96" s="101">
        <f>IF(TrRoad_act!P18=0,0,P32/TrRoad_act!P18*1000)</f>
        <v>0</v>
      </c>
      <c r="Q96" s="101">
        <f>IF(TrRoad_act!Q18=0,0,Q32/TrRoad_act!Q18*1000)</f>
        <v>0</v>
      </c>
      <c r="R96" s="101">
        <f>IF(TrRoad_act!R18=0,0,R32/TrRoad_act!R18*1000)</f>
        <v>0</v>
      </c>
      <c r="S96" s="101">
        <f>IF(TrRoad_act!S18=0,0,S32/TrRoad_act!S18*1000)</f>
        <v>0</v>
      </c>
      <c r="T96" s="101">
        <f>IF(TrRoad_act!T18=0,0,T32/TrRoad_act!T18*1000)</f>
        <v>0</v>
      </c>
      <c r="U96" s="101">
        <f>IF(TrRoad_act!U18=0,0,U32/TrRoad_act!U18*1000)</f>
        <v>0</v>
      </c>
      <c r="V96" s="101">
        <f>IF(TrRoad_act!V18=0,0,V32/TrRoad_act!V18*1000)</f>
        <v>0</v>
      </c>
      <c r="W96" s="101">
        <f>IF(TrRoad_act!W18=0,0,W32/TrRoad_act!W18*1000)</f>
        <v>0</v>
      </c>
      <c r="X96" s="101">
        <f>IF(TrRoad_act!X18=0,0,X32/TrRoad_act!X18*1000)</f>
        <v>0</v>
      </c>
      <c r="Y96" s="101">
        <f>IF(TrRoad_act!Y18=0,0,Y32/TrRoad_act!Y18*1000)</f>
        <v>0</v>
      </c>
      <c r="DA96" s="175" t="s">
        <v>805</v>
      </c>
    </row>
    <row r="97" spans="1:105" ht="11.45" customHeight="1" x14ac:dyDescent="0.25">
      <c r="A97" s="27" t="s">
        <v>158</v>
      </c>
      <c r="B97" s="29">
        <f>IF(TrRoad_act!B19=0,0,B33/TrRoad_act!B19*1000)</f>
        <v>113.65470659940131</v>
      </c>
      <c r="C97" s="29">
        <f>IF(TrRoad_act!C19=0,0,C33/TrRoad_act!C19*1000)</f>
        <v>115.4637335042038</v>
      </c>
      <c r="D97" s="29">
        <f>IF(TrRoad_act!D19=0,0,D33/TrRoad_act!D19*1000)</f>
        <v>103.7809982018489</v>
      </c>
      <c r="E97" s="29">
        <f>IF(TrRoad_act!E19=0,0,E33/TrRoad_act!E19*1000)</f>
        <v>120.56647890710202</v>
      </c>
      <c r="F97" s="29">
        <f>IF(TrRoad_act!F19=0,0,F33/TrRoad_act!F19*1000)</f>
        <v>126.93124238706795</v>
      </c>
      <c r="G97" s="29">
        <f>IF(TrRoad_act!G19=0,0,G33/TrRoad_act!G19*1000)</f>
        <v>148.32532564737409</v>
      </c>
      <c r="H97" s="29">
        <f>IF(TrRoad_act!H19=0,0,H33/TrRoad_act!H19*1000)</f>
        <v>157.46691456209246</v>
      </c>
      <c r="I97" s="29">
        <f>IF(TrRoad_act!I19=0,0,I33/TrRoad_act!I19*1000)</f>
        <v>169.76317056784683</v>
      </c>
      <c r="J97" s="29">
        <f>IF(TrRoad_act!J19=0,0,J33/TrRoad_act!J19*1000)</f>
        <v>165.99387050440581</v>
      </c>
      <c r="K97" s="29">
        <f>IF(TrRoad_act!K19=0,0,K33/TrRoad_act!K19*1000)</f>
        <v>155.77415715161533</v>
      </c>
      <c r="L97" s="29">
        <f>IF(TrRoad_act!L19=0,0,L33/TrRoad_act!L19*1000)</f>
        <v>155.2412007738935</v>
      </c>
      <c r="M97" s="29">
        <f>IF(TrRoad_act!M19=0,0,M33/TrRoad_act!M19*1000)</f>
        <v>145.90282214350134</v>
      </c>
      <c r="N97" s="29">
        <f>IF(TrRoad_act!N19=0,0,N33/TrRoad_act!N19*1000)</f>
        <v>129.72946385843989</v>
      </c>
      <c r="O97" s="29">
        <f>IF(TrRoad_act!O19=0,0,O33/TrRoad_act!O19*1000)</f>
        <v>106.40436730900323</v>
      </c>
      <c r="P97" s="29">
        <f>IF(TrRoad_act!P19=0,0,P33/TrRoad_act!P19*1000)</f>
        <v>110.21513900564898</v>
      </c>
      <c r="Q97" s="29">
        <f>IF(TrRoad_act!Q19=0,0,Q33/TrRoad_act!Q19*1000)</f>
        <v>108.23557018204617</v>
      </c>
      <c r="R97" s="29">
        <f>IF(TrRoad_act!R19=0,0,R33/TrRoad_act!R19*1000)</f>
        <v>128.81752793205453</v>
      </c>
      <c r="S97" s="29">
        <f>IF(TrRoad_act!S19=0,0,S33/TrRoad_act!S19*1000)</f>
        <v>142.02749573718131</v>
      </c>
      <c r="T97" s="29">
        <f>IF(TrRoad_act!T19=0,0,T33/TrRoad_act!T19*1000)</f>
        <v>154.53404284267552</v>
      </c>
      <c r="U97" s="29">
        <f>IF(TrRoad_act!U19=0,0,U33/TrRoad_act!U19*1000)</f>
        <v>145.38415009723002</v>
      </c>
      <c r="V97" s="29">
        <f>IF(TrRoad_act!V19=0,0,V33/TrRoad_act!V19*1000)</f>
        <v>136.622543175917</v>
      </c>
      <c r="W97" s="29">
        <f>IF(TrRoad_act!W19=0,0,W33/TrRoad_act!W19*1000)</f>
        <v>153.09137977843315</v>
      </c>
      <c r="X97" s="29">
        <f>IF(TrRoad_act!X19=0,0,X33/TrRoad_act!X19*1000)</f>
        <v>149.24464415535061</v>
      </c>
      <c r="Y97" s="29">
        <f>IF(TrRoad_act!Y19=0,0,Y33/TrRoad_act!Y19*1000)</f>
        <v>148.77094234275208</v>
      </c>
      <c r="DA97" s="173" t="s">
        <v>445</v>
      </c>
    </row>
    <row r="98" spans="1:105" ht="11.45" customHeight="1" x14ac:dyDescent="0.25">
      <c r="A98" s="136" t="s">
        <v>153</v>
      </c>
      <c r="B98" s="152">
        <f>IF(TrRoad_act!B20=0,0,B34/TrRoad_act!B20*1000)</f>
        <v>1490.7695561191058</v>
      </c>
      <c r="C98" s="152">
        <f>IF(TrRoad_act!C20=0,0,C34/TrRoad_act!C20*1000)</f>
        <v>1444.6426258664703</v>
      </c>
      <c r="D98" s="152">
        <f>IF(TrRoad_act!D20=0,0,D34/TrRoad_act!D20*1000)</f>
        <v>1416.4286931732659</v>
      </c>
      <c r="E98" s="152">
        <f>IF(TrRoad_act!E20=0,0,E34/TrRoad_act!E20*1000)</f>
        <v>1394.6374642886169</v>
      </c>
      <c r="F98" s="152">
        <f>IF(TrRoad_act!F20=0,0,F34/TrRoad_act!F20*1000)</f>
        <v>1375.6598424185165</v>
      </c>
      <c r="G98" s="152">
        <f>IF(TrRoad_act!G20=0,0,G34/TrRoad_act!G20*1000)</f>
        <v>1345.5310305133191</v>
      </c>
      <c r="H98" s="152">
        <f>IF(TrRoad_act!H20=0,0,H34/TrRoad_act!H20*1000)</f>
        <v>1329.9632866527422</v>
      </c>
      <c r="I98" s="152">
        <f>IF(TrRoad_act!I20=0,0,I34/TrRoad_act!I20*1000)</f>
        <v>1312.2888209141076</v>
      </c>
      <c r="J98" s="152">
        <f>IF(TrRoad_act!J20=0,0,J34/TrRoad_act!J20*1000)</f>
        <v>1260.7720522817554</v>
      </c>
      <c r="K98" s="152">
        <f>IF(TrRoad_act!K20=0,0,K34/TrRoad_act!K20*1000)</f>
        <v>1235.8712993918984</v>
      </c>
      <c r="L98" s="152">
        <f>IF(TrRoad_act!L20=0,0,L34/TrRoad_act!L20*1000)</f>
        <v>1207.2900175185307</v>
      </c>
      <c r="M98" s="152">
        <f>IF(TrRoad_act!M20=0,0,M34/TrRoad_act!M20*1000)</f>
        <v>1199.4962208404397</v>
      </c>
      <c r="N98" s="152">
        <f>IF(TrRoad_act!N20=0,0,N34/TrRoad_act!N20*1000)</f>
        <v>1195.8855512509199</v>
      </c>
      <c r="O98" s="152">
        <f>IF(TrRoad_act!O20=0,0,O34/TrRoad_act!O20*1000)</f>
        <v>1184.2960068863015</v>
      </c>
      <c r="P98" s="152">
        <f>IF(TrRoad_act!P20=0,0,P34/TrRoad_act!P20*1000)</f>
        <v>1180.968870825184</v>
      </c>
      <c r="Q98" s="152">
        <f>IF(TrRoad_act!Q20=0,0,Q34/TrRoad_act!Q20*1000)</f>
        <v>1179.5022640942475</v>
      </c>
      <c r="R98" s="152">
        <f>IF(TrRoad_act!R20=0,0,R34/TrRoad_act!R20*1000)</f>
        <v>1200.4364199849415</v>
      </c>
      <c r="S98" s="152">
        <f>IF(TrRoad_act!S20=0,0,S34/TrRoad_act!S20*1000)</f>
        <v>1189.2557309591914</v>
      </c>
      <c r="T98" s="152">
        <f>IF(TrRoad_act!T20=0,0,T34/TrRoad_act!T20*1000)</f>
        <v>1167.1231214815939</v>
      </c>
      <c r="U98" s="152">
        <f>IF(TrRoad_act!U20=0,0,U34/TrRoad_act!U20*1000)</f>
        <v>1150.5825694343748</v>
      </c>
      <c r="V98" s="152">
        <f>IF(TrRoad_act!V20=0,0,V34/TrRoad_act!V20*1000)</f>
        <v>1141.4377262732246</v>
      </c>
      <c r="W98" s="152">
        <f>IF(TrRoad_act!W20=0,0,W34/TrRoad_act!W20*1000)</f>
        <v>1140.3221000099575</v>
      </c>
      <c r="X98" s="152">
        <f>IF(TrRoad_act!X20=0,0,X34/TrRoad_act!X20*1000)</f>
        <v>1124.9457893909105</v>
      </c>
      <c r="Y98" s="152">
        <f>IF(TrRoad_act!Y20=0,0,Y34/TrRoad_act!Y20*1000)</f>
        <v>1115.2974939816795</v>
      </c>
      <c r="DA98" s="174" t="s">
        <v>446</v>
      </c>
    </row>
    <row r="99" spans="1:105" ht="11.45" customHeight="1" x14ac:dyDescent="0.25">
      <c r="A99" s="111" t="s">
        <v>110</v>
      </c>
      <c r="B99" s="87">
        <f>IF(TrRoad_act!B21=0,0,B35/TrRoad_act!B21*1000)</f>
        <v>1514.7349640685138</v>
      </c>
      <c r="C99" s="87">
        <f>IF(TrRoad_act!C21=0,0,C35/TrRoad_act!C21*1000)</f>
        <v>1492.9050693843371</v>
      </c>
      <c r="D99" s="87">
        <f>IF(TrRoad_act!D21=0,0,D35/TrRoad_act!D21*1000)</f>
        <v>1482.8987854034299</v>
      </c>
      <c r="E99" s="87">
        <f>IF(TrRoad_act!E21=0,0,E35/TrRoad_act!E21*1000)</f>
        <v>1459.1770295860517</v>
      </c>
      <c r="F99" s="87">
        <f>IF(TrRoad_act!F21=0,0,F35/TrRoad_act!F21*1000)</f>
        <v>1448.5848294551838</v>
      </c>
      <c r="G99" s="87">
        <f>IF(TrRoad_act!G21=0,0,G35/TrRoad_act!G21*1000)</f>
        <v>1420.5997513344835</v>
      </c>
      <c r="H99" s="87">
        <f>IF(TrRoad_act!H21=0,0,H35/TrRoad_act!H21*1000)</f>
        <v>1400.7257124358216</v>
      </c>
      <c r="I99" s="87">
        <f>IF(TrRoad_act!I21=0,0,I35/TrRoad_act!I21*1000)</f>
        <v>1370.0268710923494</v>
      </c>
      <c r="J99" s="87">
        <f>IF(TrRoad_act!J21=0,0,J35/TrRoad_act!J21*1000)</f>
        <v>1317.9861144046251</v>
      </c>
      <c r="K99" s="87">
        <f>IF(TrRoad_act!K21=0,0,K35/TrRoad_act!K21*1000)</f>
        <v>1309.6437054744072</v>
      </c>
      <c r="L99" s="87">
        <f>IF(TrRoad_act!L21=0,0,L35/TrRoad_act!L21*1000)</f>
        <v>1277.139472848412</v>
      </c>
      <c r="M99" s="87">
        <f>IF(TrRoad_act!M21=0,0,M35/TrRoad_act!M21*1000)</f>
        <v>1254.7630212707295</v>
      </c>
      <c r="N99" s="87">
        <f>IF(TrRoad_act!N21=0,0,N35/TrRoad_act!N21*1000)</f>
        <v>1241.9249188191422</v>
      </c>
      <c r="O99" s="87">
        <f>IF(TrRoad_act!O21=0,0,O35/TrRoad_act!O21*1000)</f>
        <v>1207.8137681993678</v>
      </c>
      <c r="P99" s="87">
        <f>IF(TrRoad_act!P21=0,0,P35/TrRoad_act!P21*1000)</f>
        <v>1187.6051429095389</v>
      </c>
      <c r="Q99" s="87">
        <f>IF(TrRoad_act!Q21=0,0,Q35/TrRoad_act!Q21*1000)</f>
        <v>1146.35656339463</v>
      </c>
      <c r="R99" s="87">
        <f>IF(TrRoad_act!R21=0,0,R35/TrRoad_act!R21*1000)</f>
        <v>1140.8215607112102</v>
      </c>
      <c r="S99" s="87">
        <f>IF(TrRoad_act!S21=0,0,S35/TrRoad_act!S21*1000)</f>
        <v>1132.8095156673764</v>
      </c>
      <c r="T99" s="87">
        <f>IF(TrRoad_act!T21=0,0,T35/TrRoad_act!T21*1000)</f>
        <v>1126.3574114729136</v>
      </c>
      <c r="U99" s="87">
        <f>IF(TrRoad_act!U21=0,0,U35/TrRoad_act!U21*1000)</f>
        <v>1127.4567527613674</v>
      </c>
      <c r="V99" s="87">
        <f>IF(TrRoad_act!V21=0,0,V35/TrRoad_act!V21*1000)</f>
        <v>1103.1702618351669</v>
      </c>
      <c r="W99" s="87">
        <f>IF(TrRoad_act!W21=0,0,W35/TrRoad_act!W21*1000)</f>
        <v>1114.8110473058653</v>
      </c>
      <c r="X99" s="87">
        <f>IF(TrRoad_act!X21=0,0,X35/TrRoad_act!X21*1000)</f>
        <v>1116.1320720983786</v>
      </c>
      <c r="Y99" s="87">
        <f>IF(TrRoad_act!Y21=0,0,Y35/TrRoad_act!Y21*1000)</f>
        <v>1111.0199940713253</v>
      </c>
      <c r="DA99" s="171" t="s">
        <v>806</v>
      </c>
    </row>
    <row r="100" spans="1:105" ht="11.45" customHeight="1" x14ac:dyDescent="0.25">
      <c r="A100" s="111" t="s">
        <v>111</v>
      </c>
      <c r="B100" s="87">
        <f>IF(TrRoad_act!B22=0,0,B36/TrRoad_act!B22*1000)</f>
        <v>1462.5783283204046</v>
      </c>
      <c r="C100" s="87">
        <f>IF(TrRoad_act!C22=0,0,C36/TrRoad_act!C22*1000)</f>
        <v>1388.2202437537512</v>
      </c>
      <c r="D100" s="87">
        <f>IF(TrRoad_act!D22=0,0,D36/TrRoad_act!D22*1000)</f>
        <v>1360.1899900092099</v>
      </c>
      <c r="E100" s="87">
        <f>IF(TrRoad_act!E22=0,0,E36/TrRoad_act!E22*1000)</f>
        <v>1345.5478649282591</v>
      </c>
      <c r="F100" s="87">
        <f>IF(TrRoad_act!F22=0,0,F36/TrRoad_act!F22*1000)</f>
        <v>1326.5866055575977</v>
      </c>
      <c r="G100" s="87">
        <f>IF(TrRoad_act!G22=0,0,G36/TrRoad_act!G22*1000)</f>
        <v>1305.0824371303545</v>
      </c>
      <c r="H100" s="87">
        <f>IF(TrRoad_act!H22=0,0,H36/TrRoad_act!H22*1000)</f>
        <v>1298.5833806437761</v>
      </c>
      <c r="I100" s="87">
        <f>IF(TrRoad_act!I22=0,0,I36/TrRoad_act!I22*1000)</f>
        <v>1291.0289717132748</v>
      </c>
      <c r="J100" s="87">
        <f>IF(TrRoad_act!J22=0,0,J36/TrRoad_act!J22*1000)</f>
        <v>1240.6886446041174</v>
      </c>
      <c r="K100" s="87">
        <f>IF(TrRoad_act!K22=0,0,K36/TrRoad_act!K22*1000)</f>
        <v>1210.6990058258405</v>
      </c>
      <c r="L100" s="87">
        <f>IF(TrRoad_act!L22=0,0,L36/TrRoad_act!L22*1000)</f>
        <v>1184.5154575480346</v>
      </c>
      <c r="M100" s="87">
        <f>IF(TrRoad_act!M22=0,0,M36/TrRoad_act!M22*1000)</f>
        <v>1182.7212238546338</v>
      </c>
      <c r="N100" s="87">
        <f>IF(TrRoad_act!N22=0,0,N36/TrRoad_act!N22*1000)</f>
        <v>1182.9171257772844</v>
      </c>
      <c r="O100" s="87">
        <f>IF(TrRoad_act!O22=0,0,O36/TrRoad_act!O22*1000)</f>
        <v>1176.469629067908</v>
      </c>
      <c r="P100" s="87">
        <f>IF(TrRoad_act!P22=0,0,P36/TrRoad_act!P22*1000)</f>
        <v>1176.8270850573244</v>
      </c>
      <c r="Q100" s="87">
        <f>IF(TrRoad_act!Q22=0,0,Q36/TrRoad_act!Q22*1000)</f>
        <v>1181.7485069691991</v>
      </c>
      <c r="R100" s="87">
        <f>IF(TrRoad_act!R22=0,0,R36/TrRoad_act!R22*1000)</f>
        <v>1207.5389334468052</v>
      </c>
      <c r="S100" s="87">
        <f>IF(TrRoad_act!S22=0,0,S36/TrRoad_act!S22*1000)</f>
        <v>1195.671699101121</v>
      </c>
      <c r="T100" s="87">
        <f>IF(TrRoad_act!T22=0,0,T36/TrRoad_act!T22*1000)</f>
        <v>1170.1722227165205</v>
      </c>
      <c r="U100" s="87">
        <f>IF(TrRoad_act!U22=0,0,U36/TrRoad_act!U22*1000)</f>
        <v>1150.5620422489278</v>
      </c>
      <c r="V100" s="87">
        <f>IF(TrRoad_act!V22=0,0,V36/TrRoad_act!V22*1000)</f>
        <v>1143.1087146708414</v>
      </c>
      <c r="W100" s="87">
        <f>IF(TrRoad_act!W22=0,0,W36/TrRoad_act!W22*1000)</f>
        <v>1140.6022751987962</v>
      </c>
      <c r="X100" s="87">
        <f>IF(TrRoad_act!X22=0,0,X36/TrRoad_act!X22*1000)</f>
        <v>1123.2927350839475</v>
      </c>
      <c r="Y100" s="87">
        <f>IF(TrRoad_act!Y22=0,0,Y36/TrRoad_act!Y22*1000)</f>
        <v>1113.4119528099077</v>
      </c>
      <c r="DA100" s="171" t="s">
        <v>807</v>
      </c>
    </row>
    <row r="101" spans="1:105" ht="11.45" customHeight="1" x14ac:dyDescent="0.25">
      <c r="A101" s="111" t="s">
        <v>112</v>
      </c>
      <c r="B101" s="87">
        <f>IF(TrRoad_act!B23=0,0,B37/TrRoad_act!B23*1000)</f>
        <v>1509.069520141129</v>
      </c>
      <c r="C101" s="87">
        <f>IF(TrRoad_act!C23=0,0,C37/TrRoad_act!C23*1000)</f>
        <v>1468.7338843012851</v>
      </c>
      <c r="D101" s="87">
        <f>IF(TrRoad_act!D23=0,0,D37/TrRoad_act!D23*1000)</f>
        <v>1387.9315445743748</v>
      </c>
      <c r="E101" s="87">
        <f>IF(TrRoad_act!E23=0,0,E37/TrRoad_act!E23*1000)</f>
        <v>1365.7109746540884</v>
      </c>
      <c r="F101" s="87">
        <f>IF(TrRoad_act!F23=0,0,F37/TrRoad_act!F23*1000)</f>
        <v>1356.7241450225604</v>
      </c>
      <c r="G101" s="87">
        <f>IF(TrRoad_act!G23=0,0,G37/TrRoad_act!G23*1000)</f>
        <v>1336.1914494653711</v>
      </c>
      <c r="H101" s="87">
        <f>IF(TrRoad_act!H23=0,0,H37/TrRoad_act!H23*1000)</f>
        <v>1314.0204655048803</v>
      </c>
      <c r="I101" s="87">
        <f>IF(TrRoad_act!I23=0,0,I37/TrRoad_act!I23*1000)</f>
        <v>1299.4275711049304</v>
      </c>
      <c r="J101" s="87">
        <f>IF(TrRoad_act!J23=0,0,J37/TrRoad_act!J23*1000)</f>
        <v>1291.5020107454118</v>
      </c>
      <c r="K101" s="87">
        <f>IF(TrRoad_act!K23=0,0,K37/TrRoad_act!K23*1000)</f>
        <v>1288.0754865830988</v>
      </c>
      <c r="L101" s="87">
        <f>IF(TrRoad_act!L23=0,0,L37/TrRoad_act!L23*1000)</f>
        <v>1284.3982204029501</v>
      </c>
      <c r="M101" s="87">
        <f>IF(TrRoad_act!M23=0,0,M37/TrRoad_act!M23*1000)</f>
        <v>1280.9565347861299</v>
      </c>
      <c r="N101" s="87">
        <f>IF(TrRoad_act!N23=0,0,N37/TrRoad_act!N23*1000)</f>
        <v>1267.1493961010451</v>
      </c>
      <c r="O101" s="87">
        <f>IF(TrRoad_act!O23=0,0,O37/TrRoad_act!O23*1000)</f>
        <v>1262.6050714918806</v>
      </c>
      <c r="P101" s="87">
        <f>IF(TrRoad_act!P23=0,0,P37/TrRoad_act!P23*1000)</f>
        <v>1245.9726631196554</v>
      </c>
      <c r="Q101" s="87">
        <f>IF(TrRoad_act!Q23=0,0,Q37/TrRoad_act!Q23*1000)</f>
        <v>1244.1756391859833</v>
      </c>
      <c r="R101" s="87">
        <f>IF(TrRoad_act!R23=0,0,R37/TrRoad_act!R23*1000)</f>
        <v>1237.9359453458649</v>
      </c>
      <c r="S101" s="87">
        <f>IF(TrRoad_act!S23=0,0,S37/TrRoad_act!S23*1000)</f>
        <v>1234.8140291922691</v>
      </c>
      <c r="T101" s="87">
        <f>IF(TrRoad_act!T23=0,0,T37/TrRoad_act!T23*1000)</f>
        <v>1231.2322015200737</v>
      </c>
      <c r="U101" s="87">
        <f>IF(TrRoad_act!U23=0,0,U37/TrRoad_act!U23*1000)</f>
        <v>1232.8685291892252</v>
      </c>
      <c r="V101" s="87">
        <f>IF(TrRoad_act!V23=0,0,V37/TrRoad_act!V23*1000)</f>
        <v>1227.0329527230435</v>
      </c>
      <c r="W101" s="87">
        <f>IF(TrRoad_act!W23=0,0,W37/TrRoad_act!W23*1000)</f>
        <v>1224.0353745677203</v>
      </c>
      <c r="X101" s="87">
        <f>IF(TrRoad_act!X23=0,0,X37/TrRoad_act!X23*1000)</f>
        <v>1222.0593845059998</v>
      </c>
      <c r="Y101" s="87">
        <f>IF(TrRoad_act!Y23=0,0,Y37/TrRoad_act!Y23*1000)</f>
        <v>1219.9152993828327</v>
      </c>
      <c r="DA101" s="171" t="s">
        <v>808</v>
      </c>
    </row>
    <row r="102" spans="1:105" ht="11.45" customHeight="1" x14ac:dyDescent="0.25">
      <c r="A102" s="111" t="s">
        <v>113</v>
      </c>
      <c r="B102" s="87">
        <f>IF(TrRoad_act!B24=0,0,B38/TrRoad_act!B24*1000)</f>
        <v>0</v>
      </c>
      <c r="C102" s="87">
        <f>IF(TrRoad_act!C24=0,0,C38/TrRoad_act!C24*1000)</f>
        <v>0</v>
      </c>
      <c r="D102" s="87">
        <f>IF(TrRoad_act!D24=0,0,D38/TrRoad_act!D24*1000)</f>
        <v>0</v>
      </c>
      <c r="E102" s="87">
        <f>IF(TrRoad_act!E24=0,0,E38/TrRoad_act!E24*1000)</f>
        <v>0</v>
      </c>
      <c r="F102" s="87">
        <f>IF(TrRoad_act!F24=0,0,F38/TrRoad_act!F24*1000)</f>
        <v>0</v>
      </c>
      <c r="G102" s="87">
        <f>IF(TrRoad_act!G24=0,0,G38/TrRoad_act!G24*1000)</f>
        <v>0</v>
      </c>
      <c r="H102" s="87">
        <f>IF(TrRoad_act!H24=0,0,H38/TrRoad_act!H24*1000)</f>
        <v>0</v>
      </c>
      <c r="I102" s="87">
        <f>IF(TrRoad_act!I24=0,0,I38/TrRoad_act!I24*1000)</f>
        <v>0</v>
      </c>
      <c r="J102" s="87">
        <f>IF(TrRoad_act!J24=0,0,J38/TrRoad_act!J24*1000)</f>
        <v>0</v>
      </c>
      <c r="K102" s="87">
        <f>IF(TrRoad_act!K24=0,0,K38/TrRoad_act!K24*1000)</f>
        <v>0</v>
      </c>
      <c r="L102" s="87">
        <f>IF(TrRoad_act!L24=0,0,L38/TrRoad_act!L24*1000)</f>
        <v>0</v>
      </c>
      <c r="M102" s="87">
        <f>IF(TrRoad_act!M24=0,0,M38/TrRoad_act!M24*1000)</f>
        <v>0</v>
      </c>
      <c r="N102" s="87">
        <f>IF(TrRoad_act!N24=0,0,N38/TrRoad_act!N24*1000)</f>
        <v>0</v>
      </c>
      <c r="O102" s="87">
        <f>IF(TrRoad_act!O24=0,0,O38/TrRoad_act!O24*1000)</f>
        <v>0</v>
      </c>
      <c r="P102" s="87">
        <f>IF(TrRoad_act!P24=0,0,P38/TrRoad_act!P24*1000)</f>
        <v>0</v>
      </c>
      <c r="Q102" s="87">
        <f>IF(TrRoad_act!Q24=0,0,Q38/TrRoad_act!Q24*1000)</f>
        <v>1330.4649801608846</v>
      </c>
      <c r="R102" s="87">
        <f>IF(TrRoad_act!R24=0,0,R38/TrRoad_act!R24*1000)</f>
        <v>1345.0635395629424</v>
      </c>
      <c r="S102" s="87">
        <f>IF(TrRoad_act!S24=0,0,S38/TrRoad_act!S24*1000)</f>
        <v>1341.6624142077364</v>
      </c>
      <c r="T102" s="87">
        <f>IF(TrRoad_act!T24=0,0,T38/TrRoad_act!T24*1000)</f>
        <v>1348.964137199712</v>
      </c>
      <c r="U102" s="87">
        <f>IF(TrRoad_act!U24=0,0,U38/TrRoad_act!U24*1000)</f>
        <v>1340.1674200141013</v>
      </c>
      <c r="V102" s="87">
        <f>IF(TrRoad_act!V24=0,0,V38/TrRoad_act!V24*1000)</f>
        <v>1330.6044073532521</v>
      </c>
      <c r="W102" s="87">
        <f>IF(TrRoad_act!W24=0,0,W38/TrRoad_act!W24*1000)</f>
        <v>1324.3643838507714</v>
      </c>
      <c r="X102" s="87">
        <f>IF(TrRoad_act!X24=0,0,X38/TrRoad_act!X24*1000)</f>
        <v>1329.1315735175683</v>
      </c>
      <c r="Y102" s="87">
        <f>IF(TrRoad_act!Y24=0,0,Y38/TrRoad_act!Y24*1000)</f>
        <v>1305.5162448026113</v>
      </c>
      <c r="DA102" s="171" t="s">
        <v>809</v>
      </c>
    </row>
    <row r="103" spans="1:105" ht="11.45" customHeight="1" x14ac:dyDescent="0.25">
      <c r="A103" s="111" t="s">
        <v>115</v>
      </c>
      <c r="B103" s="87">
        <f>IF(TrRoad_act!B25=0,0,B39/TrRoad_act!B25*1000)</f>
        <v>0</v>
      </c>
      <c r="C103" s="87">
        <f>IF(TrRoad_act!C25=0,0,C39/TrRoad_act!C25*1000)</f>
        <v>0</v>
      </c>
      <c r="D103" s="87">
        <f>IF(TrRoad_act!D25=0,0,D39/TrRoad_act!D25*1000)</f>
        <v>0</v>
      </c>
      <c r="E103" s="87">
        <f>IF(TrRoad_act!E25=0,0,E39/TrRoad_act!E25*1000)</f>
        <v>0</v>
      </c>
      <c r="F103" s="87">
        <f>IF(TrRoad_act!F25=0,0,F39/TrRoad_act!F25*1000)</f>
        <v>0</v>
      </c>
      <c r="G103" s="87">
        <f>IF(TrRoad_act!G25=0,0,G39/TrRoad_act!G25*1000)</f>
        <v>0</v>
      </c>
      <c r="H103" s="87">
        <f>IF(TrRoad_act!H25=0,0,H39/TrRoad_act!H25*1000)</f>
        <v>0</v>
      </c>
      <c r="I103" s="87">
        <f>IF(TrRoad_act!I25=0,0,I39/TrRoad_act!I25*1000)</f>
        <v>0</v>
      </c>
      <c r="J103" s="87">
        <f>IF(TrRoad_act!J25=0,0,J39/TrRoad_act!J25*1000)</f>
        <v>0</v>
      </c>
      <c r="K103" s="87">
        <f>IF(TrRoad_act!K25=0,0,K39/TrRoad_act!K25*1000)</f>
        <v>0</v>
      </c>
      <c r="L103" s="87">
        <f>IF(TrRoad_act!L25=0,0,L39/TrRoad_act!L25*1000)</f>
        <v>0</v>
      </c>
      <c r="M103" s="87">
        <f>IF(TrRoad_act!M25=0,0,M39/TrRoad_act!M25*1000)</f>
        <v>0</v>
      </c>
      <c r="N103" s="87">
        <f>IF(TrRoad_act!N25=0,0,N39/TrRoad_act!N25*1000)</f>
        <v>0</v>
      </c>
      <c r="O103" s="87">
        <f>IF(TrRoad_act!O25=0,0,O39/TrRoad_act!O25*1000)</f>
        <v>0</v>
      </c>
      <c r="P103" s="87">
        <f>IF(TrRoad_act!P25=0,0,P39/TrRoad_act!P25*1000)</f>
        <v>0</v>
      </c>
      <c r="Q103" s="87">
        <f>IF(TrRoad_act!Q25=0,0,Q39/TrRoad_act!Q25*1000)</f>
        <v>0</v>
      </c>
      <c r="R103" s="87">
        <f>IF(TrRoad_act!R25=0,0,R39/TrRoad_act!R25*1000)</f>
        <v>0</v>
      </c>
      <c r="S103" s="87">
        <f>IF(TrRoad_act!S25=0,0,S39/TrRoad_act!S25*1000)</f>
        <v>0</v>
      </c>
      <c r="T103" s="87">
        <f>IF(TrRoad_act!T25=0,0,T39/TrRoad_act!T25*1000)</f>
        <v>0</v>
      </c>
      <c r="U103" s="87">
        <f>IF(TrRoad_act!U25=0,0,U39/TrRoad_act!U25*1000)</f>
        <v>0</v>
      </c>
      <c r="V103" s="87">
        <f>IF(TrRoad_act!V25=0,0,V39/TrRoad_act!V25*1000)</f>
        <v>0</v>
      </c>
      <c r="W103" s="87">
        <f>IF(TrRoad_act!W25=0,0,W39/TrRoad_act!W25*1000)</f>
        <v>0</v>
      </c>
      <c r="X103" s="87">
        <f>IF(TrRoad_act!X25=0,0,X39/TrRoad_act!X25*1000)</f>
        <v>0</v>
      </c>
      <c r="Y103" s="87">
        <f>IF(TrRoad_act!Y25=0,0,Y39/TrRoad_act!Y25*1000)</f>
        <v>0</v>
      </c>
      <c r="DA103" s="171" t="s">
        <v>810</v>
      </c>
    </row>
    <row r="104" spans="1:105" ht="11.45" customHeight="1" x14ac:dyDescent="0.25">
      <c r="A104" s="109" t="s">
        <v>154</v>
      </c>
      <c r="B104" s="116">
        <f>IF(TrRoad_act!B26=0,0,B40/TrRoad_act!B26*1000)</f>
        <v>33.741624222897826</v>
      </c>
      <c r="C104" s="116">
        <f>IF(TrRoad_act!C26=0,0,C40/TrRoad_act!C26*1000)</f>
        <v>42.408832558837084</v>
      </c>
      <c r="D104" s="116">
        <f>IF(TrRoad_act!D26=0,0,D40/TrRoad_act!D26*1000)</f>
        <v>30.730493014398345</v>
      </c>
      <c r="E104" s="116">
        <f>IF(TrRoad_act!E26=0,0,E40/TrRoad_act!E26*1000)</f>
        <v>49.926276694074886</v>
      </c>
      <c r="F104" s="116">
        <f>IF(TrRoad_act!F26=0,0,F40/TrRoad_act!F26*1000)</f>
        <v>66.522980800848615</v>
      </c>
      <c r="G104" s="116">
        <f>IF(TrRoad_act!G26=0,0,G40/TrRoad_act!G26*1000)</f>
        <v>90.366828665172761</v>
      </c>
      <c r="H104" s="116">
        <f>IF(TrRoad_act!H26=0,0,H40/TrRoad_act!H26*1000)</f>
        <v>100.26604353306988</v>
      </c>
      <c r="I104" s="116">
        <f>IF(TrRoad_act!I26=0,0,I40/TrRoad_act!I26*1000)</f>
        <v>114.06942455701378</v>
      </c>
      <c r="J104" s="116">
        <f>IF(TrRoad_act!J26=0,0,J40/TrRoad_act!J26*1000)</f>
        <v>112.41206458165939</v>
      </c>
      <c r="K104" s="116">
        <f>IF(TrRoad_act!K26=0,0,K40/TrRoad_act!K26*1000)</f>
        <v>102.82829324983207</v>
      </c>
      <c r="L104" s="116">
        <f>IF(TrRoad_act!L26=0,0,L40/TrRoad_act!L26*1000)</f>
        <v>104.31176705815798</v>
      </c>
      <c r="M104" s="116">
        <f>IF(TrRoad_act!M26=0,0,M40/TrRoad_act!M26*1000)</f>
        <v>96.253005793627949</v>
      </c>
      <c r="N104" s="116">
        <f>IF(TrRoad_act!N26=0,0,N40/TrRoad_act!N26*1000)</f>
        <v>80.270452430076645</v>
      </c>
      <c r="O104" s="116">
        <f>IF(TrRoad_act!O26=0,0,O40/TrRoad_act!O26*1000)</f>
        <v>59.802553081012732</v>
      </c>
      <c r="P104" s="116">
        <f>IF(TrRoad_act!P26=0,0,P40/TrRoad_act!P26*1000)</f>
        <v>62.853976811700505</v>
      </c>
      <c r="Q104" s="116">
        <f>IF(TrRoad_act!Q26=0,0,Q40/TrRoad_act!Q26*1000)</f>
        <v>63.074074053378126</v>
      </c>
      <c r="R104" s="116">
        <f>IF(TrRoad_act!R26=0,0,R40/TrRoad_act!R26*1000)</f>
        <v>83.354208747355926</v>
      </c>
      <c r="S104" s="116">
        <f>IF(TrRoad_act!S26=0,0,S40/TrRoad_act!S26*1000)</f>
        <v>101.02188321161491</v>
      </c>
      <c r="T104" s="116">
        <f>IF(TrRoad_act!T26=0,0,T40/TrRoad_act!T26*1000)</f>
        <v>109.63722444101288</v>
      </c>
      <c r="U104" s="116">
        <f>IF(TrRoad_act!U26=0,0,U40/TrRoad_act!U26*1000)</f>
        <v>101.6264274053031</v>
      </c>
      <c r="V104" s="116">
        <f>IF(TrRoad_act!V26=0,0,V40/TrRoad_act!V26*1000)</f>
        <v>92.769305261776282</v>
      </c>
      <c r="W104" s="116">
        <f>IF(TrRoad_act!W26=0,0,W40/TrRoad_act!W26*1000)</f>
        <v>111.90133519043191</v>
      </c>
      <c r="X104" s="116">
        <f>IF(TrRoad_act!X26=0,0,X40/TrRoad_act!X26*1000)</f>
        <v>109.31725603834825</v>
      </c>
      <c r="Y104" s="116">
        <f>IF(TrRoad_act!Y26=0,0,Y40/TrRoad_act!Y26*1000)</f>
        <v>107.74906959216337</v>
      </c>
      <c r="DA104" s="176" t="s">
        <v>447</v>
      </c>
    </row>
    <row r="105" spans="1:105" ht="11.45" customHeight="1" x14ac:dyDescent="0.25">
      <c r="A105" s="128" t="s">
        <v>27</v>
      </c>
      <c r="B105" s="101">
        <f>IF(TrRoad_act!B27=0,0,B41/TrRoad_act!B27*1000)</f>
        <v>35.748975863171282</v>
      </c>
      <c r="C105" s="101">
        <f>IF(TrRoad_act!C27=0,0,C41/TrRoad_act!C27*1000)</f>
        <v>45.201566321912274</v>
      </c>
      <c r="D105" s="101">
        <f>IF(TrRoad_act!D27=0,0,D41/TrRoad_act!D27*1000)</f>
        <v>32.972938889609466</v>
      </c>
      <c r="E105" s="101">
        <f>IF(TrRoad_act!E27=0,0,E41/TrRoad_act!E27*1000)</f>
        <v>53.736403988640937</v>
      </c>
      <c r="F105" s="101">
        <f>IF(TrRoad_act!F27=0,0,F41/TrRoad_act!F27*1000)</f>
        <v>72.402419916136282</v>
      </c>
      <c r="G105" s="101">
        <f>IF(TrRoad_act!G27=0,0,G41/TrRoad_act!G27*1000)</f>
        <v>98.77994515708663</v>
      </c>
      <c r="H105" s="101">
        <f>IF(TrRoad_act!H27=0,0,H41/TrRoad_act!H27*1000)</f>
        <v>112.09600265915098</v>
      </c>
      <c r="I105" s="101">
        <f>IF(TrRoad_act!I27=0,0,I41/TrRoad_act!I27*1000)</f>
        <v>126.04794250705895</v>
      </c>
      <c r="J105" s="101">
        <f>IF(TrRoad_act!J27=0,0,J41/TrRoad_act!J27*1000)</f>
        <v>122.99018814208316</v>
      </c>
      <c r="K105" s="101">
        <f>IF(TrRoad_act!K27=0,0,K41/TrRoad_act!K27*1000)</f>
        <v>111.38260082586227</v>
      </c>
      <c r="L105" s="101">
        <f>IF(TrRoad_act!L27=0,0,L41/TrRoad_act!L27*1000)</f>
        <v>115.48308984414527</v>
      </c>
      <c r="M105" s="101">
        <f>IF(TrRoad_act!M27=0,0,M41/TrRoad_act!M27*1000)</f>
        <v>106.44738131965482</v>
      </c>
      <c r="N105" s="101">
        <f>IF(TrRoad_act!N27=0,0,N41/TrRoad_act!N27*1000)</f>
        <v>89.267738286895451</v>
      </c>
      <c r="O105" s="101">
        <f>IF(TrRoad_act!O27=0,0,O41/TrRoad_act!O27*1000)</f>
        <v>65.737409824245859</v>
      </c>
      <c r="P105" s="101">
        <f>IF(TrRoad_act!P27=0,0,P41/TrRoad_act!P27*1000)</f>
        <v>69.694603453416036</v>
      </c>
      <c r="Q105" s="101">
        <f>IF(TrRoad_act!Q27=0,0,Q41/TrRoad_act!Q27*1000)</f>
        <v>69.287188789894401</v>
      </c>
      <c r="R105" s="101">
        <f>IF(TrRoad_act!R27=0,0,R41/TrRoad_act!R27*1000)</f>
        <v>91.633497090056764</v>
      </c>
      <c r="S105" s="101">
        <f>IF(TrRoad_act!S27=0,0,S41/TrRoad_act!S27*1000)</f>
        <v>110.35087899195116</v>
      </c>
      <c r="T105" s="101">
        <f>IF(TrRoad_act!T27=0,0,T41/TrRoad_act!T27*1000)</f>
        <v>119.77003489717029</v>
      </c>
      <c r="U105" s="101">
        <f>IF(TrRoad_act!U27=0,0,U41/TrRoad_act!U27*1000)</f>
        <v>110.08350458514677</v>
      </c>
      <c r="V105" s="101">
        <f>IF(TrRoad_act!V27=0,0,V41/TrRoad_act!V27*1000)</f>
        <v>99.763230841107173</v>
      </c>
      <c r="W105" s="101">
        <f>IF(TrRoad_act!W27=0,0,W41/TrRoad_act!W27*1000)</f>
        <v>120.01733222931686</v>
      </c>
      <c r="X105" s="101">
        <f>IF(TrRoad_act!X27=0,0,X41/TrRoad_act!X27*1000)</f>
        <v>115.86253789703737</v>
      </c>
      <c r="Y105" s="101">
        <f>IF(TrRoad_act!Y27=0,0,Y41/TrRoad_act!Y27*1000)</f>
        <v>114.32178722451746</v>
      </c>
      <c r="DA105" s="175" t="s">
        <v>811</v>
      </c>
    </row>
    <row r="106" spans="1:105" ht="11.45" customHeight="1" x14ac:dyDescent="0.25">
      <c r="A106" s="138" t="s">
        <v>116</v>
      </c>
      <c r="B106" s="88">
        <f>IF(TrRoad_act!B28=0,0,B42/TrRoad_act!B28*1000)</f>
        <v>28.582206244163206</v>
      </c>
      <c r="C106" s="88">
        <f>IF(TrRoad_act!C28=0,0,C42/TrRoad_act!C28*1000)</f>
        <v>35.568168362087896</v>
      </c>
      <c r="D106" s="88">
        <f>IF(TrRoad_act!D28=0,0,D42/TrRoad_act!D28*1000)</f>
        <v>25.38470002642762</v>
      </c>
      <c r="E106" s="88">
        <f>IF(TrRoad_act!E28=0,0,E42/TrRoad_act!E28*1000)</f>
        <v>40.544751067533419</v>
      </c>
      <c r="F106" s="88">
        <f>IF(TrRoad_act!F28=0,0,F42/TrRoad_act!F28*1000)</f>
        <v>52.679700343617682</v>
      </c>
      <c r="G106" s="88">
        <f>IF(TrRoad_act!G28=0,0,G42/TrRoad_act!G28*1000)</f>
        <v>70.549866767614077</v>
      </c>
      <c r="H106" s="88">
        <f>IF(TrRoad_act!H28=0,0,H42/TrRoad_act!H28*1000)</f>
        <v>78.007226672303773</v>
      </c>
      <c r="I106" s="88">
        <f>IF(TrRoad_act!I28=0,0,I42/TrRoad_act!I28*1000)</f>
        <v>87.423303579569136</v>
      </c>
      <c r="J106" s="88">
        <f>IF(TrRoad_act!J28=0,0,J42/TrRoad_act!J28*1000)</f>
        <v>86.814621107373966</v>
      </c>
      <c r="K106" s="88">
        <f>IF(TrRoad_act!K28=0,0,K42/TrRoad_act!K28*1000)</f>
        <v>78.757667168296862</v>
      </c>
      <c r="L106" s="88">
        <f>IF(TrRoad_act!L28=0,0,L42/TrRoad_act!L28*1000)</f>
        <v>77.296740687506428</v>
      </c>
      <c r="M106" s="88">
        <f>IF(TrRoad_act!M28=0,0,M42/TrRoad_act!M28*1000)</f>
        <v>70.748784421975628</v>
      </c>
      <c r="N106" s="88">
        <f>IF(TrRoad_act!N28=0,0,N42/TrRoad_act!N28*1000)</f>
        <v>59.663081296277802</v>
      </c>
      <c r="O106" s="88">
        <f>IF(TrRoad_act!O28=0,0,O42/TrRoad_act!O28*1000)</f>
        <v>45.358509128124894</v>
      </c>
      <c r="P106" s="88">
        <f>IF(TrRoad_act!P28=0,0,P42/TrRoad_act!P28*1000)</f>
        <v>47.082878345401873</v>
      </c>
      <c r="Q106" s="88">
        <f>IF(TrRoad_act!Q28=0,0,Q42/TrRoad_act!Q28*1000)</f>
        <v>47.849750955577605</v>
      </c>
      <c r="R106" s="88">
        <f>IF(TrRoad_act!R28=0,0,R42/TrRoad_act!R28*1000)</f>
        <v>64.795530458613442</v>
      </c>
      <c r="S106" s="88">
        <f>IF(TrRoad_act!S28=0,0,S42/TrRoad_act!S28*1000)</f>
        <v>80.268482842145531</v>
      </c>
      <c r="T106" s="88">
        <f>IF(TrRoad_act!T28=0,0,T42/TrRoad_act!T28*1000)</f>
        <v>85.032556161682649</v>
      </c>
      <c r="U106" s="88">
        <f>IF(TrRoad_act!U28=0,0,U42/TrRoad_act!U28*1000)</f>
        <v>82.828985594379375</v>
      </c>
      <c r="V106" s="88">
        <f>IF(TrRoad_act!V28=0,0,V42/TrRoad_act!V28*1000)</f>
        <v>75.895822714190984</v>
      </c>
      <c r="W106" s="88">
        <f>IF(TrRoad_act!W28=0,0,W42/TrRoad_act!W28*1000)</f>
        <v>92.038872772191496</v>
      </c>
      <c r="X106" s="88">
        <f>IF(TrRoad_act!X28=0,0,X42/TrRoad_act!X28*1000)</f>
        <v>93.146383065360752</v>
      </c>
      <c r="Y106" s="88">
        <f>IF(TrRoad_act!Y28=0,0,Y42/TrRoad_act!Y28*1000)</f>
        <v>92.220047919787987</v>
      </c>
      <c r="DA106" s="178" t="s">
        <v>812</v>
      </c>
    </row>
    <row r="107" spans="1:105" x14ac:dyDescent="0.25">
      <c r="A107" s="106"/>
      <c r="B107" s="106"/>
      <c r="C107" s="106"/>
      <c r="D107" s="106"/>
      <c r="E107" s="106"/>
      <c r="F107" s="106"/>
      <c r="G107" s="106"/>
      <c r="H107" s="106"/>
      <c r="I107" s="106"/>
      <c r="J107" s="106"/>
      <c r="K107" s="106"/>
      <c r="L107" s="106"/>
      <c r="M107" s="106"/>
      <c r="N107" s="106"/>
      <c r="O107" s="106"/>
      <c r="P107" s="106"/>
      <c r="Q107" s="106"/>
      <c r="R107" s="106"/>
      <c r="S107" s="106"/>
      <c r="T107" s="106"/>
      <c r="U107" s="106"/>
      <c r="V107" s="106"/>
      <c r="W107" s="106"/>
      <c r="X107" s="106"/>
      <c r="Y107" s="106"/>
      <c r="DA107" s="171"/>
    </row>
    <row r="108" spans="1:105" ht="11.45" customHeight="1" x14ac:dyDescent="0.25">
      <c r="A108" s="53" t="s">
        <v>130</v>
      </c>
      <c r="B108" s="62"/>
      <c r="C108" s="62"/>
      <c r="D108" s="62"/>
      <c r="E108" s="62"/>
      <c r="F108" s="62"/>
      <c r="G108" s="62"/>
      <c r="H108" s="62"/>
      <c r="I108" s="62"/>
      <c r="J108" s="62"/>
      <c r="K108" s="62"/>
      <c r="L108" s="62"/>
      <c r="M108" s="62"/>
      <c r="N108" s="62"/>
      <c r="O108" s="62"/>
      <c r="P108" s="62"/>
      <c r="Q108" s="62"/>
      <c r="R108" s="62"/>
      <c r="S108" s="62"/>
      <c r="T108" s="62"/>
      <c r="U108" s="62"/>
      <c r="V108" s="62"/>
      <c r="W108" s="62"/>
      <c r="X108" s="62"/>
      <c r="Y108" s="62"/>
      <c r="DA108" s="172"/>
    </row>
    <row r="109" spans="1:105" ht="11.45" customHeight="1" x14ac:dyDescent="0.25">
      <c r="A109" s="27" t="s">
        <v>33</v>
      </c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DA109" s="173"/>
    </row>
    <row r="110" spans="1:105" ht="11.45" customHeight="1" x14ac:dyDescent="0.25">
      <c r="A110" s="136" t="s">
        <v>173</v>
      </c>
      <c r="B110" s="152">
        <f>IF(B19=0,0,1000000*B19/TrRoad_act!B59)</f>
        <v>375.21928334816789</v>
      </c>
      <c r="C110" s="152">
        <f>IF(C19=0,0,1000000*C19/TrRoad_act!C59)</f>
        <v>322.98618992467226</v>
      </c>
      <c r="D110" s="152">
        <f>IF(D19=0,0,1000000*D19/TrRoad_act!D59)</f>
        <v>289.81663775784574</v>
      </c>
      <c r="E110" s="152">
        <f>IF(E19=0,0,1000000*E19/TrRoad_act!E59)</f>
        <v>259.36566663231929</v>
      </c>
      <c r="F110" s="152">
        <f>IF(F19=0,0,1000000*F19/TrRoad_act!F59)</f>
        <v>250.27261682172795</v>
      </c>
      <c r="G110" s="152">
        <f>IF(G19=0,0,1000000*G19/TrRoad_act!G59)</f>
        <v>205.1014986361894</v>
      </c>
      <c r="H110" s="152">
        <f>IF(H19=0,0,1000000*H19/TrRoad_act!H59)</f>
        <v>196.25996606191907</v>
      </c>
      <c r="I110" s="152">
        <f>IF(I19=0,0,1000000*I19/TrRoad_act!I59)</f>
        <v>183.97314001837179</v>
      </c>
      <c r="J110" s="152">
        <f>IF(J19=0,0,1000000*J19/TrRoad_act!J59)</f>
        <v>158.1788160582056</v>
      </c>
      <c r="K110" s="152">
        <f>IF(K19=0,0,1000000*K19/TrRoad_act!K59)</f>
        <v>142.99604245518066</v>
      </c>
      <c r="L110" s="152">
        <f>IF(L19=0,0,1000000*L19/TrRoad_act!L59)</f>
        <v>141.8673361583094</v>
      </c>
      <c r="M110" s="152">
        <f>IF(M19=0,0,1000000*M19/TrRoad_act!M59)</f>
        <v>128.32127380958264</v>
      </c>
      <c r="N110" s="152">
        <f>IF(N19=0,0,1000000*N19/TrRoad_act!N59)</f>
        <v>122.2025216257662</v>
      </c>
      <c r="O110" s="152">
        <f>IF(O19=0,0,1000000*O19/TrRoad_act!O59)</f>
        <v>111.53139013425266</v>
      </c>
      <c r="P110" s="152">
        <f>IF(P19=0,0,1000000*P19/TrRoad_act!P59)</f>
        <v>108.13093241162346</v>
      </c>
      <c r="Q110" s="152">
        <f>IF(Q19=0,0,1000000*Q19/TrRoad_act!Q59)</f>
        <v>105.52534270751974</v>
      </c>
      <c r="R110" s="152">
        <f>IF(R19=0,0,1000000*R19/TrRoad_act!R59)</f>
        <v>106.06728987777443</v>
      </c>
      <c r="S110" s="152">
        <f>IF(S19=0,0,1000000*S19/TrRoad_act!S59)</f>
        <v>96.429265102966781</v>
      </c>
      <c r="T110" s="152">
        <f>IF(T19=0,0,1000000*T19/TrRoad_act!T59)</f>
        <v>88.801425298679618</v>
      </c>
      <c r="U110" s="152">
        <f>IF(U19=0,0,1000000*U19/TrRoad_act!U59)</f>
        <v>90.81308090005551</v>
      </c>
      <c r="V110" s="152">
        <f>IF(V19=0,0,1000000*V19/TrRoad_act!V59)</f>
        <v>78.413170017444884</v>
      </c>
      <c r="W110" s="152">
        <f>IF(W19=0,0,1000000*W19/TrRoad_act!W59)</f>
        <v>78.770391874786739</v>
      </c>
      <c r="X110" s="152">
        <f>IF(X19=0,0,1000000*X19/TrRoad_act!X59)</f>
        <v>77.062932201554858</v>
      </c>
      <c r="Y110" s="152">
        <f>IF(Y19=0,0,1000000*Y19/TrRoad_act!Y59)</f>
        <v>80.496469268621908</v>
      </c>
      <c r="DA110" s="174" t="s">
        <v>813</v>
      </c>
    </row>
    <row r="111" spans="1:105" ht="11.45" customHeight="1" x14ac:dyDescent="0.25">
      <c r="A111" s="109" t="s">
        <v>20</v>
      </c>
      <c r="B111" s="116">
        <f>IF(B20=0,0,1000000*B20/TrRoad_act!B60)</f>
        <v>1513.9876368617597</v>
      </c>
      <c r="C111" s="116">
        <f>IF(C20=0,0,1000000*C20/TrRoad_act!C60)</f>
        <v>1345.9691837272915</v>
      </c>
      <c r="D111" s="116">
        <f>IF(D20=0,0,1000000*D20/TrRoad_act!D60)</f>
        <v>1274.6264733156868</v>
      </c>
      <c r="E111" s="116">
        <f>IF(E20=0,0,1000000*E20/TrRoad_act!E60)</f>
        <v>1309.8247842027758</v>
      </c>
      <c r="F111" s="116">
        <f>IF(F20=0,0,1000000*F20/TrRoad_act!F60)</f>
        <v>1445.7634829249798</v>
      </c>
      <c r="G111" s="116">
        <f>IF(G20=0,0,1000000*G20/TrRoad_act!G60)</f>
        <v>1407.1312358447374</v>
      </c>
      <c r="H111" s="116">
        <f>IF(H20=0,0,1000000*H20/TrRoad_act!H60)</f>
        <v>1465.6451429929791</v>
      </c>
      <c r="I111" s="116">
        <f>IF(I20=0,0,1000000*I20/TrRoad_act!I60)</f>
        <v>1493.9448647939685</v>
      </c>
      <c r="J111" s="116">
        <f>IF(J20=0,0,1000000*J20/TrRoad_act!J60)</f>
        <v>1439.5381777711955</v>
      </c>
      <c r="K111" s="116">
        <f>IF(K20=0,0,1000000*K20/TrRoad_act!K60)</f>
        <v>1462.3727944364755</v>
      </c>
      <c r="L111" s="116">
        <f>IF(L20=0,0,1000000*L20/TrRoad_act!L60)</f>
        <v>1472.9055412081107</v>
      </c>
      <c r="M111" s="116">
        <f>IF(M20=0,0,1000000*M20/TrRoad_act!M60)</f>
        <v>1417.4978731270694</v>
      </c>
      <c r="N111" s="116">
        <f>IF(N20=0,0,1000000*N20/TrRoad_act!N60)</f>
        <v>1364.3320209879482</v>
      </c>
      <c r="O111" s="116">
        <f>IF(O20=0,0,1000000*O20/TrRoad_act!O60)</f>
        <v>1249.6609569298219</v>
      </c>
      <c r="P111" s="116">
        <f>IF(P20=0,0,1000000*P20/TrRoad_act!P60)</f>
        <v>1216.0418721950034</v>
      </c>
      <c r="Q111" s="116">
        <f>IF(Q20=0,0,1000000*Q20/TrRoad_act!Q60)</f>
        <v>1242.391481933869</v>
      </c>
      <c r="R111" s="116">
        <f>IF(R20=0,0,1000000*R20/TrRoad_act!R60)</f>
        <v>1301.3916878678892</v>
      </c>
      <c r="S111" s="116">
        <f>IF(S20=0,0,1000000*S20/TrRoad_act!S60)</f>
        <v>1405.5667242619647</v>
      </c>
      <c r="T111" s="116">
        <f>IF(T20=0,0,1000000*T20/TrRoad_act!T60)</f>
        <v>1408.0029368096782</v>
      </c>
      <c r="U111" s="116">
        <f>IF(U20=0,0,1000000*U20/TrRoad_act!U60)</f>
        <v>1383.3583891755061</v>
      </c>
      <c r="V111" s="116">
        <f>IF(V20=0,0,1000000*V20/TrRoad_act!V60)</f>
        <v>1292.8298094958188</v>
      </c>
      <c r="W111" s="116">
        <f>IF(W20=0,0,1000000*W20/TrRoad_act!W60)</f>
        <v>1248.5057011455256</v>
      </c>
      <c r="X111" s="116">
        <f>IF(X20=0,0,1000000*X20/TrRoad_act!X60)</f>
        <v>1286.4924469255093</v>
      </c>
      <c r="Y111" s="116">
        <f>IF(Y20=0,0,1000000*Y20/TrRoad_act!Y60)</f>
        <v>1267.2365385552966</v>
      </c>
      <c r="DA111" s="176" t="s">
        <v>814</v>
      </c>
    </row>
    <row r="112" spans="1:105" ht="11.45" customHeight="1" x14ac:dyDescent="0.25">
      <c r="A112" s="111" t="s">
        <v>110</v>
      </c>
      <c r="B112" s="87">
        <f>IF(B21=0,0,1000000*B21/TrRoad_act!B61)</f>
        <v>1464.4204162285098</v>
      </c>
      <c r="C112" s="87">
        <f>IF(C21=0,0,1000000*C21/TrRoad_act!C61)</f>
        <v>1252.9539285865987</v>
      </c>
      <c r="D112" s="87">
        <f>IF(D21=0,0,1000000*D21/TrRoad_act!D61)</f>
        <v>1161.6766272021523</v>
      </c>
      <c r="E112" s="87">
        <f>IF(E21=0,0,1000000*E21/TrRoad_act!E61)</f>
        <v>1144.3265563613415</v>
      </c>
      <c r="F112" s="87">
        <f>IF(F21=0,0,1000000*F21/TrRoad_act!F61)</f>
        <v>1221.5911620571046</v>
      </c>
      <c r="G112" s="87">
        <f>IF(G21=0,0,1000000*G21/TrRoad_act!G61)</f>
        <v>1141.2243259356371</v>
      </c>
      <c r="H112" s="87">
        <f>IF(H21=0,0,1000000*H21/TrRoad_act!H61)</f>
        <v>1131.4821251727235</v>
      </c>
      <c r="I112" s="87">
        <f>IF(I21=0,0,1000000*I21/TrRoad_act!I61)</f>
        <v>1089.615144652751</v>
      </c>
      <c r="J112" s="87">
        <f>IF(J21=0,0,1000000*J21/TrRoad_act!J61)</f>
        <v>1023.7618463128001</v>
      </c>
      <c r="K112" s="87">
        <f>IF(K21=0,0,1000000*K21/TrRoad_act!K61)</f>
        <v>1056.99505953943</v>
      </c>
      <c r="L112" s="87">
        <f>IF(L21=0,0,1000000*L21/TrRoad_act!L61)</f>
        <v>1032.408997726392</v>
      </c>
      <c r="M112" s="87">
        <f>IF(M21=0,0,1000000*M21/TrRoad_act!M61)</f>
        <v>937.34732516114366</v>
      </c>
      <c r="N112" s="87">
        <f>IF(N21=0,0,1000000*N21/TrRoad_act!N61)</f>
        <v>870.72740387096985</v>
      </c>
      <c r="O112" s="87">
        <f>IF(O21=0,0,1000000*O21/TrRoad_act!O61)</f>
        <v>823.1191353118121</v>
      </c>
      <c r="P112" s="87">
        <f>IF(P21=0,0,1000000*P21/TrRoad_act!P61)</f>
        <v>789.86629385142578</v>
      </c>
      <c r="Q112" s="87">
        <f>IF(Q21=0,0,1000000*Q21/TrRoad_act!Q61)</f>
        <v>807.81902603628157</v>
      </c>
      <c r="R112" s="87">
        <f>IF(R21=0,0,1000000*R21/TrRoad_act!R61)</f>
        <v>839.79499119298396</v>
      </c>
      <c r="S112" s="87">
        <f>IF(S21=0,0,1000000*S21/TrRoad_act!S61)</f>
        <v>887.92006282369414</v>
      </c>
      <c r="T112" s="87">
        <f>IF(T21=0,0,1000000*T21/TrRoad_act!T61)</f>
        <v>909.78925906442942</v>
      </c>
      <c r="U112" s="87">
        <f>IF(U21=0,0,1000000*U21/TrRoad_act!U61)</f>
        <v>901.0214626229988</v>
      </c>
      <c r="V112" s="87">
        <f>IF(V21=0,0,1000000*V21/TrRoad_act!V61)</f>
        <v>820.59308333239085</v>
      </c>
      <c r="W112" s="87">
        <f>IF(W21=0,0,1000000*W21/TrRoad_act!W61)</f>
        <v>886.34853949883814</v>
      </c>
      <c r="X112" s="87">
        <f>IF(X21=0,0,1000000*X21/TrRoad_act!X61)</f>
        <v>937.42810728055997</v>
      </c>
      <c r="Y112" s="87">
        <f>IF(Y21=0,0,1000000*Y21/TrRoad_act!Y61)</f>
        <v>982.08158383183968</v>
      </c>
      <c r="DA112" s="171" t="s">
        <v>815</v>
      </c>
    </row>
    <row r="113" spans="1:105" ht="11.45" customHeight="1" x14ac:dyDescent="0.25">
      <c r="A113" s="111" t="s">
        <v>111</v>
      </c>
      <c r="B113" s="87">
        <f>IF(B22=0,0,1000000*B22/TrRoad_act!B62)</f>
        <v>1651.3715574581547</v>
      </c>
      <c r="C113" s="87">
        <f>IF(C22=0,0,1000000*C22/TrRoad_act!C62)</f>
        <v>1771.5079828881287</v>
      </c>
      <c r="D113" s="87">
        <f>IF(D22=0,0,1000000*D22/TrRoad_act!D62)</f>
        <v>1730.3392360122093</v>
      </c>
      <c r="E113" s="87">
        <f>IF(E22=0,0,1000000*E22/TrRoad_act!E62)</f>
        <v>2042.0331641105993</v>
      </c>
      <c r="F113" s="87">
        <f>IF(F22=0,0,1000000*F22/TrRoad_act!F62)</f>
        <v>2321.2895370412857</v>
      </c>
      <c r="G113" s="87">
        <f>IF(G22=0,0,1000000*G22/TrRoad_act!G62)</f>
        <v>2646.6354189153512</v>
      </c>
      <c r="H113" s="87">
        <f>IF(H22=0,0,1000000*H22/TrRoad_act!H62)</f>
        <v>2889.2192386132019</v>
      </c>
      <c r="I113" s="87">
        <f>IF(I22=0,0,1000000*I22/TrRoad_act!I62)</f>
        <v>3048.2426208967058</v>
      </c>
      <c r="J113" s="87">
        <f>IF(J22=0,0,1000000*J22/TrRoad_act!J62)</f>
        <v>2781.8601068502885</v>
      </c>
      <c r="K113" s="87">
        <f>IF(K22=0,0,1000000*K22/TrRoad_act!K62)</f>
        <v>2742.2444324406242</v>
      </c>
      <c r="L113" s="87">
        <f>IF(L22=0,0,1000000*L22/TrRoad_act!L62)</f>
        <v>2737.6475413108046</v>
      </c>
      <c r="M113" s="87">
        <f>IF(M22=0,0,1000000*M22/TrRoad_act!M62)</f>
        <v>2570.0857296052709</v>
      </c>
      <c r="N113" s="87">
        <f>IF(N22=0,0,1000000*N22/TrRoad_act!N62)</f>
        <v>2345.7222307859056</v>
      </c>
      <c r="O113" s="87">
        <f>IF(O22=0,0,1000000*O22/TrRoad_act!O62)</f>
        <v>1991.399298876486</v>
      </c>
      <c r="P113" s="87">
        <f>IF(P22=0,0,1000000*P22/TrRoad_act!P62)</f>
        <v>1907.0378482020785</v>
      </c>
      <c r="Q113" s="87">
        <f>IF(Q22=0,0,1000000*Q22/TrRoad_act!Q62)</f>
        <v>1953.9842566138907</v>
      </c>
      <c r="R113" s="87">
        <f>IF(R22=0,0,1000000*R22/TrRoad_act!R62)</f>
        <v>2021.0940082373543</v>
      </c>
      <c r="S113" s="87">
        <f>IF(S22=0,0,1000000*S22/TrRoad_act!S62)</f>
        <v>2214.4781125031823</v>
      </c>
      <c r="T113" s="87">
        <f>IF(T22=0,0,1000000*T22/TrRoad_act!T62)</f>
        <v>2193.443386204975</v>
      </c>
      <c r="U113" s="87">
        <f>IF(U22=0,0,1000000*U22/TrRoad_act!U62)</f>
        <v>2106.7414474036655</v>
      </c>
      <c r="V113" s="87">
        <f>IF(V22=0,0,1000000*V22/TrRoad_act!V62)</f>
        <v>2027.913600865558</v>
      </c>
      <c r="W113" s="87">
        <f>IF(W22=0,0,1000000*W22/TrRoad_act!W62)</f>
        <v>1757.0713144437771</v>
      </c>
      <c r="X113" s="87">
        <f>IF(X22=0,0,1000000*X22/TrRoad_act!X62)</f>
        <v>1769.0759771299386</v>
      </c>
      <c r="Y113" s="87">
        <f>IF(Y22=0,0,1000000*Y22/TrRoad_act!Y62)</f>
        <v>1663.6116500530845</v>
      </c>
      <c r="DA113" s="171" t="s">
        <v>816</v>
      </c>
    </row>
    <row r="114" spans="1:105" ht="11.45" customHeight="1" x14ac:dyDescent="0.25">
      <c r="A114" s="111" t="s">
        <v>112</v>
      </c>
      <c r="B114" s="87">
        <f>IF(B23=0,0,1000000*B23/TrRoad_act!B63)</f>
        <v>1885.6025095547943</v>
      </c>
      <c r="C114" s="87">
        <f>IF(C23=0,0,1000000*C23/TrRoad_act!C63)</f>
        <v>1603.0069720902661</v>
      </c>
      <c r="D114" s="87">
        <f>IF(D23=0,0,1000000*D23/TrRoad_act!D63)</f>
        <v>1528.2048751307796</v>
      </c>
      <c r="E114" s="87">
        <f>IF(E23=0,0,1000000*E23/TrRoad_act!E63)</f>
        <v>1494.1020691187828</v>
      </c>
      <c r="F114" s="87">
        <f>IF(F23=0,0,1000000*F23/TrRoad_act!F63)</f>
        <v>1670.16680969095</v>
      </c>
      <c r="G114" s="87">
        <f>IF(G23=0,0,1000000*G23/TrRoad_act!G63)</f>
        <v>1733.3548784493412</v>
      </c>
      <c r="H114" s="87">
        <f>IF(H23=0,0,1000000*H23/TrRoad_act!H63)</f>
        <v>1768.9215010175612</v>
      </c>
      <c r="I114" s="87">
        <f>IF(I23=0,0,1000000*I23/TrRoad_act!I63)</f>
        <v>1708.3508669694495</v>
      </c>
      <c r="J114" s="87">
        <f>IF(J23=0,0,1000000*J23/TrRoad_act!J63)</f>
        <v>1593.3555081908223</v>
      </c>
      <c r="K114" s="87">
        <f>IF(K23=0,0,1000000*K23/TrRoad_act!K63)</f>
        <v>1431.3829103822222</v>
      </c>
      <c r="L114" s="87">
        <f>IF(L23=0,0,1000000*L23/TrRoad_act!L63)</f>
        <v>1393.6428732524814</v>
      </c>
      <c r="M114" s="87">
        <f>IF(M23=0,0,1000000*M23/TrRoad_act!M63)</f>
        <v>1438.9557561501963</v>
      </c>
      <c r="N114" s="87">
        <f>IF(N23=0,0,1000000*N23/TrRoad_act!N63)</f>
        <v>1585.6579371972784</v>
      </c>
      <c r="O114" s="87">
        <f>IF(O23=0,0,1000000*O23/TrRoad_act!O63)</f>
        <v>1523.9575087848657</v>
      </c>
      <c r="P114" s="87">
        <f>IF(P23=0,0,1000000*P23/TrRoad_act!P63)</f>
        <v>1498.2600026340904</v>
      </c>
      <c r="Q114" s="87">
        <f>IF(Q23=0,0,1000000*Q23/TrRoad_act!Q63)</f>
        <v>1487.0021496890829</v>
      </c>
      <c r="R114" s="87">
        <f>IF(R23=0,0,1000000*R23/TrRoad_act!R63)</f>
        <v>1527.3968269666075</v>
      </c>
      <c r="S114" s="87">
        <f>IF(S23=0,0,1000000*S23/TrRoad_act!S63)</f>
        <v>1653.5227006768566</v>
      </c>
      <c r="T114" s="87">
        <f>IF(T23=0,0,1000000*T23/TrRoad_act!T63)</f>
        <v>1549.5627745207064</v>
      </c>
      <c r="U114" s="87">
        <f>IF(U23=0,0,1000000*U23/TrRoad_act!U63)</f>
        <v>1596.5409483178773</v>
      </c>
      <c r="V114" s="87">
        <f>IF(V23=0,0,1000000*V23/TrRoad_act!V63)</f>
        <v>1421.6039484266491</v>
      </c>
      <c r="W114" s="87">
        <f>IF(W23=0,0,1000000*W23/TrRoad_act!W63)</f>
        <v>1488.6358941957535</v>
      </c>
      <c r="X114" s="87">
        <f>IF(X23=0,0,1000000*X23/TrRoad_act!X63)</f>
        <v>1543.7308061032193</v>
      </c>
      <c r="Y114" s="87">
        <f>IF(Y23=0,0,1000000*Y23/TrRoad_act!Y63)</f>
        <v>1472.8264949807458</v>
      </c>
      <c r="DA114" s="171" t="s">
        <v>817</v>
      </c>
    </row>
    <row r="115" spans="1:105" ht="11.45" customHeight="1" x14ac:dyDescent="0.25">
      <c r="A115" s="111" t="s">
        <v>113</v>
      </c>
      <c r="B115" s="87">
        <f>IF(B24=0,0,1000000*B24/TrRoad_act!B64)</f>
        <v>0</v>
      </c>
      <c r="C115" s="87">
        <f>IF(C24=0,0,1000000*C24/TrRoad_act!C64)</f>
        <v>0</v>
      </c>
      <c r="D115" s="87">
        <f>IF(D24=0,0,1000000*D24/TrRoad_act!D64)</f>
        <v>0</v>
      </c>
      <c r="E115" s="87">
        <f>IF(E24=0,0,1000000*E24/TrRoad_act!E64)</f>
        <v>0</v>
      </c>
      <c r="F115" s="87">
        <f>IF(F24=0,0,1000000*F24/TrRoad_act!F64)</f>
        <v>0</v>
      </c>
      <c r="G115" s="87">
        <f>IF(G24=0,0,1000000*G24/TrRoad_act!G64)</f>
        <v>0</v>
      </c>
      <c r="H115" s="87">
        <f>IF(H24=0,0,1000000*H24/TrRoad_act!H64)</f>
        <v>0</v>
      </c>
      <c r="I115" s="87">
        <f>IF(I24=0,0,1000000*I24/TrRoad_act!I64)</f>
        <v>0</v>
      </c>
      <c r="J115" s="87">
        <f>IF(J24=0,0,1000000*J24/TrRoad_act!J64)</f>
        <v>0</v>
      </c>
      <c r="K115" s="87">
        <f>IF(K24=0,0,1000000*K24/TrRoad_act!K64)</f>
        <v>0</v>
      </c>
      <c r="L115" s="87">
        <f>IF(L24=0,0,1000000*L24/TrRoad_act!L64)</f>
        <v>0</v>
      </c>
      <c r="M115" s="87">
        <f>IF(M24=0,0,1000000*M24/TrRoad_act!M64)</f>
        <v>0</v>
      </c>
      <c r="N115" s="87">
        <f>IF(N24=0,0,1000000*N24/TrRoad_act!N64)</f>
        <v>0</v>
      </c>
      <c r="O115" s="87">
        <f>IF(O24=0,0,1000000*O24/TrRoad_act!O64)</f>
        <v>0</v>
      </c>
      <c r="P115" s="87">
        <f>IF(P24=0,0,1000000*P24/TrRoad_act!P64)</f>
        <v>0</v>
      </c>
      <c r="Q115" s="87">
        <f>IF(Q24=0,0,1000000*Q24/TrRoad_act!Q64)</f>
        <v>1101.2213713523433</v>
      </c>
      <c r="R115" s="87">
        <f>IF(R24=0,0,1000000*R24/TrRoad_act!R64)</f>
        <v>1080.4027984921925</v>
      </c>
      <c r="S115" s="87">
        <f>IF(S24=0,0,1000000*S24/TrRoad_act!S64)</f>
        <v>1205.9837484156526</v>
      </c>
      <c r="T115" s="87">
        <f>IF(T24=0,0,1000000*T24/TrRoad_act!T64)</f>
        <v>1256.3903957800185</v>
      </c>
      <c r="U115" s="87">
        <f>IF(U24=0,0,1000000*U24/TrRoad_act!U64)</f>
        <v>1263.908810765307</v>
      </c>
      <c r="V115" s="87">
        <f>IF(V24=0,0,1000000*V24/TrRoad_act!V64)</f>
        <v>1208.0824689724168</v>
      </c>
      <c r="W115" s="87">
        <f>IF(W24=0,0,1000000*W24/TrRoad_act!W64)</f>
        <v>1181.2970871213911</v>
      </c>
      <c r="X115" s="87">
        <f>IF(X24=0,0,1000000*X24/TrRoad_act!X64)</f>
        <v>1210.2071206447338</v>
      </c>
      <c r="Y115" s="87">
        <f>IF(Y24=0,0,1000000*Y24/TrRoad_act!Y64)</f>
        <v>1215.5012567897122</v>
      </c>
      <c r="DA115" s="171" t="s">
        <v>818</v>
      </c>
    </row>
    <row r="116" spans="1:105" ht="11.45" customHeight="1" x14ac:dyDescent="0.25">
      <c r="A116" s="111" t="s">
        <v>114</v>
      </c>
      <c r="B116" s="87">
        <f>IF(B25=0,0,1000000*B25/TrRoad_act!B65)</f>
        <v>0</v>
      </c>
      <c r="C116" s="87">
        <f>IF(C25=0,0,1000000*C25/TrRoad_act!C65)</f>
        <v>0</v>
      </c>
      <c r="D116" s="87">
        <f>IF(D25=0,0,1000000*D25/TrRoad_act!D65)</f>
        <v>0</v>
      </c>
      <c r="E116" s="87">
        <f>IF(E25=0,0,1000000*E25/TrRoad_act!E65)</f>
        <v>0</v>
      </c>
      <c r="F116" s="87">
        <f>IF(F25=0,0,1000000*F25/TrRoad_act!F65)</f>
        <v>0</v>
      </c>
      <c r="G116" s="87">
        <f>IF(G25=0,0,1000000*G25/TrRoad_act!G65)</f>
        <v>0</v>
      </c>
      <c r="H116" s="87">
        <f>IF(H25=0,0,1000000*H25/TrRoad_act!H65)</f>
        <v>0</v>
      </c>
      <c r="I116" s="87">
        <f>IF(I25=0,0,1000000*I25/TrRoad_act!I65)</f>
        <v>0</v>
      </c>
      <c r="J116" s="87">
        <f>IF(J25=0,0,1000000*J25/TrRoad_act!J65)</f>
        <v>0</v>
      </c>
      <c r="K116" s="87">
        <f>IF(K25=0,0,1000000*K25/TrRoad_act!K65)</f>
        <v>0</v>
      </c>
      <c r="L116" s="87">
        <f>IF(L25=0,0,1000000*L25/TrRoad_act!L65)</f>
        <v>0</v>
      </c>
      <c r="M116" s="87">
        <f>IF(M25=0,0,1000000*M25/TrRoad_act!M65)</f>
        <v>0</v>
      </c>
      <c r="N116" s="87">
        <f>IF(N25=0,0,1000000*N25/TrRoad_act!N65)</f>
        <v>389.97611306648304</v>
      </c>
      <c r="O116" s="87">
        <f>IF(O25=0,0,1000000*O25/TrRoad_act!O65)</f>
        <v>463.04617458584676</v>
      </c>
      <c r="P116" s="87">
        <f>IF(P25=0,0,1000000*P25/TrRoad_act!P65)</f>
        <v>961.41907573049184</v>
      </c>
      <c r="Q116" s="87">
        <f>IF(Q25=0,0,1000000*Q25/TrRoad_act!Q65)</f>
        <v>513.47705883260994</v>
      </c>
      <c r="R116" s="87">
        <f>IF(R25=0,0,1000000*R25/TrRoad_act!R65)</f>
        <v>524.73096775883971</v>
      </c>
      <c r="S116" s="87">
        <f>IF(S25=0,0,1000000*S25/TrRoad_act!S65)</f>
        <v>494.52856995885566</v>
      </c>
      <c r="T116" s="87">
        <f>IF(T25=0,0,1000000*T25/TrRoad_act!T65)</f>
        <v>553.98747263216057</v>
      </c>
      <c r="U116" s="87">
        <f>IF(U25=0,0,1000000*U25/TrRoad_act!U65)</f>
        <v>548.18930468349765</v>
      </c>
      <c r="V116" s="87">
        <f>IF(V25=0,0,1000000*V25/TrRoad_act!V65)</f>
        <v>506.12293732482044</v>
      </c>
      <c r="W116" s="87">
        <f>IF(W25=0,0,1000000*W25/TrRoad_act!W65)</f>
        <v>420.38743055385851</v>
      </c>
      <c r="X116" s="87">
        <f>IF(X25=0,0,1000000*X25/TrRoad_act!X65)</f>
        <v>418.79427175209696</v>
      </c>
      <c r="Y116" s="87">
        <f>IF(Y25=0,0,1000000*Y25/TrRoad_act!Y65)</f>
        <v>379.15462032377985</v>
      </c>
      <c r="DA116" s="171" t="s">
        <v>819</v>
      </c>
    </row>
    <row r="117" spans="1:105" ht="11.45" customHeight="1" x14ac:dyDescent="0.25">
      <c r="A117" s="111" t="s">
        <v>115</v>
      </c>
      <c r="B117" s="87">
        <f>IF(B26=0,0,1000000*B26/TrRoad_act!B66)</f>
        <v>0</v>
      </c>
      <c r="C117" s="87">
        <f>IF(C26=0,0,1000000*C26/TrRoad_act!C66)</f>
        <v>0</v>
      </c>
      <c r="D117" s="87">
        <f>IF(D26=0,0,1000000*D26/TrRoad_act!D66)</f>
        <v>0</v>
      </c>
      <c r="E117" s="87">
        <f>IF(E26=0,0,1000000*E26/TrRoad_act!E66)</f>
        <v>0</v>
      </c>
      <c r="F117" s="87">
        <f>IF(F26=0,0,1000000*F26/TrRoad_act!F66)</f>
        <v>0</v>
      </c>
      <c r="G117" s="87">
        <f>IF(G26=0,0,1000000*G26/TrRoad_act!G66)</f>
        <v>0</v>
      </c>
      <c r="H117" s="87">
        <f>IF(H26=0,0,1000000*H26/TrRoad_act!H66)</f>
        <v>0</v>
      </c>
      <c r="I117" s="87">
        <f>IF(I26=0,0,1000000*I26/TrRoad_act!I66)</f>
        <v>0</v>
      </c>
      <c r="J117" s="87">
        <f>IF(J26=0,0,1000000*J26/TrRoad_act!J66)</f>
        <v>0</v>
      </c>
      <c r="K117" s="87">
        <f>IF(K26=0,0,1000000*K26/TrRoad_act!K66)</f>
        <v>0</v>
      </c>
      <c r="L117" s="87">
        <f>IF(L26=0,0,1000000*L26/TrRoad_act!L66)</f>
        <v>0</v>
      </c>
      <c r="M117" s="87">
        <f>IF(M26=0,0,1000000*M26/TrRoad_act!M66)</f>
        <v>0</v>
      </c>
      <c r="N117" s="87">
        <f>IF(N26=0,0,1000000*N26/TrRoad_act!N66)</f>
        <v>0</v>
      </c>
      <c r="O117" s="87">
        <f>IF(O26=0,0,1000000*O26/TrRoad_act!O66)</f>
        <v>0</v>
      </c>
      <c r="P117" s="87">
        <f>IF(P26=0,0,1000000*P26/TrRoad_act!P66)</f>
        <v>0</v>
      </c>
      <c r="Q117" s="87">
        <f>IF(Q26=0,0,1000000*Q26/TrRoad_act!Q66)</f>
        <v>0</v>
      </c>
      <c r="R117" s="87">
        <f>IF(R26=0,0,1000000*R26/TrRoad_act!R66)</f>
        <v>0</v>
      </c>
      <c r="S117" s="87">
        <f>IF(S26=0,0,1000000*S26/TrRoad_act!S66)</f>
        <v>0</v>
      </c>
      <c r="T117" s="87">
        <f>IF(T26=0,0,1000000*T26/TrRoad_act!T66)</f>
        <v>0</v>
      </c>
      <c r="U117" s="87">
        <f>IF(U26=0,0,1000000*U26/TrRoad_act!U66)</f>
        <v>0</v>
      </c>
      <c r="V117" s="87">
        <f>IF(V26=0,0,1000000*V26/TrRoad_act!V66)</f>
        <v>0</v>
      </c>
      <c r="W117" s="87">
        <f>IF(W26=0,0,1000000*W26/TrRoad_act!W66)</f>
        <v>0</v>
      </c>
      <c r="X117" s="87">
        <f>IF(X26=0,0,1000000*X26/TrRoad_act!X66)</f>
        <v>0</v>
      </c>
      <c r="Y117" s="87">
        <f>IF(Y26=0,0,1000000*Y26/TrRoad_act!Y66)</f>
        <v>0</v>
      </c>
      <c r="DA117" s="171" t="s">
        <v>820</v>
      </c>
    </row>
    <row r="118" spans="1:105" ht="11.45" customHeight="1" x14ac:dyDescent="0.25">
      <c r="A118" s="109" t="s">
        <v>21</v>
      </c>
      <c r="B118" s="116">
        <f>IF(B27=0,0,1000000*B27/TrRoad_act!B67)</f>
        <v>90925.502268173048</v>
      </c>
      <c r="C118" s="116">
        <f>IF(C27=0,0,1000000*C27/TrRoad_act!C67)</f>
        <v>84543.088927585777</v>
      </c>
      <c r="D118" s="116">
        <f>IF(D27=0,0,1000000*D27/TrRoad_act!D67)</f>
        <v>81533.515578493112</v>
      </c>
      <c r="E118" s="116">
        <f>IF(E27=0,0,1000000*E27/TrRoad_act!E67)</f>
        <v>79060.606077695789</v>
      </c>
      <c r="F118" s="116">
        <f>IF(F27=0,0,1000000*F27/TrRoad_act!F67)</f>
        <v>76221.630464978269</v>
      </c>
      <c r="G118" s="116">
        <f>IF(G27=0,0,1000000*G27/TrRoad_act!G67)</f>
        <v>72749.101109437397</v>
      </c>
      <c r="H118" s="116">
        <f>IF(H27=0,0,1000000*H27/TrRoad_act!H67)</f>
        <v>70105.226454755539</v>
      </c>
      <c r="I118" s="116">
        <f>IF(I27=0,0,1000000*I27/TrRoad_act!I67)</f>
        <v>68545.199268518758</v>
      </c>
      <c r="J118" s="116">
        <f>IF(J27=0,0,1000000*J27/TrRoad_act!J67)</f>
        <v>64570.820695817594</v>
      </c>
      <c r="K118" s="116">
        <f>IF(K27=0,0,1000000*K27/TrRoad_act!K67)</f>
        <v>62282.669188434855</v>
      </c>
      <c r="L118" s="116">
        <f>IF(L27=0,0,1000000*L27/TrRoad_act!L67)</f>
        <v>59977.099610361562</v>
      </c>
      <c r="M118" s="116">
        <f>IF(M27=0,0,1000000*M27/TrRoad_act!M67)</f>
        <v>58921.570982831254</v>
      </c>
      <c r="N118" s="116">
        <f>IF(N27=0,0,1000000*N27/TrRoad_act!N67)</f>
        <v>58341.498426415637</v>
      </c>
      <c r="O118" s="116">
        <f>IF(O27=0,0,1000000*O27/TrRoad_act!O67)</f>
        <v>57682.283866197344</v>
      </c>
      <c r="P118" s="116">
        <f>IF(P27=0,0,1000000*P27/TrRoad_act!P67)</f>
        <v>57322.248834898077</v>
      </c>
      <c r="Q118" s="116">
        <f>IF(Q27=0,0,1000000*Q27/TrRoad_act!Q67)</f>
        <v>57772.333176907006</v>
      </c>
      <c r="R118" s="116">
        <f>IF(R27=0,0,1000000*R27/TrRoad_act!R67)</f>
        <v>56704.307338401661</v>
      </c>
      <c r="S118" s="116">
        <f>IF(S27=0,0,1000000*S27/TrRoad_act!S67)</f>
        <v>54191.998831598132</v>
      </c>
      <c r="T118" s="116">
        <f>IF(T27=0,0,1000000*T27/TrRoad_act!T67)</f>
        <v>49083.37453575759</v>
      </c>
      <c r="U118" s="116">
        <f>IF(U27=0,0,1000000*U27/TrRoad_act!U67)</f>
        <v>49811.77670143381</v>
      </c>
      <c r="V118" s="116">
        <f>IF(V27=0,0,1000000*V27/TrRoad_act!V67)</f>
        <v>47800.310962824515</v>
      </c>
      <c r="W118" s="116">
        <f>IF(W27=0,0,1000000*W27/TrRoad_act!W67)</f>
        <v>47102.454475833969</v>
      </c>
      <c r="X118" s="116">
        <f>IF(X27=0,0,1000000*X27/TrRoad_act!X67)</f>
        <v>46333.501771508752</v>
      </c>
      <c r="Y118" s="116">
        <f>IF(Y27=0,0,1000000*Y27/TrRoad_act!Y67)</f>
        <v>43992.004760434946</v>
      </c>
      <c r="DA118" s="176" t="s">
        <v>821</v>
      </c>
    </row>
    <row r="119" spans="1:105" ht="11.45" customHeight="1" x14ac:dyDescent="0.25">
      <c r="A119" s="111" t="s">
        <v>110</v>
      </c>
      <c r="B119" s="101">
        <f>IF(B28=0,0,1000000*B28/TrRoad_act!B68)</f>
        <v>0</v>
      </c>
      <c r="C119" s="101">
        <f>IF(C28=0,0,1000000*C28/TrRoad_act!C68)</f>
        <v>0</v>
      </c>
      <c r="D119" s="101">
        <f>IF(D28=0,0,1000000*D28/TrRoad_act!D68)</f>
        <v>0</v>
      </c>
      <c r="E119" s="101">
        <f>IF(E28=0,0,1000000*E28/TrRoad_act!E68)</f>
        <v>0</v>
      </c>
      <c r="F119" s="101">
        <f>IF(F28=0,0,1000000*F28/TrRoad_act!F68)</f>
        <v>0</v>
      </c>
      <c r="G119" s="101">
        <f>IF(G28=0,0,1000000*G28/TrRoad_act!G68)</f>
        <v>0</v>
      </c>
      <c r="H119" s="101">
        <f>IF(H28=0,0,1000000*H28/TrRoad_act!H68)</f>
        <v>0</v>
      </c>
      <c r="I119" s="101">
        <f>IF(I28=0,0,1000000*I28/TrRoad_act!I68)</f>
        <v>0</v>
      </c>
      <c r="J119" s="101">
        <f>IF(J28=0,0,1000000*J28/TrRoad_act!J68)</f>
        <v>0</v>
      </c>
      <c r="K119" s="101">
        <f>IF(K28=0,0,1000000*K28/TrRoad_act!K68)</f>
        <v>0</v>
      </c>
      <c r="L119" s="101">
        <f>IF(L28=0,0,1000000*L28/TrRoad_act!L68)</f>
        <v>0</v>
      </c>
      <c r="M119" s="101">
        <f>IF(M28=0,0,1000000*M28/TrRoad_act!M68)</f>
        <v>0</v>
      </c>
      <c r="N119" s="101">
        <f>IF(N28=0,0,1000000*N28/TrRoad_act!N68)</f>
        <v>0</v>
      </c>
      <c r="O119" s="101">
        <f>IF(O28=0,0,1000000*O28/TrRoad_act!O68)</f>
        <v>0</v>
      </c>
      <c r="P119" s="101">
        <f>IF(P28=0,0,1000000*P28/TrRoad_act!P68)</f>
        <v>0</v>
      </c>
      <c r="Q119" s="101">
        <f>IF(Q28=0,0,1000000*Q28/TrRoad_act!Q68)</f>
        <v>0</v>
      </c>
      <c r="R119" s="101">
        <f>IF(R28=0,0,1000000*R28/TrRoad_act!R68)</f>
        <v>0</v>
      </c>
      <c r="S119" s="101">
        <f>IF(S28=0,0,1000000*S28/TrRoad_act!S68)</f>
        <v>0</v>
      </c>
      <c r="T119" s="101">
        <f>IF(T28=0,0,1000000*T28/TrRoad_act!T68)</f>
        <v>0</v>
      </c>
      <c r="U119" s="101">
        <f>IF(U28=0,0,1000000*U28/TrRoad_act!U68)</f>
        <v>0</v>
      </c>
      <c r="V119" s="101">
        <f>IF(V28=0,0,1000000*V28/TrRoad_act!V68)</f>
        <v>0</v>
      </c>
      <c r="W119" s="101">
        <f>IF(W28=0,0,1000000*W28/TrRoad_act!W68)</f>
        <v>0</v>
      </c>
      <c r="X119" s="101">
        <f>IF(X28=0,0,1000000*X28/TrRoad_act!X68)</f>
        <v>0</v>
      </c>
      <c r="Y119" s="101">
        <f>IF(Y28=0,0,1000000*Y28/TrRoad_act!Y68)</f>
        <v>0</v>
      </c>
      <c r="DA119" s="175" t="s">
        <v>822</v>
      </c>
    </row>
    <row r="120" spans="1:105" ht="11.45" customHeight="1" x14ac:dyDescent="0.25">
      <c r="A120" s="111" t="s">
        <v>111</v>
      </c>
      <c r="B120" s="101">
        <f>IF(B29=0,0,1000000*B29/TrRoad_act!B69)</f>
        <v>92913.373472932595</v>
      </c>
      <c r="C120" s="101">
        <f>IF(C29=0,0,1000000*C29/TrRoad_act!C69)</f>
        <v>86295.394077183228</v>
      </c>
      <c r="D120" s="101">
        <f>IF(D29=0,0,1000000*D29/TrRoad_act!D69)</f>
        <v>83104.624543393569</v>
      </c>
      <c r="E120" s="101">
        <f>IF(E29=0,0,1000000*E29/TrRoad_act!E69)</f>
        <v>80353.191252014105</v>
      </c>
      <c r="F120" s="101">
        <f>IF(F29=0,0,1000000*F29/TrRoad_act!F69)</f>
        <v>78705.537617966344</v>
      </c>
      <c r="G120" s="101">
        <f>IF(G29=0,0,1000000*G29/TrRoad_act!G69)</f>
        <v>75798.53062394874</v>
      </c>
      <c r="H120" s="101">
        <f>IF(H29=0,0,1000000*H29/TrRoad_act!H69)</f>
        <v>72918.804057001762</v>
      </c>
      <c r="I120" s="101">
        <f>IF(I29=0,0,1000000*I29/TrRoad_act!I69)</f>
        <v>71070.282868224618</v>
      </c>
      <c r="J120" s="101">
        <f>IF(J29=0,0,1000000*J29/TrRoad_act!J69)</f>
        <v>66784.779152140545</v>
      </c>
      <c r="K120" s="101">
        <f>IF(K29=0,0,1000000*K29/TrRoad_act!K69)</f>
        <v>64226.660427271803</v>
      </c>
      <c r="L120" s="101">
        <f>IF(L29=0,0,1000000*L29/TrRoad_act!L69)</f>
        <v>61727.023467363528</v>
      </c>
      <c r="M120" s="101">
        <f>IF(M29=0,0,1000000*M29/TrRoad_act!M69)</f>
        <v>60502.490615004623</v>
      </c>
      <c r="N120" s="101">
        <f>IF(N29=0,0,1000000*N29/TrRoad_act!N69)</f>
        <v>59825.123332192117</v>
      </c>
      <c r="O120" s="101">
        <f>IF(O29=0,0,1000000*O29/TrRoad_act!O69)</f>
        <v>59091.36648094104</v>
      </c>
      <c r="P120" s="101">
        <f>IF(P29=0,0,1000000*P29/TrRoad_act!P69)</f>
        <v>58630.101067102041</v>
      </c>
      <c r="Q120" s="101">
        <f>IF(Q29=0,0,1000000*Q29/TrRoad_act!Q69)</f>
        <v>59017.18451633631</v>
      </c>
      <c r="R120" s="101">
        <f>IF(R29=0,0,1000000*R29/TrRoad_act!R69)</f>
        <v>57978.618613068655</v>
      </c>
      <c r="S120" s="101">
        <f>IF(S29=0,0,1000000*S29/TrRoad_act!S69)</f>
        <v>55478.82130093161</v>
      </c>
      <c r="T120" s="101">
        <f>IF(T29=0,0,1000000*T29/TrRoad_act!T69)</f>
        <v>50683.779101657303</v>
      </c>
      <c r="U120" s="101">
        <f>IF(U29=0,0,1000000*U29/TrRoad_act!U69)</f>
        <v>51354.141755495119</v>
      </c>
      <c r="V120" s="101">
        <f>IF(V29=0,0,1000000*V29/TrRoad_act!V69)</f>
        <v>49607.760063568574</v>
      </c>
      <c r="W120" s="101">
        <f>IF(W29=0,0,1000000*W29/TrRoad_act!W69)</f>
        <v>48987.058580323843</v>
      </c>
      <c r="X120" s="101">
        <f>IF(X29=0,0,1000000*X29/TrRoad_act!X69)</f>
        <v>47958.699714781309</v>
      </c>
      <c r="Y120" s="101">
        <f>IF(Y29=0,0,1000000*Y29/TrRoad_act!Y69)</f>
        <v>45871.170242586406</v>
      </c>
      <c r="DA120" s="175" t="s">
        <v>823</v>
      </c>
    </row>
    <row r="121" spans="1:105" ht="11.45" customHeight="1" x14ac:dyDescent="0.25">
      <c r="A121" s="111" t="s">
        <v>112</v>
      </c>
      <c r="B121" s="101">
        <f>IF(B30=0,0,1000000*B30/TrRoad_act!B70)</f>
        <v>37808.595022715519</v>
      </c>
      <c r="C121" s="101">
        <f>IF(C30=0,0,1000000*C30/TrRoad_act!C70)</f>
        <v>37026.809980912556</v>
      </c>
      <c r="D121" s="101">
        <f>IF(D30=0,0,1000000*D30/TrRoad_act!D70)</f>
        <v>36282.694231360154</v>
      </c>
      <c r="E121" s="101">
        <f>IF(E30=0,0,1000000*E30/TrRoad_act!E70)</f>
        <v>35483.564821807238</v>
      </c>
      <c r="F121" s="101">
        <f>IF(F30=0,0,1000000*F30/TrRoad_act!F70)</f>
        <v>33000.255460894856</v>
      </c>
      <c r="G121" s="101">
        <f>IF(G30=0,0,1000000*G30/TrRoad_act!G70)</f>
        <v>32243.060818391692</v>
      </c>
      <c r="H121" s="101">
        <f>IF(H30=0,0,1000000*H30/TrRoad_act!H70)</f>
        <v>31498.318705082482</v>
      </c>
      <c r="I121" s="101">
        <f>IF(I30=0,0,1000000*I30/TrRoad_act!I70)</f>
        <v>30847.813595962347</v>
      </c>
      <c r="J121" s="101">
        <f>IF(J30=0,0,1000000*J30/TrRoad_act!J70)</f>
        <v>30155.906749002439</v>
      </c>
      <c r="K121" s="101">
        <f>IF(K30=0,0,1000000*K30/TrRoad_act!K70)</f>
        <v>29513.294395245572</v>
      </c>
      <c r="L121" s="101">
        <f>IF(L30=0,0,1000000*L30/TrRoad_act!L70)</f>
        <v>28860.988264662028</v>
      </c>
      <c r="M121" s="101">
        <f>IF(M30=0,0,1000000*M30/TrRoad_act!M70)</f>
        <v>28243.109480716612</v>
      </c>
      <c r="N121" s="101">
        <f>IF(N30=0,0,1000000*N30/TrRoad_act!N70)</f>
        <v>27665.933877754029</v>
      </c>
      <c r="O121" s="101">
        <f>IF(O30=0,0,1000000*O30/TrRoad_act!O70)</f>
        <v>27146.186014891253</v>
      </c>
      <c r="P121" s="101">
        <f>IF(P30=0,0,1000000*P30/TrRoad_act!P70)</f>
        <v>26653.749033769891</v>
      </c>
      <c r="Q121" s="101">
        <f>IF(Q30=0,0,1000000*Q30/TrRoad_act!Q70)</f>
        <v>26330.985977003067</v>
      </c>
      <c r="R121" s="101">
        <f>IF(R30=0,0,1000000*R30/TrRoad_act!R70)</f>
        <v>25052.487689948844</v>
      </c>
      <c r="S121" s="101">
        <f>IF(S30=0,0,1000000*S30/TrRoad_act!S70)</f>
        <v>24016.774936004669</v>
      </c>
      <c r="T121" s="101">
        <f>IF(T30=0,0,1000000*T30/TrRoad_act!T70)</f>
        <v>22656.160867799008</v>
      </c>
      <c r="U121" s="101">
        <f>IF(U30=0,0,1000000*U30/TrRoad_act!U70)</f>
        <v>23218.815455375843</v>
      </c>
      <c r="V121" s="101">
        <f>IF(V30=0,0,1000000*V30/TrRoad_act!V70)</f>
        <v>22647.479441390515</v>
      </c>
      <c r="W121" s="101">
        <f>IF(W30=0,0,1000000*W30/TrRoad_act!W70)</f>
        <v>22614.566244321959</v>
      </c>
      <c r="X121" s="101">
        <f>IF(X30=0,0,1000000*X30/TrRoad_act!X70)</f>
        <v>22596.26901168441</v>
      </c>
      <c r="Y121" s="101">
        <f>IF(Y30=0,0,1000000*Y30/TrRoad_act!Y70)</f>
        <v>22211.10941841263</v>
      </c>
      <c r="DA121" s="175" t="s">
        <v>824</v>
      </c>
    </row>
    <row r="122" spans="1:105" ht="11.45" customHeight="1" x14ac:dyDescent="0.25">
      <c r="A122" s="111" t="s">
        <v>113</v>
      </c>
      <c r="B122" s="101">
        <f>IF(B31=0,0,1000000*B31/TrRoad_act!B71)</f>
        <v>0</v>
      </c>
      <c r="C122" s="101">
        <f>IF(C31=0,0,1000000*C31/TrRoad_act!C71)</f>
        <v>0</v>
      </c>
      <c r="D122" s="101">
        <f>IF(D31=0,0,1000000*D31/TrRoad_act!D71)</f>
        <v>0</v>
      </c>
      <c r="E122" s="101">
        <f>IF(E31=0,0,1000000*E31/TrRoad_act!E71)</f>
        <v>0</v>
      </c>
      <c r="F122" s="101">
        <f>IF(F31=0,0,1000000*F31/TrRoad_act!F71)</f>
        <v>0</v>
      </c>
      <c r="G122" s="101">
        <f>IF(G31=0,0,1000000*G31/TrRoad_act!G71)</f>
        <v>0</v>
      </c>
      <c r="H122" s="101">
        <f>IF(H31=0,0,1000000*H31/TrRoad_act!H71)</f>
        <v>0</v>
      </c>
      <c r="I122" s="101">
        <f>IF(I31=0,0,1000000*I31/TrRoad_act!I71)</f>
        <v>0</v>
      </c>
      <c r="J122" s="101">
        <f>IF(J31=0,0,1000000*J31/TrRoad_act!J71)</f>
        <v>0</v>
      </c>
      <c r="K122" s="101">
        <f>IF(K31=0,0,1000000*K31/TrRoad_act!K71)</f>
        <v>0</v>
      </c>
      <c r="L122" s="101">
        <f>IF(L31=0,0,1000000*L31/TrRoad_act!L71)</f>
        <v>0</v>
      </c>
      <c r="M122" s="101">
        <f>IF(M31=0,0,1000000*M31/TrRoad_act!M71)</f>
        <v>0</v>
      </c>
      <c r="N122" s="101">
        <f>IF(N31=0,0,1000000*N31/TrRoad_act!N71)</f>
        <v>0</v>
      </c>
      <c r="O122" s="101">
        <f>IF(O31=0,0,1000000*O31/TrRoad_act!O71)</f>
        <v>0</v>
      </c>
      <c r="P122" s="101">
        <f>IF(P31=0,0,1000000*P31/TrRoad_act!P71)</f>
        <v>0</v>
      </c>
      <c r="Q122" s="101">
        <f>IF(Q31=0,0,1000000*Q31/TrRoad_act!Q71)</f>
        <v>47342.751795513454</v>
      </c>
      <c r="R122" s="101">
        <f>IF(R31=0,0,1000000*R31/TrRoad_act!R71)</f>
        <v>38572.011389952211</v>
      </c>
      <c r="S122" s="101">
        <f>IF(S31=0,0,1000000*S31/TrRoad_act!S71)</f>
        <v>26597.706107895934</v>
      </c>
      <c r="T122" s="101">
        <f>IF(T31=0,0,1000000*T31/TrRoad_act!T71)</f>
        <v>13076.309113579624</v>
      </c>
      <c r="U122" s="101">
        <f>IF(U31=0,0,1000000*U31/TrRoad_act!U71)</f>
        <v>17219.564517331295</v>
      </c>
      <c r="V122" s="101">
        <f>IF(V31=0,0,1000000*V31/TrRoad_act!V71)</f>
        <v>18143.41085013028</v>
      </c>
      <c r="W122" s="101">
        <f>IF(W31=0,0,1000000*W31/TrRoad_act!W71)</f>
        <v>25058.92360414303</v>
      </c>
      <c r="X122" s="101">
        <f>IF(X31=0,0,1000000*X31/TrRoad_act!X71)</f>
        <v>34737.271964811232</v>
      </c>
      <c r="Y122" s="101">
        <f>IF(Y31=0,0,1000000*Y31/TrRoad_act!Y71)</f>
        <v>32242.150210392174</v>
      </c>
      <c r="DA122" s="175" t="s">
        <v>825</v>
      </c>
    </row>
    <row r="123" spans="1:105" ht="11.45" customHeight="1" x14ac:dyDescent="0.25">
      <c r="A123" s="111" t="s">
        <v>115</v>
      </c>
      <c r="B123" s="101">
        <f>IF(B32=0,0,1000000*B32/TrRoad_act!B72)</f>
        <v>0</v>
      </c>
      <c r="C123" s="101">
        <f>IF(C32=0,0,1000000*C32/TrRoad_act!C72)</f>
        <v>0</v>
      </c>
      <c r="D123" s="101">
        <f>IF(D32=0,0,1000000*D32/TrRoad_act!D72)</f>
        <v>0</v>
      </c>
      <c r="E123" s="101">
        <f>IF(E32=0,0,1000000*E32/TrRoad_act!E72)</f>
        <v>0</v>
      </c>
      <c r="F123" s="101">
        <f>IF(F32=0,0,1000000*F32/TrRoad_act!F72)</f>
        <v>0</v>
      </c>
      <c r="G123" s="101">
        <f>IF(G32=0,0,1000000*G32/TrRoad_act!G72)</f>
        <v>0</v>
      </c>
      <c r="H123" s="101">
        <f>IF(H32=0,0,1000000*H32/TrRoad_act!H72)</f>
        <v>0</v>
      </c>
      <c r="I123" s="101">
        <f>IF(I32=0,0,1000000*I32/TrRoad_act!I72)</f>
        <v>0</v>
      </c>
      <c r="J123" s="101">
        <f>IF(J32=0,0,1000000*J32/TrRoad_act!J72)</f>
        <v>0</v>
      </c>
      <c r="K123" s="101">
        <f>IF(K32=0,0,1000000*K32/TrRoad_act!K72)</f>
        <v>0</v>
      </c>
      <c r="L123" s="101">
        <f>IF(L32=0,0,1000000*L32/TrRoad_act!L72)</f>
        <v>0</v>
      </c>
      <c r="M123" s="101">
        <f>IF(M32=0,0,1000000*M32/TrRoad_act!M72)</f>
        <v>0</v>
      </c>
      <c r="N123" s="101">
        <f>IF(N32=0,0,1000000*N32/TrRoad_act!N72)</f>
        <v>0</v>
      </c>
      <c r="O123" s="101">
        <f>IF(O32=0,0,1000000*O32/TrRoad_act!O72)</f>
        <v>0</v>
      </c>
      <c r="P123" s="101">
        <f>IF(P32=0,0,1000000*P32/TrRoad_act!P72)</f>
        <v>0</v>
      </c>
      <c r="Q123" s="101">
        <f>IF(Q32=0,0,1000000*Q32/TrRoad_act!Q72)</f>
        <v>0</v>
      </c>
      <c r="R123" s="101">
        <f>IF(R32=0,0,1000000*R32/TrRoad_act!R72)</f>
        <v>0</v>
      </c>
      <c r="S123" s="101">
        <f>IF(S32=0,0,1000000*S32/TrRoad_act!S72)</f>
        <v>0</v>
      </c>
      <c r="T123" s="101">
        <f>IF(T32=0,0,1000000*T32/TrRoad_act!T72)</f>
        <v>0</v>
      </c>
      <c r="U123" s="101">
        <f>IF(U32=0,0,1000000*U32/TrRoad_act!U72)</f>
        <v>0</v>
      </c>
      <c r="V123" s="101">
        <f>IF(V32=0,0,1000000*V32/TrRoad_act!V72)</f>
        <v>0</v>
      </c>
      <c r="W123" s="101">
        <f>IF(W32=0,0,1000000*W32/TrRoad_act!W72)</f>
        <v>0</v>
      </c>
      <c r="X123" s="101">
        <f>IF(X32=0,0,1000000*X32/TrRoad_act!X72)</f>
        <v>0</v>
      </c>
      <c r="Y123" s="101">
        <f>IF(Y32=0,0,1000000*Y32/TrRoad_act!Y72)</f>
        <v>0</v>
      </c>
      <c r="DA123" s="175" t="s">
        <v>826</v>
      </c>
    </row>
    <row r="124" spans="1:105" ht="11.45" customHeight="1" x14ac:dyDescent="0.25">
      <c r="A124" s="27" t="s">
        <v>34</v>
      </c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DA124" s="173"/>
    </row>
    <row r="125" spans="1:105" ht="11.45" customHeight="1" x14ac:dyDescent="0.25">
      <c r="A125" s="136" t="s">
        <v>153</v>
      </c>
      <c r="B125" s="152">
        <f>IF(B34=0,0,1000000*B34/TrRoad_act!B74)</f>
        <v>3539.6243940115669</v>
      </c>
      <c r="C125" s="152">
        <f>IF(C34=0,0,1000000*C34/TrRoad_act!C74)</f>
        <v>3330.545052135597</v>
      </c>
      <c r="D125" s="152">
        <f>IF(D34=0,0,1000000*D34/TrRoad_act!D74)</f>
        <v>3375.9078350278528</v>
      </c>
      <c r="E125" s="152">
        <f>IF(E34=0,0,1000000*E34/TrRoad_act!E74)</f>
        <v>3377.114260295511</v>
      </c>
      <c r="F125" s="152">
        <f>IF(F34=0,0,1000000*F34/TrRoad_act!F74)</f>
        <v>3345.1297105613626</v>
      </c>
      <c r="G125" s="152">
        <f>IF(G34=0,0,1000000*G34/TrRoad_act!G74)</f>
        <v>3292.6017536115914</v>
      </c>
      <c r="H125" s="152">
        <f>IF(H34=0,0,1000000*H34/TrRoad_act!H74)</f>
        <v>3358.0063926476791</v>
      </c>
      <c r="I125" s="152">
        <f>IF(I34=0,0,1000000*I34/TrRoad_act!I74)</f>
        <v>3342.2736453915209</v>
      </c>
      <c r="J125" s="152">
        <f>IF(J34=0,0,1000000*J34/TrRoad_act!J74)</f>
        <v>3220.6676346654995</v>
      </c>
      <c r="K125" s="152">
        <f>IF(K34=0,0,1000000*K34/TrRoad_act!K74)</f>
        <v>3228.4551705135573</v>
      </c>
      <c r="L125" s="152">
        <f>IF(L34=0,0,1000000*L34/TrRoad_act!L74)</f>
        <v>3129.2078968373771</v>
      </c>
      <c r="M125" s="152">
        <f>IF(M34=0,0,1000000*M34/TrRoad_act!M74)</f>
        <v>3118.1689521543826</v>
      </c>
      <c r="N125" s="152">
        <f>IF(N34=0,0,1000000*N34/TrRoad_act!N74)</f>
        <v>3079.8499206677466</v>
      </c>
      <c r="O125" s="152">
        <f>IF(O34=0,0,1000000*O34/TrRoad_act!O74)</f>
        <v>3015.1634989586305</v>
      </c>
      <c r="P125" s="152">
        <f>IF(P34=0,0,1000000*P34/TrRoad_act!P74)</f>
        <v>3016.1486182757139</v>
      </c>
      <c r="Q125" s="152">
        <f>IF(Q34=0,0,1000000*Q34/TrRoad_act!Q74)</f>
        <v>2994.2937574410139</v>
      </c>
      <c r="R125" s="152">
        <f>IF(R34=0,0,1000000*R34/TrRoad_act!R74)</f>
        <v>3121.6956042222059</v>
      </c>
      <c r="S125" s="152">
        <f>IF(S34=0,0,1000000*S34/TrRoad_act!S74)</f>
        <v>3147.3910739672292</v>
      </c>
      <c r="T125" s="152">
        <f>IF(T34=0,0,1000000*T34/TrRoad_act!T74)</f>
        <v>3162.994866231415</v>
      </c>
      <c r="U125" s="152">
        <f>IF(U34=0,0,1000000*U34/TrRoad_act!U74)</f>
        <v>3171.737323221781</v>
      </c>
      <c r="V125" s="152">
        <f>IF(V34=0,0,1000000*V34/TrRoad_act!V74)</f>
        <v>3099.9580301171591</v>
      </c>
      <c r="W125" s="152">
        <f>IF(W34=0,0,1000000*W34/TrRoad_act!W74)</f>
        <v>3107.4257096952342</v>
      </c>
      <c r="X125" s="152">
        <f>IF(X34=0,0,1000000*X34/TrRoad_act!X74)</f>
        <v>3044.2553764262657</v>
      </c>
      <c r="Y125" s="152">
        <f>IF(Y34=0,0,1000000*Y34/TrRoad_act!Y74)</f>
        <v>2974.7242233929073</v>
      </c>
      <c r="DA125" s="174" t="s">
        <v>827</v>
      </c>
    </row>
    <row r="126" spans="1:105" ht="11.45" customHeight="1" x14ac:dyDescent="0.25">
      <c r="A126" s="111" t="s">
        <v>110</v>
      </c>
      <c r="B126" s="87">
        <f>IF(B35=0,0,1000000*B35/TrRoad_act!B75)</f>
        <v>2759.805192993018</v>
      </c>
      <c r="C126" s="87">
        <f>IF(C35=0,0,1000000*C35/TrRoad_act!C75)</f>
        <v>2637.931158587171</v>
      </c>
      <c r="D126" s="87">
        <f>IF(D35=0,0,1000000*D35/TrRoad_act!D75)</f>
        <v>2616.3367556830131</v>
      </c>
      <c r="E126" s="87">
        <f>IF(E35=0,0,1000000*E35/TrRoad_act!E75)</f>
        <v>2581.3348899513262</v>
      </c>
      <c r="F126" s="87">
        <f>IF(F35=0,0,1000000*F35/TrRoad_act!F75)</f>
        <v>2522.6972376303465</v>
      </c>
      <c r="G126" s="87">
        <f>IF(G35=0,0,1000000*G35/TrRoad_act!G75)</f>
        <v>2364.7339141863331</v>
      </c>
      <c r="H126" s="87">
        <f>IF(H35=0,0,1000000*H35/TrRoad_act!H75)</f>
        <v>2316.2728100882787</v>
      </c>
      <c r="I126" s="87">
        <f>IF(I35=0,0,1000000*I35/TrRoad_act!I75)</f>
        <v>2201.858445593989</v>
      </c>
      <c r="J126" s="87">
        <f>IF(J35=0,0,1000000*J35/TrRoad_act!J75)</f>
        <v>2026.1827591289559</v>
      </c>
      <c r="K126" s="87">
        <f>IF(K35=0,0,1000000*K35/TrRoad_act!K75)</f>
        <v>2139.5892881698073</v>
      </c>
      <c r="L126" s="87">
        <f>IF(L35=0,0,1000000*L35/TrRoad_act!L75)</f>
        <v>1991.8247380951937</v>
      </c>
      <c r="M126" s="87">
        <f>IF(M35=0,0,1000000*M35/TrRoad_act!M75)</f>
        <v>1909.8640527438436</v>
      </c>
      <c r="N126" s="87">
        <f>IF(N35=0,0,1000000*N35/TrRoad_act!N75)</f>
        <v>1823.4930411896762</v>
      </c>
      <c r="O126" s="87">
        <f>IF(O35=0,0,1000000*O35/TrRoad_act!O75)</f>
        <v>1694.2586642998128</v>
      </c>
      <c r="P126" s="87">
        <f>IF(P35=0,0,1000000*P35/TrRoad_act!P75)</f>
        <v>1622.6227710181722</v>
      </c>
      <c r="Q126" s="87">
        <f>IF(Q35=0,0,1000000*Q35/TrRoad_act!Q75)</f>
        <v>1449.9048938458025</v>
      </c>
      <c r="R126" s="87">
        <f>IF(R35=0,0,1000000*R35/TrRoad_act!R75)</f>
        <v>1465.8573290003692</v>
      </c>
      <c r="S126" s="87">
        <f>IF(S35=0,0,1000000*S35/TrRoad_act!S75)</f>
        <v>1481.4081963299811</v>
      </c>
      <c r="T126" s="87">
        <f>IF(T35=0,0,1000000*T35/TrRoad_act!T75)</f>
        <v>1499.4819974040506</v>
      </c>
      <c r="U126" s="87">
        <f>IF(U35=0,0,1000000*U35/TrRoad_act!U75)</f>
        <v>1520.1505416752298</v>
      </c>
      <c r="V126" s="87">
        <f>IF(V35=0,0,1000000*V35/TrRoad_act!V75)</f>
        <v>1408.1327958127627</v>
      </c>
      <c r="W126" s="87">
        <f>IF(W35=0,0,1000000*W35/TrRoad_act!W75)</f>
        <v>1422.1866132060102</v>
      </c>
      <c r="X126" s="87">
        <f>IF(X35=0,0,1000000*X35/TrRoad_act!X75)</f>
        <v>1484.0376210820027</v>
      </c>
      <c r="Y126" s="87">
        <f>IF(Y35=0,0,1000000*Y35/TrRoad_act!Y75)</f>
        <v>1453.9723293768952</v>
      </c>
      <c r="DA126" s="171" t="s">
        <v>828</v>
      </c>
    </row>
    <row r="127" spans="1:105" ht="11.45" customHeight="1" x14ac:dyDescent="0.25">
      <c r="A127" s="111" t="s">
        <v>111</v>
      </c>
      <c r="B127" s="87">
        <f>IF(B36=0,0,1000000*B36/TrRoad_act!B76)</f>
        <v>5653.9932667947423</v>
      </c>
      <c r="C127" s="87">
        <f>IF(C36=0,0,1000000*C36/TrRoad_act!C76)</f>
        <v>5259.0913169818477</v>
      </c>
      <c r="D127" s="87">
        <f>IF(D36=0,0,1000000*D36/TrRoad_act!D76)</f>
        <v>5051.3839995961944</v>
      </c>
      <c r="E127" s="87">
        <f>IF(E36=0,0,1000000*E36/TrRoad_act!E76)</f>
        <v>4999.917254366499</v>
      </c>
      <c r="F127" s="87">
        <f>IF(F36=0,0,1000000*F36/TrRoad_act!F76)</f>
        <v>4824.1386903922084</v>
      </c>
      <c r="G127" s="87">
        <f>IF(G36=0,0,1000000*G36/TrRoad_act!G76)</f>
        <v>4654.8471595330066</v>
      </c>
      <c r="H127" s="87">
        <f>IF(H36=0,0,1000000*H36/TrRoad_act!H76)</f>
        <v>4696.8147061808522</v>
      </c>
      <c r="I127" s="87">
        <f>IF(I36=0,0,1000000*I36/TrRoad_act!I76)</f>
        <v>4591.4979552998984</v>
      </c>
      <c r="J127" s="87">
        <f>IF(J36=0,0,1000000*J36/TrRoad_act!J76)</f>
        <v>4334.2187923997535</v>
      </c>
      <c r="K127" s="87">
        <f>IF(K36=0,0,1000000*K36/TrRoad_act!K76)</f>
        <v>4149.0278630739094</v>
      </c>
      <c r="L127" s="87">
        <f>IF(L36=0,0,1000000*L36/TrRoad_act!L76)</f>
        <v>3988.9167078867295</v>
      </c>
      <c r="M127" s="87">
        <f>IF(M36=0,0,1000000*M36/TrRoad_act!M76)</f>
        <v>3909.4130509602282</v>
      </c>
      <c r="N127" s="87">
        <f>IF(N36=0,0,1000000*N36/TrRoad_act!N76)</f>
        <v>3832.1102075989406</v>
      </c>
      <c r="O127" s="87">
        <f>IF(O36=0,0,1000000*O36/TrRoad_act!O76)</f>
        <v>3740.1033225896495</v>
      </c>
      <c r="P127" s="87">
        <f>IF(P36=0,0,1000000*P36/TrRoad_act!P76)</f>
        <v>3751.6532813832873</v>
      </c>
      <c r="Q127" s="87">
        <f>IF(Q36=0,0,1000000*Q36/TrRoad_act!Q76)</f>
        <v>3744.121574795161</v>
      </c>
      <c r="R127" s="87">
        <f>IF(R36=0,0,1000000*R36/TrRoad_act!R76)</f>
        <v>3878.8979296824377</v>
      </c>
      <c r="S127" s="87">
        <f>IF(S36=0,0,1000000*S36/TrRoad_act!S76)</f>
        <v>3893.3325109268944</v>
      </c>
      <c r="T127" s="87">
        <f>IF(T36=0,0,1000000*T36/TrRoad_act!T76)</f>
        <v>3863.3581948259575</v>
      </c>
      <c r="U127" s="87">
        <f>IF(U36=0,0,1000000*U36/TrRoad_act!U76)</f>
        <v>3831.8223807438017</v>
      </c>
      <c r="V127" s="87">
        <f>IF(V36=0,0,1000000*V36/TrRoad_act!V76)</f>
        <v>3732.5628382060654</v>
      </c>
      <c r="W127" s="87">
        <f>IF(W36=0,0,1000000*W36/TrRoad_act!W76)</f>
        <v>3707.3752438165102</v>
      </c>
      <c r="X127" s="87">
        <f>IF(X36=0,0,1000000*X36/TrRoad_act!X76)</f>
        <v>3578.8302498065582</v>
      </c>
      <c r="Y127" s="87">
        <f>IF(Y36=0,0,1000000*Y36/TrRoad_act!Y76)</f>
        <v>3477.5023914475923</v>
      </c>
      <c r="DA127" s="171" t="s">
        <v>829</v>
      </c>
    </row>
    <row r="128" spans="1:105" ht="11.45" customHeight="1" x14ac:dyDescent="0.25">
      <c r="A128" s="111" t="s">
        <v>112</v>
      </c>
      <c r="B128" s="87">
        <f>IF(B37=0,0,1000000*B37/TrRoad_act!B77)</f>
        <v>1822.8919154124437</v>
      </c>
      <c r="C128" s="87">
        <f>IF(C37=0,0,1000000*C37/TrRoad_act!C77)</f>
        <v>1774.038171695883</v>
      </c>
      <c r="D128" s="87">
        <f>IF(D37=0,0,1000000*D37/TrRoad_act!D77)</f>
        <v>1676.8659741657916</v>
      </c>
      <c r="E128" s="87">
        <f>IF(E37=0,0,1000000*E37/TrRoad_act!E77)</f>
        <v>1684.5889591722712</v>
      </c>
      <c r="F128" s="87">
        <f>IF(F37=0,0,1000000*F37/TrRoad_act!F77)</f>
        <v>1671.0875548564356</v>
      </c>
      <c r="G128" s="87">
        <f>IF(G37=0,0,1000000*G37/TrRoad_act!G77)</f>
        <v>1647.068385908241</v>
      </c>
      <c r="H128" s="87">
        <f>IF(H37=0,0,1000000*H37/TrRoad_act!H77)</f>
        <v>1675.9581417096185</v>
      </c>
      <c r="I128" s="87">
        <f>IF(I37=0,0,1000000*I37/TrRoad_act!I77)</f>
        <v>1662.8379389552524</v>
      </c>
      <c r="J128" s="87">
        <f>IF(J37=0,0,1000000*J37/TrRoad_act!J77)</f>
        <v>1656.4355375736479</v>
      </c>
      <c r="K128" s="87">
        <f>IF(K37=0,0,1000000*K37/TrRoad_act!K77)</f>
        <v>1653.6168877985601</v>
      </c>
      <c r="L128" s="87">
        <f>IF(L37=0,0,1000000*L37/TrRoad_act!L77)</f>
        <v>1653.2911370143045</v>
      </c>
      <c r="M128" s="87">
        <f>IF(M37=0,0,1000000*M37/TrRoad_act!M77)</f>
        <v>1651.3949705744951</v>
      </c>
      <c r="N128" s="87">
        <f>IF(N37=0,0,1000000*N37/TrRoad_act!N77)</f>
        <v>1633.6193792106781</v>
      </c>
      <c r="O128" s="87">
        <f>IF(O37=0,0,1000000*O37/TrRoad_act!O77)</f>
        <v>1629.903088682179</v>
      </c>
      <c r="P128" s="87">
        <f>IF(P37=0,0,1000000*P37/TrRoad_act!P77)</f>
        <v>1632.6290934292049</v>
      </c>
      <c r="Q128" s="87">
        <f>IF(Q37=0,0,1000000*Q37/TrRoad_act!Q77)</f>
        <v>1640.0351463507275</v>
      </c>
      <c r="R128" s="87">
        <f>IF(R37=0,0,1000000*R37/TrRoad_act!R77)</f>
        <v>1647.7892136475027</v>
      </c>
      <c r="S128" s="87">
        <f>IF(S37=0,0,1000000*S37/TrRoad_act!S77)</f>
        <v>1672.8188343621212</v>
      </c>
      <c r="T128" s="87">
        <f>IF(T37=0,0,1000000*T37/TrRoad_act!T77)</f>
        <v>1697.9875448917119</v>
      </c>
      <c r="U128" s="87">
        <f>IF(U37=0,0,1000000*U37/TrRoad_act!U77)</f>
        <v>1721.9993097311683</v>
      </c>
      <c r="V128" s="87">
        <f>IF(V37=0,0,1000000*V37/TrRoad_act!V77)</f>
        <v>1687.0899277956087</v>
      </c>
      <c r="W128" s="87">
        <f>IF(W37=0,0,1000000*W37/TrRoad_act!W77)</f>
        <v>1682.016418901645</v>
      </c>
      <c r="X128" s="87">
        <f>IF(X37=0,0,1000000*X37/TrRoad_act!X77)</f>
        <v>1679.0594849705283</v>
      </c>
      <c r="Y128" s="87">
        <f>IF(Y37=0,0,1000000*Y37/TrRoad_act!Y77)</f>
        <v>1676.0560242214331</v>
      </c>
      <c r="DA128" s="171" t="s">
        <v>830</v>
      </c>
    </row>
    <row r="129" spans="1:105" ht="11.45" customHeight="1" x14ac:dyDescent="0.25">
      <c r="A129" s="111" t="s">
        <v>113</v>
      </c>
      <c r="B129" s="87">
        <f>IF(B38=0,0,1000000*B38/TrRoad_act!B78)</f>
        <v>0</v>
      </c>
      <c r="C129" s="87">
        <f>IF(C38=0,0,1000000*C38/TrRoad_act!C78)</f>
        <v>0</v>
      </c>
      <c r="D129" s="87">
        <f>IF(D38=0,0,1000000*D38/TrRoad_act!D78)</f>
        <v>0</v>
      </c>
      <c r="E129" s="87">
        <f>IF(E38=0,0,1000000*E38/TrRoad_act!E78)</f>
        <v>0</v>
      </c>
      <c r="F129" s="87">
        <f>IF(F38=0,0,1000000*F38/TrRoad_act!F78)</f>
        <v>0</v>
      </c>
      <c r="G129" s="87">
        <f>IF(G38=0,0,1000000*G38/TrRoad_act!G78)</f>
        <v>0</v>
      </c>
      <c r="H129" s="87">
        <f>IF(H38=0,0,1000000*H38/TrRoad_act!H78)</f>
        <v>0</v>
      </c>
      <c r="I129" s="87">
        <f>IF(I38=0,0,1000000*I38/TrRoad_act!I78)</f>
        <v>0</v>
      </c>
      <c r="J129" s="87">
        <f>IF(J38=0,0,1000000*J38/TrRoad_act!J78)</f>
        <v>0</v>
      </c>
      <c r="K129" s="87">
        <f>IF(K38=0,0,1000000*K38/TrRoad_act!K78)</f>
        <v>0</v>
      </c>
      <c r="L129" s="87">
        <f>IF(L38=0,0,1000000*L38/TrRoad_act!L78)</f>
        <v>0</v>
      </c>
      <c r="M129" s="87">
        <f>IF(M38=0,0,1000000*M38/TrRoad_act!M78)</f>
        <v>0</v>
      </c>
      <c r="N129" s="87">
        <f>IF(N38=0,0,1000000*N38/TrRoad_act!N78)</f>
        <v>0</v>
      </c>
      <c r="O129" s="87">
        <f>IF(O38=0,0,1000000*O38/TrRoad_act!O78)</f>
        <v>0</v>
      </c>
      <c r="P129" s="87">
        <f>IF(P38=0,0,1000000*P38/TrRoad_act!P78)</f>
        <v>0</v>
      </c>
      <c r="Q129" s="87">
        <f>IF(Q38=0,0,1000000*Q38/TrRoad_act!Q78)</f>
        <v>2613.068706589313</v>
      </c>
      <c r="R129" s="87">
        <f>IF(R38=0,0,1000000*R38/TrRoad_act!R78)</f>
        <v>2646.0308737429245</v>
      </c>
      <c r="S129" s="87">
        <f>IF(S38=0,0,1000000*S38/TrRoad_act!S78)</f>
        <v>2643.1395496721916</v>
      </c>
      <c r="T129" s="87">
        <f>IF(T38=0,0,1000000*T38/TrRoad_act!T78)</f>
        <v>2661.9830414141034</v>
      </c>
      <c r="U129" s="87">
        <f>IF(U38=0,0,1000000*U38/TrRoad_act!U78)</f>
        <v>2635.5209233259866</v>
      </c>
      <c r="V129" s="87">
        <f>IF(V38=0,0,1000000*V38/TrRoad_act!V78)</f>
        <v>2534.5626511858768</v>
      </c>
      <c r="W129" s="87">
        <f>IF(W38=0,0,1000000*W38/TrRoad_act!W78)</f>
        <v>2480.8281535746637</v>
      </c>
      <c r="X129" s="87">
        <f>IF(X38=0,0,1000000*X38/TrRoad_act!X78)</f>
        <v>2410.9899343308934</v>
      </c>
      <c r="Y129" s="87">
        <f>IF(Y38=0,0,1000000*Y38/TrRoad_act!Y78)</f>
        <v>2293.4829042087194</v>
      </c>
      <c r="DA129" s="171" t="s">
        <v>831</v>
      </c>
    </row>
    <row r="130" spans="1:105" ht="11.45" customHeight="1" x14ac:dyDescent="0.25">
      <c r="A130" s="111" t="s">
        <v>115</v>
      </c>
      <c r="B130" s="87">
        <f>IF(B39=0,0,1000000*B39/TrRoad_act!B79)</f>
        <v>0</v>
      </c>
      <c r="C130" s="87">
        <f>IF(C39=0,0,1000000*C39/TrRoad_act!C79)</f>
        <v>0</v>
      </c>
      <c r="D130" s="87">
        <f>IF(D39=0,0,1000000*D39/TrRoad_act!D79)</f>
        <v>0</v>
      </c>
      <c r="E130" s="87">
        <f>IF(E39=0,0,1000000*E39/TrRoad_act!E79)</f>
        <v>0</v>
      </c>
      <c r="F130" s="87">
        <f>IF(F39=0,0,1000000*F39/TrRoad_act!F79)</f>
        <v>0</v>
      </c>
      <c r="G130" s="87">
        <f>IF(G39=0,0,1000000*G39/TrRoad_act!G79)</f>
        <v>0</v>
      </c>
      <c r="H130" s="87">
        <f>IF(H39=0,0,1000000*H39/TrRoad_act!H79)</f>
        <v>0</v>
      </c>
      <c r="I130" s="87">
        <f>IF(I39=0,0,1000000*I39/TrRoad_act!I79)</f>
        <v>0</v>
      </c>
      <c r="J130" s="87">
        <f>IF(J39=0,0,1000000*J39/TrRoad_act!J79)</f>
        <v>0</v>
      </c>
      <c r="K130" s="87">
        <f>IF(K39=0,0,1000000*K39/TrRoad_act!K79)</f>
        <v>0</v>
      </c>
      <c r="L130" s="87">
        <f>IF(L39=0,0,1000000*L39/TrRoad_act!L79)</f>
        <v>0</v>
      </c>
      <c r="M130" s="87">
        <f>IF(M39=0,0,1000000*M39/TrRoad_act!M79)</f>
        <v>0</v>
      </c>
      <c r="N130" s="87">
        <f>IF(N39=0,0,1000000*N39/TrRoad_act!N79)</f>
        <v>0</v>
      </c>
      <c r="O130" s="87">
        <f>IF(O39=0,0,1000000*O39/TrRoad_act!O79)</f>
        <v>0</v>
      </c>
      <c r="P130" s="87">
        <f>IF(P39=0,0,1000000*P39/TrRoad_act!P79)</f>
        <v>0</v>
      </c>
      <c r="Q130" s="87">
        <f>IF(Q39=0,0,1000000*Q39/TrRoad_act!Q79)</f>
        <v>0</v>
      </c>
      <c r="R130" s="87">
        <f>IF(R39=0,0,1000000*R39/TrRoad_act!R79)</f>
        <v>0</v>
      </c>
      <c r="S130" s="87">
        <f>IF(S39=0,0,1000000*S39/TrRoad_act!S79)</f>
        <v>0</v>
      </c>
      <c r="T130" s="87">
        <f>IF(T39=0,0,1000000*T39/TrRoad_act!T79)</f>
        <v>0</v>
      </c>
      <c r="U130" s="87">
        <f>IF(U39=0,0,1000000*U39/TrRoad_act!U79)</f>
        <v>0</v>
      </c>
      <c r="V130" s="87">
        <f>IF(V39=0,0,1000000*V39/TrRoad_act!V79)</f>
        <v>0</v>
      </c>
      <c r="W130" s="87">
        <f>IF(W39=0,0,1000000*W39/TrRoad_act!W79)</f>
        <v>0</v>
      </c>
      <c r="X130" s="87">
        <f>IF(X39=0,0,1000000*X39/TrRoad_act!X79)</f>
        <v>0</v>
      </c>
      <c r="Y130" s="87">
        <f>IF(Y39=0,0,1000000*Y39/TrRoad_act!Y79)</f>
        <v>0</v>
      </c>
      <c r="DA130" s="171" t="s">
        <v>832</v>
      </c>
    </row>
    <row r="131" spans="1:105" ht="11.45" customHeight="1" x14ac:dyDescent="0.25">
      <c r="A131" s="109" t="s">
        <v>154</v>
      </c>
      <c r="B131" s="116">
        <f>IF(B40=0,0,1000000*B40/TrRoad_act!B80)</f>
        <v>4523.8934458184394</v>
      </c>
      <c r="C131" s="116">
        <f>IF(C40=0,0,1000000*C40/TrRoad_act!C80)</f>
        <v>5660.8510402368011</v>
      </c>
      <c r="D131" s="116">
        <f>IF(D40=0,0,1000000*D40/TrRoad_act!D80)</f>
        <v>3698.8537308937762</v>
      </c>
      <c r="E131" s="116">
        <f>IF(E40=0,0,1000000*E40/TrRoad_act!E80)</f>
        <v>6255.1108670381118</v>
      </c>
      <c r="F131" s="116">
        <f>IF(F40=0,0,1000000*F40/TrRoad_act!F80)</f>
        <v>9592.8690652426594</v>
      </c>
      <c r="G131" s="116">
        <f>IF(G40=0,0,1000000*G40/TrRoad_act!G80)</f>
        <v>13269.154797032528</v>
      </c>
      <c r="H131" s="116">
        <f>IF(H40=0,0,1000000*H40/TrRoad_act!H80)</f>
        <v>15280.869200693274</v>
      </c>
      <c r="I131" s="116">
        <f>IF(I40=0,0,1000000*I40/TrRoad_act!I80)</f>
        <v>16873.404652979716</v>
      </c>
      <c r="J131" s="116">
        <f>IF(J40=0,0,1000000*J40/TrRoad_act!J80)</f>
        <v>16221.720723937289</v>
      </c>
      <c r="K131" s="116">
        <f>IF(K40=0,0,1000000*K40/TrRoad_act!K80)</f>
        <v>15402.676371807715</v>
      </c>
      <c r="L131" s="116">
        <f>IF(L40=0,0,1000000*L40/TrRoad_act!L80)</f>
        <v>16473.770197997157</v>
      </c>
      <c r="M131" s="116">
        <f>IF(M40=0,0,1000000*M40/TrRoad_act!M80)</f>
        <v>15479.091589751171</v>
      </c>
      <c r="N131" s="116">
        <f>IF(N40=0,0,1000000*N40/TrRoad_act!N80)</f>
        <v>12963.075681821561</v>
      </c>
      <c r="O131" s="116">
        <f>IF(O40=0,0,1000000*O40/TrRoad_act!O80)</f>
        <v>10394.218280985711</v>
      </c>
      <c r="P131" s="116">
        <f>IF(P40=0,0,1000000*P40/TrRoad_act!P80)</f>
        <v>10293.88625971866</v>
      </c>
      <c r="Q131" s="116">
        <f>IF(Q40=0,0,1000000*Q40/TrRoad_act!Q80)</f>
        <v>10745.06997118375</v>
      </c>
      <c r="R131" s="116">
        <f>IF(R40=0,0,1000000*R40/TrRoad_act!R80)</f>
        <v>14464.497872400809</v>
      </c>
      <c r="S131" s="116">
        <f>IF(S40=0,0,1000000*S40/TrRoad_act!S80)</f>
        <v>19330.174807190269</v>
      </c>
      <c r="T131" s="116">
        <f>IF(T40=0,0,1000000*T40/TrRoad_act!T80)</f>
        <v>18525.483164608871</v>
      </c>
      <c r="U131" s="116">
        <f>IF(U40=0,0,1000000*U40/TrRoad_act!U80)</f>
        <v>17997.694083185295</v>
      </c>
      <c r="V131" s="116">
        <f>IF(V40=0,0,1000000*V40/TrRoad_act!V80)</f>
        <v>16201.566830519439</v>
      </c>
      <c r="W131" s="116">
        <f>IF(W40=0,0,1000000*W40/TrRoad_act!W80)</f>
        <v>20406.361110630125</v>
      </c>
      <c r="X131" s="116">
        <f>IF(X40=0,0,1000000*X40/TrRoad_act!X80)</f>
        <v>19993.014642975239</v>
      </c>
      <c r="Y131" s="116">
        <f>IF(Y40=0,0,1000000*Y40/TrRoad_act!Y80)</f>
        <v>18547.371931365331</v>
      </c>
      <c r="DA131" s="176" t="s">
        <v>833</v>
      </c>
    </row>
    <row r="132" spans="1:105" ht="11.45" customHeight="1" x14ac:dyDescent="0.25">
      <c r="A132" s="128" t="s">
        <v>27</v>
      </c>
      <c r="B132" s="101">
        <f>IF(B41=0,0,1000000*B41/TrRoad_act!B81)</f>
        <v>3560.8840239810861</v>
      </c>
      <c r="C132" s="101">
        <f>IF(C41=0,0,1000000*C41/TrRoad_act!C81)</f>
        <v>4425.9206522625427</v>
      </c>
      <c r="D132" s="101">
        <f>IF(D41=0,0,1000000*D41/TrRoad_act!D81)</f>
        <v>2879.9816905353537</v>
      </c>
      <c r="E132" s="101">
        <f>IF(E41=0,0,1000000*E41/TrRoad_act!E81)</f>
        <v>4935.3445545377144</v>
      </c>
      <c r="F132" s="101">
        <f>IF(F41=0,0,1000000*F41/TrRoad_act!F81)</f>
        <v>7603.0696520868669</v>
      </c>
      <c r="G132" s="101">
        <f>IF(G41=0,0,1000000*G41/TrRoad_act!G81)</f>
        <v>10570.618044625457</v>
      </c>
      <c r="H132" s="101">
        <f>IF(H41=0,0,1000000*H41/TrRoad_act!H81)</f>
        <v>11670.570108469419</v>
      </c>
      <c r="I132" s="101">
        <f>IF(I41=0,0,1000000*I41/TrRoad_act!I81)</f>
        <v>13374.257895440613</v>
      </c>
      <c r="J132" s="101">
        <f>IF(J41=0,0,1000000*J41/TrRoad_act!J81)</f>
        <v>13023.029500836577</v>
      </c>
      <c r="K132" s="101">
        <f>IF(K41=0,0,1000000*K41/TrRoad_act!K81)</f>
        <v>12738.083029687179</v>
      </c>
      <c r="L132" s="101">
        <f>IF(L41=0,0,1000000*L41/TrRoad_act!L81)</f>
        <v>13416.877353030604</v>
      </c>
      <c r="M132" s="101">
        <f>IF(M41=0,0,1000000*M41/TrRoad_act!M81)</f>
        <v>12716.129168625266</v>
      </c>
      <c r="N132" s="101">
        <f>IF(N41=0,0,1000000*N41/TrRoad_act!N81)</f>
        <v>10463.730060327087</v>
      </c>
      <c r="O132" s="101">
        <f>IF(O41=0,0,1000000*O41/TrRoad_act!O81)</f>
        <v>8455.2433302199534</v>
      </c>
      <c r="P132" s="101">
        <f>IF(P41=0,0,1000000*P41/TrRoad_act!P81)</f>
        <v>8303.4502226703589</v>
      </c>
      <c r="Q132" s="101">
        <f>IF(Q41=0,0,1000000*Q41/TrRoad_act!Q81)</f>
        <v>8745.2567122571982</v>
      </c>
      <c r="R132" s="101">
        <f>IF(R41=0,0,1000000*R41/TrRoad_act!R81)</f>
        <v>11516.367572420242</v>
      </c>
      <c r="S132" s="101">
        <f>IF(S41=0,0,1000000*S41/TrRoad_act!S81)</f>
        <v>15330.913739151294</v>
      </c>
      <c r="T132" s="101">
        <f>IF(T41=0,0,1000000*T41/TrRoad_act!T81)</f>
        <v>14947.063062134874</v>
      </c>
      <c r="U132" s="101">
        <f>IF(U41=0,0,1000000*U41/TrRoad_act!U81)</f>
        <v>14093.954053269137</v>
      </c>
      <c r="V132" s="101">
        <f>IF(V41=0,0,1000000*V41/TrRoad_act!V81)</f>
        <v>12876.784499713902</v>
      </c>
      <c r="W132" s="101">
        <f>IF(W41=0,0,1000000*W41/TrRoad_act!W81)</f>
        <v>16257.923050806827</v>
      </c>
      <c r="X132" s="101">
        <f>IF(X41=0,0,1000000*X41/TrRoad_act!X81)</f>
        <v>15783.795130548166</v>
      </c>
      <c r="Y132" s="101">
        <f>IF(Y41=0,0,1000000*Y41/TrRoad_act!Y81)</f>
        <v>14455.763166193065</v>
      </c>
      <c r="DA132" s="175" t="s">
        <v>834</v>
      </c>
    </row>
    <row r="133" spans="1:105" ht="11.45" customHeight="1" x14ac:dyDescent="0.25">
      <c r="A133" s="138" t="s">
        <v>116</v>
      </c>
      <c r="B133" s="88">
        <f>IF(B42=0,0,1000000*B42/TrRoad_act!B82)</f>
        <v>34638.341679418729</v>
      </c>
      <c r="C133" s="88">
        <f>IF(C42=0,0,1000000*C42/TrRoad_act!C82)</f>
        <v>43067.782754123487</v>
      </c>
      <c r="D133" s="88">
        <f>IF(D42=0,0,1000000*D42/TrRoad_act!D82)</f>
        <v>30938.445350146489</v>
      </c>
      <c r="E133" s="88">
        <f>IF(E42=0,0,1000000*E42/TrRoad_act!E82)</f>
        <v>49123.22447854207</v>
      </c>
      <c r="F133" s="88">
        <f>IF(F42=0,0,1000000*F42/TrRoad_act!F82)</f>
        <v>62658.418013720911</v>
      </c>
      <c r="G133" s="88">
        <f>IF(G42=0,0,1000000*G42/TrRoad_act!G82)</f>
        <v>83949.668291341033</v>
      </c>
      <c r="H133" s="88">
        <f>IF(H42=0,0,1000000*H42/TrRoad_act!H82)</f>
        <v>93416.169375313926</v>
      </c>
      <c r="I133" s="88">
        <f>IF(I42=0,0,1000000*I42/TrRoad_act!I82)</f>
        <v>104891.81293182759</v>
      </c>
      <c r="J133" s="88">
        <f>IF(J42=0,0,1000000*J42/TrRoad_act!J82)</f>
        <v>102686.44628452499</v>
      </c>
      <c r="K133" s="88">
        <f>IF(K42=0,0,1000000*K42/TrRoad_act!K82)</f>
        <v>91924.356821805821</v>
      </c>
      <c r="L133" s="88">
        <f>IF(L42=0,0,1000000*L42/TrRoad_act!L82)</f>
        <v>93158.869243077075</v>
      </c>
      <c r="M133" s="88">
        <f>IF(M42=0,0,1000000*M42/TrRoad_act!M82)</f>
        <v>84992.068645460124</v>
      </c>
      <c r="N133" s="88">
        <f>IF(N42=0,0,1000000*N42/TrRoad_act!N82)</f>
        <v>71437.506498044357</v>
      </c>
      <c r="O133" s="88">
        <f>IF(O42=0,0,1000000*O42/TrRoad_act!O82)</f>
        <v>54382.837231657992</v>
      </c>
      <c r="P133" s="88">
        <f>IF(P42=0,0,1000000*P42/TrRoad_act!P82)</f>
        <v>56582.382342053599</v>
      </c>
      <c r="Q133" s="88">
        <f>IF(Q42=0,0,1000000*Q42/TrRoad_act!Q82)</f>
        <v>56963.63275629648</v>
      </c>
      <c r="R133" s="88">
        <f>IF(R42=0,0,1000000*R42/TrRoad_act!R82)</f>
        <v>76739.209030896891</v>
      </c>
      <c r="S133" s="88">
        <f>IF(S42=0,0,1000000*S42/TrRoad_act!S82)</f>
        <v>95601.708328676759</v>
      </c>
      <c r="T133" s="88">
        <f>IF(T42=0,0,1000000*T42/TrRoad_act!T82)</f>
        <v>102246.44803301232</v>
      </c>
      <c r="U133" s="88">
        <f>IF(U42=0,0,1000000*U42/TrRoad_act!U82)</f>
        <v>99004.318221526308</v>
      </c>
      <c r="V133" s="88">
        <f>IF(V42=0,0,1000000*V42/TrRoad_act!V82)</f>
        <v>89425.93414003971</v>
      </c>
      <c r="W133" s="88">
        <f>IF(W42=0,0,1000000*W42/TrRoad_act!W82)</f>
        <v>109887.74721003442</v>
      </c>
      <c r="X133" s="88">
        <f>IF(X42=0,0,1000000*X42/TrRoad_act!X82)</f>
        <v>110791.65293716072</v>
      </c>
      <c r="Y133" s="88">
        <f>IF(Y42=0,0,1000000*Y42/TrRoad_act!Y82)</f>
        <v>108465.77123613254</v>
      </c>
      <c r="DA133" s="178" t="s">
        <v>835</v>
      </c>
    </row>
    <row r="134" spans="1:105" x14ac:dyDescent="0.25">
      <c r="A134" s="106"/>
      <c r="B134" s="106"/>
      <c r="C134" s="106"/>
      <c r="D134" s="106"/>
      <c r="E134" s="106"/>
      <c r="F134" s="106"/>
      <c r="G134" s="106"/>
      <c r="H134" s="106"/>
      <c r="I134" s="106"/>
      <c r="J134" s="106"/>
      <c r="K134" s="106"/>
      <c r="L134" s="106"/>
      <c r="M134" s="106"/>
      <c r="N134" s="106"/>
      <c r="O134" s="106"/>
      <c r="P134" s="106"/>
      <c r="Q134" s="106"/>
      <c r="R134" s="106"/>
      <c r="S134" s="106"/>
      <c r="T134" s="106"/>
      <c r="U134" s="106"/>
      <c r="V134" s="106"/>
      <c r="W134" s="106"/>
      <c r="X134" s="106"/>
      <c r="Y134" s="106"/>
      <c r="DA134" s="171"/>
    </row>
    <row r="135" spans="1:105" ht="11.45" customHeight="1" x14ac:dyDescent="0.25">
      <c r="A135" s="53" t="s">
        <v>41</v>
      </c>
      <c r="B135" s="76">
        <f t="shared" ref="B135:V147" si="40">IF(B17=0,0,B17/B$17)</f>
        <v>1</v>
      </c>
      <c r="C135" s="76">
        <f t="shared" si="40"/>
        <v>1</v>
      </c>
      <c r="D135" s="76">
        <f t="shared" si="40"/>
        <v>1</v>
      </c>
      <c r="E135" s="76">
        <f t="shared" si="40"/>
        <v>1</v>
      </c>
      <c r="F135" s="76">
        <f t="shared" si="40"/>
        <v>1</v>
      </c>
      <c r="G135" s="76">
        <f t="shared" si="40"/>
        <v>1</v>
      </c>
      <c r="H135" s="76">
        <f t="shared" si="40"/>
        <v>1</v>
      </c>
      <c r="I135" s="76">
        <f t="shared" si="40"/>
        <v>1</v>
      </c>
      <c r="J135" s="76">
        <f t="shared" si="40"/>
        <v>1</v>
      </c>
      <c r="K135" s="76">
        <f t="shared" si="40"/>
        <v>1</v>
      </c>
      <c r="L135" s="76">
        <f t="shared" ref="L135:L147" si="41">IF(L17=0,0,L17/L$17)</f>
        <v>1</v>
      </c>
      <c r="M135" s="76">
        <f t="shared" si="40"/>
        <v>1</v>
      </c>
      <c r="N135" s="76">
        <f t="shared" si="40"/>
        <v>1</v>
      </c>
      <c r="O135" s="76">
        <f t="shared" si="40"/>
        <v>1</v>
      </c>
      <c r="P135" s="76">
        <f t="shared" si="40"/>
        <v>1</v>
      </c>
      <c r="Q135" s="76">
        <f t="shared" si="40"/>
        <v>1</v>
      </c>
      <c r="R135" s="76">
        <f t="shared" si="40"/>
        <v>1</v>
      </c>
      <c r="S135" s="76">
        <f t="shared" si="40"/>
        <v>1</v>
      </c>
      <c r="T135" s="76">
        <f t="shared" si="40"/>
        <v>1</v>
      </c>
      <c r="U135" s="76">
        <f t="shared" si="40"/>
        <v>1</v>
      </c>
      <c r="V135" s="76">
        <f t="shared" si="40"/>
        <v>1</v>
      </c>
      <c r="W135" s="76">
        <f t="shared" ref="W135:Y146" si="42">IF(W17=0,0,W17/W$17)</f>
        <v>1</v>
      </c>
      <c r="X135" s="76">
        <f t="shared" si="42"/>
        <v>1</v>
      </c>
      <c r="Y135" s="76">
        <f t="shared" si="42"/>
        <v>1</v>
      </c>
      <c r="DA135" s="183"/>
    </row>
    <row r="136" spans="1:105" ht="11.45" customHeight="1" x14ac:dyDescent="0.25">
      <c r="A136" s="27" t="s">
        <v>33</v>
      </c>
      <c r="B136" s="46">
        <f t="shared" si="40"/>
        <v>0.69752535363421475</v>
      </c>
      <c r="C136" s="46">
        <f t="shared" si="40"/>
        <v>0.68059044209087649</v>
      </c>
      <c r="D136" s="46">
        <f t="shared" si="40"/>
        <v>0.69108610875726328</v>
      </c>
      <c r="E136" s="46">
        <f t="shared" si="40"/>
        <v>0.65814738537583084</v>
      </c>
      <c r="F136" s="46">
        <f t="shared" si="40"/>
        <v>0.64562495184928115</v>
      </c>
      <c r="G136" s="46">
        <f t="shared" si="40"/>
        <v>0.60056678244835537</v>
      </c>
      <c r="H136" s="46">
        <f t="shared" si="40"/>
        <v>0.59874722895503496</v>
      </c>
      <c r="I136" s="46">
        <f t="shared" si="40"/>
        <v>0.59226680710405466</v>
      </c>
      <c r="J136" s="46">
        <f t="shared" si="40"/>
        <v>0.59381167371786669</v>
      </c>
      <c r="K136" s="46">
        <f t="shared" si="40"/>
        <v>0.6046630516367405</v>
      </c>
      <c r="L136" s="46">
        <f t="shared" si="41"/>
        <v>0.59737296885587721</v>
      </c>
      <c r="M136" s="46">
        <f t="shared" si="40"/>
        <v>0.59665921582254811</v>
      </c>
      <c r="N136" s="46">
        <f t="shared" si="40"/>
        <v>0.61925377338890286</v>
      </c>
      <c r="O136" s="46">
        <f t="shared" si="40"/>
        <v>0.63133436044393731</v>
      </c>
      <c r="P136" s="46">
        <f t="shared" si="40"/>
        <v>0.62934428614635007</v>
      </c>
      <c r="Q136" s="46">
        <f t="shared" si="40"/>
        <v>0.63505226386924574</v>
      </c>
      <c r="R136" s="46">
        <f t="shared" si="40"/>
        <v>0.60275594589721104</v>
      </c>
      <c r="S136" s="46">
        <f t="shared" si="40"/>
        <v>0.57498370283098998</v>
      </c>
      <c r="T136" s="46">
        <f t="shared" si="40"/>
        <v>0.57885389871534187</v>
      </c>
      <c r="U136" s="46">
        <f t="shared" si="40"/>
        <v>0.58425550039050467</v>
      </c>
      <c r="V136" s="46">
        <f t="shared" si="40"/>
        <v>0.58661951559192049</v>
      </c>
      <c r="W136" s="46">
        <f t="shared" si="42"/>
        <v>0.53803099221115069</v>
      </c>
      <c r="X136" s="46">
        <f t="shared" si="42"/>
        <v>0.54335236811135523</v>
      </c>
      <c r="Y136" s="46">
        <f t="shared" si="42"/>
        <v>0.54962103324019529</v>
      </c>
      <c r="DA136" s="211"/>
    </row>
    <row r="137" spans="1:105" ht="11.45" customHeight="1" x14ac:dyDescent="0.25">
      <c r="A137" s="153" t="s">
        <v>173</v>
      </c>
      <c r="B137" s="154">
        <f t="shared" si="40"/>
        <v>1.1366861349418981E-2</v>
      </c>
      <c r="C137" s="154">
        <f t="shared" si="40"/>
        <v>9.8557007169155376E-3</v>
      </c>
      <c r="D137" s="154">
        <f t="shared" si="40"/>
        <v>9.9065395528013783E-3</v>
      </c>
      <c r="E137" s="154">
        <f t="shared" si="40"/>
        <v>7.9045802999916405E-3</v>
      </c>
      <c r="F137" s="154">
        <f t="shared" si="40"/>
        <v>6.6465824819749737E-3</v>
      </c>
      <c r="G137" s="154">
        <f t="shared" si="40"/>
        <v>6.6218069399050991E-3</v>
      </c>
      <c r="H137" s="154">
        <f t="shared" si="40"/>
        <v>6.2360943372417243E-3</v>
      </c>
      <c r="I137" s="154">
        <f t="shared" si="40"/>
        <v>5.9696994166012199E-3</v>
      </c>
      <c r="J137" s="154">
        <f t="shared" si="40"/>
        <v>5.8355626931768717E-3</v>
      </c>
      <c r="K137" s="154">
        <f t="shared" si="40"/>
        <v>5.8285252495955849E-3</v>
      </c>
      <c r="L137" s="154">
        <f t="shared" si="41"/>
        <v>5.8437285159493096E-3</v>
      </c>
      <c r="M137" s="154">
        <f t="shared" si="40"/>
        <v>5.6699815502064691E-3</v>
      </c>
      <c r="N137" s="154">
        <f t="shared" si="40"/>
        <v>5.917038702897128E-3</v>
      </c>
      <c r="O137" s="154">
        <f t="shared" si="40"/>
        <v>6.0626423269998508E-3</v>
      </c>
      <c r="P137" s="154">
        <f t="shared" si="40"/>
        <v>6.0482103122673847E-3</v>
      </c>
      <c r="Q137" s="154">
        <f t="shared" si="40"/>
        <v>5.8636920847687886E-3</v>
      </c>
      <c r="R137" s="154">
        <f t="shared" si="40"/>
        <v>5.387783739007561E-3</v>
      </c>
      <c r="S137" s="154">
        <f t="shared" si="40"/>
        <v>4.3969148044150667E-3</v>
      </c>
      <c r="T137" s="154">
        <f t="shared" si="40"/>
        <v>4.0826733072716337E-3</v>
      </c>
      <c r="U137" s="154">
        <f t="shared" si="40"/>
        <v>4.2591774806954178E-3</v>
      </c>
      <c r="V137" s="154">
        <f t="shared" si="40"/>
        <v>3.9837772351782787E-3</v>
      </c>
      <c r="W137" s="154">
        <f t="shared" si="42"/>
        <v>3.8101403734054485E-3</v>
      </c>
      <c r="X137" s="154">
        <f t="shared" si="42"/>
        <v>3.7651451967092527E-3</v>
      </c>
      <c r="Y137" s="154">
        <f t="shared" si="42"/>
        <v>4.1206249312641429E-3</v>
      </c>
      <c r="DA137" s="212"/>
    </row>
    <row r="138" spans="1:105" ht="11.45" customHeight="1" x14ac:dyDescent="0.25">
      <c r="A138" s="155" t="s">
        <v>20</v>
      </c>
      <c r="B138" s="156">
        <f t="shared" si="40"/>
        <v>0.57066888755722844</v>
      </c>
      <c r="C138" s="156">
        <f t="shared" si="40"/>
        <v>0.56277939087197815</v>
      </c>
      <c r="D138" s="156">
        <f t="shared" si="40"/>
        <v>0.57239730444349601</v>
      </c>
      <c r="E138" s="156">
        <f t="shared" si="40"/>
        <v>0.55449912777474952</v>
      </c>
      <c r="F138" s="156">
        <f t="shared" si="40"/>
        <v>0.55012409435840992</v>
      </c>
      <c r="G138" s="156">
        <f t="shared" si="40"/>
        <v>0.51372915077770065</v>
      </c>
      <c r="H138" s="156">
        <f t="shared" si="40"/>
        <v>0.52373888266002089</v>
      </c>
      <c r="I138" s="156">
        <f t="shared" si="40"/>
        <v>0.5235650188437706</v>
      </c>
      <c r="J138" s="156">
        <f t="shared" si="40"/>
        <v>0.53130313964958276</v>
      </c>
      <c r="K138" s="156">
        <f t="shared" si="40"/>
        <v>0.54359195633918422</v>
      </c>
      <c r="L138" s="156">
        <f t="shared" si="41"/>
        <v>0.54051454482925221</v>
      </c>
      <c r="M138" s="156">
        <f t="shared" si="40"/>
        <v>0.54002584837954426</v>
      </c>
      <c r="N138" s="156">
        <f t="shared" si="40"/>
        <v>0.56091216732161764</v>
      </c>
      <c r="O138" s="156">
        <f t="shared" si="40"/>
        <v>0.56855110394233777</v>
      </c>
      <c r="P138" s="156">
        <f t="shared" si="40"/>
        <v>0.56548978167564756</v>
      </c>
      <c r="Q138" s="156">
        <f t="shared" si="40"/>
        <v>0.56493022526098358</v>
      </c>
      <c r="R138" s="156">
        <f t="shared" si="40"/>
        <v>0.54078976262082135</v>
      </c>
      <c r="S138" s="156">
        <f t="shared" si="40"/>
        <v>0.52291559405942012</v>
      </c>
      <c r="T138" s="156">
        <f t="shared" si="40"/>
        <v>0.53162659014091274</v>
      </c>
      <c r="U138" s="156">
        <f t="shared" si="40"/>
        <v>0.5358118140958551</v>
      </c>
      <c r="V138" s="156">
        <f t="shared" si="40"/>
        <v>0.53745565765090086</v>
      </c>
      <c r="W138" s="156">
        <f t="shared" si="42"/>
        <v>0.49299053009650357</v>
      </c>
      <c r="X138" s="156">
        <f t="shared" si="42"/>
        <v>0.49969769628065686</v>
      </c>
      <c r="Y138" s="156">
        <f t="shared" si="42"/>
        <v>0.50644965817838894</v>
      </c>
      <c r="DA138" s="213"/>
    </row>
    <row r="139" spans="1:105" ht="11.45" customHeight="1" x14ac:dyDescent="0.25">
      <c r="A139" s="157" t="s">
        <v>110</v>
      </c>
      <c r="B139" s="103">
        <f t="shared" si="40"/>
        <v>0.44716606990946745</v>
      </c>
      <c r="C139" s="103">
        <f t="shared" si="40"/>
        <v>0.4144442245694252</v>
      </c>
      <c r="D139" s="103">
        <f t="shared" si="40"/>
        <v>0.39369431474369848</v>
      </c>
      <c r="E139" s="103">
        <f t="shared" si="40"/>
        <v>0.34477260853640218</v>
      </c>
      <c r="F139" s="103">
        <f t="shared" si="40"/>
        <v>0.31835946121084385</v>
      </c>
      <c r="G139" s="103">
        <f t="shared" si="40"/>
        <v>0.291411571013931</v>
      </c>
      <c r="H139" s="103">
        <f t="shared" si="40"/>
        <v>0.27533794703470893</v>
      </c>
      <c r="I139" s="103">
        <f t="shared" si="40"/>
        <v>0.25142597674375633</v>
      </c>
      <c r="J139" s="103">
        <f t="shared" si="40"/>
        <v>0.24040883848994243</v>
      </c>
      <c r="K139" s="103">
        <f t="shared" si="40"/>
        <v>0.24029587548112183</v>
      </c>
      <c r="L139" s="103">
        <f t="shared" si="41"/>
        <v>0.22502227140355341</v>
      </c>
      <c r="M139" s="103">
        <f t="shared" si="40"/>
        <v>0.21084753547770074</v>
      </c>
      <c r="N139" s="103">
        <f t="shared" si="40"/>
        <v>0.21104218095142585</v>
      </c>
      <c r="O139" s="103">
        <f t="shared" si="40"/>
        <v>0.21575422410758238</v>
      </c>
      <c r="P139" s="103">
        <f t="shared" si="40"/>
        <v>0.20765660675877642</v>
      </c>
      <c r="Q139" s="103">
        <f t="shared" si="40"/>
        <v>0.20645578986158331</v>
      </c>
      <c r="R139" s="103">
        <f t="shared" si="40"/>
        <v>0.19172584774632459</v>
      </c>
      <c r="S139" s="103">
        <f t="shared" si="40"/>
        <v>0.18239178295469005</v>
      </c>
      <c r="T139" s="103">
        <f t="shared" si="40"/>
        <v>0.18581488259931217</v>
      </c>
      <c r="U139" s="103">
        <f t="shared" si="40"/>
        <v>0.18899657948330703</v>
      </c>
      <c r="V139" s="103">
        <f t="shared" si="40"/>
        <v>0.18450752387348676</v>
      </c>
      <c r="W139" s="103">
        <f t="shared" si="42"/>
        <v>0.18970681804590653</v>
      </c>
      <c r="X139" s="103">
        <f t="shared" si="42"/>
        <v>0.19711255219089224</v>
      </c>
      <c r="Y139" s="103">
        <f t="shared" si="42"/>
        <v>0.21029704303229033</v>
      </c>
      <c r="DA139" s="191"/>
    </row>
    <row r="140" spans="1:105" ht="11.45" customHeight="1" x14ac:dyDescent="0.25">
      <c r="A140" s="157" t="s">
        <v>111</v>
      </c>
      <c r="B140" s="103">
        <f t="shared" si="40"/>
        <v>8.082116121809188E-2</v>
      </c>
      <c r="C140" s="103">
        <f t="shared" si="40"/>
        <v>8.7420282569052099E-2</v>
      </c>
      <c r="D140" s="103">
        <f t="shared" si="40"/>
        <v>8.8535136966517006E-2</v>
      </c>
      <c r="E140" s="103">
        <f t="shared" si="40"/>
        <v>0.1020091887712983</v>
      </c>
      <c r="F140" s="103">
        <f t="shared" si="40"/>
        <v>0.11235750303407026</v>
      </c>
      <c r="G140" s="103">
        <f t="shared" si="40"/>
        <v>9.3022846068629067E-2</v>
      </c>
      <c r="H140" s="103">
        <f t="shared" si="40"/>
        <v>0.12054739614933926</v>
      </c>
      <c r="I140" s="103">
        <f t="shared" si="40"/>
        <v>0.1538609034074423</v>
      </c>
      <c r="J140" s="103">
        <f t="shared" si="40"/>
        <v>0.18019714875478182</v>
      </c>
      <c r="K140" s="103">
        <f t="shared" si="40"/>
        <v>0.20214919382742905</v>
      </c>
      <c r="L140" s="103">
        <f t="shared" si="41"/>
        <v>0.21962532698656884</v>
      </c>
      <c r="M140" s="103">
        <f t="shared" si="40"/>
        <v>0.23780319461689645</v>
      </c>
      <c r="N140" s="103">
        <f t="shared" si="40"/>
        <v>0.25398309262882718</v>
      </c>
      <c r="O140" s="103">
        <f t="shared" si="40"/>
        <v>0.25099562907974016</v>
      </c>
      <c r="P140" s="103">
        <f t="shared" si="40"/>
        <v>0.2566702204975429</v>
      </c>
      <c r="Q140" s="103">
        <f t="shared" si="40"/>
        <v>0.26116529342212641</v>
      </c>
      <c r="R140" s="103">
        <f t="shared" si="40"/>
        <v>0.25858355262457777</v>
      </c>
      <c r="S140" s="103">
        <f t="shared" si="40"/>
        <v>0.25720956986142129</v>
      </c>
      <c r="T140" s="103">
        <f t="shared" si="40"/>
        <v>0.26368165050196224</v>
      </c>
      <c r="U140" s="103">
        <f t="shared" si="40"/>
        <v>0.2625152040378213</v>
      </c>
      <c r="V140" s="103">
        <f t="shared" si="40"/>
        <v>0.27421683063053792</v>
      </c>
      <c r="W140" s="103">
        <f t="shared" si="42"/>
        <v>0.22707844357324775</v>
      </c>
      <c r="X140" s="103">
        <f t="shared" si="42"/>
        <v>0.22488261933270084</v>
      </c>
      <c r="Y140" s="103">
        <f t="shared" si="42"/>
        <v>0.21688805713939796</v>
      </c>
      <c r="DA140" s="191"/>
    </row>
    <row r="141" spans="1:105" ht="11.45" customHeight="1" x14ac:dyDescent="0.25">
      <c r="A141" s="157" t="s">
        <v>112</v>
      </c>
      <c r="B141" s="103">
        <f t="shared" si="40"/>
        <v>4.2681656429669118E-2</v>
      </c>
      <c r="C141" s="103">
        <f t="shared" si="40"/>
        <v>6.0914883733500895E-2</v>
      </c>
      <c r="D141" s="103">
        <f t="shared" si="40"/>
        <v>9.0167852733280582E-2</v>
      </c>
      <c r="E141" s="103">
        <f t="shared" si="40"/>
        <v>0.10771733046704907</v>
      </c>
      <c r="F141" s="103">
        <f t="shared" si="40"/>
        <v>0.11940713011349588</v>
      </c>
      <c r="G141" s="103">
        <f t="shared" si="40"/>
        <v>0.12929473369514063</v>
      </c>
      <c r="H141" s="103">
        <f t="shared" si="40"/>
        <v>0.12785353947597264</v>
      </c>
      <c r="I141" s="103">
        <f t="shared" si="40"/>
        <v>0.11827813869257198</v>
      </c>
      <c r="J141" s="103">
        <f t="shared" si="40"/>
        <v>0.11069715240485854</v>
      </c>
      <c r="K141" s="103">
        <f t="shared" si="40"/>
        <v>0.10114688703063331</v>
      </c>
      <c r="L141" s="103">
        <f t="shared" si="41"/>
        <v>9.5866946439130019E-2</v>
      </c>
      <c r="M141" s="103">
        <f t="shared" si="40"/>
        <v>9.1375118284947113E-2</v>
      </c>
      <c r="N141" s="103">
        <f t="shared" si="40"/>
        <v>9.5886791097790622E-2</v>
      </c>
      <c r="O141" s="103">
        <f t="shared" si="40"/>
        <v>0.10180101172145127</v>
      </c>
      <c r="P141" s="103">
        <f t="shared" si="40"/>
        <v>0.10114791295355363</v>
      </c>
      <c r="Q141" s="103">
        <f t="shared" si="40"/>
        <v>9.7176659275994171E-2</v>
      </c>
      <c r="R141" s="103">
        <f t="shared" si="40"/>
        <v>9.0323578728066498E-2</v>
      </c>
      <c r="S141" s="103">
        <f t="shared" si="40"/>
        <v>8.3157363948241081E-2</v>
      </c>
      <c r="T141" s="103">
        <f t="shared" si="40"/>
        <v>8.1958619477125599E-2</v>
      </c>
      <c r="U141" s="103">
        <f t="shared" si="40"/>
        <v>8.4120423753091089E-2</v>
      </c>
      <c r="V141" s="103">
        <f t="shared" si="40"/>
        <v>7.8522050150050343E-2</v>
      </c>
      <c r="W141" s="103">
        <f t="shared" si="42"/>
        <v>7.5960002147849107E-2</v>
      </c>
      <c r="X141" s="103">
        <f t="shared" si="42"/>
        <v>7.7395368141429971E-2</v>
      </c>
      <c r="Y141" s="103">
        <f t="shared" si="42"/>
        <v>7.8853688417121037E-2</v>
      </c>
      <c r="DA141" s="191"/>
    </row>
    <row r="142" spans="1:105" ht="11.45" customHeight="1" x14ac:dyDescent="0.25">
      <c r="A142" s="157" t="s">
        <v>113</v>
      </c>
      <c r="B142" s="103">
        <f t="shared" si="40"/>
        <v>0</v>
      </c>
      <c r="C142" s="103">
        <f t="shared" si="40"/>
        <v>0</v>
      </c>
      <c r="D142" s="103">
        <f t="shared" si="40"/>
        <v>0</v>
      </c>
      <c r="E142" s="103">
        <f t="shared" si="40"/>
        <v>0</v>
      </c>
      <c r="F142" s="103">
        <f t="shared" si="40"/>
        <v>0</v>
      </c>
      <c r="G142" s="103">
        <f t="shared" si="40"/>
        <v>0</v>
      </c>
      <c r="H142" s="103">
        <f t="shared" si="40"/>
        <v>0</v>
      </c>
      <c r="I142" s="103">
        <f t="shared" si="40"/>
        <v>0</v>
      </c>
      <c r="J142" s="103">
        <f t="shared" si="40"/>
        <v>0</v>
      </c>
      <c r="K142" s="103">
        <f t="shared" si="40"/>
        <v>0</v>
      </c>
      <c r="L142" s="103">
        <f t="shared" si="41"/>
        <v>0</v>
      </c>
      <c r="M142" s="103">
        <f t="shared" si="40"/>
        <v>0</v>
      </c>
      <c r="N142" s="103">
        <f t="shared" si="40"/>
        <v>0</v>
      </c>
      <c r="O142" s="103">
        <f t="shared" si="40"/>
        <v>0</v>
      </c>
      <c r="P142" s="103">
        <f t="shared" si="40"/>
        <v>0</v>
      </c>
      <c r="Q142" s="103">
        <f t="shared" si="40"/>
        <v>1.2943959001628184E-4</v>
      </c>
      <c r="R142" s="103">
        <f t="shared" si="40"/>
        <v>1.5250528297407339E-4</v>
      </c>
      <c r="S142" s="103">
        <f t="shared" si="40"/>
        <v>1.5019848433988706E-4</v>
      </c>
      <c r="T142" s="103">
        <f t="shared" si="40"/>
        <v>1.5722421499862174E-4</v>
      </c>
      <c r="U142" s="103">
        <f t="shared" si="40"/>
        <v>1.5893983800625462E-4</v>
      </c>
      <c r="V142" s="103">
        <f t="shared" si="40"/>
        <v>1.5966322180855727E-4</v>
      </c>
      <c r="W142" s="103">
        <f t="shared" si="42"/>
        <v>1.4494928268807286E-4</v>
      </c>
      <c r="X142" s="103">
        <f t="shared" si="42"/>
        <v>1.4185120156459083E-4</v>
      </c>
      <c r="Y142" s="103">
        <f t="shared" si="42"/>
        <v>1.403566043670621E-4</v>
      </c>
      <c r="DA142" s="191"/>
    </row>
    <row r="143" spans="1:105" ht="11.45" customHeight="1" x14ac:dyDescent="0.25">
      <c r="A143" s="157" t="s">
        <v>114</v>
      </c>
      <c r="B143" s="103">
        <f t="shared" si="40"/>
        <v>0</v>
      </c>
      <c r="C143" s="103">
        <f t="shared" si="40"/>
        <v>0</v>
      </c>
      <c r="D143" s="103">
        <f t="shared" si="40"/>
        <v>0</v>
      </c>
      <c r="E143" s="103">
        <f t="shared" si="40"/>
        <v>0</v>
      </c>
      <c r="F143" s="103">
        <f t="shared" si="40"/>
        <v>0</v>
      </c>
      <c r="G143" s="103">
        <f t="shared" si="40"/>
        <v>0</v>
      </c>
      <c r="H143" s="103">
        <f t="shared" si="40"/>
        <v>0</v>
      </c>
      <c r="I143" s="103">
        <f t="shared" si="40"/>
        <v>0</v>
      </c>
      <c r="J143" s="103">
        <f t="shared" si="40"/>
        <v>0</v>
      </c>
      <c r="K143" s="103">
        <f t="shared" si="40"/>
        <v>0</v>
      </c>
      <c r="L143" s="103">
        <f t="shared" si="41"/>
        <v>0</v>
      </c>
      <c r="M143" s="103">
        <f t="shared" si="40"/>
        <v>0</v>
      </c>
      <c r="N143" s="103">
        <f t="shared" si="40"/>
        <v>1.0264357396883643E-7</v>
      </c>
      <c r="O143" s="103">
        <f t="shared" si="40"/>
        <v>2.3903356391944944E-7</v>
      </c>
      <c r="P143" s="103">
        <f t="shared" si="40"/>
        <v>1.5041465774581621E-5</v>
      </c>
      <c r="Q143" s="103">
        <f t="shared" si="40"/>
        <v>3.0431112633078296E-6</v>
      </c>
      <c r="R143" s="103">
        <f t="shared" si="40"/>
        <v>4.2782388783461694E-6</v>
      </c>
      <c r="S143" s="103">
        <f t="shared" si="40"/>
        <v>6.6788107277734833E-6</v>
      </c>
      <c r="T143" s="103">
        <f t="shared" si="40"/>
        <v>1.4213347514157214E-5</v>
      </c>
      <c r="U143" s="103">
        <f t="shared" si="40"/>
        <v>2.0666983629473078E-5</v>
      </c>
      <c r="V143" s="103">
        <f t="shared" si="40"/>
        <v>4.9589775017270096E-5</v>
      </c>
      <c r="W143" s="103">
        <f t="shared" si="42"/>
        <v>1.0031704681219025E-4</v>
      </c>
      <c r="X143" s="103">
        <f t="shared" si="42"/>
        <v>1.6530541406928204E-4</v>
      </c>
      <c r="Y143" s="103">
        <f t="shared" si="42"/>
        <v>2.7051298521256256E-4</v>
      </c>
      <c r="DA143" s="191"/>
    </row>
    <row r="144" spans="1:105" ht="11.45" customHeight="1" x14ac:dyDescent="0.25">
      <c r="A144" s="157" t="s">
        <v>115</v>
      </c>
      <c r="B144" s="103">
        <f t="shared" si="40"/>
        <v>0</v>
      </c>
      <c r="C144" s="103">
        <f t="shared" si="40"/>
        <v>0</v>
      </c>
      <c r="D144" s="103">
        <f t="shared" si="40"/>
        <v>0</v>
      </c>
      <c r="E144" s="103">
        <f t="shared" si="40"/>
        <v>0</v>
      </c>
      <c r="F144" s="103">
        <f t="shared" si="40"/>
        <v>0</v>
      </c>
      <c r="G144" s="103">
        <f t="shared" si="40"/>
        <v>0</v>
      </c>
      <c r="H144" s="103">
        <f t="shared" si="40"/>
        <v>0</v>
      </c>
      <c r="I144" s="103">
        <f t="shared" si="40"/>
        <v>0</v>
      </c>
      <c r="J144" s="103">
        <f t="shared" si="40"/>
        <v>0</v>
      </c>
      <c r="K144" s="103">
        <f t="shared" si="40"/>
        <v>0</v>
      </c>
      <c r="L144" s="103">
        <f t="shared" si="41"/>
        <v>0</v>
      </c>
      <c r="M144" s="103">
        <f t="shared" si="40"/>
        <v>0</v>
      </c>
      <c r="N144" s="103">
        <f t="shared" si="40"/>
        <v>0</v>
      </c>
      <c r="O144" s="103">
        <f t="shared" si="40"/>
        <v>0</v>
      </c>
      <c r="P144" s="103">
        <f t="shared" si="40"/>
        <v>0</v>
      </c>
      <c r="Q144" s="103">
        <f t="shared" si="40"/>
        <v>0</v>
      </c>
      <c r="R144" s="103">
        <f t="shared" si="40"/>
        <v>0</v>
      </c>
      <c r="S144" s="103">
        <f t="shared" si="40"/>
        <v>0</v>
      </c>
      <c r="T144" s="103">
        <f t="shared" si="40"/>
        <v>0</v>
      </c>
      <c r="U144" s="103">
        <f t="shared" si="40"/>
        <v>0</v>
      </c>
      <c r="V144" s="103">
        <f t="shared" si="40"/>
        <v>0</v>
      </c>
      <c r="W144" s="103">
        <f t="shared" si="42"/>
        <v>0</v>
      </c>
      <c r="X144" s="103">
        <f t="shared" si="42"/>
        <v>0</v>
      </c>
      <c r="Y144" s="103">
        <f t="shared" si="42"/>
        <v>0</v>
      </c>
      <c r="DA144" s="191"/>
    </row>
    <row r="145" spans="1:105" ht="11.45" customHeight="1" x14ac:dyDescent="0.25">
      <c r="A145" s="155" t="s">
        <v>21</v>
      </c>
      <c r="B145" s="156">
        <f t="shared" si="40"/>
        <v>0.1154896047275672</v>
      </c>
      <c r="C145" s="156">
        <f t="shared" si="40"/>
        <v>0.10795535050198266</v>
      </c>
      <c r="D145" s="156">
        <f t="shared" si="40"/>
        <v>0.10878226476096584</v>
      </c>
      <c r="E145" s="156">
        <f t="shared" si="40"/>
        <v>9.5743677301089666E-2</v>
      </c>
      <c r="F145" s="156">
        <f t="shared" si="40"/>
        <v>8.8854275008896214E-2</v>
      </c>
      <c r="G145" s="156">
        <f t="shared" si="40"/>
        <v>8.0215824730749619E-2</v>
      </c>
      <c r="H145" s="156">
        <f t="shared" si="40"/>
        <v>6.8772251957772326E-2</v>
      </c>
      <c r="I145" s="156">
        <f t="shared" si="40"/>
        <v>6.2732088843682754E-2</v>
      </c>
      <c r="J145" s="156">
        <f t="shared" si="40"/>
        <v>5.6672971375107115E-2</v>
      </c>
      <c r="K145" s="156">
        <f t="shared" si="40"/>
        <v>5.5242570047960675E-2</v>
      </c>
      <c r="L145" s="156">
        <f t="shared" si="41"/>
        <v>5.101469551067575E-2</v>
      </c>
      <c r="M145" s="156">
        <f t="shared" si="40"/>
        <v>5.096338589279735E-2</v>
      </c>
      <c r="N145" s="156">
        <f t="shared" si="40"/>
        <v>5.2424567364388039E-2</v>
      </c>
      <c r="O145" s="156">
        <f t="shared" si="40"/>
        <v>5.6720614174599691E-2</v>
      </c>
      <c r="P145" s="156">
        <f t="shared" si="40"/>
        <v>5.7806294158435176E-2</v>
      </c>
      <c r="Q145" s="156">
        <f t="shared" si="40"/>
        <v>6.4258346523493395E-2</v>
      </c>
      <c r="R145" s="156">
        <f t="shared" si="40"/>
        <v>5.6578399537382168E-2</v>
      </c>
      <c r="S145" s="156">
        <f t="shared" si="40"/>
        <v>4.7671193967154829E-2</v>
      </c>
      <c r="T145" s="156">
        <f t="shared" si="40"/>
        <v>4.314463526715763E-2</v>
      </c>
      <c r="U145" s="156">
        <f t="shared" si="40"/>
        <v>4.4184508813954131E-2</v>
      </c>
      <c r="V145" s="156">
        <f t="shared" si="40"/>
        <v>4.5180080705841348E-2</v>
      </c>
      <c r="W145" s="156">
        <f t="shared" si="42"/>
        <v>4.12303217412417E-2</v>
      </c>
      <c r="X145" s="156">
        <f t="shared" si="42"/>
        <v>3.9889526633989182E-2</v>
      </c>
      <c r="Y145" s="156">
        <f t="shared" si="42"/>
        <v>3.9050750130542225E-2</v>
      </c>
      <c r="DA145" s="213"/>
    </row>
    <row r="146" spans="1:105" ht="11.45" customHeight="1" x14ac:dyDescent="0.25">
      <c r="A146" s="157" t="s">
        <v>110</v>
      </c>
      <c r="B146" s="103">
        <f t="shared" si="40"/>
        <v>0</v>
      </c>
      <c r="C146" s="103">
        <f t="shared" si="40"/>
        <v>0</v>
      </c>
      <c r="D146" s="103">
        <f t="shared" si="40"/>
        <v>0</v>
      </c>
      <c r="E146" s="103">
        <f t="shared" si="40"/>
        <v>0</v>
      </c>
      <c r="F146" s="103">
        <f t="shared" si="40"/>
        <v>0</v>
      </c>
      <c r="G146" s="103">
        <f t="shared" si="40"/>
        <v>0</v>
      </c>
      <c r="H146" s="103">
        <f t="shared" si="40"/>
        <v>0</v>
      </c>
      <c r="I146" s="103">
        <f t="shared" si="40"/>
        <v>0</v>
      </c>
      <c r="J146" s="103">
        <f t="shared" si="40"/>
        <v>0</v>
      </c>
      <c r="K146" s="103">
        <f t="shared" si="40"/>
        <v>0</v>
      </c>
      <c r="L146" s="103">
        <f t="shared" si="41"/>
        <v>0</v>
      </c>
      <c r="M146" s="103">
        <f t="shared" si="40"/>
        <v>0</v>
      </c>
      <c r="N146" s="103">
        <f t="shared" si="40"/>
        <v>0</v>
      </c>
      <c r="O146" s="103">
        <f t="shared" si="40"/>
        <v>0</v>
      </c>
      <c r="P146" s="103">
        <f t="shared" si="40"/>
        <v>0</v>
      </c>
      <c r="Q146" s="103">
        <f t="shared" si="40"/>
        <v>0</v>
      </c>
      <c r="R146" s="103">
        <f t="shared" si="40"/>
        <v>0</v>
      </c>
      <c r="S146" s="103">
        <f t="shared" si="40"/>
        <v>0</v>
      </c>
      <c r="T146" s="103">
        <f t="shared" si="40"/>
        <v>0</v>
      </c>
      <c r="U146" s="103">
        <f t="shared" si="40"/>
        <v>0</v>
      </c>
      <c r="V146" s="103">
        <f t="shared" si="40"/>
        <v>0</v>
      </c>
      <c r="W146" s="103">
        <f t="shared" si="42"/>
        <v>0</v>
      </c>
      <c r="X146" s="103">
        <f t="shared" si="42"/>
        <v>0</v>
      </c>
      <c r="Y146" s="103">
        <f t="shared" si="42"/>
        <v>0</v>
      </c>
      <c r="DA146" s="191"/>
    </row>
    <row r="147" spans="1:105" ht="11.45" customHeight="1" x14ac:dyDescent="0.25">
      <c r="A147" s="157" t="s">
        <v>111</v>
      </c>
      <c r="B147" s="103">
        <f t="shared" si="40"/>
        <v>0.11431998614603502</v>
      </c>
      <c r="C147" s="103">
        <f t="shared" si="40"/>
        <v>0.1068972616315421</v>
      </c>
      <c r="D147" s="103">
        <f t="shared" si="40"/>
        <v>0.1078089287508016</v>
      </c>
      <c r="E147" s="103">
        <f t="shared" si="40"/>
        <v>9.4957034307082896E-2</v>
      </c>
      <c r="F147" s="103">
        <f t="shared" si="40"/>
        <v>8.7083208605089515E-2</v>
      </c>
      <c r="G147" s="103">
        <f t="shared" si="40"/>
        <v>7.8736145076939934E-2</v>
      </c>
      <c r="H147" s="103">
        <f t="shared" si="40"/>
        <v>6.7527596509196555E-2</v>
      </c>
      <c r="I147" s="103">
        <f t="shared" si="40"/>
        <v>6.1691684818416984E-2</v>
      </c>
      <c r="J147" s="103">
        <f t="shared" si="40"/>
        <v>5.574963196637666E-2</v>
      </c>
      <c r="K147" s="103">
        <f t="shared" si="40"/>
        <v>5.4407882338568227E-2</v>
      </c>
      <c r="L147" s="103">
        <f t="shared" si="41"/>
        <v>5.0289163926161624E-2</v>
      </c>
      <c r="M147" s="103">
        <f t="shared" si="40"/>
        <v>5.0306221162408134E-2</v>
      </c>
      <c r="N147" s="103">
        <f t="shared" si="40"/>
        <v>5.1794691160822803E-2</v>
      </c>
      <c r="O147" s="103">
        <f t="shared" si="40"/>
        <v>5.6104024733571289E-2</v>
      </c>
      <c r="P147" s="103">
        <f t="shared" si="40"/>
        <v>5.7251120726431216E-2</v>
      </c>
      <c r="Q147" s="103">
        <f t="shared" si="40"/>
        <v>6.3207560746528779E-2</v>
      </c>
      <c r="R147" s="103">
        <f t="shared" ref="R147:V147" si="43">IF(R29=0,0,R29/R$17)</f>
        <v>5.5820002359814935E-2</v>
      </c>
      <c r="S147" s="103">
        <f t="shared" si="43"/>
        <v>4.7183443024543678E-2</v>
      </c>
      <c r="T147" s="103">
        <f t="shared" si="43"/>
        <v>4.2637610656886912E-2</v>
      </c>
      <c r="U147" s="103">
        <f t="shared" si="43"/>
        <v>4.3522233993115916E-2</v>
      </c>
      <c r="V147" s="103">
        <f t="shared" si="43"/>
        <v>4.4360044771591979E-2</v>
      </c>
      <c r="W147" s="103">
        <f t="shared" ref="W147:Y147" si="44">IF(W29=0,0,W29/W$17)</f>
        <v>4.0155302882886074E-2</v>
      </c>
      <c r="X147" s="103">
        <f t="shared" si="44"/>
        <v>3.8463686704207994E-2</v>
      </c>
      <c r="Y147" s="103">
        <f t="shared" si="44"/>
        <v>3.7604891358645913E-2</v>
      </c>
      <c r="DA147" s="191"/>
    </row>
    <row r="148" spans="1:105" ht="11.45" customHeight="1" x14ac:dyDescent="0.25">
      <c r="A148" s="157" t="s">
        <v>112</v>
      </c>
      <c r="B148" s="103">
        <f t="shared" ref="B148:K148" si="45">IF(B30=0,0,B30/B$17)</f>
        <v>1.1696185815321762E-3</v>
      </c>
      <c r="C148" s="103">
        <f t="shared" si="45"/>
        <v>1.0580888704405452E-3</v>
      </c>
      <c r="D148" s="103">
        <f t="shared" si="45"/>
        <v>9.7333601016423685E-4</v>
      </c>
      <c r="E148" s="103">
        <f t="shared" si="45"/>
        <v>7.8664299400677516E-4</v>
      </c>
      <c r="F148" s="103">
        <f t="shared" si="45"/>
        <v>1.771066403806697E-3</v>
      </c>
      <c r="G148" s="103">
        <f t="shared" si="45"/>
        <v>1.4796796538096874E-3</v>
      </c>
      <c r="H148" s="103">
        <f t="shared" si="45"/>
        <v>1.2446554485757773E-3</v>
      </c>
      <c r="I148" s="103">
        <f t="shared" si="45"/>
        <v>1.0404040252657706E-3</v>
      </c>
      <c r="J148" s="103">
        <f t="shared" si="45"/>
        <v>9.2333940873044599E-4</v>
      </c>
      <c r="K148" s="103">
        <f t="shared" si="45"/>
        <v>8.3468770939244743E-4</v>
      </c>
      <c r="L148" s="103">
        <f t="shared" ref="L148:L150" si="46">IF(L30=0,0,L30/L$17)</f>
        <v>7.2553158451412847E-4</v>
      </c>
      <c r="M148" s="103">
        <f t="shared" ref="M148:V148" si="47">IF(M30=0,0,M30/M$17)</f>
        <v>6.571647303892196E-4</v>
      </c>
      <c r="N148" s="103">
        <f t="shared" si="47"/>
        <v>6.2987620356523425E-4</v>
      </c>
      <c r="O148" s="103">
        <f t="shared" si="47"/>
        <v>6.165894410284082E-4</v>
      </c>
      <c r="P148" s="103">
        <f t="shared" si="47"/>
        <v>5.5517343200395925E-4</v>
      </c>
      <c r="Q148" s="103">
        <f t="shared" si="47"/>
        <v>4.7508570360333367E-4</v>
      </c>
      <c r="R148" s="103">
        <f t="shared" si="47"/>
        <v>3.7583482106583784E-4</v>
      </c>
      <c r="S148" s="103">
        <f t="shared" si="47"/>
        <v>3.0726406564653196E-4</v>
      </c>
      <c r="T148" s="103">
        <f t="shared" si="47"/>
        <v>2.8406601822337347E-4</v>
      </c>
      <c r="U148" s="103">
        <f t="shared" si="47"/>
        <v>2.8492391571041903E-4</v>
      </c>
      <c r="V148" s="103">
        <f t="shared" si="47"/>
        <v>2.8904271656314572E-4</v>
      </c>
      <c r="W148" s="103">
        <f t="shared" ref="W148:Y148" si="48">IF(W30=0,0,W30/W$17)</f>
        <v>2.6682263266752612E-4</v>
      </c>
      <c r="X148" s="103">
        <f t="shared" si="48"/>
        <v>2.5999391971886333E-4</v>
      </c>
      <c r="Y148" s="103">
        <f t="shared" si="48"/>
        <v>2.5314832228474422E-4</v>
      </c>
      <c r="DA148" s="191"/>
    </row>
    <row r="149" spans="1:105" ht="11.45" customHeight="1" x14ac:dyDescent="0.25">
      <c r="A149" s="157" t="s">
        <v>113</v>
      </c>
      <c r="B149" s="103">
        <f t="shared" ref="B149:K149" si="49">IF(B31=0,0,B31/B$17)</f>
        <v>0</v>
      </c>
      <c r="C149" s="103">
        <f t="shared" si="49"/>
        <v>0</v>
      </c>
      <c r="D149" s="103">
        <f t="shared" si="49"/>
        <v>0</v>
      </c>
      <c r="E149" s="103">
        <f t="shared" si="49"/>
        <v>0</v>
      </c>
      <c r="F149" s="103">
        <f t="shared" si="49"/>
        <v>0</v>
      </c>
      <c r="G149" s="103">
        <f t="shared" si="49"/>
        <v>0</v>
      </c>
      <c r="H149" s="103">
        <f t="shared" si="49"/>
        <v>0</v>
      </c>
      <c r="I149" s="103">
        <f t="shared" si="49"/>
        <v>0</v>
      </c>
      <c r="J149" s="103">
        <f t="shared" si="49"/>
        <v>0</v>
      </c>
      <c r="K149" s="103">
        <f t="shared" si="49"/>
        <v>0</v>
      </c>
      <c r="L149" s="103">
        <f t="shared" si="46"/>
        <v>0</v>
      </c>
      <c r="M149" s="103">
        <f t="shared" ref="M149:V149" si="50">IF(M31=0,0,M31/M$17)</f>
        <v>0</v>
      </c>
      <c r="N149" s="103">
        <f t="shared" si="50"/>
        <v>0</v>
      </c>
      <c r="O149" s="103">
        <f t="shared" si="50"/>
        <v>0</v>
      </c>
      <c r="P149" s="103">
        <f t="shared" si="50"/>
        <v>0</v>
      </c>
      <c r="Q149" s="103">
        <f t="shared" si="50"/>
        <v>5.7570007336128E-4</v>
      </c>
      <c r="R149" s="103">
        <f t="shared" si="50"/>
        <v>3.8256235650139641E-4</v>
      </c>
      <c r="S149" s="103">
        <f t="shared" si="50"/>
        <v>1.8048687696461821E-4</v>
      </c>
      <c r="T149" s="103">
        <f t="shared" si="50"/>
        <v>2.2295859204734183E-4</v>
      </c>
      <c r="U149" s="103">
        <f t="shared" si="50"/>
        <v>3.7735090512779502E-4</v>
      </c>
      <c r="V149" s="103">
        <f t="shared" si="50"/>
        <v>5.3099321768622105E-4</v>
      </c>
      <c r="W149" s="103">
        <f t="shared" ref="W149:Y149" si="51">IF(W31=0,0,W31/W$17)</f>
        <v>8.0819622568809707E-4</v>
      </c>
      <c r="X149" s="103">
        <f t="shared" si="51"/>
        <v>1.1658460100623319E-3</v>
      </c>
      <c r="Y149" s="103">
        <f t="shared" si="51"/>
        <v>1.1927104496115655E-3</v>
      </c>
      <c r="DA149" s="191"/>
    </row>
    <row r="150" spans="1:105" ht="11.45" customHeight="1" x14ac:dyDescent="0.25">
      <c r="A150" s="157" t="s">
        <v>115</v>
      </c>
      <c r="B150" s="103">
        <f t="shared" ref="B150:K150" si="52">IF(B32=0,0,B32/B$17)</f>
        <v>0</v>
      </c>
      <c r="C150" s="103">
        <f t="shared" si="52"/>
        <v>0</v>
      </c>
      <c r="D150" s="103">
        <f t="shared" si="52"/>
        <v>0</v>
      </c>
      <c r="E150" s="103">
        <f t="shared" si="52"/>
        <v>0</v>
      </c>
      <c r="F150" s="103">
        <f t="shared" si="52"/>
        <v>0</v>
      </c>
      <c r="G150" s="103">
        <f t="shared" si="52"/>
        <v>0</v>
      </c>
      <c r="H150" s="103">
        <f t="shared" si="52"/>
        <v>0</v>
      </c>
      <c r="I150" s="103">
        <f t="shared" si="52"/>
        <v>0</v>
      </c>
      <c r="J150" s="103">
        <f t="shared" si="52"/>
        <v>0</v>
      </c>
      <c r="K150" s="103">
        <f t="shared" si="52"/>
        <v>0</v>
      </c>
      <c r="L150" s="103">
        <f t="shared" si="46"/>
        <v>0</v>
      </c>
      <c r="M150" s="103">
        <f t="shared" ref="M150:V150" si="53">IF(M32=0,0,M32/M$17)</f>
        <v>0</v>
      </c>
      <c r="N150" s="103">
        <f t="shared" si="53"/>
        <v>0</v>
      </c>
      <c r="O150" s="103">
        <f t="shared" si="53"/>
        <v>0</v>
      </c>
      <c r="P150" s="103">
        <f t="shared" si="53"/>
        <v>0</v>
      </c>
      <c r="Q150" s="103">
        <f t="shared" si="53"/>
        <v>0</v>
      </c>
      <c r="R150" s="103">
        <f t="shared" si="53"/>
        <v>0</v>
      </c>
      <c r="S150" s="103">
        <f t="shared" si="53"/>
        <v>0</v>
      </c>
      <c r="T150" s="103">
        <f t="shared" si="53"/>
        <v>0</v>
      </c>
      <c r="U150" s="103">
        <f t="shared" si="53"/>
        <v>0</v>
      </c>
      <c r="V150" s="103">
        <f t="shared" si="53"/>
        <v>0</v>
      </c>
      <c r="W150" s="103">
        <f t="shared" ref="W150:Y150" si="54">IF(W32=0,0,W32/W$17)</f>
        <v>0</v>
      </c>
      <c r="X150" s="103">
        <f t="shared" si="54"/>
        <v>0</v>
      </c>
      <c r="Y150" s="103">
        <f t="shared" si="54"/>
        <v>0</v>
      </c>
      <c r="DA150" s="191"/>
    </row>
    <row r="151" spans="1:105" ht="11.45" customHeight="1" x14ac:dyDescent="0.25">
      <c r="A151" s="27" t="s">
        <v>34</v>
      </c>
      <c r="B151" s="46">
        <f t="shared" ref="B151:K151" si="55">IF(B33=0,0,B33/B$17)</f>
        <v>0.3024746463657853</v>
      </c>
      <c r="C151" s="46">
        <f t="shared" si="55"/>
        <v>0.31940955790912356</v>
      </c>
      <c r="D151" s="46">
        <f t="shared" si="55"/>
        <v>0.30891389124273672</v>
      </c>
      <c r="E151" s="46">
        <f t="shared" si="55"/>
        <v>0.34185261462416916</v>
      </c>
      <c r="F151" s="46">
        <f t="shared" si="55"/>
        <v>0.3543750481507188</v>
      </c>
      <c r="G151" s="46">
        <f t="shared" si="55"/>
        <v>0.39943321755164457</v>
      </c>
      <c r="H151" s="46">
        <f t="shared" si="55"/>
        <v>0.40125277104496521</v>
      </c>
      <c r="I151" s="46">
        <f t="shared" si="55"/>
        <v>0.4077331928959454</v>
      </c>
      <c r="J151" s="46">
        <f t="shared" si="55"/>
        <v>0.40618832628213331</v>
      </c>
      <c r="K151" s="46">
        <f t="shared" si="55"/>
        <v>0.39533694836325944</v>
      </c>
      <c r="L151" s="46">
        <f t="shared" ref="L151" si="56">IF(L33=0,0,L33/L$17)</f>
        <v>0.40262703114412285</v>
      </c>
      <c r="M151" s="46">
        <f t="shared" ref="M151:V151" si="57">IF(M33=0,0,M33/M$17)</f>
        <v>0.40334078417745195</v>
      </c>
      <c r="N151" s="46">
        <f t="shared" si="57"/>
        <v>0.38074622661109714</v>
      </c>
      <c r="O151" s="46">
        <f t="shared" si="57"/>
        <v>0.36866563955606274</v>
      </c>
      <c r="P151" s="46">
        <f t="shared" si="57"/>
        <v>0.37065571385364998</v>
      </c>
      <c r="Q151" s="46">
        <f t="shared" si="57"/>
        <v>0.36494773613075421</v>
      </c>
      <c r="R151" s="46">
        <f t="shared" si="57"/>
        <v>0.3972440541027889</v>
      </c>
      <c r="S151" s="46">
        <f t="shared" si="57"/>
        <v>0.42501629716900996</v>
      </c>
      <c r="T151" s="46">
        <f t="shared" si="57"/>
        <v>0.42114610128465813</v>
      </c>
      <c r="U151" s="46">
        <f t="shared" si="57"/>
        <v>0.41574449960949533</v>
      </c>
      <c r="V151" s="46">
        <f t="shared" si="57"/>
        <v>0.41338048440807945</v>
      </c>
      <c r="W151" s="46">
        <f t="shared" ref="W151:Y151" si="58">IF(W33=0,0,W33/W$17)</f>
        <v>0.46196900778884925</v>
      </c>
      <c r="X151" s="46">
        <f t="shared" si="58"/>
        <v>0.45664763188864477</v>
      </c>
      <c r="Y151" s="46">
        <f t="shared" si="58"/>
        <v>0.45037896675980471</v>
      </c>
      <c r="DA151" s="211"/>
    </row>
    <row r="152" spans="1:105" ht="11.45" customHeight="1" x14ac:dyDescent="0.25">
      <c r="A152" s="153" t="s">
        <v>153</v>
      </c>
      <c r="B152" s="154">
        <f t="shared" ref="B152:K152" si="59">IF(B34=0,0,B34/B$17)</f>
        <v>0.21760159412033422</v>
      </c>
      <c r="C152" s="154">
        <f t="shared" si="59"/>
        <v>0.20820524388907177</v>
      </c>
      <c r="D152" s="154">
        <f t="shared" si="59"/>
        <v>0.22226387475441678</v>
      </c>
      <c r="E152" s="154">
        <f t="shared" si="59"/>
        <v>0.2077287326058479</v>
      </c>
      <c r="F152" s="154">
        <f t="shared" si="59"/>
        <v>0.17722172131872097</v>
      </c>
      <c r="G152" s="154">
        <f t="shared" si="59"/>
        <v>0.16731664832623197</v>
      </c>
      <c r="H152" s="154">
        <f t="shared" si="59"/>
        <v>0.15764232154979368</v>
      </c>
      <c r="I152" s="154">
        <f t="shared" si="59"/>
        <v>0.14649813771660594</v>
      </c>
      <c r="J152" s="154">
        <f t="shared" si="59"/>
        <v>0.14394986251149558</v>
      </c>
      <c r="K152" s="154">
        <f t="shared" si="59"/>
        <v>0.14656520736648701</v>
      </c>
      <c r="L152" s="154">
        <f t="shared" ref="L152" si="60">IF(L34=0,0,L34/L$17)</f>
        <v>0.14458040723901974</v>
      </c>
      <c r="M152" s="154">
        <f t="shared" ref="M152:V152" si="61">IF(M34=0,0,M34/M$17)</f>
        <v>0.1492291657656982</v>
      </c>
      <c r="N152" s="154">
        <f t="shared" si="61"/>
        <v>0.15560288740567457</v>
      </c>
      <c r="O152" s="154">
        <f t="shared" si="61"/>
        <v>0.17005106895529751</v>
      </c>
      <c r="P152" s="154">
        <f t="shared" si="61"/>
        <v>0.16823014344535261</v>
      </c>
      <c r="Q152" s="154">
        <f t="shared" si="61"/>
        <v>0.16087811554056</v>
      </c>
      <c r="R152" s="154">
        <f t="shared" si="61"/>
        <v>0.15065987797566344</v>
      </c>
      <c r="S152" s="154">
        <f t="shared" si="61"/>
        <v>0.13410021696502269</v>
      </c>
      <c r="T152" s="154">
        <f t="shared" si="61"/>
        <v>0.13504119506013698</v>
      </c>
      <c r="U152" s="154">
        <f t="shared" si="61"/>
        <v>0.13725387740166484</v>
      </c>
      <c r="V152" s="154">
        <f t="shared" si="61"/>
        <v>0.14442530790529404</v>
      </c>
      <c r="W152" s="154">
        <f t="shared" ref="W152:Y152" si="62">IF(W34=0,0,W34/W$17)</f>
        <v>0.13781962697041933</v>
      </c>
      <c r="X152" s="154">
        <f t="shared" si="62"/>
        <v>0.1353162822638739</v>
      </c>
      <c r="Y152" s="154">
        <f t="shared" si="62"/>
        <v>0.13746757374534824</v>
      </c>
      <c r="DA152" s="212"/>
    </row>
    <row r="153" spans="1:105" ht="11.45" customHeight="1" x14ac:dyDescent="0.25">
      <c r="A153" s="157" t="s">
        <v>110</v>
      </c>
      <c r="B153" s="103">
        <f t="shared" ref="B153:K153" si="63">IF(B35=0,0,B35/B$17)</f>
        <v>0.11592536806890778</v>
      </c>
      <c r="C153" s="103">
        <f t="shared" si="63"/>
        <v>0.11245643783367526</v>
      </c>
      <c r="D153" s="103">
        <f t="shared" si="63"/>
        <v>0.1051525300828378</v>
      </c>
      <c r="E153" s="103">
        <f t="shared" si="63"/>
        <v>9.2640817190911301E-2</v>
      </c>
      <c r="F153" s="103">
        <f t="shared" si="63"/>
        <v>7.3483482738992065E-2</v>
      </c>
      <c r="G153" s="103">
        <f t="shared" si="63"/>
        <v>6.0131819603714776E-2</v>
      </c>
      <c r="H153" s="103">
        <f t="shared" si="63"/>
        <v>4.9980927677974796E-2</v>
      </c>
      <c r="I153" s="103">
        <f t="shared" si="63"/>
        <v>4.0470604819881593E-2</v>
      </c>
      <c r="J153" s="103">
        <f t="shared" si="63"/>
        <v>3.4979246667931251E-2</v>
      </c>
      <c r="K153" s="103">
        <f t="shared" si="63"/>
        <v>3.462907072837984E-2</v>
      </c>
      <c r="L153" s="103">
        <f t="shared" ref="L153" si="64">IF(L35=0,0,L35/L$17)</f>
        <v>3.1204489556154506E-2</v>
      </c>
      <c r="M153" s="103">
        <f t="shared" ref="M153:V153" si="65">IF(M35=0,0,M35/M$17)</f>
        <v>2.8238951691226546E-2</v>
      </c>
      <c r="N153" s="103">
        <f t="shared" si="65"/>
        <v>2.7503493407634104E-2</v>
      </c>
      <c r="O153" s="103">
        <f t="shared" si="65"/>
        <v>2.7340856526888408E-2</v>
      </c>
      <c r="P153" s="103">
        <f t="shared" si="65"/>
        <v>2.474015001360777E-2</v>
      </c>
      <c r="Q153" s="103">
        <f t="shared" si="65"/>
        <v>2.0401196335418322E-2</v>
      </c>
      <c r="R153" s="103">
        <f t="shared" si="65"/>
        <v>1.7713544531280628E-2</v>
      </c>
      <c r="S153" s="103">
        <f t="shared" si="65"/>
        <v>1.5801625991770828E-2</v>
      </c>
      <c r="T153" s="103">
        <f t="shared" si="65"/>
        <v>1.5220865261131008E-2</v>
      </c>
      <c r="U153" s="103">
        <f t="shared" si="65"/>
        <v>1.5099101517354767E-2</v>
      </c>
      <c r="V153" s="103">
        <f t="shared" si="65"/>
        <v>1.4474005136657277E-2</v>
      </c>
      <c r="W153" s="103">
        <f t="shared" ref="W153:Y153" si="66">IF(W35=0,0,W35/W$17)</f>
        <v>1.3375475353960463E-2</v>
      </c>
      <c r="X153" s="103">
        <f t="shared" si="66"/>
        <v>1.3634766313836756E-2</v>
      </c>
      <c r="Y153" s="103">
        <f t="shared" si="66"/>
        <v>1.3486356808184958E-2</v>
      </c>
      <c r="DA153" s="191"/>
    </row>
    <row r="154" spans="1:105" ht="11.45" customHeight="1" x14ac:dyDescent="0.25">
      <c r="A154" s="157" t="s">
        <v>111</v>
      </c>
      <c r="B154" s="103">
        <f t="shared" ref="B154:K154" si="67">IF(B36=0,0,B36/B$17)</f>
        <v>9.7673383189743029E-2</v>
      </c>
      <c r="C154" s="103">
        <f t="shared" si="67"/>
        <v>9.1259361712421314E-2</v>
      </c>
      <c r="D154" s="103">
        <f t="shared" si="67"/>
        <v>0.11092764318165722</v>
      </c>
      <c r="E154" s="103">
        <f t="shared" si="67"/>
        <v>0.10847220370006433</v>
      </c>
      <c r="F154" s="103">
        <f t="shared" si="67"/>
        <v>9.7739846503053035E-2</v>
      </c>
      <c r="G154" s="103">
        <f t="shared" si="67"/>
        <v>0.10116697035448013</v>
      </c>
      <c r="H154" s="103">
        <f t="shared" si="67"/>
        <v>0.10129072900439838</v>
      </c>
      <c r="I154" s="103">
        <f t="shared" si="67"/>
        <v>9.9876310452581774E-2</v>
      </c>
      <c r="J154" s="103">
        <f t="shared" si="67"/>
        <v>0.10283063846790655</v>
      </c>
      <c r="K154" s="103">
        <f t="shared" si="67"/>
        <v>0.10579357435164988</v>
      </c>
      <c r="L154" s="103">
        <f t="shared" ref="L154" si="68">IF(L36=0,0,L36/L$17)</f>
        <v>0.10740544564545988</v>
      </c>
      <c r="M154" s="103">
        <f t="shared" ref="M154:V154" si="69">IF(M36=0,0,M36/M$17)</f>
        <v>0.11491835165672802</v>
      </c>
      <c r="N154" s="103">
        <f t="shared" si="69"/>
        <v>0.12237031656288301</v>
      </c>
      <c r="O154" s="103">
        <f t="shared" si="69"/>
        <v>0.13663152756201485</v>
      </c>
      <c r="P154" s="103">
        <f t="shared" si="69"/>
        <v>0.13689404617340475</v>
      </c>
      <c r="Q154" s="103">
        <f t="shared" si="69"/>
        <v>0.13416002139713604</v>
      </c>
      <c r="R154" s="103">
        <f t="shared" si="69"/>
        <v>0.12741342339009959</v>
      </c>
      <c r="S154" s="103">
        <f t="shared" si="69"/>
        <v>0.1136733329960643</v>
      </c>
      <c r="T154" s="103">
        <f t="shared" si="69"/>
        <v>0.11512629120281809</v>
      </c>
      <c r="U154" s="103">
        <f t="shared" si="69"/>
        <v>0.1175268656995986</v>
      </c>
      <c r="V154" s="103">
        <f t="shared" si="69"/>
        <v>0.12532156566406219</v>
      </c>
      <c r="W154" s="103">
        <f t="shared" ref="W154:Y154" si="70">IF(W36=0,0,W36/W$17)</f>
        <v>0.12019499801167878</v>
      </c>
      <c r="X154" s="103">
        <f t="shared" si="70"/>
        <v>0.11773612085077445</v>
      </c>
      <c r="Y154" s="103">
        <f t="shared" si="70"/>
        <v>0.1199961590370178</v>
      </c>
      <c r="DA154" s="191"/>
    </row>
    <row r="155" spans="1:105" ht="11.45" customHeight="1" x14ac:dyDescent="0.25">
      <c r="A155" s="157" t="s">
        <v>112</v>
      </c>
      <c r="B155" s="103">
        <f t="shared" ref="B155:K155" si="71">IF(B37=0,0,B37/B$17)</f>
        <v>4.002842861683442E-3</v>
      </c>
      <c r="C155" s="103">
        <f t="shared" si="71"/>
        <v>4.4894443429752094E-3</v>
      </c>
      <c r="D155" s="103">
        <f t="shared" si="71"/>
        <v>6.1837014899217505E-3</v>
      </c>
      <c r="E155" s="103">
        <f t="shared" si="71"/>
        <v>6.6157117148722489E-3</v>
      </c>
      <c r="F155" s="103">
        <f t="shared" si="71"/>
        <v>5.9983920766758488E-3</v>
      </c>
      <c r="G155" s="103">
        <f t="shared" si="71"/>
        <v>6.0178583680370627E-3</v>
      </c>
      <c r="H155" s="103">
        <f t="shared" si="71"/>
        <v>6.3706648674205155E-3</v>
      </c>
      <c r="I155" s="103">
        <f t="shared" si="71"/>
        <v>6.1512224441425921E-3</v>
      </c>
      <c r="J155" s="103">
        <f t="shared" si="71"/>
        <v>6.1399773756577788E-3</v>
      </c>
      <c r="K155" s="103">
        <f t="shared" si="71"/>
        <v>6.1425622864572978E-3</v>
      </c>
      <c r="L155" s="103">
        <f t="shared" ref="L155" si="72">IF(L37=0,0,L37/L$17)</f>
        <v>5.9704720374053645E-3</v>
      </c>
      <c r="M155" s="103">
        <f t="shared" ref="M155:V155" si="73">IF(M37=0,0,M37/M$17)</f>
        <v>6.0718624177436356E-3</v>
      </c>
      <c r="N155" s="103">
        <f t="shared" si="73"/>
        <v>5.72907743515745E-3</v>
      </c>
      <c r="O155" s="103">
        <f t="shared" si="73"/>
        <v>6.0786848663942697E-3</v>
      </c>
      <c r="P155" s="103">
        <f t="shared" si="73"/>
        <v>6.5959472583400998E-3</v>
      </c>
      <c r="Q155" s="103">
        <f t="shared" si="73"/>
        <v>6.1985710190077606E-3</v>
      </c>
      <c r="R155" s="103">
        <f t="shared" si="73"/>
        <v>5.4103210699676827E-3</v>
      </c>
      <c r="S155" s="103">
        <f t="shared" si="73"/>
        <v>4.5231549695080716E-3</v>
      </c>
      <c r="T155" s="103">
        <f t="shared" si="73"/>
        <v>4.5908637732565965E-3</v>
      </c>
      <c r="U155" s="103">
        <f t="shared" si="73"/>
        <v>4.5260877595342244E-3</v>
      </c>
      <c r="V155" s="103">
        <f t="shared" si="73"/>
        <v>4.5521190885853711E-3</v>
      </c>
      <c r="W155" s="103">
        <f t="shared" ref="W155:Y155" si="74">IF(W37=0,0,W37/W$17)</f>
        <v>4.184781084612817E-3</v>
      </c>
      <c r="X155" s="103">
        <f t="shared" si="74"/>
        <v>3.8865265708646238E-3</v>
      </c>
      <c r="Y155" s="103">
        <f t="shared" si="74"/>
        <v>3.9277102831724508E-3</v>
      </c>
      <c r="DA155" s="191"/>
    </row>
    <row r="156" spans="1:105" ht="11.45" customHeight="1" x14ac:dyDescent="0.25">
      <c r="A156" s="157" t="s">
        <v>113</v>
      </c>
      <c r="B156" s="103">
        <f t="shared" ref="B156:K156" si="75">IF(B38=0,0,B38/B$17)</f>
        <v>0</v>
      </c>
      <c r="C156" s="103">
        <f t="shared" si="75"/>
        <v>0</v>
      </c>
      <c r="D156" s="103">
        <f t="shared" si="75"/>
        <v>0</v>
      </c>
      <c r="E156" s="103">
        <f t="shared" si="75"/>
        <v>0</v>
      </c>
      <c r="F156" s="103">
        <f t="shared" si="75"/>
        <v>0</v>
      </c>
      <c r="G156" s="103">
        <f t="shared" si="75"/>
        <v>0</v>
      </c>
      <c r="H156" s="103">
        <f t="shared" si="75"/>
        <v>0</v>
      </c>
      <c r="I156" s="103">
        <f t="shared" si="75"/>
        <v>0</v>
      </c>
      <c r="J156" s="103">
        <f t="shared" si="75"/>
        <v>0</v>
      </c>
      <c r="K156" s="103">
        <f t="shared" si="75"/>
        <v>0</v>
      </c>
      <c r="L156" s="103">
        <f t="shared" ref="L156" si="76">IF(L38=0,0,L38/L$17)</f>
        <v>0</v>
      </c>
      <c r="M156" s="103">
        <f t="shared" ref="M156:V156" si="77">IF(M38=0,0,M38/M$17)</f>
        <v>0</v>
      </c>
      <c r="N156" s="103">
        <f t="shared" si="77"/>
        <v>0</v>
      </c>
      <c r="O156" s="103">
        <f t="shared" si="77"/>
        <v>0</v>
      </c>
      <c r="P156" s="103">
        <f t="shared" si="77"/>
        <v>0</v>
      </c>
      <c r="Q156" s="103">
        <f t="shared" si="77"/>
        <v>1.1832678899785546E-4</v>
      </c>
      <c r="R156" s="103">
        <f t="shared" si="77"/>
        <v>1.2258898431556257E-4</v>
      </c>
      <c r="S156" s="103">
        <f t="shared" si="77"/>
        <v>1.0210300767949283E-4</v>
      </c>
      <c r="T156" s="103">
        <f t="shared" si="77"/>
        <v>1.031748229312997E-4</v>
      </c>
      <c r="U156" s="103">
        <f t="shared" si="77"/>
        <v>1.0182242517725164E-4</v>
      </c>
      <c r="V156" s="103">
        <f t="shared" si="77"/>
        <v>7.7618015989185102E-5</v>
      </c>
      <c r="W156" s="103">
        <f t="shared" ref="W156:Y156" si="78">IF(W38=0,0,W38/W$17)</f>
        <v>6.4372520167276521E-5</v>
      </c>
      <c r="X156" s="103">
        <f t="shared" si="78"/>
        <v>5.8868528398069263E-5</v>
      </c>
      <c r="Y156" s="103">
        <f t="shared" si="78"/>
        <v>5.7347616973007031E-5</v>
      </c>
      <c r="DA156" s="191"/>
    </row>
    <row r="157" spans="1:105" ht="11.45" customHeight="1" x14ac:dyDescent="0.25">
      <c r="A157" s="157" t="s">
        <v>115</v>
      </c>
      <c r="B157" s="103">
        <f t="shared" ref="B157:K157" si="79">IF(B39=0,0,B39/B$17)</f>
        <v>0</v>
      </c>
      <c r="C157" s="103">
        <f t="shared" si="79"/>
        <v>0</v>
      </c>
      <c r="D157" s="103">
        <f t="shared" si="79"/>
        <v>0</v>
      </c>
      <c r="E157" s="103">
        <f t="shared" si="79"/>
        <v>0</v>
      </c>
      <c r="F157" s="103">
        <f t="shared" si="79"/>
        <v>0</v>
      </c>
      <c r="G157" s="103">
        <f t="shared" si="79"/>
        <v>0</v>
      </c>
      <c r="H157" s="103">
        <f t="shared" si="79"/>
        <v>0</v>
      </c>
      <c r="I157" s="103">
        <f t="shared" si="79"/>
        <v>0</v>
      </c>
      <c r="J157" s="103">
        <f t="shared" si="79"/>
        <v>0</v>
      </c>
      <c r="K157" s="103">
        <f t="shared" si="79"/>
        <v>0</v>
      </c>
      <c r="L157" s="103">
        <f t="shared" ref="L157" si="80">IF(L39=0,0,L39/L$17)</f>
        <v>0</v>
      </c>
      <c r="M157" s="103">
        <f t="shared" ref="M157:V157" si="81">IF(M39=0,0,M39/M$17)</f>
        <v>0</v>
      </c>
      <c r="N157" s="103">
        <f t="shared" si="81"/>
        <v>0</v>
      </c>
      <c r="O157" s="103">
        <f t="shared" si="81"/>
        <v>0</v>
      </c>
      <c r="P157" s="103">
        <f t="shared" si="81"/>
        <v>0</v>
      </c>
      <c r="Q157" s="103">
        <f t="shared" si="81"/>
        <v>0</v>
      </c>
      <c r="R157" s="103">
        <f t="shared" si="81"/>
        <v>0</v>
      </c>
      <c r="S157" s="103">
        <f t="shared" si="81"/>
        <v>0</v>
      </c>
      <c r="T157" s="103">
        <f t="shared" si="81"/>
        <v>0</v>
      </c>
      <c r="U157" s="103">
        <f t="shared" si="81"/>
        <v>0</v>
      </c>
      <c r="V157" s="103">
        <f t="shared" si="81"/>
        <v>0</v>
      </c>
      <c r="W157" s="103">
        <f t="shared" ref="W157:Y157" si="82">IF(W39=0,0,W39/W$17)</f>
        <v>0</v>
      </c>
      <c r="X157" s="103">
        <f t="shared" si="82"/>
        <v>0</v>
      </c>
      <c r="Y157" s="103">
        <f t="shared" si="82"/>
        <v>0</v>
      </c>
      <c r="DA157" s="191"/>
    </row>
    <row r="158" spans="1:105" ht="11.45" customHeight="1" x14ac:dyDescent="0.25">
      <c r="A158" s="155" t="s">
        <v>154</v>
      </c>
      <c r="B158" s="156">
        <f t="shared" ref="B158:K158" si="83">IF(B40=0,0,B40/B$17)</f>
        <v>8.4873052245451067E-2</v>
      </c>
      <c r="C158" s="156">
        <f t="shared" si="83"/>
        <v>0.11120431402005175</v>
      </c>
      <c r="D158" s="156">
        <f t="shared" si="83"/>
        <v>8.6650016488319909E-2</v>
      </c>
      <c r="E158" s="156">
        <f t="shared" si="83"/>
        <v>0.13412388201832132</v>
      </c>
      <c r="F158" s="156">
        <f t="shared" si="83"/>
        <v>0.17715332683199786</v>
      </c>
      <c r="G158" s="156">
        <f t="shared" si="83"/>
        <v>0.23211656922541257</v>
      </c>
      <c r="H158" s="156">
        <f t="shared" si="83"/>
        <v>0.24361044949517149</v>
      </c>
      <c r="I158" s="156">
        <f t="shared" si="83"/>
        <v>0.26123505517933937</v>
      </c>
      <c r="J158" s="156">
        <f t="shared" si="83"/>
        <v>0.2622384637706377</v>
      </c>
      <c r="K158" s="156">
        <f t="shared" si="83"/>
        <v>0.24877174099677249</v>
      </c>
      <c r="L158" s="156">
        <f t="shared" ref="L158" si="84">IF(L40=0,0,L40/L$17)</f>
        <v>0.25804662390510313</v>
      </c>
      <c r="M158" s="156">
        <f t="shared" ref="M158:V158" si="85">IF(M40=0,0,M40/M$17)</f>
        <v>0.25411161841175373</v>
      </c>
      <c r="N158" s="156">
        <f t="shared" si="85"/>
        <v>0.22514333920542257</v>
      </c>
      <c r="O158" s="156">
        <f t="shared" si="85"/>
        <v>0.19861457060076523</v>
      </c>
      <c r="P158" s="156">
        <f t="shared" si="85"/>
        <v>0.20242557040829734</v>
      </c>
      <c r="Q158" s="156">
        <f t="shared" si="85"/>
        <v>0.20406962059019426</v>
      </c>
      <c r="R158" s="156">
        <f t="shared" si="85"/>
        <v>0.24658417612712544</v>
      </c>
      <c r="S158" s="156">
        <f t="shared" si="85"/>
        <v>0.29091608020398724</v>
      </c>
      <c r="T158" s="156">
        <f t="shared" si="85"/>
        <v>0.28610490622452112</v>
      </c>
      <c r="U158" s="156">
        <f t="shared" si="85"/>
        <v>0.2784906222078305</v>
      </c>
      <c r="V158" s="156">
        <f t="shared" si="85"/>
        <v>0.26895517650278539</v>
      </c>
      <c r="W158" s="156">
        <f t="shared" ref="W158:Y158" si="86">IF(W40=0,0,W40/W$17)</f>
        <v>0.32414938081842998</v>
      </c>
      <c r="X158" s="156">
        <f t="shared" si="86"/>
        <v>0.32133134962477089</v>
      </c>
      <c r="Y158" s="156">
        <f t="shared" si="86"/>
        <v>0.31291139301445653</v>
      </c>
      <c r="DA158" s="213"/>
    </row>
    <row r="159" spans="1:105" ht="11.45" customHeight="1" x14ac:dyDescent="0.25">
      <c r="A159" s="157" t="s">
        <v>27</v>
      </c>
      <c r="B159" s="103">
        <f t="shared" ref="B159:K159" si="87">IF(B41=0,0,B41/B$17)</f>
        <v>6.4735828374121979E-2</v>
      </c>
      <c r="C159" s="103">
        <f t="shared" si="87"/>
        <v>8.4166171479946622E-2</v>
      </c>
      <c r="D159" s="103">
        <f t="shared" si="87"/>
        <v>6.5497982585714279E-2</v>
      </c>
      <c r="E159" s="103">
        <f t="shared" si="87"/>
        <v>0.10266438004077245</v>
      </c>
      <c r="F159" s="103">
        <f t="shared" si="87"/>
        <v>0.13533275132770858</v>
      </c>
      <c r="G159" s="103">
        <f t="shared" si="87"/>
        <v>0.17811105350117032</v>
      </c>
      <c r="H159" s="103">
        <f t="shared" si="87"/>
        <v>0.17783728918016262</v>
      </c>
      <c r="I159" s="103">
        <f t="shared" si="87"/>
        <v>0.19914413829155231</v>
      </c>
      <c r="J159" s="103">
        <f t="shared" si="87"/>
        <v>0.20301829640970626</v>
      </c>
      <c r="K159" s="103">
        <f t="shared" si="87"/>
        <v>0.19881242472198718</v>
      </c>
      <c r="L159" s="103">
        <f t="shared" ref="L159" si="88">IF(L41=0,0,L41/L$17)</f>
        <v>0.20210661617272258</v>
      </c>
      <c r="M159" s="103">
        <f t="shared" ref="M159:V159" si="89">IF(M41=0,0,M41/M$17)</f>
        <v>0.20077337799366143</v>
      </c>
      <c r="N159" s="103">
        <f t="shared" si="89"/>
        <v>0.17428518945562921</v>
      </c>
      <c r="O159" s="103">
        <f t="shared" si="89"/>
        <v>0.15474335792608149</v>
      </c>
      <c r="P159" s="103">
        <f t="shared" si="89"/>
        <v>0.15655250036895724</v>
      </c>
      <c r="Q159" s="103">
        <f t="shared" si="89"/>
        <v>0.15920090363323844</v>
      </c>
      <c r="R159" s="103">
        <f t="shared" si="89"/>
        <v>0.18745169262369124</v>
      </c>
      <c r="S159" s="103">
        <f t="shared" si="89"/>
        <v>0.21923248280274618</v>
      </c>
      <c r="T159" s="103">
        <f t="shared" si="89"/>
        <v>0.22137810687076218</v>
      </c>
      <c r="U159" s="103">
        <f t="shared" si="89"/>
        <v>0.20805894477890916</v>
      </c>
      <c r="V159" s="103">
        <f t="shared" si="89"/>
        <v>0.20447752307156436</v>
      </c>
      <c r="W159" s="103">
        <f t="shared" ref="W159:Y159" si="90">IF(W41=0,0,W41/W$17)</f>
        <v>0.24681024747969826</v>
      </c>
      <c r="X159" s="103">
        <f t="shared" si="90"/>
        <v>0.24244099561852325</v>
      </c>
      <c r="Y159" s="103">
        <f t="shared" si="90"/>
        <v>0.23326764054158555</v>
      </c>
      <c r="DA159" s="191"/>
    </row>
    <row r="160" spans="1:105" ht="11.45" customHeight="1" x14ac:dyDescent="0.25">
      <c r="A160" s="158" t="s">
        <v>116</v>
      </c>
      <c r="B160" s="105">
        <f t="shared" ref="B160:K160" si="91">IF(B42=0,0,B42/B$17)</f>
        <v>2.0137223871329078E-2</v>
      </c>
      <c r="C160" s="105">
        <f t="shared" si="91"/>
        <v>2.7038142540105125E-2</v>
      </c>
      <c r="D160" s="105">
        <f t="shared" si="91"/>
        <v>2.1152033902605637E-2</v>
      </c>
      <c r="E160" s="105">
        <f t="shared" si="91"/>
        <v>3.1459501977548855E-2</v>
      </c>
      <c r="F160" s="105">
        <f t="shared" si="91"/>
        <v>4.1820575504289297E-2</v>
      </c>
      <c r="G160" s="105">
        <f t="shared" si="91"/>
        <v>5.4005515724242247E-2</v>
      </c>
      <c r="H160" s="105">
        <f t="shared" si="91"/>
        <v>6.5773160315008877E-2</v>
      </c>
      <c r="I160" s="105">
        <f t="shared" si="91"/>
        <v>6.2090916887787097E-2</v>
      </c>
      <c r="J160" s="105">
        <f t="shared" si="91"/>
        <v>5.9220167360931462E-2</v>
      </c>
      <c r="K160" s="105">
        <f t="shared" si="91"/>
        <v>4.9959316274785316E-2</v>
      </c>
      <c r="L160" s="105">
        <f t="shared" ref="L160" si="92">IF(L42=0,0,L42/L$17)</f>
        <v>5.5940007732380524E-2</v>
      </c>
      <c r="M160" s="105">
        <f t="shared" ref="M160:V160" si="93">IF(M42=0,0,M42/M$17)</f>
        <v>5.3338240418092292E-2</v>
      </c>
      <c r="N160" s="105">
        <f t="shared" si="93"/>
        <v>5.0858149749793385E-2</v>
      </c>
      <c r="O160" s="105">
        <f t="shared" si="93"/>
        <v>4.3871212674683746E-2</v>
      </c>
      <c r="P160" s="105">
        <f t="shared" si="93"/>
        <v>4.5873070039340103E-2</v>
      </c>
      <c r="Q160" s="105">
        <f t="shared" si="93"/>
        <v>4.4868716956955816E-2</v>
      </c>
      <c r="R160" s="105">
        <f t="shared" si="93"/>
        <v>5.9132483503434176E-2</v>
      </c>
      <c r="S160" s="105">
        <f t="shared" si="93"/>
        <v>7.1683597401241042E-2</v>
      </c>
      <c r="T160" s="105">
        <f t="shared" si="93"/>
        <v>6.4726799353758968E-2</v>
      </c>
      <c r="U160" s="105">
        <f t="shared" si="93"/>
        <v>7.0431677428921341E-2</v>
      </c>
      <c r="V160" s="105">
        <f t="shared" si="93"/>
        <v>6.4477653431221069E-2</v>
      </c>
      <c r="W160" s="105">
        <f t="shared" ref="W160:Y160" si="94">IF(W42=0,0,W42/W$17)</f>
        <v>7.7339133338731658E-2</v>
      </c>
      <c r="X160" s="105">
        <f t="shared" si="94"/>
        <v>7.8890354006247665E-2</v>
      </c>
      <c r="Y160" s="105">
        <f t="shared" si="94"/>
        <v>7.9643752472870921E-2</v>
      </c>
      <c r="DA160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Y5 B10:Y10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DA248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836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DA2" s="171"/>
    </row>
    <row r="3" spans="1:105" ht="11.45" customHeight="1" x14ac:dyDescent="0.25">
      <c r="A3" s="53" t="s">
        <v>109</v>
      </c>
      <c r="B3" s="54">
        <f>TrRoad_act!B57</f>
        <v>12954807</v>
      </c>
      <c r="C3" s="54">
        <f>TrRoad_act!C57</f>
        <v>14001742</v>
      </c>
      <c r="D3" s="54">
        <f>TrRoad_act!D57</f>
        <v>14588832</v>
      </c>
      <c r="E3" s="54">
        <f>TrRoad_act!E57</f>
        <v>14924164</v>
      </c>
      <c r="F3" s="54">
        <f>TrRoad_act!F57</f>
        <v>15095969</v>
      </c>
      <c r="G3" s="54">
        <f>TrRoad_act!G57</f>
        <v>15776072</v>
      </c>
      <c r="H3" s="54">
        <f>TrRoad_act!H57</f>
        <v>16966229</v>
      </c>
      <c r="I3" s="54">
        <f>TrRoad_act!I57</f>
        <v>18447030</v>
      </c>
      <c r="J3" s="54">
        <f>TrRoad_act!J57</f>
        <v>20377166</v>
      </c>
      <c r="K3" s="54">
        <f>TrRoad_act!K57</f>
        <v>21074319</v>
      </c>
      <c r="L3" s="54">
        <f>TrRoad_act!L57</f>
        <v>22121584</v>
      </c>
      <c r="M3" s="54">
        <f>TrRoad_act!M57</f>
        <v>23326229</v>
      </c>
      <c r="N3" s="54">
        <f>TrRoad_act!N57</f>
        <v>24087799</v>
      </c>
      <c r="O3" s="54">
        <f>TrRoad_act!O57</f>
        <v>24965875</v>
      </c>
      <c r="P3" s="54">
        <f>TrRoad_act!P57</f>
        <v>25698580</v>
      </c>
      <c r="Q3" s="54">
        <f>TrRoad_act!Q57</f>
        <v>26611073</v>
      </c>
      <c r="R3" s="54">
        <f>TrRoad_act!R57</f>
        <v>27765346</v>
      </c>
      <c r="S3" s="54">
        <f>TrRoad_act!S57</f>
        <v>28770029</v>
      </c>
      <c r="T3" s="54">
        <f>TrRoad_act!T57</f>
        <v>29943628</v>
      </c>
      <c r="U3" s="54">
        <f>TrRoad_act!U57</f>
        <v>31190226</v>
      </c>
      <c r="V3" s="54">
        <f>TrRoad_act!V57</f>
        <v>32057450</v>
      </c>
      <c r="W3" s="54">
        <f>TrRoad_act!W57</f>
        <v>33042587</v>
      </c>
      <c r="X3" s="54">
        <f>TrRoad_act!X57</f>
        <v>33370938</v>
      </c>
      <c r="Y3" s="54">
        <f>TrRoad_act!Y57</f>
        <v>34012356</v>
      </c>
      <c r="DA3" s="172" t="s">
        <v>500</v>
      </c>
    </row>
    <row r="4" spans="1:105" ht="11.45" customHeight="1" x14ac:dyDescent="0.25">
      <c r="A4" s="27" t="s">
        <v>33</v>
      </c>
      <c r="B4" s="28">
        <f>TrRoad_act!B58</f>
        <v>10827968</v>
      </c>
      <c r="C4" s="28">
        <f>TrRoad_act!C58</f>
        <v>11839703</v>
      </c>
      <c r="D4" s="28">
        <f>TrRoad_act!D58</f>
        <v>12319492</v>
      </c>
      <c r="E4" s="28">
        <f>TrRoad_act!E58</f>
        <v>12622951</v>
      </c>
      <c r="F4" s="28">
        <f>TrRoad_act!F58</f>
        <v>12847477</v>
      </c>
      <c r="G4" s="28">
        <f>TrRoad_act!G58</f>
        <v>13467425</v>
      </c>
      <c r="H4" s="28">
        <f>TrRoad_act!H58</f>
        <v>14610835</v>
      </c>
      <c r="I4" s="28">
        <f>TrRoad_act!I58</f>
        <v>15977887</v>
      </c>
      <c r="J4" s="28">
        <f>TrRoad_act!J58</f>
        <v>17725555</v>
      </c>
      <c r="K4" s="28">
        <f>TrRoad_act!K58</f>
        <v>18343082</v>
      </c>
      <c r="L4" s="28">
        <f>TrRoad_act!L58</f>
        <v>19215099</v>
      </c>
      <c r="M4" s="28">
        <f>TrRoad_act!M58</f>
        <v>20268325</v>
      </c>
      <c r="N4" s="28">
        <f>TrRoad_act!N58</f>
        <v>20992524</v>
      </c>
      <c r="O4" s="28">
        <f>TrRoad_act!O58</f>
        <v>21747963</v>
      </c>
      <c r="P4" s="28">
        <f>TrRoad_act!P58</f>
        <v>22453348</v>
      </c>
      <c r="Q4" s="28">
        <f>TrRoad_act!Q58</f>
        <v>23298070</v>
      </c>
      <c r="R4" s="28">
        <f>TrRoad_act!R58</f>
        <v>24360962</v>
      </c>
      <c r="S4" s="28">
        <f>TrRoad_act!S58</f>
        <v>25286402</v>
      </c>
      <c r="T4" s="28">
        <f>TrRoad_act!T58</f>
        <v>26336128</v>
      </c>
      <c r="U4" s="28">
        <f>TrRoad_act!U58</f>
        <v>27479970</v>
      </c>
      <c r="V4" s="28">
        <f>TrRoad_act!V58</f>
        <v>28240112</v>
      </c>
      <c r="W4" s="28">
        <f>TrRoad_act!W58</f>
        <v>29096158</v>
      </c>
      <c r="X4" s="28">
        <f>TrRoad_act!X58</f>
        <v>29320735</v>
      </c>
      <c r="Y4" s="28">
        <f>TrRoad_act!Y58</f>
        <v>29844611</v>
      </c>
      <c r="DA4" s="173" t="s">
        <v>501</v>
      </c>
    </row>
    <row r="5" spans="1:105" ht="11.45" customHeight="1" x14ac:dyDescent="0.25">
      <c r="A5" s="136" t="s">
        <v>173</v>
      </c>
      <c r="B5" s="137">
        <f>TrRoad_act!B59</f>
        <v>803000</v>
      </c>
      <c r="C5" s="137">
        <f>TrRoad_act!C59</f>
        <v>803000</v>
      </c>
      <c r="D5" s="137">
        <f>TrRoad_act!D59</f>
        <v>869000</v>
      </c>
      <c r="E5" s="137">
        <f>TrRoad_act!E59</f>
        <v>845456</v>
      </c>
      <c r="F5" s="137">
        <f>TrRoad_act!F59</f>
        <v>835790</v>
      </c>
      <c r="G5" s="137">
        <f>TrRoad_act!G59</f>
        <v>1091159</v>
      </c>
      <c r="H5" s="137">
        <f>TrRoad_act!H59</f>
        <v>1190093</v>
      </c>
      <c r="I5" s="137">
        <f>TrRoad_act!I59</f>
        <v>1350789</v>
      </c>
      <c r="J5" s="137">
        <f>TrRoad_act!J59</f>
        <v>1607316</v>
      </c>
      <c r="K5" s="137">
        <f>TrRoad_act!K59</f>
        <v>1808723</v>
      </c>
      <c r="L5" s="137">
        <f>TrRoad_act!L59</f>
        <v>1935140</v>
      </c>
      <c r="M5" s="137">
        <f>TrRoad_act!M59</f>
        <v>2102175</v>
      </c>
      <c r="N5" s="137">
        <f>TrRoad_act!N59</f>
        <v>2207556</v>
      </c>
      <c r="O5" s="137">
        <f>TrRoad_act!O59</f>
        <v>2316610</v>
      </c>
      <c r="P5" s="137">
        <f>TrRoad_act!P59</f>
        <v>2406105</v>
      </c>
      <c r="Q5" s="137">
        <f>TrRoad_act!Q59</f>
        <v>2531520</v>
      </c>
      <c r="R5" s="137">
        <f>TrRoad_act!R59</f>
        <v>2647825</v>
      </c>
      <c r="S5" s="137">
        <f>TrRoad_act!S59</f>
        <v>2755000</v>
      </c>
      <c r="T5" s="137">
        <f>TrRoad_act!T59</f>
        <v>2852800</v>
      </c>
      <c r="U5" s="137">
        <f>TrRoad_act!U59</f>
        <v>2962035</v>
      </c>
      <c r="V5" s="137">
        <f>TrRoad_act!V59</f>
        <v>3069151</v>
      </c>
      <c r="W5" s="137">
        <f>TrRoad_act!W59</f>
        <v>3169006</v>
      </c>
      <c r="X5" s="137">
        <f>TrRoad_act!X59</f>
        <v>3269644</v>
      </c>
      <c r="Y5" s="137">
        <f>TrRoad_act!Y59</f>
        <v>3382022</v>
      </c>
      <c r="DA5" s="174" t="s">
        <v>502</v>
      </c>
    </row>
    <row r="6" spans="1:105" ht="11.45" customHeight="1" x14ac:dyDescent="0.25">
      <c r="A6" s="109" t="s">
        <v>20</v>
      </c>
      <c r="B6" s="110">
        <f>TrRoad_act!B60</f>
        <v>9991300</v>
      </c>
      <c r="C6" s="110">
        <f>TrRoad_act!C60</f>
        <v>11003100</v>
      </c>
      <c r="D6" s="110">
        <f>TrRoad_act!D60</f>
        <v>11416573</v>
      </c>
      <c r="E6" s="110">
        <f>TrRoad_act!E60</f>
        <v>11743900</v>
      </c>
      <c r="F6" s="110">
        <f>TrRoad_act!F60</f>
        <v>11975000</v>
      </c>
      <c r="G6" s="110">
        <f>TrRoad_act!G60</f>
        <v>12339000</v>
      </c>
      <c r="H6" s="110">
        <f>TrRoad_act!H60</f>
        <v>13384000</v>
      </c>
      <c r="I6" s="110">
        <f>TrRoad_act!I60</f>
        <v>14589000</v>
      </c>
      <c r="J6" s="110">
        <f>TrRoad_act!J60</f>
        <v>16080000</v>
      </c>
      <c r="K6" s="110">
        <f>TrRoad_act!K60</f>
        <v>16495000</v>
      </c>
      <c r="L6" s="110">
        <f>TrRoad_act!L60</f>
        <v>17240000</v>
      </c>
      <c r="M6" s="110">
        <f>TrRoad_act!M60</f>
        <v>18125000</v>
      </c>
      <c r="N6" s="110">
        <f>TrRoad_act!N60</f>
        <v>18744000</v>
      </c>
      <c r="O6" s="110">
        <f>TrRoad_act!O60</f>
        <v>19389446</v>
      </c>
      <c r="P6" s="110">
        <f>TrRoad_act!P60</f>
        <v>20003863</v>
      </c>
      <c r="Q6" s="110">
        <f>TrRoad_act!Q60</f>
        <v>20715877</v>
      </c>
      <c r="R6" s="110">
        <f>TrRoad_act!R60</f>
        <v>21661126</v>
      </c>
      <c r="S6" s="110">
        <f>TrRoad_act!S60</f>
        <v>22478252</v>
      </c>
      <c r="T6" s="110">
        <f>TrRoad_act!T60</f>
        <v>23428785</v>
      </c>
      <c r="U6" s="110">
        <f>TrRoad_act!U60</f>
        <v>24461914</v>
      </c>
      <c r="V6" s="110">
        <f>TrRoad_act!V60</f>
        <v>25113862</v>
      </c>
      <c r="W6" s="110">
        <f>TrRoad_act!W60</f>
        <v>25869804</v>
      </c>
      <c r="X6" s="110">
        <f>TrRoad_act!X60</f>
        <v>25993477</v>
      </c>
      <c r="Y6" s="110">
        <f>TrRoad_act!Y60</f>
        <v>26403942</v>
      </c>
      <c r="DA6" s="176" t="s">
        <v>503</v>
      </c>
    </row>
    <row r="7" spans="1:105" ht="11.45" customHeight="1" x14ac:dyDescent="0.25">
      <c r="A7" s="111" t="s">
        <v>110</v>
      </c>
      <c r="B7" s="84">
        <f>TrRoad_act!B61</f>
        <v>8094000</v>
      </c>
      <c r="C7" s="84">
        <f>TrRoad_act!C61</f>
        <v>8704483</v>
      </c>
      <c r="D7" s="84">
        <f>TrRoad_act!D61</f>
        <v>8615788</v>
      </c>
      <c r="E7" s="84">
        <f>TrRoad_act!E61</f>
        <v>8358098</v>
      </c>
      <c r="F7" s="84">
        <f>TrRoad_act!F61</f>
        <v>8201702</v>
      </c>
      <c r="G7" s="84">
        <f>TrRoad_act!G61</f>
        <v>8630106</v>
      </c>
      <c r="H7" s="84">
        <f>TrRoad_act!H61</f>
        <v>9114195</v>
      </c>
      <c r="I7" s="84">
        <f>TrRoad_act!I61</f>
        <v>9605644</v>
      </c>
      <c r="J7" s="84">
        <f>TrRoad_act!J61</f>
        <v>10231006</v>
      </c>
      <c r="K7" s="84">
        <f>TrRoad_act!K61</f>
        <v>10088132</v>
      </c>
      <c r="L7" s="84">
        <f>TrRoad_act!L61</f>
        <v>10239494</v>
      </c>
      <c r="M7" s="84">
        <f>TrRoad_act!M61</f>
        <v>10701727</v>
      </c>
      <c r="N7" s="84">
        <f>TrRoad_act!N61</f>
        <v>11050312</v>
      </c>
      <c r="O7" s="84">
        <f>TrRoad_act!O61</f>
        <v>11170811</v>
      </c>
      <c r="P7" s="84">
        <f>TrRoad_act!P61</f>
        <v>11309146</v>
      </c>
      <c r="Q7" s="84">
        <f>TrRoad_act!Q61</f>
        <v>11643404</v>
      </c>
      <c r="R7" s="84">
        <f>TrRoad_act!R61</f>
        <v>11900576</v>
      </c>
      <c r="S7" s="84">
        <f>TrRoad_act!S61</f>
        <v>12411201</v>
      </c>
      <c r="T7" s="84">
        <f>TrRoad_act!T61</f>
        <v>12673201</v>
      </c>
      <c r="U7" s="84">
        <f>TrRoad_act!U61</f>
        <v>13247431</v>
      </c>
      <c r="V7" s="84">
        <f>TrRoad_act!V61</f>
        <v>13583086</v>
      </c>
      <c r="W7" s="84">
        <f>TrRoad_act!W61</f>
        <v>14022437</v>
      </c>
      <c r="X7" s="84">
        <f>TrRoad_act!X61</f>
        <v>14071506</v>
      </c>
      <c r="Y7" s="84">
        <f>TrRoad_act!Y61</f>
        <v>14147372</v>
      </c>
      <c r="DA7" s="171" t="s">
        <v>504</v>
      </c>
    </row>
    <row r="8" spans="1:105" ht="11.45" customHeight="1" x14ac:dyDescent="0.25">
      <c r="A8" s="111" t="s">
        <v>111</v>
      </c>
      <c r="B8" s="84">
        <f>TrRoad_act!B62</f>
        <v>1297300</v>
      </c>
      <c r="C8" s="84">
        <f>TrRoad_act!C62</f>
        <v>1298617</v>
      </c>
      <c r="D8" s="84">
        <f>TrRoad_act!D62</f>
        <v>1300785</v>
      </c>
      <c r="E8" s="84">
        <f>TrRoad_act!E62</f>
        <v>1385802</v>
      </c>
      <c r="F8" s="84">
        <f>TrRoad_act!F62</f>
        <v>1523298</v>
      </c>
      <c r="G8" s="84">
        <f>TrRoad_act!G62</f>
        <v>1187889</v>
      </c>
      <c r="H8" s="84">
        <f>TrRoad_act!H62</f>
        <v>1562706</v>
      </c>
      <c r="I8" s="84">
        <f>TrRoad_act!I62</f>
        <v>2101204</v>
      </c>
      <c r="J8" s="84">
        <f>TrRoad_act!J62</f>
        <v>2822146</v>
      </c>
      <c r="K8" s="84">
        <f>TrRoad_act!K62</f>
        <v>3271171</v>
      </c>
      <c r="L8" s="84">
        <f>TrRoad_act!L62</f>
        <v>3768857</v>
      </c>
      <c r="M8" s="84">
        <f>TrRoad_act!M62</f>
        <v>4402060</v>
      </c>
      <c r="N8" s="84">
        <f>TrRoad_act!N62</f>
        <v>4936461</v>
      </c>
      <c r="O8" s="84">
        <f>TrRoad_act!O62</f>
        <v>5371504</v>
      </c>
      <c r="P8" s="84">
        <f>TrRoad_act!P62</f>
        <v>5789670</v>
      </c>
      <c r="Q8" s="84">
        <f>TrRoad_act!Q62</f>
        <v>6089216</v>
      </c>
      <c r="R8" s="84">
        <f>TrRoad_act!R62</f>
        <v>6669219</v>
      </c>
      <c r="S8" s="84">
        <f>TrRoad_act!S62</f>
        <v>7017754</v>
      </c>
      <c r="T8" s="84">
        <f>TrRoad_act!T62</f>
        <v>7459335</v>
      </c>
      <c r="U8" s="84">
        <f>TrRoad_act!U62</f>
        <v>7869662</v>
      </c>
      <c r="V8" s="84">
        <f>TrRoad_act!V62</f>
        <v>8168774</v>
      </c>
      <c r="W8" s="84">
        <f>TrRoad_act!W62</f>
        <v>8467040</v>
      </c>
      <c r="X8" s="84">
        <f>TrRoad_act!X62</f>
        <v>8506946</v>
      </c>
      <c r="Y8" s="84">
        <f>TrRoad_act!Y62</f>
        <v>8613385</v>
      </c>
      <c r="DA8" s="171" t="s">
        <v>505</v>
      </c>
    </row>
    <row r="9" spans="1:105" ht="11.45" customHeight="1" x14ac:dyDescent="0.25">
      <c r="A9" s="111" t="s">
        <v>112</v>
      </c>
      <c r="B9" s="84">
        <f>TrRoad_act!B63</f>
        <v>600000</v>
      </c>
      <c r="C9" s="84">
        <f>TrRoad_act!C63</f>
        <v>1000000</v>
      </c>
      <c r="D9" s="84">
        <f>TrRoad_act!D63</f>
        <v>1500000</v>
      </c>
      <c r="E9" s="84">
        <f>TrRoad_act!E63</f>
        <v>2000000</v>
      </c>
      <c r="F9" s="84">
        <f>TrRoad_act!F63</f>
        <v>2250000</v>
      </c>
      <c r="G9" s="84">
        <f>TrRoad_act!G63</f>
        <v>2521005</v>
      </c>
      <c r="H9" s="84">
        <f>TrRoad_act!H63</f>
        <v>2707099</v>
      </c>
      <c r="I9" s="84">
        <f>TrRoad_act!I63</f>
        <v>2882152</v>
      </c>
      <c r="J9" s="84">
        <f>TrRoad_act!J63</f>
        <v>3026848</v>
      </c>
      <c r="K9" s="84">
        <f>TrRoad_act!K63</f>
        <v>3135697</v>
      </c>
      <c r="L9" s="84">
        <f>TrRoad_act!L63</f>
        <v>3231634</v>
      </c>
      <c r="M9" s="84">
        <f>TrRoad_act!M63</f>
        <v>3021109</v>
      </c>
      <c r="N9" s="84">
        <f>TrRoad_act!N63</f>
        <v>2757000</v>
      </c>
      <c r="O9" s="84">
        <f>TrRoad_act!O63</f>
        <v>2846868</v>
      </c>
      <c r="P9" s="84">
        <f>TrRoad_act!P63</f>
        <v>2904072</v>
      </c>
      <c r="Q9" s="84">
        <f>TrRoad_act!Q63</f>
        <v>2977264</v>
      </c>
      <c r="R9" s="84">
        <f>TrRoad_act!R63</f>
        <v>3082548</v>
      </c>
      <c r="S9" s="84">
        <f>TrRoad_act!S63</f>
        <v>3038596</v>
      </c>
      <c r="T9" s="84">
        <f>TrRoad_act!T63</f>
        <v>3281951</v>
      </c>
      <c r="U9" s="84">
        <f>TrRoad_act!U63</f>
        <v>3327624</v>
      </c>
      <c r="V9" s="84">
        <f>TrRoad_act!V63</f>
        <v>3336762</v>
      </c>
      <c r="W9" s="84">
        <f>TrRoad_act!W63</f>
        <v>3343040</v>
      </c>
      <c r="X9" s="84">
        <f>TrRoad_act!X63</f>
        <v>3355117</v>
      </c>
      <c r="Y9" s="84">
        <f>TrRoad_act!Y63</f>
        <v>3537208</v>
      </c>
      <c r="DA9" s="171" t="s">
        <v>506</v>
      </c>
    </row>
    <row r="10" spans="1:105" ht="11.45" customHeight="1" x14ac:dyDescent="0.25">
      <c r="A10" s="111" t="s">
        <v>113</v>
      </c>
      <c r="B10" s="84">
        <f>TrRoad_act!B64</f>
        <v>0</v>
      </c>
      <c r="C10" s="84">
        <f>TrRoad_act!C64</f>
        <v>0</v>
      </c>
      <c r="D10" s="84">
        <f>TrRoad_act!D64</f>
        <v>0</v>
      </c>
      <c r="E10" s="84">
        <f>TrRoad_act!E64</f>
        <v>0</v>
      </c>
      <c r="F10" s="84">
        <f>TrRoad_act!F64</f>
        <v>0</v>
      </c>
      <c r="G10" s="84">
        <f>TrRoad_act!G64</f>
        <v>0</v>
      </c>
      <c r="H10" s="84">
        <f>TrRoad_act!H64</f>
        <v>0</v>
      </c>
      <c r="I10" s="84">
        <f>TrRoad_act!I64</f>
        <v>0</v>
      </c>
      <c r="J10" s="84">
        <f>TrRoad_act!J64</f>
        <v>0</v>
      </c>
      <c r="K10" s="84">
        <f>TrRoad_act!K64</f>
        <v>0</v>
      </c>
      <c r="L10" s="84">
        <f>TrRoad_act!L64</f>
        <v>0</v>
      </c>
      <c r="M10" s="84">
        <f>TrRoad_act!M64</f>
        <v>0</v>
      </c>
      <c r="N10" s="84">
        <f>TrRoad_act!N64</f>
        <v>0</v>
      </c>
      <c r="O10" s="84">
        <f>TrRoad_act!O64</f>
        <v>0</v>
      </c>
      <c r="P10" s="84">
        <f>TrRoad_act!P64</f>
        <v>0</v>
      </c>
      <c r="Q10" s="84">
        <f>TrRoad_act!Q64</f>
        <v>5355</v>
      </c>
      <c r="R10" s="84">
        <f>TrRoad_act!R64</f>
        <v>7358</v>
      </c>
      <c r="S10" s="84">
        <f>TrRoad_act!S64</f>
        <v>7525</v>
      </c>
      <c r="T10" s="84">
        <f>TrRoad_act!T64</f>
        <v>7765</v>
      </c>
      <c r="U10" s="84">
        <f>TrRoad_act!U64</f>
        <v>7942</v>
      </c>
      <c r="V10" s="84">
        <f>TrRoad_act!V64</f>
        <v>7984</v>
      </c>
      <c r="W10" s="84">
        <f>TrRoad_act!W64</f>
        <v>8039</v>
      </c>
      <c r="X10" s="84">
        <f>TrRoad_act!X64</f>
        <v>7844</v>
      </c>
      <c r="Y10" s="84">
        <f>TrRoad_act!Y64</f>
        <v>7629</v>
      </c>
      <c r="DA10" s="171" t="s">
        <v>507</v>
      </c>
    </row>
    <row r="11" spans="1:105" ht="11.45" customHeight="1" x14ac:dyDescent="0.25">
      <c r="A11" s="111" t="s">
        <v>114</v>
      </c>
      <c r="B11" s="84">
        <f>TrRoad_act!B65</f>
        <v>0</v>
      </c>
      <c r="C11" s="84">
        <f>TrRoad_act!C65</f>
        <v>0</v>
      </c>
      <c r="D11" s="84">
        <f>TrRoad_act!D65</f>
        <v>0</v>
      </c>
      <c r="E11" s="84">
        <f>TrRoad_act!E65</f>
        <v>0</v>
      </c>
      <c r="F11" s="84">
        <f>TrRoad_act!F65</f>
        <v>0</v>
      </c>
      <c r="G11" s="84">
        <f>TrRoad_act!G65</f>
        <v>0</v>
      </c>
      <c r="H11" s="84">
        <f>TrRoad_act!H65</f>
        <v>0</v>
      </c>
      <c r="I11" s="84">
        <f>TrRoad_act!I65</f>
        <v>0</v>
      </c>
      <c r="J11" s="84">
        <f>TrRoad_act!J65</f>
        <v>0</v>
      </c>
      <c r="K11" s="84">
        <f>TrRoad_act!K65</f>
        <v>0</v>
      </c>
      <c r="L11" s="84">
        <f>TrRoad_act!L65</f>
        <v>0</v>
      </c>
      <c r="M11" s="84">
        <f>TrRoad_act!M65</f>
        <v>0</v>
      </c>
      <c r="N11" s="84">
        <f>TrRoad_act!N65</f>
        <v>12</v>
      </c>
      <c r="O11" s="84">
        <f>TrRoad_act!O65</f>
        <v>22</v>
      </c>
      <c r="P11" s="84">
        <f>TrRoad_act!P65</f>
        <v>673</v>
      </c>
      <c r="Q11" s="84">
        <f>TrRoad_act!Q65</f>
        <v>270</v>
      </c>
      <c r="R11" s="84">
        <f>TrRoad_act!R65</f>
        <v>425</v>
      </c>
      <c r="S11" s="84">
        <f>TrRoad_act!S65</f>
        <v>816</v>
      </c>
      <c r="T11" s="84">
        <f>TrRoad_act!T65</f>
        <v>1592</v>
      </c>
      <c r="U11" s="84">
        <f>TrRoad_act!U65</f>
        <v>2381</v>
      </c>
      <c r="V11" s="84">
        <f>TrRoad_act!V65</f>
        <v>5919</v>
      </c>
      <c r="W11" s="84">
        <f>TrRoad_act!W65</f>
        <v>15634</v>
      </c>
      <c r="X11" s="84">
        <f>TrRoad_act!X65</f>
        <v>26415</v>
      </c>
      <c r="Y11" s="84">
        <f>TrRoad_act!Y65</f>
        <v>47137</v>
      </c>
      <c r="DA11" s="171" t="s">
        <v>508</v>
      </c>
    </row>
    <row r="12" spans="1:105" ht="11.45" customHeight="1" x14ac:dyDescent="0.25">
      <c r="A12" s="111" t="s">
        <v>115</v>
      </c>
      <c r="B12" s="84">
        <f>TrRoad_act!B66</f>
        <v>0</v>
      </c>
      <c r="C12" s="84">
        <f>TrRoad_act!C66</f>
        <v>0</v>
      </c>
      <c r="D12" s="84">
        <f>TrRoad_act!D66</f>
        <v>0</v>
      </c>
      <c r="E12" s="84">
        <f>TrRoad_act!E66</f>
        <v>0</v>
      </c>
      <c r="F12" s="84">
        <f>TrRoad_act!F66</f>
        <v>0</v>
      </c>
      <c r="G12" s="84">
        <f>TrRoad_act!G66</f>
        <v>0</v>
      </c>
      <c r="H12" s="84">
        <f>TrRoad_act!H66</f>
        <v>0</v>
      </c>
      <c r="I12" s="84">
        <f>TrRoad_act!I66</f>
        <v>0</v>
      </c>
      <c r="J12" s="84">
        <f>TrRoad_act!J66</f>
        <v>0</v>
      </c>
      <c r="K12" s="84">
        <f>TrRoad_act!K66</f>
        <v>0</v>
      </c>
      <c r="L12" s="84">
        <f>TrRoad_act!L66</f>
        <v>15</v>
      </c>
      <c r="M12" s="84">
        <f>TrRoad_act!M66</f>
        <v>104</v>
      </c>
      <c r="N12" s="84">
        <f>TrRoad_act!N66</f>
        <v>215</v>
      </c>
      <c r="O12" s="84">
        <f>TrRoad_act!O66</f>
        <v>241</v>
      </c>
      <c r="P12" s="84">
        <f>TrRoad_act!P66</f>
        <v>302</v>
      </c>
      <c r="Q12" s="84">
        <f>TrRoad_act!Q66</f>
        <v>368</v>
      </c>
      <c r="R12" s="84">
        <f>TrRoad_act!R66</f>
        <v>1000</v>
      </c>
      <c r="S12" s="84">
        <f>TrRoad_act!S66</f>
        <v>2360</v>
      </c>
      <c r="T12" s="84">
        <f>TrRoad_act!T66</f>
        <v>4941</v>
      </c>
      <c r="U12" s="84">
        <f>TrRoad_act!U66</f>
        <v>6874</v>
      </c>
      <c r="V12" s="84">
        <f>TrRoad_act!V66</f>
        <v>11337</v>
      </c>
      <c r="W12" s="84">
        <f>TrRoad_act!W66</f>
        <v>13614</v>
      </c>
      <c r="X12" s="84">
        <f>TrRoad_act!X66</f>
        <v>25649</v>
      </c>
      <c r="Y12" s="84">
        <f>TrRoad_act!Y66</f>
        <v>51211</v>
      </c>
      <c r="DA12" s="171" t="s">
        <v>509</v>
      </c>
    </row>
    <row r="13" spans="1:105" ht="11.45" customHeight="1" x14ac:dyDescent="0.25">
      <c r="A13" s="109" t="s">
        <v>21</v>
      </c>
      <c r="B13" s="110">
        <f>TrRoad_act!B67</f>
        <v>33668</v>
      </c>
      <c r="C13" s="110">
        <f>TrRoad_act!C67</f>
        <v>33603</v>
      </c>
      <c r="D13" s="110">
        <f>TrRoad_act!D67</f>
        <v>33919</v>
      </c>
      <c r="E13" s="110">
        <f>TrRoad_act!E67</f>
        <v>33595</v>
      </c>
      <c r="F13" s="110">
        <f>TrRoad_act!F67</f>
        <v>36687</v>
      </c>
      <c r="G13" s="110">
        <f>TrRoad_act!G67</f>
        <v>37266</v>
      </c>
      <c r="H13" s="110">
        <f>TrRoad_act!H67</f>
        <v>36742</v>
      </c>
      <c r="I13" s="110">
        <f>TrRoad_act!I67</f>
        <v>38098</v>
      </c>
      <c r="J13" s="110">
        <f>TrRoad_act!J67</f>
        <v>38239</v>
      </c>
      <c r="K13" s="110">
        <f>TrRoad_act!K67</f>
        <v>39359</v>
      </c>
      <c r="L13" s="110">
        <f>TrRoad_act!L67</f>
        <v>39959</v>
      </c>
      <c r="M13" s="110">
        <f>TrRoad_act!M67</f>
        <v>41150</v>
      </c>
      <c r="N13" s="110">
        <f>TrRoad_act!N67</f>
        <v>40968</v>
      </c>
      <c r="O13" s="110">
        <f>TrRoad_act!O67</f>
        <v>41907</v>
      </c>
      <c r="P13" s="110">
        <f>TrRoad_act!P67</f>
        <v>43380</v>
      </c>
      <c r="Q13" s="110">
        <f>TrRoad_act!Q67</f>
        <v>50673</v>
      </c>
      <c r="R13" s="110">
        <f>TrRoad_act!R67</f>
        <v>52011</v>
      </c>
      <c r="S13" s="110">
        <f>TrRoad_act!S67</f>
        <v>53150</v>
      </c>
      <c r="T13" s="110">
        <f>TrRoad_act!T67</f>
        <v>54543</v>
      </c>
      <c r="U13" s="110">
        <f>TrRoad_act!U67</f>
        <v>56021</v>
      </c>
      <c r="V13" s="110">
        <f>TrRoad_act!V67</f>
        <v>57099</v>
      </c>
      <c r="W13" s="110">
        <f>TrRoad_act!W67</f>
        <v>57348</v>
      </c>
      <c r="X13" s="110">
        <f>TrRoad_act!X67</f>
        <v>57614</v>
      </c>
      <c r="Y13" s="110">
        <f>TrRoad_act!Y67</f>
        <v>58647</v>
      </c>
      <c r="DA13" s="176" t="s">
        <v>510</v>
      </c>
    </row>
    <row r="14" spans="1:105" ht="11.45" customHeight="1" x14ac:dyDescent="0.25">
      <c r="A14" s="111" t="s">
        <v>110</v>
      </c>
      <c r="B14" s="102">
        <f>TrRoad_act!B68</f>
        <v>0</v>
      </c>
      <c r="C14" s="102">
        <f>TrRoad_act!C68</f>
        <v>0</v>
      </c>
      <c r="D14" s="102">
        <f>TrRoad_act!D68</f>
        <v>0</v>
      </c>
      <c r="E14" s="102">
        <f>TrRoad_act!E68</f>
        <v>0</v>
      </c>
      <c r="F14" s="102">
        <f>TrRoad_act!F68</f>
        <v>0</v>
      </c>
      <c r="G14" s="102">
        <f>TrRoad_act!G68</f>
        <v>0</v>
      </c>
      <c r="H14" s="102">
        <f>TrRoad_act!H68</f>
        <v>0</v>
      </c>
      <c r="I14" s="102">
        <f>TrRoad_act!I68</f>
        <v>0</v>
      </c>
      <c r="J14" s="102">
        <f>TrRoad_act!J68</f>
        <v>0</v>
      </c>
      <c r="K14" s="102">
        <f>TrRoad_act!K68</f>
        <v>0</v>
      </c>
      <c r="L14" s="102">
        <f>TrRoad_act!L68</f>
        <v>0</v>
      </c>
      <c r="M14" s="102">
        <f>TrRoad_act!M68</f>
        <v>0</v>
      </c>
      <c r="N14" s="102">
        <f>TrRoad_act!N68</f>
        <v>0</v>
      </c>
      <c r="O14" s="102">
        <f>TrRoad_act!O68</f>
        <v>0</v>
      </c>
      <c r="P14" s="102">
        <f>TrRoad_act!P68</f>
        <v>0</v>
      </c>
      <c r="Q14" s="102">
        <f>TrRoad_act!Q68</f>
        <v>0</v>
      </c>
      <c r="R14" s="102">
        <f>TrRoad_act!R68</f>
        <v>0</v>
      </c>
      <c r="S14" s="102">
        <f>TrRoad_act!S68</f>
        <v>0</v>
      </c>
      <c r="T14" s="102">
        <f>TrRoad_act!T68</f>
        <v>0</v>
      </c>
      <c r="U14" s="102">
        <f>TrRoad_act!U68</f>
        <v>0</v>
      </c>
      <c r="V14" s="102">
        <f>TrRoad_act!V68</f>
        <v>0</v>
      </c>
      <c r="W14" s="102">
        <f>TrRoad_act!W68</f>
        <v>0</v>
      </c>
      <c r="X14" s="102">
        <f>TrRoad_act!X68</f>
        <v>0</v>
      </c>
      <c r="Y14" s="102">
        <f>TrRoad_act!Y68</f>
        <v>0</v>
      </c>
      <c r="DA14" s="175" t="s">
        <v>511</v>
      </c>
    </row>
    <row r="15" spans="1:105" ht="11.45" customHeight="1" x14ac:dyDescent="0.25">
      <c r="A15" s="111" t="s">
        <v>111</v>
      </c>
      <c r="B15" s="102">
        <f>TrRoad_act!B69</f>
        <v>32614</v>
      </c>
      <c r="C15" s="102">
        <f>TrRoad_act!C69</f>
        <v>32598</v>
      </c>
      <c r="D15" s="102">
        <f>TrRoad_act!D69</f>
        <v>32980</v>
      </c>
      <c r="E15" s="102">
        <f>TrRoad_act!E69</f>
        <v>32783</v>
      </c>
      <c r="F15" s="102">
        <f>TrRoad_act!F69</f>
        <v>34821</v>
      </c>
      <c r="G15" s="102">
        <f>TrRoad_act!G69</f>
        <v>35107</v>
      </c>
      <c r="H15" s="102">
        <f>TrRoad_act!H69</f>
        <v>34685</v>
      </c>
      <c r="I15" s="102">
        <f>TrRoad_act!I69</f>
        <v>36135</v>
      </c>
      <c r="J15" s="102">
        <f>TrRoad_act!J69</f>
        <v>36369</v>
      </c>
      <c r="K15" s="102">
        <f>TrRoad_act!K69</f>
        <v>37591</v>
      </c>
      <c r="L15" s="102">
        <f>TrRoad_act!L69</f>
        <v>38274</v>
      </c>
      <c r="M15" s="102">
        <f>TrRoad_act!M69</f>
        <v>39558</v>
      </c>
      <c r="N15" s="102">
        <f>TrRoad_act!N69</f>
        <v>39472</v>
      </c>
      <c r="O15" s="102">
        <f>TrRoad_act!O69</f>
        <v>40463</v>
      </c>
      <c r="P15" s="102">
        <f>TrRoad_act!P69</f>
        <v>42005</v>
      </c>
      <c r="Q15" s="102">
        <f>TrRoad_act!Q69</f>
        <v>48793</v>
      </c>
      <c r="R15" s="102">
        <f>TrRoad_act!R69</f>
        <v>50186</v>
      </c>
      <c r="S15" s="102">
        <f>TrRoad_act!S69</f>
        <v>51386</v>
      </c>
      <c r="T15" s="102">
        <f>TrRoad_act!T69</f>
        <v>52200</v>
      </c>
      <c r="U15" s="102">
        <f>TrRoad_act!U69</f>
        <v>53524</v>
      </c>
      <c r="V15" s="102">
        <f>TrRoad_act!V69</f>
        <v>54020</v>
      </c>
      <c r="W15" s="102">
        <f>TrRoad_act!W69</f>
        <v>53704</v>
      </c>
      <c r="X15" s="102">
        <f>TrRoad_act!X69</f>
        <v>53672</v>
      </c>
      <c r="Y15" s="102">
        <f>TrRoad_act!Y69</f>
        <v>54162</v>
      </c>
      <c r="DA15" s="175" t="s">
        <v>512</v>
      </c>
    </row>
    <row r="16" spans="1:105" ht="11.45" customHeight="1" x14ac:dyDescent="0.25">
      <c r="A16" s="111" t="s">
        <v>112</v>
      </c>
      <c r="B16" s="102">
        <f>TrRoad_act!B70</f>
        <v>820</v>
      </c>
      <c r="C16" s="102">
        <f>TrRoad_act!C70</f>
        <v>752</v>
      </c>
      <c r="D16" s="102">
        <f>TrRoad_act!D70</f>
        <v>682</v>
      </c>
      <c r="E16" s="102">
        <f>TrRoad_act!E70</f>
        <v>615</v>
      </c>
      <c r="F16" s="102">
        <f>TrRoad_act!F70</f>
        <v>1689</v>
      </c>
      <c r="G16" s="102">
        <f>TrRoad_act!G70</f>
        <v>1551</v>
      </c>
      <c r="H16" s="102">
        <f>TrRoad_act!H70</f>
        <v>1480</v>
      </c>
      <c r="I16" s="102">
        <f>TrRoad_act!I70</f>
        <v>1404</v>
      </c>
      <c r="J16" s="102">
        <f>TrRoad_act!J70</f>
        <v>1334</v>
      </c>
      <c r="K16" s="102">
        <f>TrRoad_act!K70</f>
        <v>1255</v>
      </c>
      <c r="L16" s="102">
        <f>TrRoad_act!L70</f>
        <v>1181</v>
      </c>
      <c r="M16" s="102">
        <f>TrRoad_act!M70</f>
        <v>1107</v>
      </c>
      <c r="N16" s="102">
        <f>TrRoad_act!N70</f>
        <v>1038</v>
      </c>
      <c r="O16" s="102">
        <f>TrRoad_act!O70</f>
        <v>968</v>
      </c>
      <c r="P16" s="102">
        <f>TrRoad_act!P70</f>
        <v>896</v>
      </c>
      <c r="Q16" s="102">
        <f>TrRoad_act!Q70</f>
        <v>822</v>
      </c>
      <c r="R16" s="102">
        <f>TrRoad_act!R70</f>
        <v>782</v>
      </c>
      <c r="S16" s="102">
        <f>TrRoad_act!S70</f>
        <v>773</v>
      </c>
      <c r="T16" s="102">
        <f>TrRoad_act!T70</f>
        <v>778</v>
      </c>
      <c r="U16" s="102">
        <f>TrRoad_act!U70</f>
        <v>775</v>
      </c>
      <c r="V16" s="102">
        <f>TrRoad_act!V70</f>
        <v>771</v>
      </c>
      <c r="W16" s="102">
        <f>TrRoad_act!W70</f>
        <v>773</v>
      </c>
      <c r="X16" s="102">
        <f>TrRoad_act!X70</f>
        <v>770</v>
      </c>
      <c r="Y16" s="102">
        <f>TrRoad_act!Y70</f>
        <v>753</v>
      </c>
      <c r="DA16" s="175" t="s">
        <v>513</v>
      </c>
    </row>
    <row r="17" spans="1:105" ht="11.45" customHeight="1" x14ac:dyDescent="0.25">
      <c r="A17" s="111" t="s">
        <v>113</v>
      </c>
      <c r="B17" s="102">
        <f>TrRoad_act!B71</f>
        <v>0</v>
      </c>
      <c r="C17" s="102">
        <f>TrRoad_act!C71</f>
        <v>0</v>
      </c>
      <c r="D17" s="102">
        <f>TrRoad_act!D71</f>
        <v>0</v>
      </c>
      <c r="E17" s="102">
        <f>TrRoad_act!E71</f>
        <v>0</v>
      </c>
      <c r="F17" s="102">
        <f>TrRoad_act!F71</f>
        <v>0</v>
      </c>
      <c r="G17" s="102">
        <f>TrRoad_act!G71</f>
        <v>0</v>
      </c>
      <c r="H17" s="102">
        <f>TrRoad_act!H71</f>
        <v>0</v>
      </c>
      <c r="I17" s="102">
        <f>TrRoad_act!I71</f>
        <v>0</v>
      </c>
      <c r="J17" s="102">
        <f>TrRoad_act!J71</f>
        <v>0</v>
      </c>
      <c r="K17" s="102">
        <f>TrRoad_act!K71</f>
        <v>0</v>
      </c>
      <c r="L17" s="102">
        <f>TrRoad_act!L71</f>
        <v>0</v>
      </c>
      <c r="M17" s="102">
        <f>TrRoad_act!M71</f>
        <v>0</v>
      </c>
      <c r="N17" s="102">
        <f>TrRoad_act!N71</f>
        <v>0</v>
      </c>
      <c r="O17" s="102">
        <f>TrRoad_act!O71</f>
        <v>0</v>
      </c>
      <c r="P17" s="102">
        <f>TrRoad_act!P71</f>
        <v>0</v>
      </c>
      <c r="Q17" s="102">
        <f>TrRoad_act!Q71</f>
        <v>554</v>
      </c>
      <c r="R17" s="102">
        <f>TrRoad_act!R71</f>
        <v>517</v>
      </c>
      <c r="S17" s="102">
        <f>TrRoad_act!S71</f>
        <v>410</v>
      </c>
      <c r="T17" s="102">
        <f>TrRoad_act!T71</f>
        <v>1058</v>
      </c>
      <c r="U17" s="102">
        <f>TrRoad_act!U71</f>
        <v>1384</v>
      </c>
      <c r="V17" s="102">
        <f>TrRoad_act!V71</f>
        <v>1768</v>
      </c>
      <c r="W17" s="102">
        <f>TrRoad_act!W71</f>
        <v>2113</v>
      </c>
      <c r="X17" s="102">
        <f>TrRoad_act!X71</f>
        <v>2246</v>
      </c>
      <c r="Y17" s="102">
        <f>TrRoad_act!Y71</f>
        <v>2444</v>
      </c>
      <c r="DA17" s="175" t="s">
        <v>514</v>
      </c>
    </row>
    <row r="18" spans="1:105" ht="11.45" customHeight="1" x14ac:dyDescent="0.25">
      <c r="A18" s="111" t="s">
        <v>115</v>
      </c>
      <c r="B18" s="102">
        <f>TrRoad_act!B72</f>
        <v>234</v>
      </c>
      <c r="C18" s="102">
        <f>TrRoad_act!C72</f>
        <v>253</v>
      </c>
      <c r="D18" s="102">
        <f>TrRoad_act!D72</f>
        <v>257</v>
      </c>
      <c r="E18" s="102">
        <f>TrRoad_act!E72</f>
        <v>197</v>
      </c>
      <c r="F18" s="102">
        <f>TrRoad_act!F72</f>
        <v>177</v>
      </c>
      <c r="G18" s="102">
        <f>TrRoad_act!G72</f>
        <v>608</v>
      </c>
      <c r="H18" s="102">
        <f>TrRoad_act!H72</f>
        <v>577</v>
      </c>
      <c r="I18" s="102">
        <f>TrRoad_act!I72</f>
        <v>559</v>
      </c>
      <c r="J18" s="102">
        <f>TrRoad_act!J72</f>
        <v>536</v>
      </c>
      <c r="K18" s="102">
        <f>TrRoad_act!K72</f>
        <v>513</v>
      </c>
      <c r="L18" s="102">
        <f>TrRoad_act!L72</f>
        <v>504</v>
      </c>
      <c r="M18" s="102">
        <f>TrRoad_act!M72</f>
        <v>485</v>
      </c>
      <c r="N18" s="102">
        <f>TrRoad_act!N72</f>
        <v>458</v>
      </c>
      <c r="O18" s="102">
        <f>TrRoad_act!O72</f>
        <v>476</v>
      </c>
      <c r="P18" s="102">
        <f>TrRoad_act!P72</f>
        <v>479</v>
      </c>
      <c r="Q18" s="102">
        <f>TrRoad_act!Q72</f>
        <v>504</v>
      </c>
      <c r="R18" s="102">
        <f>TrRoad_act!R72</f>
        <v>526</v>
      </c>
      <c r="S18" s="102">
        <f>TrRoad_act!S72</f>
        <v>581</v>
      </c>
      <c r="T18" s="102">
        <f>TrRoad_act!T72</f>
        <v>507</v>
      </c>
      <c r="U18" s="102">
        <f>TrRoad_act!U72</f>
        <v>338</v>
      </c>
      <c r="V18" s="102">
        <f>TrRoad_act!V72</f>
        <v>540</v>
      </c>
      <c r="W18" s="102">
        <f>TrRoad_act!W72</f>
        <v>758</v>
      </c>
      <c r="X18" s="102">
        <f>TrRoad_act!X72</f>
        <v>926</v>
      </c>
      <c r="Y18" s="102">
        <f>TrRoad_act!Y72</f>
        <v>1288</v>
      </c>
      <c r="DA18" s="175" t="s">
        <v>515</v>
      </c>
    </row>
    <row r="19" spans="1:105" ht="11.45" customHeight="1" x14ac:dyDescent="0.25">
      <c r="A19" s="27" t="s">
        <v>34</v>
      </c>
      <c r="B19" s="28">
        <f>TrRoad_act!B73</f>
        <v>2126839</v>
      </c>
      <c r="C19" s="28">
        <f>TrRoad_act!C73</f>
        <v>2162039</v>
      </c>
      <c r="D19" s="28">
        <f>TrRoad_act!D73</f>
        <v>2269340</v>
      </c>
      <c r="E19" s="28">
        <f>TrRoad_act!E73</f>
        <v>2301213</v>
      </c>
      <c r="F19" s="28">
        <f>TrRoad_act!F73</f>
        <v>2248492</v>
      </c>
      <c r="G19" s="28">
        <f>TrRoad_act!G73</f>
        <v>2308647</v>
      </c>
      <c r="H19" s="28">
        <f>TrRoad_act!H73</f>
        <v>2355394</v>
      </c>
      <c r="I19" s="28">
        <f>TrRoad_act!I73</f>
        <v>2469143</v>
      </c>
      <c r="J19" s="28">
        <f>TrRoad_act!J73</f>
        <v>2651611</v>
      </c>
      <c r="K19" s="28">
        <f>TrRoad_act!K73</f>
        <v>2731237</v>
      </c>
      <c r="L19" s="28">
        <f>TrRoad_act!L73</f>
        <v>2906485</v>
      </c>
      <c r="M19" s="28">
        <f>TrRoad_act!M73</f>
        <v>3057904</v>
      </c>
      <c r="N19" s="28">
        <f>TrRoad_act!N73</f>
        <v>3095275</v>
      </c>
      <c r="O19" s="28">
        <f>TrRoad_act!O73</f>
        <v>3217912</v>
      </c>
      <c r="P19" s="28">
        <f>TrRoad_act!P73</f>
        <v>3245232</v>
      </c>
      <c r="Q19" s="28">
        <f>TrRoad_act!Q73</f>
        <v>3313003</v>
      </c>
      <c r="R19" s="28">
        <f>TrRoad_act!R73</f>
        <v>3404384</v>
      </c>
      <c r="S19" s="28">
        <f>TrRoad_act!S73</f>
        <v>3483627</v>
      </c>
      <c r="T19" s="28">
        <f>TrRoad_act!T73</f>
        <v>3607500</v>
      </c>
      <c r="U19" s="28">
        <f>TrRoad_act!U73</f>
        <v>3710256</v>
      </c>
      <c r="V19" s="28">
        <f>TrRoad_act!V73</f>
        <v>3817338</v>
      </c>
      <c r="W19" s="28">
        <f>TrRoad_act!W73</f>
        <v>3946429</v>
      </c>
      <c r="X19" s="28">
        <f>TrRoad_act!X73</f>
        <v>4050203</v>
      </c>
      <c r="Y19" s="28">
        <f>TrRoad_act!Y73</f>
        <v>4167745</v>
      </c>
      <c r="DA19" s="173" t="s">
        <v>516</v>
      </c>
    </row>
    <row r="20" spans="1:105" ht="11.45" customHeight="1" x14ac:dyDescent="0.25">
      <c r="A20" s="136" t="s">
        <v>153</v>
      </c>
      <c r="B20" s="137">
        <f>TrRoad_act!B74</f>
        <v>1629540</v>
      </c>
      <c r="C20" s="137">
        <f>TrRoad_act!C74</f>
        <v>1645085</v>
      </c>
      <c r="D20" s="137">
        <f>TrRoad_act!D74</f>
        <v>1673784</v>
      </c>
      <c r="E20" s="137">
        <f>TrRoad_act!E74</f>
        <v>1706379</v>
      </c>
      <c r="F20" s="137">
        <f>TrRoad_act!F74</f>
        <v>1667309</v>
      </c>
      <c r="G20" s="137">
        <f>TrRoad_act!G74</f>
        <v>1717435</v>
      </c>
      <c r="H20" s="137">
        <f>TrRoad_act!H74</f>
        <v>1758293</v>
      </c>
      <c r="I20" s="137">
        <f>TrRoad_act!I74</f>
        <v>1824650</v>
      </c>
      <c r="J20" s="137">
        <f>TrRoad_act!J74</f>
        <v>1947297</v>
      </c>
      <c r="K20" s="137">
        <f>TrRoad_act!K74</f>
        <v>2014529</v>
      </c>
      <c r="L20" s="137">
        <f>TrRoad_act!L74</f>
        <v>2170600</v>
      </c>
      <c r="M20" s="137">
        <f>TrRoad_act!M74</f>
        <v>2276879</v>
      </c>
      <c r="N20" s="137">
        <f>TrRoad_act!N74</f>
        <v>2303433</v>
      </c>
      <c r="O20" s="137">
        <f>TrRoad_act!O74</f>
        <v>2403569</v>
      </c>
      <c r="P20" s="137">
        <f>TrRoad_act!P74</f>
        <v>2399323</v>
      </c>
      <c r="Q20" s="137">
        <f>TrRoad_act!Q74</f>
        <v>2447764</v>
      </c>
      <c r="R20" s="137">
        <f>TrRoad_act!R74</f>
        <v>2515751</v>
      </c>
      <c r="S20" s="137">
        <f>TrRoad_act!S74</f>
        <v>2574312</v>
      </c>
      <c r="T20" s="137">
        <f>TrRoad_act!T74</f>
        <v>2649198</v>
      </c>
      <c r="U20" s="137">
        <f>TrRoad_act!U74</f>
        <v>2733004</v>
      </c>
      <c r="V20" s="137">
        <f>TrRoad_act!V74</f>
        <v>2814490</v>
      </c>
      <c r="W20" s="137">
        <f>TrRoad_act!W74</f>
        <v>2905731</v>
      </c>
      <c r="X20" s="137">
        <f>TrRoad_act!X74</f>
        <v>2974632</v>
      </c>
      <c r="Y20" s="137">
        <f>TrRoad_act!Y74</f>
        <v>3053119</v>
      </c>
      <c r="DA20" s="174" t="s">
        <v>517</v>
      </c>
    </row>
    <row r="21" spans="1:105" ht="11.45" customHeight="1" x14ac:dyDescent="0.25">
      <c r="A21" s="111" t="s">
        <v>110</v>
      </c>
      <c r="B21" s="84">
        <f>TrRoad_act!B75</f>
        <v>1113423</v>
      </c>
      <c r="C21" s="84">
        <f>TrRoad_act!C75</f>
        <v>1121845</v>
      </c>
      <c r="D21" s="84">
        <f>TrRoad_act!D75</f>
        <v>1021756</v>
      </c>
      <c r="E21" s="84">
        <f>TrRoad_act!E75</f>
        <v>995595</v>
      </c>
      <c r="F21" s="84">
        <f>TrRoad_act!F75</f>
        <v>916720</v>
      </c>
      <c r="G21" s="84">
        <f>TrRoad_act!G75</f>
        <v>859414</v>
      </c>
      <c r="H21" s="84">
        <f>TrRoad_act!H75</f>
        <v>808192</v>
      </c>
      <c r="I21" s="84">
        <f>TrRoad_act!I75</f>
        <v>765138</v>
      </c>
      <c r="J21" s="84">
        <f>TrRoad_act!J75</f>
        <v>752140</v>
      </c>
      <c r="K21" s="84">
        <f>TrRoad_act!K75</f>
        <v>718204</v>
      </c>
      <c r="L21" s="84">
        <f>TrRoad_act!L75</f>
        <v>735988</v>
      </c>
      <c r="M21" s="84">
        <f>TrRoad_act!M75</f>
        <v>703448</v>
      </c>
      <c r="N21" s="84">
        <f>TrRoad_act!N75</f>
        <v>687656</v>
      </c>
      <c r="O21" s="84">
        <f>TrRoad_act!O75</f>
        <v>687734</v>
      </c>
      <c r="P21" s="84">
        <f>TrRoad_act!P75</f>
        <v>655877</v>
      </c>
      <c r="Q21" s="84">
        <f>TrRoad_act!Q75</f>
        <v>641037</v>
      </c>
      <c r="R21" s="84">
        <f>TrRoad_act!R75</f>
        <v>629904</v>
      </c>
      <c r="S21" s="84">
        <f>TrRoad_act!S75</f>
        <v>644480</v>
      </c>
      <c r="T21" s="84">
        <f>TrRoad_act!T75</f>
        <v>629861</v>
      </c>
      <c r="U21" s="84">
        <f>TrRoad_act!U75</f>
        <v>627303</v>
      </c>
      <c r="V21" s="84">
        <f>TrRoad_act!V75</f>
        <v>620951</v>
      </c>
      <c r="W21" s="84">
        <f>TrRoad_act!W75</f>
        <v>616166</v>
      </c>
      <c r="X21" s="84">
        <f>TrRoad_act!X75</f>
        <v>614847</v>
      </c>
      <c r="Y21" s="84">
        <f>TrRoad_act!Y75</f>
        <v>612814</v>
      </c>
      <c r="DA21" s="171" t="s">
        <v>518</v>
      </c>
    </row>
    <row r="22" spans="1:105" ht="11.45" customHeight="1" x14ac:dyDescent="0.25">
      <c r="A22" s="111" t="s">
        <v>111</v>
      </c>
      <c r="B22" s="84">
        <f>TrRoad_act!B76</f>
        <v>457911</v>
      </c>
      <c r="C22" s="84">
        <f>TrRoad_act!C76</f>
        <v>456645</v>
      </c>
      <c r="D22" s="84">
        <f>TrRoad_act!D76</f>
        <v>558278</v>
      </c>
      <c r="E22" s="84">
        <f>TrRoad_act!E76</f>
        <v>601839</v>
      </c>
      <c r="F22" s="84">
        <f>TrRoad_act!F76</f>
        <v>637623</v>
      </c>
      <c r="G22" s="84">
        <f>TrRoad_act!G76</f>
        <v>734537</v>
      </c>
      <c r="H22" s="84">
        <f>TrRoad_act!H76</f>
        <v>807730</v>
      </c>
      <c r="I22" s="84">
        <f>TrRoad_act!I76</f>
        <v>905519</v>
      </c>
      <c r="J22" s="84">
        <f>TrRoad_act!J76</f>
        <v>1033662</v>
      </c>
      <c r="K22" s="84">
        <f>TrRoad_act!K76</f>
        <v>1131489</v>
      </c>
      <c r="L22" s="84">
        <f>TrRoad_act!L76</f>
        <v>1264958</v>
      </c>
      <c r="M22" s="84">
        <f>TrRoad_act!M76</f>
        <v>1398504</v>
      </c>
      <c r="N22" s="84">
        <f>TrRoad_act!N76</f>
        <v>1455880</v>
      </c>
      <c r="O22" s="84">
        <f>TrRoad_act!O76</f>
        <v>1556881</v>
      </c>
      <c r="P22" s="84">
        <f>TrRoad_act!P76</f>
        <v>1569638</v>
      </c>
      <c r="Q22" s="84">
        <f>TrRoad_act!Q76</f>
        <v>1632451</v>
      </c>
      <c r="R22" s="84">
        <f>TrRoad_act!R76</f>
        <v>1712251</v>
      </c>
      <c r="S22" s="84">
        <f>TrRoad_act!S76</f>
        <v>1764085</v>
      </c>
      <c r="T22" s="84">
        <f>TrRoad_act!T76</f>
        <v>1849082</v>
      </c>
      <c r="U22" s="84">
        <f>TrRoad_act!U76</f>
        <v>1937067</v>
      </c>
      <c r="V22" s="84">
        <f>TrRoad_act!V76</f>
        <v>2028294</v>
      </c>
      <c r="W22" s="84">
        <f>TrRoad_act!W76</f>
        <v>2124051</v>
      </c>
      <c r="X22" s="84">
        <f>TrRoad_act!X76</f>
        <v>2201572</v>
      </c>
      <c r="Y22" s="84">
        <f>TrRoad_act!Y76</f>
        <v>2279765</v>
      </c>
      <c r="DA22" s="171" t="s">
        <v>519</v>
      </c>
    </row>
    <row r="23" spans="1:105" ht="11.45" customHeight="1" x14ac:dyDescent="0.25">
      <c r="A23" s="111" t="s">
        <v>112</v>
      </c>
      <c r="B23" s="84">
        <f>TrRoad_act!B77</f>
        <v>58206</v>
      </c>
      <c r="C23" s="84">
        <f>TrRoad_act!C77</f>
        <v>66595</v>
      </c>
      <c r="D23" s="84">
        <f>TrRoad_act!D77</f>
        <v>93750</v>
      </c>
      <c r="E23" s="84">
        <f>TrRoad_act!E77</f>
        <v>108945</v>
      </c>
      <c r="F23" s="84">
        <f>TrRoad_act!F77</f>
        <v>112966</v>
      </c>
      <c r="G23" s="84">
        <f>TrRoad_act!G77</f>
        <v>123484</v>
      </c>
      <c r="H23" s="84">
        <f>TrRoad_act!H77</f>
        <v>142371</v>
      </c>
      <c r="I23" s="84">
        <f>TrRoad_act!I77</f>
        <v>153993</v>
      </c>
      <c r="J23" s="84">
        <f>TrRoad_act!J77</f>
        <v>161495</v>
      </c>
      <c r="K23" s="84">
        <f>TrRoad_act!K77</f>
        <v>164836</v>
      </c>
      <c r="L23" s="84">
        <f>TrRoad_act!L77</f>
        <v>169654</v>
      </c>
      <c r="M23" s="84">
        <f>TrRoad_act!M77</f>
        <v>174927</v>
      </c>
      <c r="N23" s="84">
        <f>TrRoad_act!N77</f>
        <v>159890</v>
      </c>
      <c r="O23" s="84">
        <f>TrRoad_act!O77</f>
        <v>158941</v>
      </c>
      <c r="P23" s="84">
        <f>TrRoad_act!P77</f>
        <v>173791</v>
      </c>
      <c r="Q23" s="84">
        <f>TrRoad_act!Q77</f>
        <v>172189</v>
      </c>
      <c r="R23" s="84">
        <f>TrRoad_act!R77</f>
        <v>171152</v>
      </c>
      <c r="S23" s="84">
        <f>TrRoad_act!S77</f>
        <v>163371</v>
      </c>
      <c r="T23" s="84">
        <f>TrRoad_act!T77</f>
        <v>167767</v>
      </c>
      <c r="U23" s="84">
        <f>TrRoad_act!U77</f>
        <v>165998</v>
      </c>
      <c r="V23" s="84">
        <f>TrRoad_act!V77</f>
        <v>163000</v>
      </c>
      <c r="W23" s="84">
        <f>TrRoad_act!W77</f>
        <v>163000</v>
      </c>
      <c r="X23" s="84">
        <f>TrRoad_act!X77</f>
        <v>154903</v>
      </c>
      <c r="Y23" s="84">
        <f>TrRoad_act!Y77</f>
        <v>154825</v>
      </c>
      <c r="DA23" s="171" t="s">
        <v>520</v>
      </c>
    </row>
    <row r="24" spans="1:105" ht="11.45" customHeight="1" x14ac:dyDescent="0.25">
      <c r="A24" s="111" t="s">
        <v>113</v>
      </c>
      <c r="B24" s="84">
        <f>TrRoad_act!B78</f>
        <v>0</v>
      </c>
      <c r="C24" s="84">
        <f>TrRoad_act!C78</f>
        <v>0</v>
      </c>
      <c r="D24" s="84">
        <f>TrRoad_act!D78</f>
        <v>0</v>
      </c>
      <c r="E24" s="84">
        <f>TrRoad_act!E78</f>
        <v>0</v>
      </c>
      <c r="F24" s="84">
        <f>TrRoad_act!F78</f>
        <v>0</v>
      </c>
      <c r="G24" s="84">
        <f>TrRoad_act!G78</f>
        <v>0</v>
      </c>
      <c r="H24" s="84">
        <f>TrRoad_act!H78</f>
        <v>0</v>
      </c>
      <c r="I24" s="84">
        <f>TrRoad_act!I78</f>
        <v>0</v>
      </c>
      <c r="J24" s="84">
        <f>TrRoad_act!J78</f>
        <v>0</v>
      </c>
      <c r="K24" s="84">
        <f>TrRoad_act!K78</f>
        <v>0</v>
      </c>
      <c r="L24" s="84">
        <f>TrRoad_act!L78</f>
        <v>0</v>
      </c>
      <c r="M24" s="84">
        <f>TrRoad_act!M78</f>
        <v>0</v>
      </c>
      <c r="N24" s="84">
        <f>TrRoad_act!N78</f>
        <v>0</v>
      </c>
      <c r="O24" s="84">
        <f>TrRoad_act!O78</f>
        <v>0</v>
      </c>
      <c r="P24" s="84">
        <f>TrRoad_act!P78</f>
        <v>0</v>
      </c>
      <c r="Q24" s="84">
        <f>TrRoad_act!Q78</f>
        <v>2063</v>
      </c>
      <c r="R24" s="84">
        <f>TrRoad_act!R78</f>
        <v>2415</v>
      </c>
      <c r="S24" s="84">
        <f>TrRoad_act!S78</f>
        <v>2334</v>
      </c>
      <c r="T24" s="84">
        <f>TrRoad_act!T78</f>
        <v>2405</v>
      </c>
      <c r="U24" s="84">
        <f>TrRoad_act!U78</f>
        <v>2440</v>
      </c>
      <c r="V24" s="84">
        <f>TrRoad_act!V78</f>
        <v>1850</v>
      </c>
      <c r="W24" s="84">
        <f>TrRoad_act!W78</f>
        <v>1700</v>
      </c>
      <c r="X24" s="84">
        <f>TrRoad_act!X78</f>
        <v>1634</v>
      </c>
      <c r="Y24" s="84">
        <f>TrRoad_act!Y78</f>
        <v>1652</v>
      </c>
      <c r="DA24" s="171" t="s">
        <v>521</v>
      </c>
    </row>
    <row r="25" spans="1:105" ht="11.45" customHeight="1" x14ac:dyDescent="0.25">
      <c r="A25" s="111" t="s">
        <v>115</v>
      </c>
      <c r="B25" s="84">
        <f>TrRoad_act!B79</f>
        <v>0</v>
      </c>
      <c r="C25" s="84">
        <f>TrRoad_act!C79</f>
        <v>0</v>
      </c>
      <c r="D25" s="84">
        <f>TrRoad_act!D79</f>
        <v>0</v>
      </c>
      <c r="E25" s="84">
        <f>TrRoad_act!E79</f>
        <v>0</v>
      </c>
      <c r="F25" s="84">
        <f>TrRoad_act!F79</f>
        <v>0</v>
      </c>
      <c r="G25" s="84">
        <f>TrRoad_act!G79</f>
        <v>0</v>
      </c>
      <c r="H25" s="84">
        <f>TrRoad_act!H79</f>
        <v>0</v>
      </c>
      <c r="I25" s="84">
        <f>TrRoad_act!I79</f>
        <v>0</v>
      </c>
      <c r="J25" s="84">
        <f>TrRoad_act!J79</f>
        <v>0</v>
      </c>
      <c r="K25" s="84">
        <f>TrRoad_act!K79</f>
        <v>0</v>
      </c>
      <c r="L25" s="84">
        <f>TrRoad_act!L79</f>
        <v>0</v>
      </c>
      <c r="M25" s="84">
        <f>TrRoad_act!M79</f>
        <v>0</v>
      </c>
      <c r="N25" s="84">
        <f>TrRoad_act!N79</f>
        <v>7</v>
      </c>
      <c r="O25" s="84">
        <f>TrRoad_act!O79</f>
        <v>13</v>
      </c>
      <c r="P25" s="84">
        <f>TrRoad_act!P79</f>
        <v>17</v>
      </c>
      <c r="Q25" s="84">
        <f>TrRoad_act!Q79</f>
        <v>24</v>
      </c>
      <c r="R25" s="84">
        <f>TrRoad_act!R79</f>
        <v>29</v>
      </c>
      <c r="S25" s="84">
        <f>TrRoad_act!S79</f>
        <v>42</v>
      </c>
      <c r="T25" s="84">
        <f>TrRoad_act!T79</f>
        <v>83</v>
      </c>
      <c r="U25" s="84">
        <f>TrRoad_act!U79</f>
        <v>196</v>
      </c>
      <c r="V25" s="84">
        <f>TrRoad_act!V79</f>
        <v>395</v>
      </c>
      <c r="W25" s="84">
        <f>TrRoad_act!W79</f>
        <v>814</v>
      </c>
      <c r="X25" s="84">
        <f>TrRoad_act!X79</f>
        <v>1676</v>
      </c>
      <c r="Y25" s="84">
        <f>TrRoad_act!Y79</f>
        <v>4063</v>
      </c>
      <c r="DA25" s="171" t="s">
        <v>522</v>
      </c>
    </row>
    <row r="26" spans="1:105" ht="11.45" customHeight="1" x14ac:dyDescent="0.25">
      <c r="A26" s="109" t="s">
        <v>154</v>
      </c>
      <c r="B26" s="110">
        <f>TrRoad_act!B80</f>
        <v>497299</v>
      </c>
      <c r="C26" s="110">
        <f>TrRoad_act!C80</f>
        <v>516954</v>
      </c>
      <c r="D26" s="110">
        <f>TrRoad_act!D80</f>
        <v>595556</v>
      </c>
      <c r="E26" s="110">
        <f>TrRoad_act!E80</f>
        <v>594834</v>
      </c>
      <c r="F26" s="110">
        <f>TrRoad_act!F80</f>
        <v>581183</v>
      </c>
      <c r="G26" s="110">
        <f>TrRoad_act!G80</f>
        <v>591212</v>
      </c>
      <c r="H26" s="110">
        <f>TrRoad_act!H80</f>
        <v>597101</v>
      </c>
      <c r="I26" s="110">
        <f>TrRoad_act!I80</f>
        <v>644493</v>
      </c>
      <c r="J26" s="110">
        <f>TrRoad_act!J80</f>
        <v>704314</v>
      </c>
      <c r="K26" s="110">
        <f>TrRoad_act!K80</f>
        <v>716708</v>
      </c>
      <c r="L26" s="110">
        <f>TrRoad_act!L80</f>
        <v>735885</v>
      </c>
      <c r="M26" s="110">
        <f>TrRoad_act!M80</f>
        <v>781025</v>
      </c>
      <c r="N26" s="110">
        <f>TrRoad_act!N80</f>
        <v>791842</v>
      </c>
      <c r="O26" s="110">
        <f>TrRoad_act!O80</f>
        <v>814343</v>
      </c>
      <c r="P26" s="110">
        <f>TrRoad_act!P80</f>
        <v>845909</v>
      </c>
      <c r="Q26" s="110">
        <f>TrRoad_act!Q80</f>
        <v>865239</v>
      </c>
      <c r="R26" s="110">
        <f>TrRoad_act!R80</f>
        <v>888633</v>
      </c>
      <c r="S26" s="110">
        <f>TrRoad_act!S80</f>
        <v>909315</v>
      </c>
      <c r="T26" s="110">
        <f>TrRoad_act!T80</f>
        <v>958302</v>
      </c>
      <c r="U26" s="110">
        <f>TrRoad_act!U80</f>
        <v>977252</v>
      </c>
      <c r="V26" s="110">
        <f>TrRoad_act!V80</f>
        <v>1002848</v>
      </c>
      <c r="W26" s="110">
        <f>TrRoad_act!W80</f>
        <v>1040698</v>
      </c>
      <c r="X26" s="110">
        <f>TrRoad_act!X80</f>
        <v>1075571</v>
      </c>
      <c r="Y26" s="110">
        <f>TrRoad_act!Y80</f>
        <v>1114626</v>
      </c>
      <c r="DA26" s="176" t="s">
        <v>837</v>
      </c>
    </row>
    <row r="27" spans="1:105" ht="11.45" customHeight="1" x14ac:dyDescent="0.25">
      <c r="A27" s="128" t="s">
        <v>27</v>
      </c>
      <c r="B27" s="102">
        <f>TrRoad_act!B81</f>
        <v>481889</v>
      </c>
      <c r="C27" s="102">
        <f>TrRoad_act!C81</f>
        <v>500433</v>
      </c>
      <c r="D27" s="102">
        <f>TrRoad_act!D81</f>
        <v>578175</v>
      </c>
      <c r="E27" s="102">
        <f>TrRoad_act!E81</f>
        <v>577068</v>
      </c>
      <c r="F27" s="102">
        <f>TrRoad_act!F81</f>
        <v>560178</v>
      </c>
      <c r="G27" s="102">
        <f>TrRoad_act!G81</f>
        <v>569470</v>
      </c>
      <c r="H27" s="102">
        <f>TrRoad_act!H81</f>
        <v>570730</v>
      </c>
      <c r="I27" s="102">
        <f>TrRoad_act!I81</f>
        <v>619851</v>
      </c>
      <c r="J27" s="102">
        <f>TrRoad_act!J81</f>
        <v>679188</v>
      </c>
      <c r="K27" s="102">
        <f>TrRoad_act!K81</f>
        <v>692591</v>
      </c>
      <c r="L27" s="102">
        <f>TrRoad_act!L81</f>
        <v>707675</v>
      </c>
      <c r="M27" s="102">
        <f>TrRoad_act!M81</f>
        <v>751168</v>
      </c>
      <c r="N27" s="102">
        <f>TrRoad_act!N81</f>
        <v>759384</v>
      </c>
      <c r="O27" s="102">
        <f>TrRoad_act!O81</f>
        <v>779963</v>
      </c>
      <c r="P27" s="102">
        <f>TrRoad_act!P81</f>
        <v>811034</v>
      </c>
      <c r="Q27" s="102">
        <f>TrRoad_act!Q81</f>
        <v>829354</v>
      </c>
      <c r="R27" s="102">
        <f>TrRoad_act!R81</f>
        <v>848466</v>
      </c>
      <c r="S27" s="102">
        <f>TrRoad_act!S81</f>
        <v>864011</v>
      </c>
      <c r="T27" s="102">
        <f>TrRoad_act!T81</f>
        <v>919021</v>
      </c>
      <c r="U27" s="102">
        <f>TrRoad_act!U81</f>
        <v>932323</v>
      </c>
      <c r="V27" s="102">
        <f>TrRoad_act!V81</f>
        <v>959291</v>
      </c>
      <c r="W27" s="102">
        <f>TrRoad_act!W81</f>
        <v>994588</v>
      </c>
      <c r="X27" s="102">
        <f>TrRoad_act!X81</f>
        <v>1027919</v>
      </c>
      <c r="Y27" s="102">
        <f>TrRoad_act!Y81</f>
        <v>1066114</v>
      </c>
      <c r="DA27" s="175" t="s">
        <v>524</v>
      </c>
    </row>
    <row r="28" spans="1:105" ht="11.45" customHeight="1" x14ac:dyDescent="0.25">
      <c r="A28" s="138" t="s">
        <v>116</v>
      </c>
      <c r="B28" s="86">
        <f>TrRoad_act!B82</f>
        <v>15410</v>
      </c>
      <c r="C28" s="86">
        <f>TrRoad_act!C82</f>
        <v>16521</v>
      </c>
      <c r="D28" s="86">
        <f>TrRoad_act!D82</f>
        <v>17381</v>
      </c>
      <c r="E28" s="86">
        <f>TrRoad_act!E82</f>
        <v>17766</v>
      </c>
      <c r="F28" s="86">
        <f>TrRoad_act!F82</f>
        <v>21005</v>
      </c>
      <c r="G28" s="86">
        <f>TrRoad_act!G82</f>
        <v>21742</v>
      </c>
      <c r="H28" s="86">
        <f>TrRoad_act!H82</f>
        <v>26371</v>
      </c>
      <c r="I28" s="86">
        <f>TrRoad_act!I82</f>
        <v>24642</v>
      </c>
      <c r="J28" s="86">
        <f>TrRoad_act!J82</f>
        <v>25126</v>
      </c>
      <c r="K28" s="86">
        <f>TrRoad_act!K82</f>
        <v>24117</v>
      </c>
      <c r="L28" s="86">
        <f>TrRoad_act!L82</f>
        <v>28210</v>
      </c>
      <c r="M28" s="86">
        <f>TrRoad_act!M82</f>
        <v>29857</v>
      </c>
      <c r="N28" s="86">
        <f>TrRoad_act!N82</f>
        <v>32458</v>
      </c>
      <c r="O28" s="86">
        <f>TrRoad_act!O82</f>
        <v>34380</v>
      </c>
      <c r="P28" s="86">
        <f>TrRoad_act!P82</f>
        <v>34875</v>
      </c>
      <c r="Q28" s="86">
        <f>TrRoad_act!Q82</f>
        <v>35885</v>
      </c>
      <c r="R28" s="86">
        <f>TrRoad_act!R82</f>
        <v>40167</v>
      </c>
      <c r="S28" s="86">
        <f>TrRoad_act!S82</f>
        <v>45304</v>
      </c>
      <c r="T28" s="86">
        <f>TrRoad_act!T82</f>
        <v>39281</v>
      </c>
      <c r="U28" s="86">
        <f>TrRoad_act!U82</f>
        <v>44929</v>
      </c>
      <c r="V28" s="86">
        <f>TrRoad_act!V82</f>
        <v>43557</v>
      </c>
      <c r="W28" s="86">
        <f>TrRoad_act!W82</f>
        <v>46110</v>
      </c>
      <c r="X28" s="86">
        <f>TrRoad_act!X82</f>
        <v>47652</v>
      </c>
      <c r="Y28" s="86">
        <f>TrRoad_act!Y82</f>
        <v>48512</v>
      </c>
      <c r="DA28" s="178" t="s">
        <v>525</v>
      </c>
    </row>
    <row r="29" spans="1:105" ht="11.45" customHeight="1" x14ac:dyDescent="0.25">
      <c r="A29" s="106"/>
      <c r="B29" s="106"/>
      <c r="C29" s="106"/>
      <c r="D29" s="106"/>
      <c r="E29" s="106"/>
      <c r="F29" s="106"/>
      <c r="G29" s="106"/>
      <c r="H29" s="106"/>
      <c r="I29" s="106"/>
      <c r="J29" s="106"/>
      <c r="K29" s="106"/>
      <c r="L29" s="106"/>
      <c r="M29" s="106"/>
      <c r="N29" s="106"/>
      <c r="O29" s="106"/>
      <c r="P29" s="106"/>
      <c r="Q29" s="106"/>
      <c r="R29" s="106"/>
      <c r="S29" s="106"/>
      <c r="T29" s="106"/>
      <c r="U29" s="106"/>
      <c r="V29" s="106"/>
      <c r="W29" s="106"/>
      <c r="X29" s="106"/>
      <c r="Y29" s="106"/>
      <c r="DA29" s="171"/>
    </row>
    <row r="30" spans="1:105" ht="11.45" customHeight="1" x14ac:dyDescent="0.25">
      <c r="A30" s="53" t="s">
        <v>117</v>
      </c>
      <c r="B30" s="54">
        <f>TrRoad_act!B111</f>
        <v>663054</v>
      </c>
      <c r="C30" s="54">
        <f>TrRoad_act!C111</f>
        <v>1449858</v>
      </c>
      <c r="D30" s="54">
        <f>TrRoad_act!D111</f>
        <v>1260120</v>
      </c>
      <c r="E30" s="54">
        <f>TrRoad_act!E111</f>
        <v>1027115</v>
      </c>
      <c r="F30" s="54">
        <f>TrRoad_act!F111</f>
        <v>1212632</v>
      </c>
      <c r="G30" s="54">
        <f>TrRoad_act!G111</f>
        <v>1715422</v>
      </c>
      <c r="H30" s="54">
        <f>TrRoad_act!H111</f>
        <v>1559603</v>
      </c>
      <c r="I30" s="54">
        <f>TrRoad_act!I111</f>
        <v>2004561</v>
      </c>
      <c r="J30" s="54">
        <f>TrRoad_act!J111</f>
        <v>2453930</v>
      </c>
      <c r="K30" s="54">
        <f>TrRoad_act!K111</f>
        <v>1901243</v>
      </c>
      <c r="L30" s="54">
        <f>TrRoad_act!L111</f>
        <v>1905895</v>
      </c>
      <c r="M30" s="54">
        <f>TrRoad_act!M111</f>
        <v>2092333</v>
      </c>
      <c r="N30" s="54">
        <f>TrRoad_act!N111</f>
        <v>2293308</v>
      </c>
      <c r="O30" s="54">
        <f>TrRoad_act!O111</f>
        <v>1865281</v>
      </c>
      <c r="P30" s="54">
        <f>TrRoad_act!P111</f>
        <v>1668392</v>
      </c>
      <c r="Q30" s="54">
        <f>TrRoad_act!Q111</f>
        <v>1996061</v>
      </c>
      <c r="R30" s="54">
        <f>TrRoad_act!R111</f>
        <v>1983687</v>
      </c>
      <c r="S30" s="54">
        <f>TrRoad_act!S111</f>
        <v>1832824</v>
      </c>
      <c r="T30" s="54">
        <f>TrRoad_act!T111</f>
        <v>2100913</v>
      </c>
      <c r="U30" s="54">
        <f>TrRoad_act!U111</f>
        <v>2135885</v>
      </c>
      <c r="V30" s="54">
        <f>TrRoad_act!V111</f>
        <v>1787074</v>
      </c>
      <c r="W30" s="54">
        <f>TrRoad_act!W111</f>
        <v>2371217</v>
      </c>
      <c r="X30" s="54">
        <f>TrRoad_act!X111</f>
        <v>2269349</v>
      </c>
      <c r="Y30" s="54">
        <f>TrRoad_act!Y111</f>
        <v>2218553</v>
      </c>
      <c r="DA30" s="172" t="s">
        <v>526</v>
      </c>
    </row>
    <row r="31" spans="1:105" ht="11.45" customHeight="1" x14ac:dyDescent="0.25">
      <c r="A31" s="27" t="s">
        <v>33</v>
      </c>
      <c r="B31" s="28">
        <f>TrRoad_act!B112</f>
        <v>533050</v>
      </c>
      <c r="C31" s="28">
        <f>TrRoad_act!C112</f>
        <v>1317858</v>
      </c>
      <c r="D31" s="28">
        <f>TrRoad_act!D112</f>
        <v>989124</v>
      </c>
      <c r="E31" s="28">
        <f>TrRoad_act!E112</f>
        <v>832802</v>
      </c>
      <c r="F31" s="28">
        <f>TrRoad_act!F112</f>
        <v>1069882</v>
      </c>
      <c r="G31" s="28">
        <f>TrRoad_act!G112</f>
        <v>1524859</v>
      </c>
      <c r="H31" s="28">
        <f>TrRoad_act!H112</f>
        <v>1332447</v>
      </c>
      <c r="I31" s="28">
        <f>TrRoad_act!I112</f>
        <v>1705988</v>
      </c>
      <c r="J31" s="28">
        <f>TrRoad_act!J112</f>
        <v>2091177</v>
      </c>
      <c r="K31" s="28">
        <f>TrRoad_act!K112</f>
        <v>1622693</v>
      </c>
      <c r="L31" s="28">
        <f>TrRoad_act!L112</f>
        <v>1540958</v>
      </c>
      <c r="M31" s="28">
        <f>TrRoad_act!M112</f>
        <v>1746088</v>
      </c>
      <c r="N31" s="28">
        <f>TrRoad_act!N112</f>
        <v>2032592</v>
      </c>
      <c r="O31" s="28">
        <f>TrRoad_act!O112</f>
        <v>1540032</v>
      </c>
      <c r="P31" s="28">
        <f>TrRoad_act!P112</f>
        <v>1427339</v>
      </c>
      <c r="Q31" s="28">
        <f>TrRoad_act!Q112</f>
        <v>1722830</v>
      </c>
      <c r="R31" s="28">
        <f>TrRoad_act!R112</f>
        <v>1658271</v>
      </c>
      <c r="S31" s="28">
        <f>TrRoad_act!S112</f>
        <v>1511258</v>
      </c>
      <c r="T31" s="28">
        <f>TrRoad_act!T112</f>
        <v>1774493</v>
      </c>
      <c r="U31" s="28">
        <f>TrRoad_act!U112</f>
        <v>1757358</v>
      </c>
      <c r="V31" s="28">
        <f>TrRoad_act!V112</f>
        <v>1442742</v>
      </c>
      <c r="W31" s="28">
        <f>TrRoad_act!W112</f>
        <v>1990239</v>
      </c>
      <c r="X31" s="28">
        <f>TrRoad_act!X112</f>
        <v>1888049</v>
      </c>
      <c r="Y31" s="28">
        <f>TrRoad_act!Y112</f>
        <v>1825847</v>
      </c>
      <c r="DA31" s="173" t="s">
        <v>527</v>
      </c>
    </row>
    <row r="32" spans="1:105" ht="11.45" customHeight="1" x14ac:dyDescent="0.25">
      <c r="A32" s="136" t="s">
        <v>173</v>
      </c>
      <c r="B32" s="137">
        <f>TrRoad_act!B113</f>
        <v>0</v>
      </c>
      <c r="C32" s="137">
        <f>TrRoad_act!C113</f>
        <v>14695</v>
      </c>
      <c r="D32" s="137">
        <f>TrRoad_act!D113</f>
        <v>95215</v>
      </c>
      <c r="E32" s="137">
        <f>TrRoad_act!E113</f>
        <v>1586</v>
      </c>
      <c r="F32" s="137">
        <f>TrRoad_act!F113</f>
        <v>3680</v>
      </c>
      <c r="G32" s="137">
        <f>TrRoad_act!G113</f>
        <v>326845</v>
      </c>
      <c r="H32" s="137">
        <f>TrRoad_act!H113</f>
        <v>140667</v>
      </c>
      <c r="I32" s="137">
        <f>TrRoad_act!I113</f>
        <v>217827</v>
      </c>
      <c r="J32" s="137">
        <f>TrRoad_act!J113</f>
        <v>337683</v>
      </c>
      <c r="K32" s="137">
        <f>TrRoad_act!K113</f>
        <v>275131</v>
      </c>
      <c r="L32" s="137">
        <f>TrRoad_act!L113</f>
        <v>187329</v>
      </c>
      <c r="M32" s="137">
        <f>TrRoad_act!M113</f>
        <v>239196</v>
      </c>
      <c r="N32" s="137">
        <f>TrRoad_act!N113</f>
        <v>167035</v>
      </c>
      <c r="O32" s="137">
        <f>TrRoad_act!O113</f>
        <v>173444</v>
      </c>
      <c r="P32" s="137">
        <f>TrRoad_act!P113</f>
        <v>151578</v>
      </c>
      <c r="Q32" s="137">
        <f>TrRoad_act!Q113</f>
        <v>197039</v>
      </c>
      <c r="R32" s="137">
        <f>TrRoad_act!R113</f>
        <v>188219</v>
      </c>
      <c r="S32" s="137">
        <f>TrRoad_act!S113</f>
        <v>179208</v>
      </c>
      <c r="T32" s="137">
        <f>TrRoad_act!T113</f>
        <v>169733</v>
      </c>
      <c r="U32" s="137">
        <f>TrRoad_act!U113</f>
        <v>185473</v>
      </c>
      <c r="V32" s="137">
        <f>TrRoad_act!V113</f>
        <v>184887</v>
      </c>
      <c r="W32" s="137">
        <f>TrRoad_act!W113</f>
        <v>177988</v>
      </c>
      <c r="X32" s="137">
        <f>TrRoad_act!X113</f>
        <v>180771</v>
      </c>
      <c r="Y32" s="137">
        <f>TrRoad_act!Y113</f>
        <v>196936</v>
      </c>
      <c r="DA32" s="174" t="s">
        <v>528</v>
      </c>
    </row>
    <row r="33" spans="1:105" ht="11.45" customHeight="1" x14ac:dyDescent="0.25">
      <c r="A33" s="109" t="s">
        <v>20</v>
      </c>
      <c r="B33" s="110">
        <f>TrRoad_act!B114</f>
        <v>529438</v>
      </c>
      <c r="C33" s="110">
        <f>TrRoad_act!C114</f>
        <v>1299760</v>
      </c>
      <c r="D33" s="110">
        <f>TrRoad_act!D114</f>
        <v>891099</v>
      </c>
      <c r="E33" s="110">
        <f>TrRoad_act!E114</f>
        <v>829144</v>
      </c>
      <c r="F33" s="110">
        <f>TrRoad_act!F114</f>
        <v>1061008</v>
      </c>
      <c r="G33" s="110">
        <f>TrRoad_act!G114</f>
        <v>1193622</v>
      </c>
      <c r="H33" s="110">
        <f>TrRoad_act!H114</f>
        <v>1187363</v>
      </c>
      <c r="I33" s="110">
        <f>TrRoad_act!I114</f>
        <v>1483309</v>
      </c>
      <c r="J33" s="110">
        <f>TrRoad_act!J114</f>
        <v>1748261</v>
      </c>
      <c r="K33" s="110">
        <f>TrRoad_act!K114</f>
        <v>1343670</v>
      </c>
      <c r="L33" s="110">
        <f>TrRoad_act!L114</f>
        <v>1349690</v>
      </c>
      <c r="M33" s="110">
        <f>TrRoad_act!M114</f>
        <v>1502288</v>
      </c>
      <c r="N33" s="110">
        <f>TrRoad_act!N114</f>
        <v>1861196</v>
      </c>
      <c r="O33" s="110">
        <f>TrRoad_act!O114</f>
        <v>1361651</v>
      </c>
      <c r="P33" s="110">
        <f>TrRoad_act!P114</f>
        <v>1270442</v>
      </c>
      <c r="Q33" s="110">
        <f>TrRoad_act!Q114</f>
        <v>1514656</v>
      </c>
      <c r="R33" s="110">
        <f>TrRoad_act!R114</f>
        <v>1464490</v>
      </c>
      <c r="S33" s="110">
        <f>TrRoad_act!S114</f>
        <v>1326612</v>
      </c>
      <c r="T33" s="110">
        <f>TrRoad_act!T114</f>
        <v>1598975</v>
      </c>
      <c r="U33" s="110">
        <f>TrRoad_act!U114</f>
        <v>1566626</v>
      </c>
      <c r="V33" s="110">
        <f>TrRoad_act!V114</f>
        <v>1252412</v>
      </c>
      <c r="W33" s="110">
        <f>TrRoad_act!W114</f>
        <v>1806835</v>
      </c>
      <c r="X33" s="110">
        <f>TrRoad_act!X114</f>
        <v>1702125</v>
      </c>
      <c r="Y33" s="110">
        <f>TrRoad_act!Y114</f>
        <v>1623514</v>
      </c>
      <c r="DA33" s="176" t="s">
        <v>529</v>
      </c>
    </row>
    <row r="34" spans="1:105" ht="11.45" customHeight="1" x14ac:dyDescent="0.25">
      <c r="A34" s="111" t="s">
        <v>110</v>
      </c>
      <c r="B34" s="84">
        <f>TrRoad_act!B115</f>
        <v>443682</v>
      </c>
      <c r="C34" s="84">
        <f>TrRoad_act!C115</f>
        <v>781578</v>
      </c>
      <c r="D34" s="84">
        <f>TrRoad_act!D115</f>
        <v>340029</v>
      </c>
      <c r="E34" s="84">
        <f>TrRoad_act!E115</f>
        <v>220339</v>
      </c>
      <c r="F34" s="84">
        <f>TrRoad_act!F115</f>
        <v>589018</v>
      </c>
      <c r="G34" s="84">
        <f>TrRoad_act!G115</f>
        <v>591783</v>
      </c>
      <c r="H34" s="84">
        <f>TrRoad_act!H115</f>
        <v>546325</v>
      </c>
      <c r="I34" s="84">
        <f>TrRoad_act!I115</f>
        <v>668932</v>
      </c>
      <c r="J34" s="84">
        <f>TrRoad_act!J115</f>
        <v>756796</v>
      </c>
      <c r="K34" s="84">
        <f>TrRoad_act!K115</f>
        <v>617436</v>
      </c>
      <c r="L34" s="84">
        <f>TrRoad_act!L115</f>
        <v>588495</v>
      </c>
      <c r="M34" s="84">
        <f>TrRoad_act!M115</f>
        <v>773506</v>
      </c>
      <c r="N34" s="84">
        <f>TrRoad_act!N115</f>
        <v>1081347</v>
      </c>
      <c r="O34" s="84">
        <f>TrRoad_act!O115</f>
        <v>772728</v>
      </c>
      <c r="P34" s="84">
        <f>TrRoad_act!P115</f>
        <v>708037</v>
      </c>
      <c r="Q34" s="84">
        <f>TrRoad_act!Q115</f>
        <v>918886</v>
      </c>
      <c r="R34" s="84">
        <f>TrRoad_act!R115</f>
        <v>718987</v>
      </c>
      <c r="S34" s="84">
        <f>TrRoad_act!S115</f>
        <v>719775</v>
      </c>
      <c r="T34" s="84">
        <f>TrRoad_act!T115</f>
        <v>778385</v>
      </c>
      <c r="U34" s="84">
        <f>TrRoad_act!U115</f>
        <v>855340</v>
      </c>
      <c r="V34" s="84">
        <f>TrRoad_act!V115</f>
        <v>635816</v>
      </c>
      <c r="W34" s="84">
        <f>TrRoad_act!W115</f>
        <v>1102015</v>
      </c>
      <c r="X34" s="84">
        <f>TrRoad_act!X115</f>
        <v>1031501</v>
      </c>
      <c r="Y34" s="84">
        <f>TrRoad_act!Y115</f>
        <v>869290</v>
      </c>
      <c r="DA34" s="171" t="s">
        <v>530</v>
      </c>
    </row>
    <row r="35" spans="1:105" ht="11.45" customHeight="1" x14ac:dyDescent="0.25">
      <c r="A35" s="111" t="s">
        <v>111</v>
      </c>
      <c r="B35" s="84">
        <f>TrRoad_act!B116</f>
        <v>85756</v>
      </c>
      <c r="C35" s="84">
        <f>TrRoad_act!C116</f>
        <v>98301</v>
      </c>
      <c r="D35" s="84">
        <f>TrRoad_act!D116</f>
        <v>32057</v>
      </c>
      <c r="E35" s="84">
        <f>TrRoad_act!E116</f>
        <v>85017</v>
      </c>
      <c r="F35" s="84">
        <f>TrRoad_act!F116</f>
        <v>191630</v>
      </c>
      <c r="G35" s="84">
        <f>TrRoad_act!G116</f>
        <v>292495</v>
      </c>
      <c r="H35" s="84">
        <f>TrRoad_act!H116</f>
        <v>407617</v>
      </c>
      <c r="I35" s="84">
        <f>TrRoad_act!I116</f>
        <v>582138</v>
      </c>
      <c r="J35" s="84">
        <f>TrRoad_act!J116</f>
        <v>779062</v>
      </c>
      <c r="K35" s="84">
        <f>TrRoad_act!K116</f>
        <v>538631</v>
      </c>
      <c r="L35" s="84">
        <f>TrRoad_act!L116</f>
        <v>575106</v>
      </c>
      <c r="M35" s="84">
        <f>TrRoad_act!M116</f>
        <v>721523</v>
      </c>
      <c r="N35" s="84">
        <f>TrRoad_act!N116</f>
        <v>631001</v>
      </c>
      <c r="O35" s="84">
        <f>TrRoad_act!O116</f>
        <v>468097</v>
      </c>
      <c r="P35" s="84">
        <f>TrRoad_act!P116</f>
        <v>470977</v>
      </c>
      <c r="Q35" s="84">
        <f>TrRoad_act!Q116</f>
        <v>481020</v>
      </c>
      <c r="R35" s="84">
        <f>TrRoad_act!R116</f>
        <v>600549</v>
      </c>
      <c r="S35" s="84">
        <f>TrRoad_act!S116</f>
        <v>500121</v>
      </c>
      <c r="T35" s="84">
        <f>TrRoad_act!T116</f>
        <v>537590</v>
      </c>
      <c r="U35" s="84">
        <f>TrRoad_act!U116</f>
        <v>621299</v>
      </c>
      <c r="V35" s="84">
        <f>TrRoad_act!V116</f>
        <v>544565</v>
      </c>
      <c r="W35" s="84">
        <f>TrRoad_act!W116</f>
        <v>622175</v>
      </c>
      <c r="X35" s="84">
        <f>TrRoad_act!X116</f>
        <v>587145</v>
      </c>
      <c r="Y35" s="84">
        <f>TrRoad_act!Y116</f>
        <v>477010</v>
      </c>
      <c r="DA35" s="171" t="s">
        <v>531</v>
      </c>
    </row>
    <row r="36" spans="1:105" ht="11.45" customHeight="1" x14ac:dyDescent="0.25">
      <c r="A36" s="111" t="s">
        <v>112</v>
      </c>
      <c r="B36" s="84">
        <f>TrRoad_act!B117</f>
        <v>0</v>
      </c>
      <c r="C36" s="84">
        <f>TrRoad_act!C117</f>
        <v>419881</v>
      </c>
      <c r="D36" s="84">
        <f>TrRoad_act!D117</f>
        <v>519013</v>
      </c>
      <c r="E36" s="84">
        <f>TrRoad_act!E117</f>
        <v>523788</v>
      </c>
      <c r="F36" s="84">
        <f>TrRoad_act!F117</f>
        <v>280360</v>
      </c>
      <c r="G36" s="84">
        <f>TrRoad_act!G117</f>
        <v>309344</v>
      </c>
      <c r="H36" s="84">
        <f>TrRoad_act!H117</f>
        <v>233421</v>
      </c>
      <c r="I36" s="84">
        <f>TrRoad_act!I117</f>
        <v>232239</v>
      </c>
      <c r="J36" s="84">
        <f>TrRoad_act!J117</f>
        <v>212403</v>
      </c>
      <c r="K36" s="84">
        <f>TrRoad_act!K117</f>
        <v>187603</v>
      </c>
      <c r="L36" s="84">
        <f>TrRoad_act!L117</f>
        <v>186074</v>
      </c>
      <c r="M36" s="84">
        <f>TrRoad_act!M117</f>
        <v>7170</v>
      </c>
      <c r="N36" s="84">
        <f>TrRoad_act!N117</f>
        <v>148725</v>
      </c>
      <c r="O36" s="84">
        <f>TrRoad_act!O117</f>
        <v>120789</v>
      </c>
      <c r="P36" s="84">
        <f>TrRoad_act!P117</f>
        <v>90692</v>
      </c>
      <c r="Q36" s="84">
        <f>TrRoad_act!Q117</f>
        <v>109068</v>
      </c>
      <c r="R36" s="84">
        <f>TrRoad_act!R117</f>
        <v>141883</v>
      </c>
      <c r="S36" s="84">
        <f>TrRoad_act!S117</f>
        <v>104376</v>
      </c>
      <c r="T36" s="84">
        <f>TrRoad_act!T117</f>
        <v>279315</v>
      </c>
      <c r="U36" s="84">
        <f>TrRoad_act!U117</f>
        <v>86336</v>
      </c>
      <c r="V36" s="84">
        <f>TrRoad_act!V117</f>
        <v>62875</v>
      </c>
      <c r="W36" s="84">
        <f>TrRoad_act!W117</f>
        <v>65535</v>
      </c>
      <c r="X36" s="84">
        <f>TrRoad_act!X117</f>
        <v>60603</v>
      </c>
      <c r="Y36" s="84">
        <f>TrRoad_act!Y117</f>
        <v>230824</v>
      </c>
      <c r="DA36" s="171" t="s">
        <v>532</v>
      </c>
    </row>
    <row r="37" spans="1:105" ht="11.45" customHeight="1" x14ac:dyDescent="0.25">
      <c r="A37" s="111" t="s">
        <v>113</v>
      </c>
      <c r="B37" s="84">
        <f>TrRoad_act!B118</f>
        <v>0</v>
      </c>
      <c r="C37" s="84">
        <f>TrRoad_act!C118</f>
        <v>0</v>
      </c>
      <c r="D37" s="84">
        <f>TrRoad_act!D118</f>
        <v>0</v>
      </c>
      <c r="E37" s="84">
        <f>TrRoad_act!E118</f>
        <v>0</v>
      </c>
      <c r="F37" s="84">
        <f>TrRoad_act!F118</f>
        <v>0</v>
      </c>
      <c r="G37" s="84">
        <f>TrRoad_act!G118</f>
        <v>0</v>
      </c>
      <c r="H37" s="84">
        <f>TrRoad_act!H118</f>
        <v>0</v>
      </c>
      <c r="I37" s="84">
        <f>TrRoad_act!I118</f>
        <v>0</v>
      </c>
      <c r="J37" s="84">
        <f>TrRoad_act!J118</f>
        <v>0</v>
      </c>
      <c r="K37" s="84">
        <f>TrRoad_act!K118</f>
        <v>0</v>
      </c>
      <c r="L37" s="84">
        <f>TrRoad_act!L118</f>
        <v>0</v>
      </c>
      <c r="M37" s="84">
        <f>TrRoad_act!M118</f>
        <v>0</v>
      </c>
      <c r="N37" s="84">
        <f>TrRoad_act!N118</f>
        <v>0</v>
      </c>
      <c r="O37" s="84">
        <f>TrRoad_act!O118</f>
        <v>0</v>
      </c>
      <c r="P37" s="84">
        <f>TrRoad_act!P118</f>
        <v>0</v>
      </c>
      <c r="Q37" s="84">
        <f>TrRoad_act!Q118</f>
        <v>5355</v>
      </c>
      <c r="R37" s="84">
        <f>TrRoad_act!R118</f>
        <v>2279</v>
      </c>
      <c r="S37" s="84">
        <f>TrRoad_act!S118</f>
        <v>313</v>
      </c>
      <c r="T37" s="84">
        <f>TrRoad_act!T118</f>
        <v>313</v>
      </c>
      <c r="U37" s="84">
        <f>TrRoad_act!U118</f>
        <v>280</v>
      </c>
      <c r="V37" s="84">
        <f>TrRoad_act!V118</f>
        <v>175</v>
      </c>
      <c r="W37" s="84">
        <f>TrRoad_act!W118</f>
        <v>214</v>
      </c>
      <c r="X37" s="84">
        <f>TrRoad_act!X118</f>
        <v>0</v>
      </c>
      <c r="Y37" s="84">
        <f>TrRoad_act!Y118</f>
        <v>1</v>
      </c>
      <c r="DA37" s="171" t="s">
        <v>533</v>
      </c>
    </row>
    <row r="38" spans="1:105" ht="11.45" customHeight="1" x14ac:dyDescent="0.25">
      <c r="A38" s="111" t="s">
        <v>114</v>
      </c>
      <c r="B38" s="84">
        <f>TrRoad_act!B119</f>
        <v>0</v>
      </c>
      <c r="C38" s="84">
        <f>TrRoad_act!C119</f>
        <v>0</v>
      </c>
      <c r="D38" s="84">
        <f>TrRoad_act!D119</f>
        <v>0</v>
      </c>
      <c r="E38" s="84">
        <f>TrRoad_act!E119</f>
        <v>0</v>
      </c>
      <c r="F38" s="84">
        <f>TrRoad_act!F119</f>
        <v>0</v>
      </c>
      <c r="G38" s="84">
        <f>TrRoad_act!G119</f>
        <v>0</v>
      </c>
      <c r="H38" s="84">
        <f>TrRoad_act!H119</f>
        <v>0</v>
      </c>
      <c r="I38" s="84">
        <f>TrRoad_act!I119</f>
        <v>0</v>
      </c>
      <c r="J38" s="84">
        <f>TrRoad_act!J119</f>
        <v>0</v>
      </c>
      <c r="K38" s="84">
        <f>TrRoad_act!K119</f>
        <v>0</v>
      </c>
      <c r="L38" s="84">
        <f>TrRoad_act!L119</f>
        <v>0</v>
      </c>
      <c r="M38" s="84">
        <f>TrRoad_act!M119</f>
        <v>0</v>
      </c>
      <c r="N38" s="84">
        <f>TrRoad_act!N119</f>
        <v>12</v>
      </c>
      <c r="O38" s="84">
        <f>TrRoad_act!O119</f>
        <v>10</v>
      </c>
      <c r="P38" s="84">
        <f>TrRoad_act!P119</f>
        <v>673</v>
      </c>
      <c r="Q38" s="84">
        <f>TrRoad_act!Q119</f>
        <v>259</v>
      </c>
      <c r="R38" s="84">
        <f>TrRoad_act!R119</f>
        <v>156</v>
      </c>
      <c r="S38" s="84">
        <f>TrRoad_act!S119</f>
        <v>660</v>
      </c>
      <c r="T38" s="84">
        <f>TrRoad_act!T119</f>
        <v>779</v>
      </c>
      <c r="U38" s="84">
        <f>TrRoad_act!U119</f>
        <v>1166</v>
      </c>
      <c r="V38" s="84">
        <f>TrRoad_act!V119</f>
        <v>4362</v>
      </c>
      <c r="W38" s="84">
        <f>TrRoad_act!W119</f>
        <v>9729</v>
      </c>
      <c r="X38" s="84">
        <f>TrRoad_act!X119</f>
        <v>10806</v>
      </c>
      <c r="Y38" s="84">
        <f>TrRoad_act!Y119</f>
        <v>20769</v>
      </c>
      <c r="DA38" s="171" t="s">
        <v>534</v>
      </c>
    </row>
    <row r="39" spans="1:105" ht="11.45" customHeight="1" x14ac:dyDescent="0.25">
      <c r="A39" s="111" t="s">
        <v>115</v>
      </c>
      <c r="B39" s="84">
        <f>TrRoad_act!B120</f>
        <v>0</v>
      </c>
      <c r="C39" s="84">
        <f>TrRoad_act!C120</f>
        <v>0</v>
      </c>
      <c r="D39" s="84">
        <f>TrRoad_act!D120</f>
        <v>0</v>
      </c>
      <c r="E39" s="84">
        <f>TrRoad_act!E120</f>
        <v>0</v>
      </c>
      <c r="F39" s="84">
        <f>TrRoad_act!F120</f>
        <v>0</v>
      </c>
      <c r="G39" s="84">
        <f>TrRoad_act!G120</f>
        <v>0</v>
      </c>
      <c r="H39" s="84">
        <f>TrRoad_act!H120</f>
        <v>0</v>
      </c>
      <c r="I39" s="84">
        <f>TrRoad_act!I120</f>
        <v>0</v>
      </c>
      <c r="J39" s="84">
        <f>TrRoad_act!J120</f>
        <v>0</v>
      </c>
      <c r="K39" s="84">
        <f>TrRoad_act!K120</f>
        <v>0</v>
      </c>
      <c r="L39" s="84">
        <f>TrRoad_act!L120</f>
        <v>15</v>
      </c>
      <c r="M39" s="84">
        <f>TrRoad_act!M120</f>
        <v>89</v>
      </c>
      <c r="N39" s="84">
        <f>TrRoad_act!N120</f>
        <v>111</v>
      </c>
      <c r="O39" s="84">
        <f>TrRoad_act!O120</f>
        <v>27</v>
      </c>
      <c r="P39" s="84">
        <f>TrRoad_act!P120</f>
        <v>63</v>
      </c>
      <c r="Q39" s="84">
        <f>TrRoad_act!Q120</f>
        <v>68</v>
      </c>
      <c r="R39" s="84">
        <f>TrRoad_act!R120</f>
        <v>636</v>
      </c>
      <c r="S39" s="84">
        <f>TrRoad_act!S120</f>
        <v>1367</v>
      </c>
      <c r="T39" s="84">
        <f>TrRoad_act!T120</f>
        <v>2593</v>
      </c>
      <c r="U39" s="84">
        <f>TrRoad_act!U120</f>
        <v>2205</v>
      </c>
      <c r="V39" s="84">
        <f>TrRoad_act!V120</f>
        <v>4619</v>
      </c>
      <c r="W39" s="84">
        <f>TrRoad_act!W120</f>
        <v>7167</v>
      </c>
      <c r="X39" s="84">
        <f>TrRoad_act!X120</f>
        <v>12070</v>
      </c>
      <c r="Y39" s="84">
        <f>TrRoad_act!Y120</f>
        <v>25620</v>
      </c>
      <c r="DA39" s="171" t="s">
        <v>535</v>
      </c>
    </row>
    <row r="40" spans="1:105" ht="11.45" customHeight="1" x14ac:dyDescent="0.25">
      <c r="A40" s="109" t="s">
        <v>21</v>
      </c>
      <c r="B40" s="110">
        <f>TrRoad_act!B121</f>
        <v>3612</v>
      </c>
      <c r="C40" s="110">
        <f>TrRoad_act!C121</f>
        <v>3403</v>
      </c>
      <c r="D40" s="110">
        <f>TrRoad_act!D121</f>
        <v>2810</v>
      </c>
      <c r="E40" s="110">
        <f>TrRoad_act!E121</f>
        <v>2072</v>
      </c>
      <c r="F40" s="110">
        <f>TrRoad_act!F121</f>
        <v>5194</v>
      </c>
      <c r="G40" s="110">
        <f>TrRoad_act!G121</f>
        <v>4392</v>
      </c>
      <c r="H40" s="110">
        <f>TrRoad_act!H121</f>
        <v>4417</v>
      </c>
      <c r="I40" s="110">
        <f>TrRoad_act!I121</f>
        <v>4852</v>
      </c>
      <c r="J40" s="110">
        <f>TrRoad_act!J121</f>
        <v>5233</v>
      </c>
      <c r="K40" s="110">
        <f>TrRoad_act!K121</f>
        <v>3892</v>
      </c>
      <c r="L40" s="110">
        <f>TrRoad_act!L121</f>
        <v>3939</v>
      </c>
      <c r="M40" s="110">
        <f>TrRoad_act!M121</f>
        <v>4604</v>
      </c>
      <c r="N40" s="110">
        <f>TrRoad_act!N121</f>
        <v>4361</v>
      </c>
      <c r="O40" s="110">
        <f>TrRoad_act!O121</f>
        <v>4937</v>
      </c>
      <c r="P40" s="110">
        <f>TrRoad_act!P121</f>
        <v>5319</v>
      </c>
      <c r="Q40" s="110">
        <f>TrRoad_act!Q121</f>
        <v>11135</v>
      </c>
      <c r="R40" s="110">
        <f>TrRoad_act!R121</f>
        <v>5562</v>
      </c>
      <c r="S40" s="110">
        <f>TrRoad_act!S121</f>
        <v>5438</v>
      </c>
      <c r="T40" s="110">
        <f>TrRoad_act!T121</f>
        <v>5785</v>
      </c>
      <c r="U40" s="110">
        <f>TrRoad_act!U121</f>
        <v>5259</v>
      </c>
      <c r="V40" s="110">
        <f>TrRoad_act!V121</f>
        <v>5443</v>
      </c>
      <c r="W40" s="110">
        <f>TrRoad_act!W121</f>
        <v>5416</v>
      </c>
      <c r="X40" s="110">
        <f>TrRoad_act!X121</f>
        <v>5153</v>
      </c>
      <c r="Y40" s="110">
        <f>TrRoad_act!Y121</f>
        <v>5397</v>
      </c>
      <c r="DA40" s="176" t="s">
        <v>536</v>
      </c>
    </row>
    <row r="41" spans="1:105" ht="11.45" customHeight="1" x14ac:dyDescent="0.25">
      <c r="A41" s="111" t="s">
        <v>110</v>
      </c>
      <c r="B41" s="102">
        <f>TrRoad_act!B122</f>
        <v>0</v>
      </c>
      <c r="C41" s="102">
        <f>TrRoad_act!C122</f>
        <v>0</v>
      </c>
      <c r="D41" s="102">
        <f>TrRoad_act!D122</f>
        <v>0</v>
      </c>
      <c r="E41" s="102">
        <f>TrRoad_act!E122</f>
        <v>0</v>
      </c>
      <c r="F41" s="102">
        <f>TrRoad_act!F122</f>
        <v>0</v>
      </c>
      <c r="G41" s="102">
        <f>TrRoad_act!G122</f>
        <v>0</v>
      </c>
      <c r="H41" s="102">
        <f>TrRoad_act!H122</f>
        <v>0</v>
      </c>
      <c r="I41" s="102">
        <f>TrRoad_act!I122</f>
        <v>0</v>
      </c>
      <c r="J41" s="102">
        <f>TrRoad_act!J122</f>
        <v>0</v>
      </c>
      <c r="K41" s="102">
        <f>TrRoad_act!K122</f>
        <v>0</v>
      </c>
      <c r="L41" s="102">
        <f>TrRoad_act!L122</f>
        <v>0</v>
      </c>
      <c r="M41" s="102">
        <f>TrRoad_act!M122</f>
        <v>0</v>
      </c>
      <c r="N41" s="102">
        <f>TrRoad_act!N122</f>
        <v>0</v>
      </c>
      <c r="O41" s="102">
        <f>TrRoad_act!O122</f>
        <v>0</v>
      </c>
      <c r="P41" s="102">
        <f>TrRoad_act!P122</f>
        <v>0</v>
      </c>
      <c r="Q41" s="102">
        <f>TrRoad_act!Q122</f>
        <v>0</v>
      </c>
      <c r="R41" s="102">
        <f>TrRoad_act!R122</f>
        <v>0</v>
      </c>
      <c r="S41" s="102">
        <f>TrRoad_act!S122</f>
        <v>0</v>
      </c>
      <c r="T41" s="102">
        <f>TrRoad_act!T122</f>
        <v>0</v>
      </c>
      <c r="U41" s="102">
        <f>TrRoad_act!U122</f>
        <v>0</v>
      </c>
      <c r="V41" s="102">
        <f>TrRoad_act!V122</f>
        <v>0</v>
      </c>
      <c r="W41" s="102">
        <f>TrRoad_act!W122</f>
        <v>0</v>
      </c>
      <c r="X41" s="102">
        <f>TrRoad_act!X122</f>
        <v>0</v>
      </c>
      <c r="Y41" s="102">
        <f>TrRoad_act!Y122</f>
        <v>0</v>
      </c>
      <c r="DA41" s="175" t="s">
        <v>537</v>
      </c>
    </row>
    <row r="42" spans="1:105" ht="11.45" customHeight="1" x14ac:dyDescent="0.25">
      <c r="A42" s="111" t="s">
        <v>111</v>
      </c>
      <c r="B42" s="102">
        <f>TrRoad_act!B123</f>
        <v>3612</v>
      </c>
      <c r="C42" s="102">
        <f>TrRoad_act!C123</f>
        <v>3384</v>
      </c>
      <c r="D42" s="102">
        <f>TrRoad_act!D123</f>
        <v>2806</v>
      </c>
      <c r="E42" s="102">
        <f>TrRoad_act!E123</f>
        <v>2068</v>
      </c>
      <c r="F42" s="102">
        <f>TrRoad_act!F123</f>
        <v>4120</v>
      </c>
      <c r="G42" s="102">
        <f>TrRoad_act!G123</f>
        <v>3956</v>
      </c>
      <c r="H42" s="102">
        <f>TrRoad_act!H123</f>
        <v>4403</v>
      </c>
      <c r="I42" s="102">
        <f>TrRoad_act!I123</f>
        <v>4847</v>
      </c>
      <c r="J42" s="102">
        <f>TrRoad_act!J123</f>
        <v>5225</v>
      </c>
      <c r="K42" s="102">
        <f>TrRoad_act!K123</f>
        <v>3891</v>
      </c>
      <c r="L42" s="102">
        <f>TrRoad_act!L123</f>
        <v>3918</v>
      </c>
      <c r="M42" s="102">
        <f>TrRoad_act!M123</f>
        <v>4592</v>
      </c>
      <c r="N42" s="102">
        <f>TrRoad_act!N123</f>
        <v>4351</v>
      </c>
      <c r="O42" s="102">
        <f>TrRoad_act!O123</f>
        <v>4883</v>
      </c>
      <c r="P42" s="102">
        <f>TrRoad_act!P123</f>
        <v>5281</v>
      </c>
      <c r="Q42" s="102">
        <f>TrRoad_act!Q123</f>
        <v>10522</v>
      </c>
      <c r="R42" s="102">
        <f>TrRoad_act!R123</f>
        <v>5466</v>
      </c>
      <c r="S42" s="102">
        <f>TrRoad_act!S123</f>
        <v>5243</v>
      </c>
      <c r="T42" s="102">
        <f>TrRoad_act!T123</f>
        <v>4999</v>
      </c>
      <c r="U42" s="102">
        <f>TrRoad_act!U123</f>
        <v>4855</v>
      </c>
      <c r="V42" s="102">
        <f>TrRoad_act!V123</f>
        <v>4836</v>
      </c>
      <c r="W42" s="102">
        <f>TrRoad_act!W123</f>
        <v>4825</v>
      </c>
      <c r="X42" s="102">
        <f>TrRoad_act!X123</f>
        <v>4825</v>
      </c>
      <c r="Y42" s="102">
        <f>TrRoad_act!Y123</f>
        <v>4825</v>
      </c>
      <c r="DA42" s="175" t="s">
        <v>538</v>
      </c>
    </row>
    <row r="43" spans="1:105" ht="11.45" customHeight="1" x14ac:dyDescent="0.25">
      <c r="A43" s="111" t="s">
        <v>112</v>
      </c>
      <c r="B43" s="102">
        <f>TrRoad_act!B124</f>
        <v>0</v>
      </c>
      <c r="C43" s="102">
        <f>TrRoad_act!C124</f>
        <v>0</v>
      </c>
      <c r="D43" s="102">
        <f>TrRoad_act!D124</f>
        <v>0</v>
      </c>
      <c r="E43" s="102">
        <f>TrRoad_act!E124</f>
        <v>4</v>
      </c>
      <c r="F43" s="102">
        <f>TrRoad_act!F124</f>
        <v>1074</v>
      </c>
      <c r="G43" s="102">
        <f>TrRoad_act!G124</f>
        <v>5</v>
      </c>
      <c r="H43" s="102">
        <f>TrRoad_act!H124</f>
        <v>4</v>
      </c>
      <c r="I43" s="102">
        <f>TrRoad_act!I124</f>
        <v>1</v>
      </c>
      <c r="J43" s="102">
        <f>TrRoad_act!J124</f>
        <v>8</v>
      </c>
      <c r="K43" s="102">
        <f>TrRoad_act!K124</f>
        <v>0</v>
      </c>
      <c r="L43" s="102">
        <f>TrRoad_act!L124</f>
        <v>5</v>
      </c>
      <c r="M43" s="102">
        <f>TrRoad_act!M124</f>
        <v>5</v>
      </c>
      <c r="N43" s="102">
        <f>TrRoad_act!N124</f>
        <v>10</v>
      </c>
      <c r="O43" s="102">
        <f>TrRoad_act!O124</f>
        <v>8</v>
      </c>
      <c r="P43" s="102">
        <f>TrRoad_act!P124</f>
        <v>6</v>
      </c>
      <c r="Q43" s="102">
        <f>TrRoad_act!Q124</f>
        <v>2</v>
      </c>
      <c r="R43" s="102">
        <f>TrRoad_act!R124</f>
        <v>3</v>
      </c>
      <c r="S43" s="102">
        <f>TrRoad_act!S124</f>
        <v>7</v>
      </c>
      <c r="T43" s="102">
        <f>TrRoad_act!T124</f>
        <v>95</v>
      </c>
      <c r="U43" s="102">
        <f>TrRoad_act!U124</f>
        <v>13</v>
      </c>
      <c r="V43" s="102">
        <f>TrRoad_act!V124</f>
        <v>12</v>
      </c>
      <c r="W43" s="102">
        <f>TrRoad_act!W124</f>
        <v>18</v>
      </c>
      <c r="X43" s="102">
        <f>TrRoad_act!X124</f>
        <v>16</v>
      </c>
      <c r="Y43" s="102">
        <f>TrRoad_act!Y124</f>
        <v>0</v>
      </c>
      <c r="DA43" s="175" t="s">
        <v>539</v>
      </c>
    </row>
    <row r="44" spans="1:105" ht="11.45" customHeight="1" x14ac:dyDescent="0.25">
      <c r="A44" s="111" t="s">
        <v>113</v>
      </c>
      <c r="B44" s="102">
        <f>TrRoad_act!B125</f>
        <v>0</v>
      </c>
      <c r="C44" s="102">
        <f>TrRoad_act!C125</f>
        <v>0</v>
      </c>
      <c r="D44" s="102">
        <f>TrRoad_act!D125</f>
        <v>0</v>
      </c>
      <c r="E44" s="102">
        <f>TrRoad_act!E125</f>
        <v>0</v>
      </c>
      <c r="F44" s="102">
        <f>TrRoad_act!F125</f>
        <v>0</v>
      </c>
      <c r="G44" s="102">
        <f>TrRoad_act!G125</f>
        <v>0</v>
      </c>
      <c r="H44" s="102">
        <f>TrRoad_act!H125</f>
        <v>0</v>
      </c>
      <c r="I44" s="102">
        <f>TrRoad_act!I125</f>
        <v>0</v>
      </c>
      <c r="J44" s="102">
        <f>TrRoad_act!J125</f>
        <v>0</v>
      </c>
      <c r="K44" s="102">
        <f>TrRoad_act!K125</f>
        <v>0</v>
      </c>
      <c r="L44" s="102">
        <f>TrRoad_act!L125</f>
        <v>0</v>
      </c>
      <c r="M44" s="102">
        <f>TrRoad_act!M125</f>
        <v>0</v>
      </c>
      <c r="N44" s="102">
        <f>TrRoad_act!N125</f>
        <v>0</v>
      </c>
      <c r="O44" s="102">
        <f>TrRoad_act!O125</f>
        <v>0</v>
      </c>
      <c r="P44" s="102">
        <f>TrRoad_act!P125</f>
        <v>0</v>
      </c>
      <c r="Q44" s="102">
        <f>TrRoad_act!Q125</f>
        <v>554</v>
      </c>
      <c r="R44" s="102">
        <f>TrRoad_act!R125</f>
        <v>64</v>
      </c>
      <c r="S44" s="102">
        <f>TrRoad_act!S125</f>
        <v>48</v>
      </c>
      <c r="T44" s="102">
        <f>TrRoad_act!T125</f>
        <v>648</v>
      </c>
      <c r="U44" s="102">
        <f>TrRoad_act!U125</f>
        <v>326</v>
      </c>
      <c r="V44" s="102">
        <f>TrRoad_act!V125</f>
        <v>384</v>
      </c>
      <c r="W44" s="102">
        <f>TrRoad_act!W125</f>
        <v>345</v>
      </c>
      <c r="X44" s="102">
        <f>TrRoad_act!X125</f>
        <v>133</v>
      </c>
      <c r="Y44" s="102">
        <f>TrRoad_act!Y125</f>
        <v>198</v>
      </c>
      <c r="DA44" s="175" t="s">
        <v>540</v>
      </c>
    </row>
    <row r="45" spans="1:105" ht="11.45" customHeight="1" x14ac:dyDescent="0.25">
      <c r="A45" s="111" t="s">
        <v>115</v>
      </c>
      <c r="B45" s="102">
        <f>TrRoad_act!B126</f>
        <v>0</v>
      </c>
      <c r="C45" s="102">
        <f>TrRoad_act!C126</f>
        <v>19</v>
      </c>
      <c r="D45" s="102">
        <f>TrRoad_act!D126</f>
        <v>4</v>
      </c>
      <c r="E45" s="102">
        <f>TrRoad_act!E126</f>
        <v>0</v>
      </c>
      <c r="F45" s="102">
        <f>TrRoad_act!F126</f>
        <v>0</v>
      </c>
      <c r="G45" s="102">
        <f>TrRoad_act!G126</f>
        <v>431</v>
      </c>
      <c r="H45" s="102">
        <f>TrRoad_act!H126</f>
        <v>10</v>
      </c>
      <c r="I45" s="102">
        <f>TrRoad_act!I126</f>
        <v>4</v>
      </c>
      <c r="J45" s="102">
        <f>TrRoad_act!J126</f>
        <v>0</v>
      </c>
      <c r="K45" s="102">
        <f>TrRoad_act!K126</f>
        <v>1</v>
      </c>
      <c r="L45" s="102">
        <f>TrRoad_act!L126</f>
        <v>16</v>
      </c>
      <c r="M45" s="102">
        <f>TrRoad_act!M126</f>
        <v>7</v>
      </c>
      <c r="N45" s="102">
        <f>TrRoad_act!N126</f>
        <v>0</v>
      </c>
      <c r="O45" s="102">
        <f>TrRoad_act!O126</f>
        <v>46</v>
      </c>
      <c r="P45" s="102">
        <f>TrRoad_act!P126</f>
        <v>32</v>
      </c>
      <c r="Q45" s="102">
        <f>TrRoad_act!Q126</f>
        <v>57</v>
      </c>
      <c r="R45" s="102">
        <f>TrRoad_act!R126</f>
        <v>29</v>
      </c>
      <c r="S45" s="102">
        <f>TrRoad_act!S126</f>
        <v>140</v>
      </c>
      <c r="T45" s="102">
        <f>TrRoad_act!T126</f>
        <v>43</v>
      </c>
      <c r="U45" s="102">
        <f>TrRoad_act!U126</f>
        <v>65</v>
      </c>
      <c r="V45" s="102">
        <f>TrRoad_act!V126</f>
        <v>211</v>
      </c>
      <c r="W45" s="102">
        <f>TrRoad_act!W126</f>
        <v>228</v>
      </c>
      <c r="X45" s="102">
        <f>TrRoad_act!X126</f>
        <v>179</v>
      </c>
      <c r="Y45" s="102">
        <f>TrRoad_act!Y126</f>
        <v>374</v>
      </c>
      <c r="DA45" s="175" t="s">
        <v>541</v>
      </c>
    </row>
    <row r="46" spans="1:105" ht="11.45" customHeight="1" x14ac:dyDescent="0.25">
      <c r="A46" s="27" t="s">
        <v>34</v>
      </c>
      <c r="B46" s="28">
        <f>TrRoad_act!B127</f>
        <v>130004</v>
      </c>
      <c r="C46" s="28">
        <f>TrRoad_act!C127</f>
        <v>132000</v>
      </c>
      <c r="D46" s="28">
        <f>TrRoad_act!D127</f>
        <v>270996</v>
      </c>
      <c r="E46" s="28">
        <f>TrRoad_act!E127</f>
        <v>194313</v>
      </c>
      <c r="F46" s="28">
        <f>TrRoad_act!F127</f>
        <v>142750</v>
      </c>
      <c r="G46" s="28">
        <f>TrRoad_act!G127</f>
        <v>190563</v>
      </c>
      <c r="H46" s="28">
        <f>TrRoad_act!H127</f>
        <v>227156</v>
      </c>
      <c r="I46" s="28">
        <f>TrRoad_act!I127</f>
        <v>298573</v>
      </c>
      <c r="J46" s="28">
        <f>TrRoad_act!J127</f>
        <v>362753</v>
      </c>
      <c r="K46" s="28">
        <f>TrRoad_act!K127</f>
        <v>278550</v>
      </c>
      <c r="L46" s="28">
        <f>TrRoad_act!L127</f>
        <v>364937</v>
      </c>
      <c r="M46" s="28">
        <f>TrRoad_act!M127</f>
        <v>346245</v>
      </c>
      <c r="N46" s="28">
        <f>TrRoad_act!N127</f>
        <v>260716</v>
      </c>
      <c r="O46" s="28">
        <f>TrRoad_act!O127</f>
        <v>325249</v>
      </c>
      <c r="P46" s="28">
        <f>TrRoad_act!P127</f>
        <v>241053</v>
      </c>
      <c r="Q46" s="28">
        <f>TrRoad_act!Q127</f>
        <v>273231</v>
      </c>
      <c r="R46" s="28">
        <f>TrRoad_act!R127</f>
        <v>325416</v>
      </c>
      <c r="S46" s="28">
        <f>TrRoad_act!S127</f>
        <v>321566</v>
      </c>
      <c r="T46" s="28">
        <f>TrRoad_act!T127</f>
        <v>326420</v>
      </c>
      <c r="U46" s="28">
        <f>TrRoad_act!U127</f>
        <v>378527</v>
      </c>
      <c r="V46" s="28">
        <f>TrRoad_act!V127</f>
        <v>344332</v>
      </c>
      <c r="W46" s="28">
        <f>TrRoad_act!W127</f>
        <v>380978</v>
      </c>
      <c r="X46" s="28">
        <f>TrRoad_act!X127</f>
        <v>381300</v>
      </c>
      <c r="Y46" s="28">
        <f>TrRoad_act!Y127</f>
        <v>392706</v>
      </c>
      <c r="DA46" s="173" t="s">
        <v>542</v>
      </c>
    </row>
    <row r="47" spans="1:105" ht="11.45" customHeight="1" x14ac:dyDescent="0.25">
      <c r="A47" s="136" t="s">
        <v>153</v>
      </c>
      <c r="B47" s="137">
        <f>TrRoad_act!B128</f>
        <v>128463</v>
      </c>
      <c r="C47" s="137">
        <f>TrRoad_act!C128</f>
        <v>95437</v>
      </c>
      <c r="D47" s="137">
        <f>TrRoad_act!D128</f>
        <v>174447</v>
      </c>
      <c r="E47" s="137">
        <f>TrRoad_act!E128</f>
        <v>168638</v>
      </c>
      <c r="F47" s="137">
        <f>TrRoad_act!F128</f>
        <v>116571</v>
      </c>
      <c r="G47" s="137">
        <f>TrRoad_act!G128</f>
        <v>149504</v>
      </c>
      <c r="H47" s="137">
        <f>TrRoad_act!H128</f>
        <v>176222</v>
      </c>
      <c r="I47" s="137">
        <f>TrRoad_act!I128</f>
        <v>212194</v>
      </c>
      <c r="J47" s="137">
        <f>TrRoad_act!J128</f>
        <v>266696</v>
      </c>
      <c r="K47" s="137">
        <f>TrRoad_act!K128</f>
        <v>223775</v>
      </c>
      <c r="L47" s="137">
        <f>TrRoad_act!L128</f>
        <v>295967</v>
      </c>
      <c r="M47" s="137">
        <f>TrRoad_act!M128</f>
        <v>264850</v>
      </c>
      <c r="N47" s="137">
        <f>TrRoad_act!N128</f>
        <v>196713</v>
      </c>
      <c r="O47" s="137">
        <f>TrRoad_act!O128</f>
        <v>249889</v>
      </c>
      <c r="P47" s="137">
        <f>TrRoad_act!P128</f>
        <v>164007</v>
      </c>
      <c r="Q47" s="137">
        <f>TrRoad_act!Q128</f>
        <v>205087</v>
      </c>
      <c r="R47" s="137">
        <f>TrRoad_act!R128</f>
        <v>235868</v>
      </c>
      <c r="S47" s="137">
        <f>TrRoad_act!S128</f>
        <v>236418</v>
      </c>
      <c r="T47" s="137">
        <f>TrRoad_act!T128</f>
        <v>242766</v>
      </c>
      <c r="U47" s="137">
        <f>TrRoad_act!U128</f>
        <v>287809</v>
      </c>
      <c r="V47" s="137">
        <f>TrRoad_act!V128</f>
        <v>275248</v>
      </c>
      <c r="W47" s="137">
        <f>TrRoad_act!W128</f>
        <v>291850</v>
      </c>
      <c r="X47" s="137">
        <f>TrRoad_act!X128</f>
        <v>286899</v>
      </c>
      <c r="Y47" s="137">
        <f>TrRoad_act!Y128</f>
        <v>295840</v>
      </c>
      <c r="DA47" s="174" t="s">
        <v>543</v>
      </c>
    </row>
    <row r="48" spans="1:105" ht="11.45" customHeight="1" x14ac:dyDescent="0.25">
      <c r="A48" s="111" t="s">
        <v>110</v>
      </c>
      <c r="B48" s="84">
        <f>TrRoad_act!B129</f>
        <v>29680</v>
      </c>
      <c r="C48" s="84">
        <f>TrRoad_act!C129</f>
        <v>32050</v>
      </c>
      <c r="D48" s="84">
        <f>TrRoad_act!D129</f>
        <v>45659</v>
      </c>
      <c r="E48" s="84">
        <f>TrRoad_act!E129</f>
        <v>74921</v>
      </c>
      <c r="F48" s="84">
        <f>TrRoad_act!F129</f>
        <v>37868</v>
      </c>
      <c r="G48" s="84">
        <f>TrRoad_act!G129</f>
        <v>11343</v>
      </c>
      <c r="H48" s="84">
        <f>TrRoad_act!H129</f>
        <v>38074</v>
      </c>
      <c r="I48" s="84">
        <f>TrRoad_act!I129</f>
        <v>54502</v>
      </c>
      <c r="J48" s="84">
        <f>TrRoad_act!J129</f>
        <v>78921</v>
      </c>
      <c r="K48" s="84">
        <f>TrRoad_act!K129</f>
        <v>62789</v>
      </c>
      <c r="L48" s="84">
        <f>TrRoad_act!L129</f>
        <v>95769</v>
      </c>
      <c r="M48" s="84">
        <f>TrRoad_act!M129</f>
        <v>56578</v>
      </c>
      <c r="N48" s="84">
        <f>TrRoad_act!N129</f>
        <v>56752</v>
      </c>
      <c r="O48" s="84">
        <f>TrRoad_act!O129</f>
        <v>64565</v>
      </c>
      <c r="P48" s="84">
        <f>TrRoad_act!P129</f>
        <v>36506</v>
      </c>
      <c r="Q48" s="84">
        <f>TrRoad_act!Q129</f>
        <v>41422</v>
      </c>
      <c r="R48" s="84">
        <f>TrRoad_act!R129</f>
        <v>43248</v>
      </c>
      <c r="S48" s="84">
        <f>TrRoad_act!S129</f>
        <v>62951</v>
      </c>
      <c r="T48" s="84">
        <f>TrRoad_act!T129</f>
        <v>63772</v>
      </c>
      <c r="U48" s="84">
        <f>TrRoad_act!U129</f>
        <v>32349</v>
      </c>
      <c r="V48" s="84">
        <f>TrRoad_act!V129</f>
        <v>43019</v>
      </c>
      <c r="W48" s="84">
        <f>TrRoad_act!W129</f>
        <v>47386</v>
      </c>
      <c r="X48" s="84">
        <f>TrRoad_act!X129</f>
        <v>54063</v>
      </c>
      <c r="Y48" s="84">
        <f>TrRoad_act!Y129</f>
        <v>52925</v>
      </c>
      <c r="DA48" s="171" t="s">
        <v>544</v>
      </c>
    </row>
    <row r="49" spans="1:105" ht="11.45" customHeight="1" x14ac:dyDescent="0.25">
      <c r="A49" s="111" t="s">
        <v>111</v>
      </c>
      <c r="B49" s="84">
        <f>TrRoad_act!B130</f>
        <v>98783</v>
      </c>
      <c r="C49" s="84">
        <f>TrRoad_act!C130</f>
        <v>54998</v>
      </c>
      <c r="D49" s="84">
        <f>TrRoad_act!D130</f>
        <v>101633</v>
      </c>
      <c r="E49" s="84">
        <f>TrRoad_act!E130</f>
        <v>78522</v>
      </c>
      <c r="F49" s="84">
        <f>TrRoad_act!F130</f>
        <v>74387</v>
      </c>
      <c r="G49" s="84">
        <f>TrRoad_act!G130</f>
        <v>127643</v>
      </c>
      <c r="H49" s="84">
        <f>TrRoad_act!H130</f>
        <v>119261</v>
      </c>
      <c r="I49" s="84">
        <f>TrRoad_act!I130</f>
        <v>146070</v>
      </c>
      <c r="J49" s="84">
        <f>TrRoad_act!J130</f>
        <v>180273</v>
      </c>
      <c r="K49" s="84">
        <f>TrRoad_act!K130</f>
        <v>157645</v>
      </c>
      <c r="L49" s="84">
        <f>TrRoad_act!L130</f>
        <v>195380</v>
      </c>
      <c r="M49" s="84">
        <f>TrRoad_act!M130</f>
        <v>202999</v>
      </c>
      <c r="N49" s="84">
        <f>TrRoad_act!N130</f>
        <v>137551</v>
      </c>
      <c r="O49" s="84">
        <f>TrRoad_act!O130</f>
        <v>182901</v>
      </c>
      <c r="P49" s="84">
        <f>TrRoad_act!P130</f>
        <v>110395</v>
      </c>
      <c r="Q49" s="84">
        <f>TrRoad_act!Q130</f>
        <v>159429</v>
      </c>
      <c r="R49" s="84">
        <f>TrRoad_act!R130</f>
        <v>187252</v>
      </c>
      <c r="S49" s="84">
        <f>TrRoad_act!S130</f>
        <v>169910</v>
      </c>
      <c r="T49" s="84">
        <f>TrRoad_act!T130</f>
        <v>172316</v>
      </c>
      <c r="U49" s="84">
        <f>TrRoad_act!U130</f>
        <v>254236</v>
      </c>
      <c r="V49" s="84">
        <f>TrRoad_act!V130</f>
        <v>231973</v>
      </c>
      <c r="W49" s="84">
        <f>TrRoad_act!W130</f>
        <v>242112</v>
      </c>
      <c r="X49" s="84">
        <f>TrRoad_act!X130</f>
        <v>231806</v>
      </c>
      <c r="Y49" s="84">
        <f>TrRoad_act!Y130</f>
        <v>238847</v>
      </c>
      <c r="DA49" s="171" t="s">
        <v>545</v>
      </c>
    </row>
    <row r="50" spans="1:105" ht="11.45" customHeight="1" x14ac:dyDescent="0.25">
      <c r="A50" s="111" t="s">
        <v>112</v>
      </c>
      <c r="B50" s="84">
        <f>TrRoad_act!B131</f>
        <v>0</v>
      </c>
      <c r="C50" s="84">
        <f>TrRoad_act!C131</f>
        <v>8389</v>
      </c>
      <c r="D50" s="84">
        <f>TrRoad_act!D131</f>
        <v>27155</v>
      </c>
      <c r="E50" s="84">
        <f>TrRoad_act!E131</f>
        <v>15195</v>
      </c>
      <c r="F50" s="84">
        <f>TrRoad_act!F131</f>
        <v>4316</v>
      </c>
      <c r="G50" s="84">
        <f>TrRoad_act!G131</f>
        <v>10518</v>
      </c>
      <c r="H50" s="84">
        <f>TrRoad_act!H131</f>
        <v>18887</v>
      </c>
      <c r="I50" s="84">
        <f>TrRoad_act!I131</f>
        <v>11622</v>
      </c>
      <c r="J50" s="84">
        <f>TrRoad_act!J131</f>
        <v>7502</v>
      </c>
      <c r="K50" s="84">
        <f>TrRoad_act!K131</f>
        <v>3341</v>
      </c>
      <c r="L50" s="84">
        <f>TrRoad_act!L131</f>
        <v>4818</v>
      </c>
      <c r="M50" s="84">
        <f>TrRoad_act!M131</f>
        <v>5273</v>
      </c>
      <c r="N50" s="84">
        <f>TrRoad_act!N131</f>
        <v>2403</v>
      </c>
      <c r="O50" s="84">
        <f>TrRoad_act!O131</f>
        <v>2417</v>
      </c>
      <c r="P50" s="84">
        <f>TrRoad_act!P131</f>
        <v>17102</v>
      </c>
      <c r="Q50" s="84">
        <f>TrRoad_act!Q131</f>
        <v>2166</v>
      </c>
      <c r="R50" s="84">
        <f>TrRoad_act!R131</f>
        <v>5008</v>
      </c>
      <c r="S50" s="84">
        <f>TrRoad_act!S131</f>
        <v>3426</v>
      </c>
      <c r="T50" s="84">
        <f>TrRoad_act!T131</f>
        <v>6552</v>
      </c>
      <c r="U50" s="84">
        <f>TrRoad_act!U131</f>
        <v>1056</v>
      </c>
      <c r="V50" s="84">
        <f>TrRoad_act!V131</f>
        <v>9</v>
      </c>
      <c r="W50" s="84">
        <f>TrRoad_act!W131</f>
        <v>1901</v>
      </c>
      <c r="X50" s="84">
        <f>TrRoad_act!X131</f>
        <v>105</v>
      </c>
      <c r="Y50" s="84">
        <f>TrRoad_act!Y131</f>
        <v>1599</v>
      </c>
      <c r="DA50" s="171" t="s">
        <v>546</v>
      </c>
    </row>
    <row r="51" spans="1:105" ht="11.45" customHeight="1" x14ac:dyDescent="0.25">
      <c r="A51" s="111" t="s">
        <v>113</v>
      </c>
      <c r="B51" s="84">
        <f>TrRoad_act!B132</f>
        <v>0</v>
      </c>
      <c r="C51" s="84">
        <f>TrRoad_act!C132</f>
        <v>0</v>
      </c>
      <c r="D51" s="84">
        <f>TrRoad_act!D132</f>
        <v>0</v>
      </c>
      <c r="E51" s="84">
        <f>TrRoad_act!E132</f>
        <v>0</v>
      </c>
      <c r="F51" s="84">
        <f>TrRoad_act!F132</f>
        <v>0</v>
      </c>
      <c r="G51" s="84">
        <f>TrRoad_act!G132</f>
        <v>0</v>
      </c>
      <c r="H51" s="84">
        <f>TrRoad_act!H132</f>
        <v>0</v>
      </c>
      <c r="I51" s="84">
        <f>TrRoad_act!I132</f>
        <v>0</v>
      </c>
      <c r="J51" s="84">
        <f>TrRoad_act!J132</f>
        <v>0</v>
      </c>
      <c r="K51" s="84">
        <f>TrRoad_act!K132</f>
        <v>0</v>
      </c>
      <c r="L51" s="84">
        <f>TrRoad_act!L132</f>
        <v>0</v>
      </c>
      <c r="M51" s="84">
        <f>TrRoad_act!M132</f>
        <v>0</v>
      </c>
      <c r="N51" s="84">
        <f>TrRoad_act!N132</f>
        <v>0</v>
      </c>
      <c r="O51" s="84">
        <f>TrRoad_act!O132</f>
        <v>0</v>
      </c>
      <c r="P51" s="84">
        <f>TrRoad_act!P132</f>
        <v>0</v>
      </c>
      <c r="Q51" s="84">
        <f>TrRoad_act!Q132</f>
        <v>2063</v>
      </c>
      <c r="R51" s="84">
        <f>TrRoad_act!R132</f>
        <v>354</v>
      </c>
      <c r="S51" s="84">
        <f>TrRoad_act!S132</f>
        <v>117</v>
      </c>
      <c r="T51" s="84">
        <f>TrRoad_act!T132</f>
        <v>84</v>
      </c>
      <c r="U51" s="84">
        <f>TrRoad_act!U132</f>
        <v>54</v>
      </c>
      <c r="V51" s="84">
        <f>TrRoad_act!V132</f>
        <v>45</v>
      </c>
      <c r="W51" s="84">
        <f>TrRoad_act!W132</f>
        <v>27</v>
      </c>
      <c r="X51" s="84">
        <f>TrRoad_act!X132</f>
        <v>52</v>
      </c>
      <c r="Y51" s="84">
        <f>TrRoad_act!Y132</f>
        <v>60</v>
      </c>
      <c r="DA51" s="171" t="s">
        <v>547</v>
      </c>
    </row>
    <row r="52" spans="1:105" ht="11.45" customHeight="1" x14ac:dyDescent="0.25">
      <c r="A52" s="111" t="s">
        <v>115</v>
      </c>
      <c r="B52" s="84">
        <f>TrRoad_act!B133</f>
        <v>0</v>
      </c>
      <c r="C52" s="84">
        <f>TrRoad_act!C133</f>
        <v>0</v>
      </c>
      <c r="D52" s="84">
        <f>TrRoad_act!D133</f>
        <v>0</v>
      </c>
      <c r="E52" s="84">
        <f>TrRoad_act!E133</f>
        <v>0</v>
      </c>
      <c r="F52" s="84">
        <f>TrRoad_act!F133</f>
        <v>0</v>
      </c>
      <c r="G52" s="84">
        <f>TrRoad_act!G133</f>
        <v>0</v>
      </c>
      <c r="H52" s="84">
        <f>TrRoad_act!H133</f>
        <v>0</v>
      </c>
      <c r="I52" s="84">
        <f>TrRoad_act!I133</f>
        <v>0</v>
      </c>
      <c r="J52" s="84">
        <f>TrRoad_act!J133</f>
        <v>0</v>
      </c>
      <c r="K52" s="84">
        <f>TrRoad_act!K133</f>
        <v>0</v>
      </c>
      <c r="L52" s="84">
        <f>TrRoad_act!L133</f>
        <v>0</v>
      </c>
      <c r="M52" s="84">
        <f>TrRoad_act!M133</f>
        <v>0</v>
      </c>
      <c r="N52" s="84">
        <f>TrRoad_act!N133</f>
        <v>7</v>
      </c>
      <c r="O52" s="84">
        <f>TrRoad_act!O133</f>
        <v>6</v>
      </c>
      <c r="P52" s="84">
        <f>TrRoad_act!P133</f>
        <v>4</v>
      </c>
      <c r="Q52" s="84">
        <f>TrRoad_act!Q133</f>
        <v>7</v>
      </c>
      <c r="R52" s="84">
        <f>TrRoad_act!R133</f>
        <v>6</v>
      </c>
      <c r="S52" s="84">
        <f>TrRoad_act!S133</f>
        <v>14</v>
      </c>
      <c r="T52" s="84">
        <f>TrRoad_act!T133</f>
        <v>42</v>
      </c>
      <c r="U52" s="84">
        <f>TrRoad_act!U133</f>
        <v>114</v>
      </c>
      <c r="V52" s="84">
        <f>TrRoad_act!V133</f>
        <v>202</v>
      </c>
      <c r="W52" s="84">
        <f>TrRoad_act!W133</f>
        <v>424</v>
      </c>
      <c r="X52" s="84">
        <f>TrRoad_act!X133</f>
        <v>873</v>
      </c>
      <c r="Y52" s="84">
        <f>TrRoad_act!Y133</f>
        <v>2409</v>
      </c>
      <c r="DA52" s="171" t="s">
        <v>548</v>
      </c>
    </row>
    <row r="53" spans="1:105" ht="11.45" customHeight="1" x14ac:dyDescent="0.25">
      <c r="A53" s="109" t="s">
        <v>154</v>
      </c>
      <c r="B53" s="110">
        <f>TrRoad_act!B134</f>
        <v>1541</v>
      </c>
      <c r="C53" s="110">
        <f>TrRoad_act!C134</f>
        <v>36563</v>
      </c>
      <c r="D53" s="110">
        <f>TrRoad_act!D134</f>
        <v>96549</v>
      </c>
      <c r="E53" s="110">
        <f>TrRoad_act!E134</f>
        <v>25675</v>
      </c>
      <c r="F53" s="110">
        <f>TrRoad_act!F134</f>
        <v>26179</v>
      </c>
      <c r="G53" s="110">
        <f>TrRoad_act!G134</f>
        <v>41059</v>
      </c>
      <c r="H53" s="110">
        <f>TrRoad_act!H134</f>
        <v>50934</v>
      </c>
      <c r="I53" s="110">
        <f>TrRoad_act!I134</f>
        <v>86379</v>
      </c>
      <c r="J53" s="110">
        <f>TrRoad_act!J134</f>
        <v>96057</v>
      </c>
      <c r="K53" s="110">
        <f>TrRoad_act!K134</f>
        <v>54775</v>
      </c>
      <c r="L53" s="110">
        <f>TrRoad_act!L134</f>
        <v>68970</v>
      </c>
      <c r="M53" s="110">
        <f>TrRoad_act!M134</f>
        <v>81395</v>
      </c>
      <c r="N53" s="110">
        <f>TrRoad_act!N134</f>
        <v>64003</v>
      </c>
      <c r="O53" s="110">
        <f>TrRoad_act!O134</f>
        <v>75360</v>
      </c>
      <c r="P53" s="110">
        <f>TrRoad_act!P134</f>
        <v>77046</v>
      </c>
      <c r="Q53" s="110">
        <f>TrRoad_act!Q134</f>
        <v>68144</v>
      </c>
      <c r="R53" s="110">
        <f>TrRoad_act!R134</f>
        <v>89548</v>
      </c>
      <c r="S53" s="110">
        <f>TrRoad_act!S134</f>
        <v>85148</v>
      </c>
      <c r="T53" s="110">
        <f>TrRoad_act!T134</f>
        <v>83654</v>
      </c>
      <c r="U53" s="110">
        <f>TrRoad_act!U134</f>
        <v>90718</v>
      </c>
      <c r="V53" s="110">
        <f>TrRoad_act!V134</f>
        <v>69084</v>
      </c>
      <c r="W53" s="110">
        <f>TrRoad_act!W134</f>
        <v>89128</v>
      </c>
      <c r="X53" s="110">
        <f>TrRoad_act!X134</f>
        <v>94401</v>
      </c>
      <c r="Y53" s="110">
        <f>TrRoad_act!Y134</f>
        <v>96866</v>
      </c>
      <c r="DA53" s="176" t="s">
        <v>549</v>
      </c>
    </row>
    <row r="54" spans="1:105" ht="11.45" customHeight="1" x14ac:dyDescent="0.25">
      <c r="A54" s="128" t="s">
        <v>27</v>
      </c>
      <c r="B54" s="102">
        <f>TrRoad_act!B135</f>
        <v>0</v>
      </c>
      <c r="C54" s="102">
        <f>TrRoad_act!C135</f>
        <v>34779</v>
      </c>
      <c r="D54" s="102">
        <f>TrRoad_act!D135</f>
        <v>94870</v>
      </c>
      <c r="E54" s="102">
        <f>TrRoad_act!E135</f>
        <v>24325</v>
      </c>
      <c r="F54" s="102">
        <f>TrRoad_act!F135</f>
        <v>21835</v>
      </c>
      <c r="G54" s="102">
        <f>TrRoad_act!G135</f>
        <v>39052</v>
      </c>
      <c r="H54" s="102">
        <f>TrRoad_act!H135</f>
        <v>44883</v>
      </c>
      <c r="I54" s="102">
        <f>TrRoad_act!I135</f>
        <v>86379</v>
      </c>
      <c r="J54" s="102">
        <f>TrRoad_act!J135</f>
        <v>93844</v>
      </c>
      <c r="K54" s="102">
        <f>TrRoad_act!K135</f>
        <v>53940</v>
      </c>
      <c r="L54" s="102">
        <f>TrRoad_act!L135</f>
        <v>62950</v>
      </c>
      <c r="M54" s="102">
        <f>TrRoad_act!M135</f>
        <v>77738</v>
      </c>
      <c r="N54" s="102">
        <f>TrRoad_act!N135</f>
        <v>59317</v>
      </c>
      <c r="O54" s="102">
        <f>TrRoad_act!O135</f>
        <v>71291</v>
      </c>
      <c r="P54" s="102">
        <f>TrRoad_act!P135</f>
        <v>74354</v>
      </c>
      <c r="Q54" s="102">
        <f>TrRoad_act!Q135</f>
        <v>64815</v>
      </c>
      <c r="R54" s="102">
        <f>TrRoad_act!R135</f>
        <v>82814</v>
      </c>
      <c r="S54" s="102">
        <f>TrRoad_act!S135</f>
        <v>77399</v>
      </c>
      <c r="T54" s="102">
        <f>TrRoad_act!T135</f>
        <v>83654</v>
      </c>
      <c r="U54" s="102">
        <f>TrRoad_act!U135</f>
        <v>82500</v>
      </c>
      <c r="V54" s="102">
        <f>TrRoad_act!V135</f>
        <v>67671</v>
      </c>
      <c r="W54" s="102">
        <f>TrRoad_act!W135</f>
        <v>83622</v>
      </c>
      <c r="X54" s="102">
        <f>TrRoad_act!X135</f>
        <v>89745</v>
      </c>
      <c r="Y54" s="102">
        <f>TrRoad_act!Y135</f>
        <v>92696</v>
      </c>
      <c r="DA54" s="175" t="s">
        <v>550</v>
      </c>
    </row>
    <row r="55" spans="1:105" ht="11.45" customHeight="1" x14ac:dyDescent="0.25">
      <c r="A55" s="138" t="s">
        <v>116</v>
      </c>
      <c r="B55" s="86">
        <f>TrRoad_act!B136</f>
        <v>1541</v>
      </c>
      <c r="C55" s="86">
        <f>TrRoad_act!C136</f>
        <v>1784</v>
      </c>
      <c r="D55" s="86">
        <f>TrRoad_act!D136</f>
        <v>1679</v>
      </c>
      <c r="E55" s="86">
        <f>TrRoad_act!E136</f>
        <v>1350</v>
      </c>
      <c r="F55" s="86">
        <f>TrRoad_act!F136</f>
        <v>4344</v>
      </c>
      <c r="G55" s="86">
        <f>TrRoad_act!G136</f>
        <v>2007</v>
      </c>
      <c r="H55" s="86">
        <f>TrRoad_act!H136</f>
        <v>6051</v>
      </c>
      <c r="I55" s="86">
        <f>TrRoad_act!I136</f>
        <v>0</v>
      </c>
      <c r="J55" s="86">
        <f>TrRoad_act!J136</f>
        <v>2213</v>
      </c>
      <c r="K55" s="86">
        <f>TrRoad_act!K136</f>
        <v>835</v>
      </c>
      <c r="L55" s="86">
        <f>TrRoad_act!L136</f>
        <v>6020</v>
      </c>
      <c r="M55" s="86">
        <f>TrRoad_act!M136</f>
        <v>3657</v>
      </c>
      <c r="N55" s="86">
        <f>TrRoad_act!N136</f>
        <v>4686</v>
      </c>
      <c r="O55" s="86">
        <f>TrRoad_act!O136</f>
        <v>4069</v>
      </c>
      <c r="P55" s="86">
        <f>TrRoad_act!P136</f>
        <v>2692</v>
      </c>
      <c r="Q55" s="86">
        <f>TrRoad_act!Q136</f>
        <v>3329</v>
      </c>
      <c r="R55" s="86">
        <f>TrRoad_act!R136</f>
        <v>6734</v>
      </c>
      <c r="S55" s="86">
        <f>TrRoad_act!S136</f>
        <v>7749</v>
      </c>
      <c r="T55" s="86">
        <f>TrRoad_act!T136</f>
        <v>0</v>
      </c>
      <c r="U55" s="86">
        <f>TrRoad_act!U136</f>
        <v>8218</v>
      </c>
      <c r="V55" s="86">
        <f>TrRoad_act!V136</f>
        <v>1413</v>
      </c>
      <c r="W55" s="86">
        <f>TrRoad_act!W136</f>
        <v>5506</v>
      </c>
      <c r="X55" s="86">
        <f>TrRoad_act!X136</f>
        <v>4656</v>
      </c>
      <c r="Y55" s="86">
        <f>TrRoad_act!Y136</f>
        <v>4170</v>
      </c>
      <c r="DA55" s="178" t="s">
        <v>551</v>
      </c>
    </row>
    <row r="56" spans="1:105" x14ac:dyDescent="0.25">
      <c r="A56" s="106"/>
      <c r="B56" s="106"/>
      <c r="C56" s="106"/>
      <c r="D56" s="106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X56" s="106"/>
      <c r="Y56" s="106"/>
      <c r="DA56" s="171"/>
    </row>
    <row r="57" spans="1:105" ht="11.45" customHeight="1" x14ac:dyDescent="0.25">
      <c r="A57" s="148"/>
      <c r="B57" s="231">
        <v>2020</v>
      </c>
      <c r="C57" s="231"/>
      <c r="D57" s="231"/>
      <c r="E57" s="231"/>
      <c r="F57" s="231"/>
      <c r="G57" s="231"/>
      <c r="H57" s="231"/>
      <c r="I57" s="231"/>
      <c r="J57" s="231"/>
      <c r="K57" s="231"/>
      <c r="L57" s="231"/>
      <c r="M57" s="231"/>
      <c r="N57" s="231"/>
      <c r="O57" s="231"/>
      <c r="P57" s="231"/>
      <c r="Q57" s="231"/>
      <c r="R57" s="231"/>
      <c r="S57" s="231"/>
      <c r="T57" s="231"/>
      <c r="U57" s="231"/>
      <c r="V57" s="231"/>
      <c r="W57" s="168"/>
      <c r="X57" s="168"/>
      <c r="Y57" s="168"/>
      <c r="DA57" s="209"/>
    </row>
    <row r="58" spans="1:105" ht="11.45" customHeight="1" x14ac:dyDescent="0.25">
      <c r="A58" s="149" t="s">
        <v>118</v>
      </c>
      <c r="B58" s="147" t="s">
        <v>119</v>
      </c>
      <c r="C58" s="147">
        <v>2001</v>
      </c>
      <c r="D58" s="147">
        <v>2002</v>
      </c>
      <c r="E58" s="147">
        <v>2003</v>
      </c>
      <c r="F58" s="147">
        <v>2004</v>
      </c>
      <c r="G58" s="147">
        <v>2005</v>
      </c>
      <c r="H58" s="147">
        <v>2006</v>
      </c>
      <c r="I58" s="147">
        <v>2007</v>
      </c>
      <c r="J58" s="147">
        <v>2008</v>
      </c>
      <c r="K58" s="147">
        <v>2009</v>
      </c>
      <c r="L58" s="147">
        <v>2010</v>
      </c>
      <c r="M58" s="147">
        <v>2011</v>
      </c>
      <c r="N58" s="147">
        <v>2012</v>
      </c>
      <c r="O58" s="147">
        <v>2013</v>
      </c>
      <c r="P58" s="147">
        <v>2014</v>
      </c>
      <c r="Q58" s="147">
        <v>2015</v>
      </c>
      <c r="R58" s="147">
        <v>2016</v>
      </c>
      <c r="S58" s="147">
        <v>2017</v>
      </c>
      <c r="T58" s="147">
        <v>2018</v>
      </c>
      <c r="U58" s="147">
        <v>2019</v>
      </c>
      <c r="V58" s="147">
        <v>2020</v>
      </c>
      <c r="W58" s="147">
        <v>2021</v>
      </c>
      <c r="X58" s="147">
        <v>2021</v>
      </c>
      <c r="Y58" s="147">
        <v>2021</v>
      </c>
      <c r="DA58" s="210"/>
    </row>
    <row r="59" spans="1:105" ht="11.45" customHeight="1" x14ac:dyDescent="0.25">
      <c r="A59" s="53" t="s">
        <v>151</v>
      </c>
      <c r="B59" s="54">
        <f t="shared" ref="B59:K59" si="0">B60+B75</f>
        <v>877919</v>
      </c>
      <c r="C59" s="54">
        <f t="shared" si="0"/>
        <v>453229</v>
      </c>
      <c r="D59" s="54">
        <f t="shared" si="0"/>
        <v>459185</v>
      </c>
      <c r="E59" s="54">
        <f t="shared" si="0"/>
        <v>433402</v>
      </c>
      <c r="F59" s="54">
        <f t="shared" si="0"/>
        <v>472014</v>
      </c>
      <c r="G59" s="54">
        <f t="shared" si="0"/>
        <v>721479</v>
      </c>
      <c r="H59" s="54">
        <f t="shared" si="0"/>
        <v>762575</v>
      </c>
      <c r="I59" s="54">
        <f t="shared" si="0"/>
        <v>1100113</v>
      </c>
      <c r="J59" s="54">
        <f t="shared" si="0"/>
        <v>1449267</v>
      </c>
      <c r="K59" s="54">
        <f t="shared" si="0"/>
        <v>1262167</v>
      </c>
      <c r="L59" s="54">
        <f t="shared" ref="L59" si="1">L60+L75</f>
        <v>1346369</v>
      </c>
      <c r="M59" s="54">
        <f t="shared" ref="M59:V59" si="2">M60+M75</f>
        <v>1585670</v>
      </c>
      <c r="N59" s="54">
        <f t="shared" si="2"/>
        <v>1865861</v>
      </c>
      <c r="O59" s="54">
        <f t="shared" si="2"/>
        <v>1572046</v>
      </c>
      <c r="P59" s="54">
        <f t="shared" si="2"/>
        <v>1475232</v>
      </c>
      <c r="Q59" s="54">
        <f t="shared" si="2"/>
        <v>1815115</v>
      </c>
      <c r="R59" s="54">
        <f t="shared" si="2"/>
        <v>1857026</v>
      </c>
      <c r="S59" s="54">
        <f t="shared" si="2"/>
        <v>1748672</v>
      </c>
      <c r="T59" s="54">
        <f t="shared" si="2"/>
        <v>2041954</v>
      </c>
      <c r="U59" s="54">
        <f t="shared" si="2"/>
        <v>2096216</v>
      </c>
      <c r="V59" s="54">
        <f t="shared" si="2"/>
        <v>1770252</v>
      </c>
      <c r="W59" s="54">
        <f t="shared" ref="W59:Y59" si="3">W60+W75</f>
        <v>2361077</v>
      </c>
      <c r="X59" s="54">
        <f t="shared" si="3"/>
        <v>2266963</v>
      </c>
      <c r="Y59" s="54">
        <f t="shared" si="3"/>
        <v>2218553</v>
      </c>
      <c r="DA59" s="172" t="s">
        <v>838</v>
      </c>
    </row>
    <row r="60" spans="1:105" ht="11.45" customHeight="1" x14ac:dyDescent="0.25">
      <c r="A60" s="27" t="s">
        <v>33</v>
      </c>
      <c r="B60" s="28">
        <f t="shared" ref="B60:K60" si="4">B61+B62+B69</f>
        <v>848888</v>
      </c>
      <c r="C60" s="28">
        <f t="shared" si="4"/>
        <v>448330</v>
      </c>
      <c r="D60" s="28">
        <f t="shared" si="4"/>
        <v>442464</v>
      </c>
      <c r="E60" s="28">
        <f t="shared" si="4"/>
        <v>423539</v>
      </c>
      <c r="F60" s="28">
        <f t="shared" si="4"/>
        <v>469063</v>
      </c>
      <c r="G60" s="28">
        <f t="shared" si="4"/>
        <v>710998</v>
      </c>
      <c r="H60" s="28">
        <f t="shared" si="4"/>
        <v>731981</v>
      </c>
      <c r="I60" s="28">
        <f t="shared" si="4"/>
        <v>1053599</v>
      </c>
      <c r="J60" s="28">
        <f t="shared" si="4"/>
        <v>1397211</v>
      </c>
      <c r="K60" s="28">
        <f t="shared" si="4"/>
        <v>1174234</v>
      </c>
      <c r="L60" s="28">
        <f t="shared" ref="L60" si="5">L61+L62+L69</f>
        <v>1180609</v>
      </c>
      <c r="M60" s="28">
        <f t="shared" ref="M60:V60" si="6">M61+M62+M69</f>
        <v>1393279</v>
      </c>
      <c r="N60" s="28">
        <f t="shared" si="6"/>
        <v>1702432</v>
      </c>
      <c r="O60" s="28">
        <f t="shared" si="6"/>
        <v>1346471</v>
      </c>
      <c r="P60" s="28">
        <f t="shared" si="6"/>
        <v>1288218</v>
      </c>
      <c r="Q60" s="28">
        <f t="shared" si="6"/>
        <v>1594372</v>
      </c>
      <c r="R60" s="28">
        <f t="shared" si="6"/>
        <v>1577755</v>
      </c>
      <c r="S60" s="28">
        <f t="shared" si="6"/>
        <v>1458569</v>
      </c>
      <c r="T60" s="28">
        <f t="shared" si="6"/>
        <v>1735951</v>
      </c>
      <c r="U60" s="28">
        <f t="shared" si="6"/>
        <v>1735419</v>
      </c>
      <c r="V60" s="28">
        <f t="shared" si="6"/>
        <v>1434329</v>
      </c>
      <c r="W60" s="28">
        <f t="shared" ref="W60:Y60" si="7">W61+W62+W69</f>
        <v>1984309</v>
      </c>
      <c r="X60" s="28">
        <f t="shared" si="7"/>
        <v>1886744</v>
      </c>
      <c r="Y60" s="28">
        <f t="shared" si="7"/>
        <v>1825847</v>
      </c>
      <c r="DA60" s="173" t="s">
        <v>839</v>
      </c>
    </row>
    <row r="61" spans="1:105" ht="11.45" customHeight="1" x14ac:dyDescent="0.25">
      <c r="A61" s="136" t="s">
        <v>173</v>
      </c>
      <c r="B61" s="137">
        <v>0</v>
      </c>
      <c r="C61" s="137">
        <v>0</v>
      </c>
      <c r="D61" s="137">
        <v>8038</v>
      </c>
      <c r="E61" s="137">
        <v>664</v>
      </c>
      <c r="F61" s="137">
        <v>1819</v>
      </c>
      <c r="G61" s="137">
        <v>184682</v>
      </c>
      <c r="H61" s="137">
        <v>88782</v>
      </c>
      <c r="I61" s="137">
        <v>150737</v>
      </c>
      <c r="J61" s="137">
        <v>252316</v>
      </c>
      <c r="K61" s="137">
        <v>219145</v>
      </c>
      <c r="L61" s="137">
        <v>157327</v>
      </c>
      <c r="M61" s="137">
        <v>209833</v>
      </c>
      <c r="N61" s="137">
        <v>151815</v>
      </c>
      <c r="O61" s="137">
        <v>162173</v>
      </c>
      <c r="P61" s="137">
        <v>144908</v>
      </c>
      <c r="Q61" s="137">
        <v>191570</v>
      </c>
      <c r="R61" s="137">
        <v>185246</v>
      </c>
      <c r="S61" s="137">
        <v>177839</v>
      </c>
      <c r="T61" s="137">
        <v>169261</v>
      </c>
      <c r="U61" s="137">
        <v>185334</v>
      </c>
      <c r="V61" s="137">
        <v>184846</v>
      </c>
      <c r="W61" s="137">
        <v>177980</v>
      </c>
      <c r="X61" s="137">
        <v>180771</v>
      </c>
      <c r="Y61" s="137">
        <v>196936</v>
      </c>
      <c r="DA61" s="174" t="s">
        <v>840</v>
      </c>
    </row>
    <row r="62" spans="1:105" ht="11.45" customHeight="1" x14ac:dyDescent="0.25">
      <c r="A62" s="109" t="s">
        <v>20</v>
      </c>
      <c r="B62" s="110">
        <f t="shared" ref="B62:K62" si="8">SUM(B63:B68)</f>
        <v>848888</v>
      </c>
      <c r="C62" s="110">
        <f t="shared" si="8"/>
        <v>448330</v>
      </c>
      <c r="D62" s="110">
        <f t="shared" si="8"/>
        <v>434426</v>
      </c>
      <c r="E62" s="110">
        <f t="shared" si="8"/>
        <v>422875</v>
      </c>
      <c r="F62" s="110">
        <f t="shared" si="8"/>
        <v>466709</v>
      </c>
      <c r="G62" s="110">
        <f t="shared" si="8"/>
        <v>526311</v>
      </c>
      <c r="H62" s="110">
        <f t="shared" si="8"/>
        <v>643195</v>
      </c>
      <c r="I62" s="110">
        <f t="shared" si="8"/>
        <v>902861</v>
      </c>
      <c r="J62" s="110">
        <f t="shared" si="8"/>
        <v>1144887</v>
      </c>
      <c r="K62" s="110">
        <f t="shared" si="8"/>
        <v>955089</v>
      </c>
      <c r="L62" s="110">
        <f t="shared" ref="L62" si="9">SUM(L63:L68)</f>
        <v>1023277</v>
      </c>
      <c r="M62" s="110">
        <f t="shared" ref="M62:V62" si="10">SUM(M63:M68)</f>
        <v>1182372</v>
      </c>
      <c r="N62" s="110">
        <f t="shared" si="10"/>
        <v>1548489</v>
      </c>
      <c r="O62" s="110">
        <f t="shared" si="10"/>
        <v>1181487</v>
      </c>
      <c r="P62" s="110">
        <f t="shared" si="10"/>
        <v>1139836</v>
      </c>
      <c r="Q62" s="110">
        <f t="shared" si="10"/>
        <v>1394755</v>
      </c>
      <c r="R62" s="110">
        <f t="shared" si="10"/>
        <v>1388048</v>
      </c>
      <c r="S62" s="110">
        <f t="shared" si="10"/>
        <v>1276055</v>
      </c>
      <c r="T62" s="110">
        <f t="shared" si="10"/>
        <v>1561391</v>
      </c>
      <c r="U62" s="110">
        <f t="shared" si="10"/>
        <v>1545121</v>
      </c>
      <c r="V62" s="110">
        <f t="shared" si="10"/>
        <v>1244204</v>
      </c>
      <c r="W62" s="110">
        <f t="shared" ref="W62:Y62" si="11">SUM(W63:W68)</f>
        <v>1800985</v>
      </c>
      <c r="X62" s="110">
        <f t="shared" si="11"/>
        <v>1700837</v>
      </c>
      <c r="Y62" s="110">
        <f t="shared" si="11"/>
        <v>1623514</v>
      </c>
      <c r="DA62" s="176" t="s">
        <v>841</v>
      </c>
    </row>
    <row r="63" spans="1:105" ht="11.45" customHeight="1" x14ac:dyDescent="0.25">
      <c r="A63" s="111" t="s">
        <v>110</v>
      </c>
      <c r="B63" s="84">
        <v>848888</v>
      </c>
      <c r="C63" s="84">
        <v>268388</v>
      </c>
      <c r="D63" s="84">
        <v>131236</v>
      </c>
      <c r="E63" s="84">
        <v>94726</v>
      </c>
      <c r="F63" s="84">
        <v>279673</v>
      </c>
      <c r="G63" s="84">
        <v>307837</v>
      </c>
      <c r="H63" s="84">
        <v>308974</v>
      </c>
      <c r="I63" s="84">
        <v>408333</v>
      </c>
      <c r="J63" s="84">
        <v>495207</v>
      </c>
      <c r="K63" s="84">
        <v>430275</v>
      </c>
      <c r="L63" s="84">
        <v>434072</v>
      </c>
      <c r="M63" s="84">
        <v>600354</v>
      </c>
      <c r="N63" s="84">
        <v>878264</v>
      </c>
      <c r="O63" s="84">
        <v>653315</v>
      </c>
      <c r="P63" s="84">
        <v>620051</v>
      </c>
      <c r="Q63" s="84">
        <v>829586</v>
      </c>
      <c r="R63" s="84">
        <v>666208</v>
      </c>
      <c r="S63" s="84">
        <v>681614</v>
      </c>
      <c r="T63" s="84">
        <v>750331</v>
      </c>
      <c r="U63" s="84">
        <v>836132</v>
      </c>
      <c r="V63" s="84">
        <v>628060</v>
      </c>
      <c r="W63" s="84">
        <v>1096318</v>
      </c>
      <c r="X63" s="84">
        <v>1030240</v>
      </c>
      <c r="Y63" s="84">
        <v>869290</v>
      </c>
      <c r="DA63" s="171" t="s">
        <v>842</v>
      </c>
    </row>
    <row r="64" spans="1:105" ht="11.45" customHeight="1" x14ac:dyDescent="0.25">
      <c r="A64" s="111" t="s">
        <v>111</v>
      </c>
      <c r="B64" s="84">
        <v>0</v>
      </c>
      <c r="C64" s="84">
        <v>0</v>
      </c>
      <c r="D64" s="84">
        <v>0</v>
      </c>
      <c r="E64" s="84">
        <v>0</v>
      </c>
      <c r="F64" s="84">
        <v>0</v>
      </c>
      <c r="G64" s="84">
        <v>0</v>
      </c>
      <c r="H64" s="84">
        <v>160633</v>
      </c>
      <c r="I64" s="84">
        <v>313591</v>
      </c>
      <c r="J64" s="84">
        <v>477150</v>
      </c>
      <c r="K64" s="84">
        <v>366668</v>
      </c>
      <c r="L64" s="84">
        <v>427123</v>
      </c>
      <c r="M64" s="84">
        <v>575591</v>
      </c>
      <c r="N64" s="84">
        <v>533585</v>
      </c>
      <c r="O64" s="84">
        <v>414853</v>
      </c>
      <c r="P64" s="84">
        <v>433211</v>
      </c>
      <c r="Q64" s="84">
        <v>455354</v>
      </c>
      <c r="R64" s="84">
        <v>580859</v>
      </c>
      <c r="S64" s="84">
        <v>491166</v>
      </c>
      <c r="T64" s="84">
        <v>533260</v>
      </c>
      <c r="U64" s="84">
        <v>619737</v>
      </c>
      <c r="V64" s="84">
        <v>544326</v>
      </c>
      <c r="W64" s="84">
        <v>622126</v>
      </c>
      <c r="X64" s="84">
        <v>587142</v>
      </c>
      <c r="Y64" s="84">
        <v>477010</v>
      </c>
      <c r="DA64" s="171" t="s">
        <v>843</v>
      </c>
    </row>
    <row r="65" spans="1:105" ht="11.45" customHeight="1" x14ac:dyDescent="0.25">
      <c r="A65" s="111" t="s">
        <v>112</v>
      </c>
      <c r="B65" s="84">
        <v>0</v>
      </c>
      <c r="C65" s="84">
        <v>179942</v>
      </c>
      <c r="D65" s="84">
        <v>303190</v>
      </c>
      <c r="E65" s="84">
        <v>328149</v>
      </c>
      <c r="F65" s="84">
        <v>187036</v>
      </c>
      <c r="G65" s="84">
        <v>218474</v>
      </c>
      <c r="H65" s="84">
        <v>173588</v>
      </c>
      <c r="I65" s="84">
        <v>180937</v>
      </c>
      <c r="J65" s="84">
        <v>172530</v>
      </c>
      <c r="K65" s="84">
        <v>158146</v>
      </c>
      <c r="L65" s="84">
        <v>162082</v>
      </c>
      <c r="M65" s="84">
        <v>6427</v>
      </c>
      <c r="N65" s="84">
        <v>136640</v>
      </c>
      <c r="O65" s="84">
        <v>113319</v>
      </c>
      <c r="P65" s="84">
        <v>86574</v>
      </c>
      <c r="Q65" s="84">
        <v>105587</v>
      </c>
      <c r="R65" s="84">
        <v>138861</v>
      </c>
      <c r="S65" s="84">
        <v>102972</v>
      </c>
      <c r="T65" s="84">
        <v>277104</v>
      </c>
      <c r="U65" s="84">
        <v>85977</v>
      </c>
      <c r="V65" s="84">
        <v>62759</v>
      </c>
      <c r="W65" s="84">
        <v>65494</v>
      </c>
      <c r="X65" s="84">
        <v>60596</v>
      </c>
      <c r="Y65" s="84">
        <v>230824</v>
      </c>
      <c r="DA65" s="171" t="s">
        <v>844</v>
      </c>
    </row>
    <row r="66" spans="1:105" ht="11.45" customHeight="1" x14ac:dyDescent="0.25">
      <c r="A66" s="111" t="s">
        <v>113</v>
      </c>
      <c r="B66" s="84">
        <v>0</v>
      </c>
      <c r="C66" s="84">
        <v>0</v>
      </c>
      <c r="D66" s="84">
        <v>0</v>
      </c>
      <c r="E66" s="84">
        <v>0</v>
      </c>
      <c r="F66" s="84">
        <v>0</v>
      </c>
      <c r="G66" s="84">
        <v>0</v>
      </c>
      <c r="H66" s="84">
        <v>0</v>
      </c>
      <c r="I66" s="84">
        <v>0</v>
      </c>
      <c r="J66" s="84">
        <v>0</v>
      </c>
      <c r="K66" s="84">
        <v>0</v>
      </c>
      <c r="L66" s="84">
        <v>0</v>
      </c>
      <c r="M66" s="84">
        <v>0</v>
      </c>
      <c r="N66" s="84">
        <v>0</v>
      </c>
      <c r="O66" s="84">
        <v>0</v>
      </c>
      <c r="P66" s="84">
        <v>0</v>
      </c>
      <c r="Q66" s="84">
        <v>4228</v>
      </c>
      <c r="R66" s="84">
        <v>2120</v>
      </c>
      <c r="S66" s="84">
        <v>303</v>
      </c>
      <c r="T66" s="84">
        <v>309</v>
      </c>
      <c r="U66" s="84">
        <v>279</v>
      </c>
      <c r="V66" s="84">
        <v>175</v>
      </c>
      <c r="W66" s="84">
        <v>214</v>
      </c>
      <c r="X66" s="84">
        <v>0</v>
      </c>
      <c r="Y66" s="84">
        <v>1</v>
      </c>
      <c r="DA66" s="171" t="s">
        <v>845</v>
      </c>
    </row>
    <row r="67" spans="1:105" ht="11.45" customHeight="1" x14ac:dyDescent="0.25">
      <c r="A67" s="111" t="s">
        <v>114</v>
      </c>
      <c r="B67" s="84">
        <v>0</v>
      </c>
      <c r="C67" s="84">
        <v>0</v>
      </c>
      <c r="D67" s="84">
        <v>0</v>
      </c>
      <c r="E67" s="84">
        <v>0</v>
      </c>
      <c r="F67" s="84">
        <v>0</v>
      </c>
      <c r="G67" s="84">
        <v>0</v>
      </c>
      <c r="H67" s="84">
        <v>0</v>
      </c>
      <c r="I67" s="84">
        <v>0</v>
      </c>
      <c r="J67" s="84">
        <v>0</v>
      </c>
      <c r="K67" s="84">
        <v>0</v>
      </c>
      <c r="L67" s="84">
        <v>0</v>
      </c>
      <c r="M67" s="84">
        <v>0</v>
      </c>
      <c r="N67" s="84">
        <v>0</v>
      </c>
      <c r="O67" s="84">
        <v>0</v>
      </c>
      <c r="P67" s="84">
        <v>0</v>
      </c>
      <c r="Q67" s="84">
        <v>0</v>
      </c>
      <c r="R67" s="84">
        <v>0</v>
      </c>
      <c r="S67" s="84">
        <v>0</v>
      </c>
      <c r="T67" s="84">
        <v>387</v>
      </c>
      <c r="U67" s="84">
        <v>1144</v>
      </c>
      <c r="V67" s="84">
        <v>4332</v>
      </c>
      <c r="W67" s="84">
        <v>9704</v>
      </c>
      <c r="X67" s="84">
        <v>10801</v>
      </c>
      <c r="Y67" s="84">
        <v>20769</v>
      </c>
      <c r="DA67" s="171" t="s">
        <v>846</v>
      </c>
    </row>
    <row r="68" spans="1:105" ht="11.45" customHeight="1" x14ac:dyDescent="0.25">
      <c r="A68" s="111" t="s">
        <v>115</v>
      </c>
      <c r="B68" s="84">
        <v>0</v>
      </c>
      <c r="C68" s="84">
        <v>0</v>
      </c>
      <c r="D68" s="84">
        <v>0</v>
      </c>
      <c r="E68" s="84">
        <v>0</v>
      </c>
      <c r="F68" s="84">
        <v>0</v>
      </c>
      <c r="G68" s="84">
        <v>0</v>
      </c>
      <c r="H68" s="84">
        <v>0</v>
      </c>
      <c r="I68" s="84">
        <v>0</v>
      </c>
      <c r="J68" s="84">
        <v>0</v>
      </c>
      <c r="K68" s="84">
        <v>0</v>
      </c>
      <c r="L68" s="84">
        <v>0</v>
      </c>
      <c r="M68" s="84">
        <v>0</v>
      </c>
      <c r="N68" s="84">
        <v>0</v>
      </c>
      <c r="O68" s="84">
        <v>0</v>
      </c>
      <c r="P68" s="84">
        <v>0</v>
      </c>
      <c r="Q68" s="84">
        <v>0</v>
      </c>
      <c r="R68" s="84">
        <v>0</v>
      </c>
      <c r="S68" s="84">
        <v>0</v>
      </c>
      <c r="T68" s="84">
        <v>0</v>
      </c>
      <c r="U68" s="84">
        <v>1852</v>
      </c>
      <c r="V68" s="84">
        <v>4552</v>
      </c>
      <c r="W68" s="84">
        <v>7129</v>
      </c>
      <c r="X68" s="84">
        <v>12058</v>
      </c>
      <c r="Y68" s="84">
        <v>25620</v>
      </c>
      <c r="DA68" s="171" t="s">
        <v>847</v>
      </c>
    </row>
    <row r="69" spans="1:105" ht="11.45" customHeight="1" x14ac:dyDescent="0.25">
      <c r="A69" s="109" t="s">
        <v>21</v>
      </c>
      <c r="B69" s="110">
        <f t="shared" ref="B69:K69" si="12">SUM(B70:B74)</f>
        <v>0</v>
      </c>
      <c r="C69" s="110">
        <f t="shared" si="12"/>
        <v>0</v>
      </c>
      <c r="D69" s="110">
        <f t="shared" si="12"/>
        <v>0</v>
      </c>
      <c r="E69" s="110">
        <f t="shared" si="12"/>
        <v>0</v>
      </c>
      <c r="F69" s="110">
        <f t="shared" si="12"/>
        <v>535</v>
      </c>
      <c r="G69" s="110">
        <f t="shared" si="12"/>
        <v>5</v>
      </c>
      <c r="H69" s="110">
        <f t="shared" si="12"/>
        <v>4</v>
      </c>
      <c r="I69" s="110">
        <f t="shared" si="12"/>
        <v>1</v>
      </c>
      <c r="J69" s="110">
        <f t="shared" si="12"/>
        <v>8</v>
      </c>
      <c r="K69" s="110">
        <f t="shared" si="12"/>
        <v>0</v>
      </c>
      <c r="L69" s="110">
        <f t="shared" ref="L69" si="13">SUM(L70:L74)</f>
        <v>5</v>
      </c>
      <c r="M69" s="110">
        <f t="shared" ref="M69:V69" si="14">SUM(M70:M74)</f>
        <v>1074</v>
      </c>
      <c r="N69" s="110">
        <f t="shared" si="14"/>
        <v>2128</v>
      </c>
      <c r="O69" s="110">
        <f t="shared" si="14"/>
        <v>2811</v>
      </c>
      <c r="P69" s="110">
        <f t="shared" si="14"/>
        <v>3474</v>
      </c>
      <c r="Q69" s="110">
        <f t="shared" si="14"/>
        <v>8047</v>
      </c>
      <c r="R69" s="110">
        <f t="shared" si="14"/>
        <v>4461</v>
      </c>
      <c r="S69" s="110">
        <f t="shared" si="14"/>
        <v>4675</v>
      </c>
      <c r="T69" s="110">
        <f t="shared" si="14"/>
        <v>5299</v>
      </c>
      <c r="U69" s="110">
        <f t="shared" si="14"/>
        <v>4964</v>
      </c>
      <c r="V69" s="110">
        <f t="shared" si="14"/>
        <v>5279</v>
      </c>
      <c r="W69" s="110">
        <f t="shared" ref="W69:Y69" si="15">SUM(W70:W74)</f>
        <v>5344</v>
      </c>
      <c r="X69" s="110">
        <f t="shared" si="15"/>
        <v>5136</v>
      </c>
      <c r="Y69" s="110">
        <f t="shared" si="15"/>
        <v>5397</v>
      </c>
      <c r="DA69" s="176" t="s">
        <v>848</v>
      </c>
    </row>
    <row r="70" spans="1:105" ht="11.45" customHeight="1" x14ac:dyDescent="0.25">
      <c r="A70" s="111" t="s">
        <v>110</v>
      </c>
      <c r="B70" s="102">
        <v>0</v>
      </c>
      <c r="C70" s="102">
        <v>0</v>
      </c>
      <c r="D70" s="102">
        <v>0</v>
      </c>
      <c r="E70" s="102">
        <v>0</v>
      </c>
      <c r="F70" s="102">
        <v>0</v>
      </c>
      <c r="G70" s="102">
        <v>0</v>
      </c>
      <c r="H70" s="102">
        <v>0</v>
      </c>
      <c r="I70" s="102">
        <v>0</v>
      </c>
      <c r="J70" s="102">
        <v>0</v>
      </c>
      <c r="K70" s="102">
        <v>0</v>
      </c>
      <c r="L70" s="102">
        <v>0</v>
      </c>
      <c r="M70" s="102">
        <v>0</v>
      </c>
      <c r="N70" s="102">
        <v>0</v>
      </c>
      <c r="O70" s="102">
        <v>0</v>
      </c>
      <c r="P70" s="102">
        <v>0</v>
      </c>
      <c r="Q70" s="102">
        <v>0</v>
      </c>
      <c r="R70" s="102">
        <v>0</v>
      </c>
      <c r="S70" s="102">
        <v>0</v>
      </c>
      <c r="T70" s="102">
        <v>0</v>
      </c>
      <c r="U70" s="102">
        <v>0</v>
      </c>
      <c r="V70" s="102">
        <v>0</v>
      </c>
      <c r="W70" s="102">
        <v>0</v>
      </c>
      <c r="X70" s="102">
        <v>0</v>
      </c>
      <c r="Y70" s="102">
        <v>0</v>
      </c>
      <c r="DA70" s="175" t="s">
        <v>849</v>
      </c>
    </row>
    <row r="71" spans="1:105" ht="11.45" customHeight="1" x14ac:dyDescent="0.25">
      <c r="A71" s="111" t="s">
        <v>111</v>
      </c>
      <c r="B71" s="102">
        <v>0</v>
      </c>
      <c r="C71" s="102">
        <v>0</v>
      </c>
      <c r="D71" s="102">
        <v>0</v>
      </c>
      <c r="E71" s="102">
        <v>0</v>
      </c>
      <c r="F71" s="102">
        <v>0</v>
      </c>
      <c r="G71" s="102">
        <v>0</v>
      </c>
      <c r="H71" s="102">
        <v>0</v>
      </c>
      <c r="I71" s="102">
        <v>0</v>
      </c>
      <c r="J71" s="102">
        <v>0</v>
      </c>
      <c r="K71" s="102">
        <v>0</v>
      </c>
      <c r="L71" s="102">
        <v>0</v>
      </c>
      <c r="M71" s="102">
        <v>1069</v>
      </c>
      <c r="N71" s="102">
        <v>2118</v>
      </c>
      <c r="O71" s="102">
        <v>2803</v>
      </c>
      <c r="P71" s="102">
        <v>3468</v>
      </c>
      <c r="Q71" s="102">
        <v>7705</v>
      </c>
      <c r="R71" s="102">
        <v>4369</v>
      </c>
      <c r="S71" s="102">
        <v>4490</v>
      </c>
      <c r="T71" s="102">
        <v>4515</v>
      </c>
      <c r="U71" s="102">
        <v>4562</v>
      </c>
      <c r="V71" s="102">
        <v>4675</v>
      </c>
      <c r="W71" s="102">
        <v>4755</v>
      </c>
      <c r="X71" s="102">
        <v>4808</v>
      </c>
      <c r="Y71" s="102">
        <v>4825</v>
      </c>
      <c r="DA71" s="175" t="s">
        <v>850</v>
      </c>
    </row>
    <row r="72" spans="1:105" ht="11.45" customHeight="1" x14ac:dyDescent="0.25">
      <c r="A72" s="111" t="s">
        <v>112</v>
      </c>
      <c r="B72" s="102">
        <v>0</v>
      </c>
      <c r="C72" s="102">
        <v>0</v>
      </c>
      <c r="D72" s="102">
        <v>0</v>
      </c>
      <c r="E72" s="102">
        <v>0</v>
      </c>
      <c r="F72" s="102">
        <v>535</v>
      </c>
      <c r="G72" s="102">
        <v>5</v>
      </c>
      <c r="H72" s="102">
        <v>4</v>
      </c>
      <c r="I72" s="102">
        <v>1</v>
      </c>
      <c r="J72" s="102">
        <v>8</v>
      </c>
      <c r="K72" s="102">
        <v>0</v>
      </c>
      <c r="L72" s="102">
        <v>5</v>
      </c>
      <c r="M72" s="102">
        <v>5</v>
      </c>
      <c r="N72" s="102">
        <v>10</v>
      </c>
      <c r="O72" s="102">
        <v>8</v>
      </c>
      <c r="P72" s="102">
        <v>6</v>
      </c>
      <c r="Q72" s="102">
        <v>2</v>
      </c>
      <c r="R72" s="102">
        <v>3</v>
      </c>
      <c r="S72" s="102">
        <v>7</v>
      </c>
      <c r="T72" s="102">
        <v>95</v>
      </c>
      <c r="U72" s="102">
        <v>13</v>
      </c>
      <c r="V72" s="102">
        <v>12</v>
      </c>
      <c r="W72" s="102">
        <v>18</v>
      </c>
      <c r="X72" s="102">
        <v>16</v>
      </c>
      <c r="Y72" s="102">
        <v>0</v>
      </c>
      <c r="DA72" s="175" t="s">
        <v>851</v>
      </c>
    </row>
    <row r="73" spans="1:105" ht="11.45" customHeight="1" x14ac:dyDescent="0.25">
      <c r="A73" s="111" t="s">
        <v>113</v>
      </c>
      <c r="B73" s="102">
        <v>0</v>
      </c>
      <c r="C73" s="102">
        <v>0</v>
      </c>
      <c r="D73" s="102">
        <v>0</v>
      </c>
      <c r="E73" s="102">
        <v>0</v>
      </c>
      <c r="F73" s="102">
        <v>0</v>
      </c>
      <c r="G73" s="102">
        <v>0</v>
      </c>
      <c r="H73" s="102">
        <v>0</v>
      </c>
      <c r="I73" s="102">
        <v>0</v>
      </c>
      <c r="J73" s="102">
        <v>0</v>
      </c>
      <c r="K73" s="102">
        <v>0</v>
      </c>
      <c r="L73" s="102">
        <v>0</v>
      </c>
      <c r="M73" s="102">
        <v>0</v>
      </c>
      <c r="N73" s="102">
        <v>0</v>
      </c>
      <c r="O73" s="102">
        <v>0</v>
      </c>
      <c r="P73" s="102">
        <v>0</v>
      </c>
      <c r="Q73" s="102">
        <v>299</v>
      </c>
      <c r="R73" s="102">
        <v>63</v>
      </c>
      <c r="S73" s="102">
        <v>48</v>
      </c>
      <c r="T73" s="102">
        <v>648</v>
      </c>
      <c r="U73" s="102">
        <v>326</v>
      </c>
      <c r="V73" s="102">
        <v>384</v>
      </c>
      <c r="W73" s="102">
        <v>345</v>
      </c>
      <c r="X73" s="102">
        <v>133</v>
      </c>
      <c r="Y73" s="102">
        <v>198</v>
      </c>
      <c r="DA73" s="175" t="s">
        <v>852</v>
      </c>
    </row>
    <row r="74" spans="1:105" ht="11.45" customHeight="1" x14ac:dyDescent="0.25">
      <c r="A74" s="111" t="s">
        <v>115</v>
      </c>
      <c r="B74" s="102">
        <v>0</v>
      </c>
      <c r="C74" s="102">
        <v>0</v>
      </c>
      <c r="D74" s="102">
        <v>0</v>
      </c>
      <c r="E74" s="102">
        <v>0</v>
      </c>
      <c r="F74" s="102">
        <v>0</v>
      </c>
      <c r="G74" s="102">
        <v>0</v>
      </c>
      <c r="H74" s="102">
        <v>0</v>
      </c>
      <c r="I74" s="102">
        <v>0</v>
      </c>
      <c r="J74" s="102">
        <v>0</v>
      </c>
      <c r="K74" s="102">
        <v>0</v>
      </c>
      <c r="L74" s="102">
        <v>0</v>
      </c>
      <c r="M74" s="102">
        <v>0</v>
      </c>
      <c r="N74" s="102">
        <v>0</v>
      </c>
      <c r="O74" s="102">
        <v>0</v>
      </c>
      <c r="P74" s="102">
        <v>0</v>
      </c>
      <c r="Q74" s="102">
        <v>41</v>
      </c>
      <c r="R74" s="102">
        <v>26</v>
      </c>
      <c r="S74" s="102">
        <v>130</v>
      </c>
      <c r="T74" s="102">
        <v>41</v>
      </c>
      <c r="U74" s="102">
        <v>63</v>
      </c>
      <c r="V74" s="102">
        <v>208</v>
      </c>
      <c r="W74" s="102">
        <v>226</v>
      </c>
      <c r="X74" s="102">
        <v>179</v>
      </c>
      <c r="Y74" s="102">
        <v>374</v>
      </c>
      <c r="DA74" s="175" t="s">
        <v>853</v>
      </c>
    </row>
    <row r="75" spans="1:105" ht="11.45" customHeight="1" x14ac:dyDescent="0.25">
      <c r="A75" s="27" t="s">
        <v>34</v>
      </c>
      <c r="B75" s="28">
        <f t="shared" ref="B75:K75" si="16">B76+B82</f>
        <v>29031</v>
      </c>
      <c r="C75" s="28">
        <f t="shared" si="16"/>
        <v>4899</v>
      </c>
      <c r="D75" s="28">
        <f t="shared" si="16"/>
        <v>16721</v>
      </c>
      <c r="E75" s="28">
        <f t="shared" si="16"/>
        <v>9863</v>
      </c>
      <c r="F75" s="28">
        <f t="shared" si="16"/>
        <v>2951</v>
      </c>
      <c r="G75" s="28">
        <f t="shared" si="16"/>
        <v>10481</v>
      </c>
      <c r="H75" s="28">
        <f t="shared" si="16"/>
        <v>30594</v>
      </c>
      <c r="I75" s="28">
        <f t="shared" si="16"/>
        <v>46514</v>
      </c>
      <c r="J75" s="28">
        <f t="shared" si="16"/>
        <v>52056</v>
      </c>
      <c r="K75" s="28">
        <f t="shared" si="16"/>
        <v>87933</v>
      </c>
      <c r="L75" s="28">
        <f t="shared" ref="L75" si="17">L76+L82</f>
        <v>165760</v>
      </c>
      <c r="M75" s="28">
        <f t="shared" ref="M75:V75" si="18">M76+M82</f>
        <v>192391</v>
      </c>
      <c r="N75" s="28">
        <f t="shared" si="18"/>
        <v>163429</v>
      </c>
      <c r="O75" s="28">
        <f t="shared" si="18"/>
        <v>225575</v>
      </c>
      <c r="P75" s="28">
        <f t="shared" si="18"/>
        <v>187014</v>
      </c>
      <c r="Q75" s="28">
        <f t="shared" si="18"/>
        <v>220743</v>
      </c>
      <c r="R75" s="28">
        <f t="shared" si="18"/>
        <v>279271</v>
      </c>
      <c r="S75" s="28">
        <f t="shared" si="18"/>
        <v>290103</v>
      </c>
      <c r="T75" s="28">
        <f t="shared" si="18"/>
        <v>306003</v>
      </c>
      <c r="U75" s="28">
        <f t="shared" si="18"/>
        <v>360797</v>
      </c>
      <c r="V75" s="28">
        <f t="shared" si="18"/>
        <v>335923</v>
      </c>
      <c r="W75" s="28">
        <f t="shared" ref="W75:Y75" si="19">W76+W82</f>
        <v>376768</v>
      </c>
      <c r="X75" s="28">
        <f t="shared" si="19"/>
        <v>380219</v>
      </c>
      <c r="Y75" s="28">
        <f t="shared" si="19"/>
        <v>392706</v>
      </c>
      <c r="DA75" s="173" t="s">
        <v>854</v>
      </c>
    </row>
    <row r="76" spans="1:105" ht="11.45" customHeight="1" x14ac:dyDescent="0.25">
      <c r="A76" s="136" t="s">
        <v>153</v>
      </c>
      <c r="B76" s="137">
        <f t="shared" ref="B76:K76" si="20">SUM(B77:B81)</f>
        <v>29031</v>
      </c>
      <c r="C76" s="137">
        <f t="shared" si="20"/>
        <v>4899</v>
      </c>
      <c r="D76" s="137">
        <f t="shared" si="20"/>
        <v>16721</v>
      </c>
      <c r="E76" s="137">
        <f t="shared" si="20"/>
        <v>9863</v>
      </c>
      <c r="F76" s="137">
        <f t="shared" si="20"/>
        <v>2951</v>
      </c>
      <c r="G76" s="137">
        <f t="shared" si="20"/>
        <v>7557</v>
      </c>
      <c r="H76" s="137">
        <f t="shared" si="20"/>
        <v>14228</v>
      </c>
      <c r="I76" s="137">
        <f t="shared" si="20"/>
        <v>9150</v>
      </c>
      <c r="J76" s="137">
        <f t="shared" si="20"/>
        <v>6150</v>
      </c>
      <c r="K76" s="137">
        <f t="shared" si="20"/>
        <v>58472</v>
      </c>
      <c r="L76" s="137">
        <f t="shared" ref="L76" si="21">SUM(L77:L81)</f>
        <v>126098</v>
      </c>
      <c r="M76" s="137">
        <f t="shared" ref="M76:V76" si="22">SUM(M77:M81)</f>
        <v>138803</v>
      </c>
      <c r="N76" s="137">
        <f t="shared" si="22"/>
        <v>118050</v>
      </c>
      <c r="O76" s="137">
        <f t="shared" si="22"/>
        <v>168506</v>
      </c>
      <c r="P76" s="137">
        <f t="shared" si="22"/>
        <v>125138</v>
      </c>
      <c r="Q76" s="137">
        <f t="shared" si="22"/>
        <v>163322</v>
      </c>
      <c r="R76" s="137">
        <f t="shared" si="22"/>
        <v>200844</v>
      </c>
      <c r="S76" s="137">
        <f t="shared" si="22"/>
        <v>213054</v>
      </c>
      <c r="T76" s="137">
        <f t="shared" si="22"/>
        <v>227164</v>
      </c>
      <c r="U76" s="137">
        <f t="shared" si="22"/>
        <v>274063</v>
      </c>
      <c r="V76" s="137">
        <f t="shared" si="22"/>
        <v>268323</v>
      </c>
      <c r="W76" s="137">
        <f t="shared" ref="W76:Y76" si="23">SUM(W77:W81)</f>
        <v>288725</v>
      </c>
      <c r="X76" s="137">
        <f t="shared" si="23"/>
        <v>286167</v>
      </c>
      <c r="Y76" s="137">
        <f t="shared" si="23"/>
        <v>295840</v>
      </c>
      <c r="DA76" s="174" t="s">
        <v>855</v>
      </c>
    </row>
    <row r="77" spans="1:105" ht="11.45" customHeight="1" x14ac:dyDescent="0.25">
      <c r="A77" s="111" t="s">
        <v>110</v>
      </c>
      <c r="B77" s="84">
        <v>0</v>
      </c>
      <c r="C77" s="84">
        <v>0</v>
      </c>
      <c r="D77" s="84">
        <v>0</v>
      </c>
      <c r="E77" s="84">
        <v>0</v>
      </c>
      <c r="F77" s="84">
        <v>0</v>
      </c>
      <c r="G77" s="84">
        <v>0</v>
      </c>
      <c r="H77" s="84">
        <v>0</v>
      </c>
      <c r="I77" s="84">
        <v>0</v>
      </c>
      <c r="J77" s="84">
        <v>0</v>
      </c>
      <c r="K77" s="84">
        <v>11166</v>
      </c>
      <c r="L77" s="84">
        <v>35656</v>
      </c>
      <c r="M77" s="84">
        <v>27869</v>
      </c>
      <c r="N77" s="84">
        <v>34424</v>
      </c>
      <c r="O77" s="84">
        <v>45803</v>
      </c>
      <c r="P77" s="84">
        <v>29118</v>
      </c>
      <c r="Q77" s="84">
        <v>36004</v>
      </c>
      <c r="R77" s="84">
        <v>39942</v>
      </c>
      <c r="S77" s="84">
        <v>60525</v>
      </c>
      <c r="T77" s="84">
        <v>62790</v>
      </c>
      <c r="U77" s="84">
        <v>32191</v>
      </c>
      <c r="V77" s="84">
        <v>42955</v>
      </c>
      <c r="W77" s="84">
        <v>47384</v>
      </c>
      <c r="X77" s="84">
        <v>54062</v>
      </c>
      <c r="Y77" s="84">
        <v>52925</v>
      </c>
      <c r="DA77" s="171" t="s">
        <v>856</v>
      </c>
    </row>
    <row r="78" spans="1:105" ht="11.45" customHeight="1" x14ac:dyDescent="0.25">
      <c r="A78" s="111" t="s">
        <v>111</v>
      </c>
      <c r="B78" s="84">
        <v>0</v>
      </c>
      <c r="C78" s="84">
        <v>0</v>
      </c>
      <c r="D78" s="84">
        <v>0</v>
      </c>
      <c r="E78" s="84">
        <v>0</v>
      </c>
      <c r="F78" s="84">
        <v>0</v>
      </c>
      <c r="G78" s="84">
        <v>0</v>
      </c>
      <c r="H78" s="84">
        <v>0</v>
      </c>
      <c r="I78" s="84">
        <v>0</v>
      </c>
      <c r="J78" s="84">
        <v>0</v>
      </c>
      <c r="K78" s="84">
        <v>44466</v>
      </c>
      <c r="L78" s="84">
        <v>86211</v>
      </c>
      <c r="M78" s="84">
        <v>106174</v>
      </c>
      <c r="N78" s="84">
        <v>81404</v>
      </c>
      <c r="O78" s="84">
        <v>120424</v>
      </c>
      <c r="P78" s="84">
        <v>79636</v>
      </c>
      <c r="Q78" s="84">
        <v>124265</v>
      </c>
      <c r="R78" s="84">
        <v>155718</v>
      </c>
      <c r="S78" s="84">
        <v>149030</v>
      </c>
      <c r="T78" s="84">
        <v>157754</v>
      </c>
      <c r="U78" s="84">
        <v>240657</v>
      </c>
      <c r="V78" s="84">
        <v>225114</v>
      </c>
      <c r="W78" s="84">
        <v>238990</v>
      </c>
      <c r="X78" s="84">
        <v>231075</v>
      </c>
      <c r="Y78" s="84">
        <v>238847</v>
      </c>
      <c r="DA78" s="171" t="s">
        <v>857</v>
      </c>
    </row>
    <row r="79" spans="1:105" ht="11.45" customHeight="1" x14ac:dyDescent="0.25">
      <c r="A79" s="111" t="s">
        <v>112</v>
      </c>
      <c r="B79" s="84">
        <v>29031</v>
      </c>
      <c r="C79" s="84">
        <v>4899</v>
      </c>
      <c r="D79" s="84">
        <v>16721</v>
      </c>
      <c r="E79" s="84">
        <v>9863</v>
      </c>
      <c r="F79" s="84">
        <v>2951</v>
      </c>
      <c r="G79" s="84">
        <v>7557</v>
      </c>
      <c r="H79" s="84">
        <v>14228</v>
      </c>
      <c r="I79" s="84">
        <v>9150</v>
      </c>
      <c r="J79" s="84">
        <v>6150</v>
      </c>
      <c r="K79" s="84">
        <v>2840</v>
      </c>
      <c r="L79" s="84">
        <v>4231</v>
      </c>
      <c r="M79" s="84">
        <v>4760</v>
      </c>
      <c r="N79" s="84">
        <v>2222</v>
      </c>
      <c r="O79" s="84">
        <v>2279</v>
      </c>
      <c r="P79" s="84">
        <v>16384</v>
      </c>
      <c r="Q79" s="84">
        <v>2102</v>
      </c>
      <c r="R79" s="84">
        <v>4908</v>
      </c>
      <c r="S79" s="84">
        <v>3382</v>
      </c>
      <c r="T79" s="84">
        <v>6502</v>
      </c>
      <c r="U79" s="84">
        <v>1052</v>
      </c>
      <c r="V79" s="84">
        <v>9</v>
      </c>
      <c r="W79" s="84">
        <v>1900</v>
      </c>
      <c r="X79" s="84">
        <v>105</v>
      </c>
      <c r="Y79" s="84">
        <v>1599</v>
      </c>
      <c r="DA79" s="171" t="s">
        <v>858</v>
      </c>
    </row>
    <row r="80" spans="1:105" ht="11.45" customHeight="1" x14ac:dyDescent="0.25">
      <c r="A80" s="111" t="s">
        <v>113</v>
      </c>
      <c r="B80" s="84">
        <v>0</v>
      </c>
      <c r="C80" s="84">
        <v>0</v>
      </c>
      <c r="D80" s="84">
        <v>0</v>
      </c>
      <c r="E80" s="84">
        <v>0</v>
      </c>
      <c r="F80" s="84">
        <v>0</v>
      </c>
      <c r="G80" s="84">
        <v>0</v>
      </c>
      <c r="H80" s="84">
        <v>0</v>
      </c>
      <c r="I80" s="84">
        <v>0</v>
      </c>
      <c r="J80" s="84">
        <v>0</v>
      </c>
      <c r="K80" s="84">
        <v>0</v>
      </c>
      <c r="L80" s="84">
        <v>0</v>
      </c>
      <c r="M80" s="84">
        <v>0</v>
      </c>
      <c r="N80" s="84">
        <v>0</v>
      </c>
      <c r="O80" s="84">
        <v>0</v>
      </c>
      <c r="P80" s="84">
        <v>0</v>
      </c>
      <c r="Q80" s="84">
        <v>951</v>
      </c>
      <c r="R80" s="84">
        <v>275</v>
      </c>
      <c r="S80" s="84">
        <v>107</v>
      </c>
      <c r="T80" s="84">
        <v>81</v>
      </c>
      <c r="U80" s="84">
        <v>54</v>
      </c>
      <c r="V80" s="84">
        <v>45</v>
      </c>
      <c r="W80" s="84">
        <v>27</v>
      </c>
      <c r="X80" s="84">
        <v>52</v>
      </c>
      <c r="Y80" s="84">
        <v>60</v>
      </c>
      <c r="DA80" s="171" t="s">
        <v>859</v>
      </c>
    </row>
    <row r="81" spans="1:105" ht="11.45" customHeight="1" x14ac:dyDescent="0.25">
      <c r="A81" s="111" t="s">
        <v>115</v>
      </c>
      <c r="B81" s="84">
        <v>0</v>
      </c>
      <c r="C81" s="84">
        <v>0</v>
      </c>
      <c r="D81" s="84">
        <v>0</v>
      </c>
      <c r="E81" s="84">
        <v>0</v>
      </c>
      <c r="F81" s="84">
        <v>0</v>
      </c>
      <c r="G81" s="84">
        <v>0</v>
      </c>
      <c r="H81" s="84">
        <v>0</v>
      </c>
      <c r="I81" s="84">
        <v>0</v>
      </c>
      <c r="J81" s="84">
        <v>0</v>
      </c>
      <c r="K81" s="84">
        <v>0</v>
      </c>
      <c r="L81" s="84">
        <v>0</v>
      </c>
      <c r="M81" s="84">
        <v>0</v>
      </c>
      <c r="N81" s="84">
        <v>0</v>
      </c>
      <c r="O81" s="84">
        <v>0</v>
      </c>
      <c r="P81" s="84">
        <v>0</v>
      </c>
      <c r="Q81" s="84">
        <v>0</v>
      </c>
      <c r="R81" s="84">
        <v>1</v>
      </c>
      <c r="S81" s="84">
        <v>10</v>
      </c>
      <c r="T81" s="84">
        <v>37</v>
      </c>
      <c r="U81" s="84">
        <v>109</v>
      </c>
      <c r="V81" s="84">
        <v>200</v>
      </c>
      <c r="W81" s="84">
        <v>424</v>
      </c>
      <c r="X81" s="84">
        <v>873</v>
      </c>
      <c r="Y81" s="84">
        <v>2409</v>
      </c>
      <c r="DA81" s="171" t="s">
        <v>860</v>
      </c>
    </row>
    <row r="82" spans="1:105" ht="11.45" customHeight="1" x14ac:dyDescent="0.25">
      <c r="A82" s="109" t="s">
        <v>154</v>
      </c>
      <c r="B82" s="110">
        <f t="shared" ref="B82:K82" si="24">SUM(B83:B84)</f>
        <v>0</v>
      </c>
      <c r="C82" s="110">
        <f t="shared" si="24"/>
        <v>0</v>
      </c>
      <c r="D82" s="110">
        <f t="shared" si="24"/>
        <v>0</v>
      </c>
      <c r="E82" s="110">
        <f t="shared" si="24"/>
        <v>0</v>
      </c>
      <c r="F82" s="110">
        <f t="shared" si="24"/>
        <v>0</v>
      </c>
      <c r="G82" s="110">
        <f t="shared" si="24"/>
        <v>2924</v>
      </c>
      <c r="H82" s="110">
        <f t="shared" si="24"/>
        <v>16366</v>
      </c>
      <c r="I82" s="110">
        <f t="shared" si="24"/>
        <v>37364</v>
      </c>
      <c r="J82" s="110">
        <f t="shared" si="24"/>
        <v>45906</v>
      </c>
      <c r="K82" s="110">
        <f t="shared" si="24"/>
        <v>29461</v>
      </c>
      <c r="L82" s="110">
        <f t="shared" ref="L82" si="25">SUM(L83:L84)</f>
        <v>39662</v>
      </c>
      <c r="M82" s="110">
        <f t="shared" ref="M82:V82" si="26">SUM(M83:M84)</f>
        <v>53588</v>
      </c>
      <c r="N82" s="110">
        <f t="shared" si="26"/>
        <v>45379</v>
      </c>
      <c r="O82" s="110">
        <f t="shared" si="26"/>
        <v>57069</v>
      </c>
      <c r="P82" s="110">
        <f t="shared" si="26"/>
        <v>61876</v>
      </c>
      <c r="Q82" s="110">
        <f t="shared" si="26"/>
        <v>57421</v>
      </c>
      <c r="R82" s="110">
        <f t="shared" si="26"/>
        <v>78427</v>
      </c>
      <c r="S82" s="110">
        <f t="shared" si="26"/>
        <v>77049</v>
      </c>
      <c r="T82" s="110">
        <f t="shared" si="26"/>
        <v>78839</v>
      </c>
      <c r="U82" s="110">
        <f t="shared" si="26"/>
        <v>86734</v>
      </c>
      <c r="V82" s="110">
        <f t="shared" si="26"/>
        <v>67600</v>
      </c>
      <c r="W82" s="110">
        <f t="shared" ref="W82:Y82" si="27">SUM(W83:W84)</f>
        <v>88043</v>
      </c>
      <c r="X82" s="110">
        <f t="shared" si="27"/>
        <v>94052</v>
      </c>
      <c r="Y82" s="110">
        <f t="shared" si="27"/>
        <v>96866</v>
      </c>
      <c r="DA82" s="176" t="s">
        <v>861</v>
      </c>
    </row>
    <row r="83" spans="1:105" ht="11.45" customHeight="1" x14ac:dyDescent="0.25">
      <c r="A83" s="128" t="s">
        <v>27</v>
      </c>
      <c r="B83" s="102">
        <v>0</v>
      </c>
      <c r="C83" s="102">
        <v>0</v>
      </c>
      <c r="D83" s="102">
        <v>0</v>
      </c>
      <c r="E83" s="102">
        <v>0</v>
      </c>
      <c r="F83" s="102">
        <v>0</v>
      </c>
      <c r="G83" s="102">
        <v>2924</v>
      </c>
      <c r="H83" s="102">
        <v>16366</v>
      </c>
      <c r="I83" s="102">
        <v>37364</v>
      </c>
      <c r="J83" s="102">
        <v>45906</v>
      </c>
      <c r="K83" s="102">
        <v>29461</v>
      </c>
      <c r="L83" s="102">
        <v>37937</v>
      </c>
      <c r="M83" s="102">
        <v>51125</v>
      </c>
      <c r="N83" s="102">
        <v>42134</v>
      </c>
      <c r="O83" s="102">
        <v>54173</v>
      </c>
      <c r="P83" s="102">
        <v>59906</v>
      </c>
      <c r="Q83" s="102">
        <v>54911</v>
      </c>
      <c r="R83" s="102">
        <v>73208</v>
      </c>
      <c r="S83" s="102">
        <v>70882</v>
      </c>
      <c r="T83" s="102">
        <v>78839</v>
      </c>
      <c r="U83" s="102">
        <v>79516</v>
      </c>
      <c r="V83" s="102">
        <v>66320</v>
      </c>
      <c r="W83" s="102">
        <v>82893</v>
      </c>
      <c r="X83" s="102">
        <v>89553</v>
      </c>
      <c r="Y83" s="102">
        <v>92696</v>
      </c>
      <c r="DA83" s="175" t="s">
        <v>862</v>
      </c>
    </row>
    <row r="84" spans="1:105" ht="11.45" customHeight="1" x14ac:dyDescent="0.25">
      <c r="A84" s="138" t="s">
        <v>116</v>
      </c>
      <c r="B84" s="86">
        <v>0</v>
      </c>
      <c r="C84" s="86">
        <v>0</v>
      </c>
      <c r="D84" s="86">
        <v>0</v>
      </c>
      <c r="E84" s="86">
        <v>0</v>
      </c>
      <c r="F84" s="86">
        <v>0</v>
      </c>
      <c r="G84" s="86">
        <v>0</v>
      </c>
      <c r="H84" s="86">
        <v>0</v>
      </c>
      <c r="I84" s="86">
        <v>0</v>
      </c>
      <c r="J84" s="86">
        <v>0</v>
      </c>
      <c r="K84" s="86">
        <v>0</v>
      </c>
      <c r="L84" s="86">
        <v>1725</v>
      </c>
      <c r="M84" s="86">
        <v>2463</v>
      </c>
      <c r="N84" s="86">
        <v>3245</v>
      </c>
      <c r="O84" s="86">
        <v>2896</v>
      </c>
      <c r="P84" s="86">
        <v>1970</v>
      </c>
      <c r="Q84" s="86">
        <v>2510</v>
      </c>
      <c r="R84" s="86">
        <v>5219</v>
      </c>
      <c r="S84" s="86">
        <v>6167</v>
      </c>
      <c r="T84" s="86">
        <v>0</v>
      </c>
      <c r="U84" s="86">
        <v>7218</v>
      </c>
      <c r="V84" s="86">
        <v>1280</v>
      </c>
      <c r="W84" s="86">
        <v>5150</v>
      </c>
      <c r="X84" s="86">
        <v>4499</v>
      </c>
      <c r="Y84" s="86">
        <v>4170</v>
      </c>
      <c r="DA84" s="178" t="s">
        <v>863</v>
      </c>
    </row>
    <row r="85" spans="1:105" x14ac:dyDescent="0.25">
      <c r="A85" s="106"/>
      <c r="B85" s="106"/>
      <c r="C85" s="106"/>
      <c r="D85" s="106"/>
      <c r="E85" s="106"/>
      <c r="F85" s="106"/>
      <c r="G85" s="106"/>
      <c r="H85" s="106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X85" s="106"/>
      <c r="Y85" s="106"/>
      <c r="DA85" s="171"/>
    </row>
    <row r="86" spans="1:105" ht="11.45" customHeight="1" x14ac:dyDescent="0.25">
      <c r="A86" s="68" t="s">
        <v>36</v>
      </c>
      <c r="B86" s="69"/>
      <c r="C86" s="69"/>
      <c r="D86" s="69"/>
      <c r="E86" s="69"/>
      <c r="F86" s="69"/>
      <c r="G86" s="69"/>
      <c r="H86" s="69"/>
      <c r="I86" s="69"/>
      <c r="J86" s="69"/>
      <c r="K86" s="69"/>
      <c r="L86" s="69"/>
      <c r="M86" s="69"/>
      <c r="N86" s="69"/>
      <c r="O86" s="69"/>
      <c r="P86" s="69"/>
      <c r="Q86" s="69"/>
      <c r="R86" s="69"/>
      <c r="S86" s="69"/>
      <c r="T86" s="69"/>
      <c r="U86" s="69"/>
      <c r="V86" s="69"/>
      <c r="W86" s="69"/>
      <c r="X86" s="69"/>
      <c r="Y86" s="69"/>
      <c r="DA86" s="179"/>
    </row>
    <row r="87" spans="1:105" x14ac:dyDescent="0.25">
      <c r="A87" s="106"/>
      <c r="B87" s="106"/>
      <c r="C87" s="106"/>
      <c r="D87" s="106"/>
      <c r="E87" s="106"/>
      <c r="F87" s="106"/>
      <c r="G87" s="106"/>
      <c r="H87" s="106"/>
      <c r="I87" s="106"/>
      <c r="J87" s="106"/>
      <c r="K87" s="106"/>
      <c r="L87" s="106"/>
      <c r="M87" s="106"/>
      <c r="N87" s="106"/>
      <c r="O87" s="106"/>
      <c r="P87" s="106"/>
      <c r="Q87" s="106"/>
      <c r="R87" s="106"/>
      <c r="S87" s="106"/>
      <c r="T87" s="106"/>
      <c r="U87" s="106"/>
      <c r="V87" s="106"/>
      <c r="W87" s="106"/>
      <c r="X87" s="106"/>
      <c r="Y87" s="106"/>
      <c r="DA87" s="171"/>
    </row>
    <row r="88" spans="1:105" ht="11.45" customHeight="1" x14ac:dyDescent="0.25">
      <c r="A88" s="53" t="s">
        <v>120</v>
      </c>
      <c r="B88" s="79"/>
      <c r="C88" s="79"/>
      <c r="D88" s="79"/>
      <c r="E88" s="79"/>
      <c r="F88" s="79"/>
      <c r="G88" s="79"/>
      <c r="H88" s="79"/>
      <c r="I88" s="79"/>
      <c r="J88" s="79"/>
      <c r="K88" s="79"/>
      <c r="L88" s="79"/>
      <c r="M88" s="79"/>
      <c r="N88" s="79"/>
      <c r="O88" s="79"/>
      <c r="P88" s="79"/>
      <c r="Q88" s="79"/>
      <c r="R88" s="79"/>
      <c r="S88" s="79"/>
      <c r="T88" s="79"/>
      <c r="U88" s="79"/>
      <c r="V88" s="79"/>
      <c r="W88" s="79"/>
      <c r="X88" s="79"/>
      <c r="Y88" s="79"/>
      <c r="DA88" s="172"/>
    </row>
    <row r="89" spans="1:105" ht="11.45" customHeight="1" x14ac:dyDescent="0.25">
      <c r="A89" s="27" t="s">
        <v>33</v>
      </c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DA89" s="173"/>
    </row>
    <row r="90" spans="1:105" ht="11.45" customHeight="1" x14ac:dyDescent="0.25">
      <c r="A90" s="136" t="s">
        <v>173</v>
      </c>
      <c r="B90" s="141">
        <v>4.2350156740914846</v>
      </c>
      <c r="C90" s="141">
        <v>4.2262311688428307</v>
      </c>
      <c r="D90" s="141">
        <v>4.1718148403637763</v>
      </c>
      <c r="E90" s="141">
        <v>4.1690246963426834</v>
      </c>
      <c r="F90" s="141">
        <v>4.1660808496456729</v>
      </c>
      <c r="G90" s="141">
        <v>4.0012768711057323</v>
      </c>
      <c r="H90" s="141">
        <v>3.940673119768193</v>
      </c>
      <c r="I90" s="141">
        <v>3.8581101215570679</v>
      </c>
      <c r="J90" s="141">
        <v>3.729382081384685</v>
      </c>
      <c r="K90" s="141">
        <v>3.6211031316952678</v>
      </c>
      <c r="L90" s="141">
        <v>3.5455049475181104</v>
      </c>
      <c r="M90" s="141">
        <v>3.4611635924028517</v>
      </c>
      <c r="N90" s="141">
        <v>3.4008131194201643</v>
      </c>
      <c r="O90" s="141">
        <v>3.3395524758149691</v>
      </c>
      <c r="P90" s="141">
        <v>3.2999002266041906</v>
      </c>
      <c r="Q90" s="141">
        <v>3.2291745788812762</v>
      </c>
      <c r="R90" s="141">
        <v>3.1639217105530482</v>
      </c>
      <c r="S90" s="141">
        <v>3.1239552968268454</v>
      </c>
      <c r="T90" s="141">
        <v>3.0763956049769403</v>
      </c>
      <c r="U90" s="141">
        <v>3.040790464363337</v>
      </c>
      <c r="V90" s="141">
        <v>3.001362584741234</v>
      </c>
      <c r="W90" s="141">
        <v>2.9650976415092316</v>
      </c>
      <c r="X90" s="141">
        <v>2.9302609158290411</v>
      </c>
      <c r="Y90" s="141">
        <v>2.8950499491343642</v>
      </c>
      <c r="DA90" s="174" t="s">
        <v>864</v>
      </c>
    </row>
    <row r="91" spans="1:105" ht="11.45" customHeight="1" x14ac:dyDescent="0.25">
      <c r="A91" s="109" t="s">
        <v>20</v>
      </c>
      <c r="B91" s="130">
        <v>8.3075657384980026</v>
      </c>
      <c r="C91" s="130">
        <v>8.1513369075817117</v>
      </c>
      <c r="D91" s="130">
        <v>8.0661318423281045</v>
      </c>
      <c r="E91" s="130">
        <v>7.9884900434251778</v>
      </c>
      <c r="F91" s="130">
        <v>7.9017898037662073</v>
      </c>
      <c r="G91" s="130">
        <v>7.8442626538171289</v>
      </c>
      <c r="H91" s="130">
        <v>7.788892749301402</v>
      </c>
      <c r="I91" s="130">
        <v>7.7173118368608504</v>
      </c>
      <c r="J91" s="130">
        <v>7.6411584668763526</v>
      </c>
      <c r="K91" s="130">
        <v>7.5569090635704628</v>
      </c>
      <c r="L91" s="130">
        <v>7.4866250481549583</v>
      </c>
      <c r="M91" s="130">
        <v>7.411341503255116</v>
      </c>
      <c r="N91" s="130">
        <v>7.3246293780675673</v>
      </c>
      <c r="O91" s="130">
        <v>7.2292673813649753</v>
      </c>
      <c r="P91" s="130">
        <v>7.1283282339502554</v>
      </c>
      <c r="Q91" s="130">
        <v>7.0063156846447612</v>
      </c>
      <c r="R91" s="130">
        <v>6.9125531464208363</v>
      </c>
      <c r="S91" s="130">
        <v>6.8325400310162427</v>
      </c>
      <c r="T91" s="130">
        <v>6.7294718393233888</v>
      </c>
      <c r="U91" s="130">
        <v>6.6337022382753714</v>
      </c>
      <c r="V91" s="130">
        <v>6.5500520311877981</v>
      </c>
      <c r="W91" s="130">
        <v>6.4231961510282236</v>
      </c>
      <c r="X91" s="130">
        <v>6.2929254373138175</v>
      </c>
      <c r="Y91" s="130">
        <v>6.1847259744726859</v>
      </c>
      <c r="DA91" s="176" t="s">
        <v>865</v>
      </c>
    </row>
    <row r="92" spans="1:105" ht="11.45" customHeight="1" x14ac:dyDescent="0.25">
      <c r="A92" s="111" t="s">
        <v>110</v>
      </c>
      <c r="B92" s="96">
        <v>8.4028243930798681</v>
      </c>
      <c r="C92" s="96">
        <v>8.2535483470812139</v>
      </c>
      <c r="D92" s="96">
        <v>8.2107655656112826</v>
      </c>
      <c r="E92" s="96">
        <v>8.1773778314072807</v>
      </c>
      <c r="F92" s="96">
        <v>8.095472505612749</v>
      </c>
      <c r="G92" s="96">
        <v>8.02991415442151</v>
      </c>
      <c r="H92" s="96">
        <v>7.9735685435097636</v>
      </c>
      <c r="I92" s="96">
        <v>7.9045494970380901</v>
      </c>
      <c r="J92" s="96">
        <v>7.8242672843808956</v>
      </c>
      <c r="K92" s="96">
        <v>7.7353265393871249</v>
      </c>
      <c r="L92" s="96">
        <v>7.6542662261140002</v>
      </c>
      <c r="M92" s="96">
        <v>7.5609695149126139</v>
      </c>
      <c r="N92" s="96">
        <v>7.4318814642535953</v>
      </c>
      <c r="O92" s="96">
        <v>7.3045409070078176</v>
      </c>
      <c r="P92" s="96">
        <v>7.1692228783179726</v>
      </c>
      <c r="Q92" s="96">
        <v>7.0009128632098125</v>
      </c>
      <c r="R92" s="96">
        <v>6.8942284370728464</v>
      </c>
      <c r="S92" s="96">
        <v>6.785138661526374</v>
      </c>
      <c r="T92" s="96">
        <v>6.6574030149307148</v>
      </c>
      <c r="U92" s="96">
        <v>6.5323223433666113</v>
      </c>
      <c r="V92" s="96">
        <v>6.4323609924621969</v>
      </c>
      <c r="W92" s="96">
        <v>6.2655413704349812</v>
      </c>
      <c r="X92" s="96">
        <v>6.1012708195542986</v>
      </c>
      <c r="Y92" s="96">
        <v>5.976221052207852</v>
      </c>
      <c r="DA92" s="171" t="s">
        <v>866</v>
      </c>
    </row>
    <row r="93" spans="1:105" ht="11.45" customHeight="1" x14ac:dyDescent="0.25">
      <c r="A93" s="111" t="s">
        <v>111</v>
      </c>
      <c r="B93" s="96">
        <v>7.7062745664450878</v>
      </c>
      <c r="C93" s="96">
        <v>7.5488147842111868</v>
      </c>
      <c r="D93" s="96">
        <v>7.5226905249233296</v>
      </c>
      <c r="E93" s="96">
        <v>7.4659412648851387</v>
      </c>
      <c r="F93" s="96">
        <v>7.3528234891181379</v>
      </c>
      <c r="G93" s="96">
        <v>7.0818853702511806</v>
      </c>
      <c r="H93" s="96">
        <v>7.0005655701387974</v>
      </c>
      <c r="I93" s="96">
        <v>6.9362353331644995</v>
      </c>
      <c r="J93" s="96">
        <v>6.8792070404741352</v>
      </c>
      <c r="K93" s="96">
        <v>6.8318403006798292</v>
      </c>
      <c r="L93" s="96">
        <v>6.8011310456562786</v>
      </c>
      <c r="M93" s="96">
        <v>6.7753538595924026</v>
      </c>
      <c r="N93" s="96">
        <v>6.7539565775881938</v>
      </c>
      <c r="O93" s="96">
        <v>6.708428618060724</v>
      </c>
      <c r="P93" s="96">
        <v>6.6451730020323989</v>
      </c>
      <c r="Q93" s="96">
        <v>6.5578358047170573</v>
      </c>
      <c r="R93" s="96">
        <v>6.4673783511213712</v>
      </c>
      <c r="S93" s="96">
        <v>6.3883898517058544</v>
      </c>
      <c r="T93" s="96">
        <v>6.3121892776211466</v>
      </c>
      <c r="U93" s="96">
        <v>6.2128257986051771</v>
      </c>
      <c r="V93" s="96">
        <v>6.1174627229756879</v>
      </c>
      <c r="W93" s="96">
        <v>6.0041628933592133</v>
      </c>
      <c r="X93" s="96">
        <v>5.9057428292426506</v>
      </c>
      <c r="Y93" s="96">
        <v>5.8426959564443255</v>
      </c>
      <c r="DA93" s="171" t="s">
        <v>867</v>
      </c>
    </row>
    <row r="94" spans="1:105" ht="11.45" customHeight="1" x14ac:dyDescent="0.25">
      <c r="A94" s="111" t="s">
        <v>112</v>
      </c>
      <c r="B94" s="96">
        <v>8.3226182173623879</v>
      </c>
      <c r="C94" s="96">
        <v>7.574826899720966</v>
      </c>
      <c r="D94" s="96">
        <v>7.3172887981634185</v>
      </c>
      <c r="E94" s="96">
        <v>7.238048098401876</v>
      </c>
      <c r="F94" s="96">
        <v>7.2265371350922152</v>
      </c>
      <c r="G94" s="96">
        <v>7.2398635903644868</v>
      </c>
      <c r="H94" s="96">
        <v>7.2718503561780325</v>
      </c>
      <c r="I94" s="96">
        <v>7.2900189713514063</v>
      </c>
      <c r="J94" s="96">
        <v>7.3153050906558104</v>
      </c>
      <c r="K94" s="96">
        <v>7.3188790947044771</v>
      </c>
      <c r="L94" s="96">
        <v>7.324232816199749</v>
      </c>
      <c r="M94" s="96">
        <v>7.3020524994013813</v>
      </c>
      <c r="N94" s="96">
        <v>7.317454018374363</v>
      </c>
      <c r="O94" s="96">
        <v>7.3081230389348777</v>
      </c>
      <c r="P94" s="96">
        <v>7.2890572809991054</v>
      </c>
      <c r="Q94" s="96">
        <v>7.2547025667025826</v>
      </c>
      <c r="R94" s="96">
        <v>7.1402943034035484</v>
      </c>
      <c r="S94" s="96">
        <v>7.1023604605126858</v>
      </c>
      <c r="T94" s="96">
        <v>6.9430570460839798</v>
      </c>
      <c r="U94" s="96">
        <v>6.8893929985556799</v>
      </c>
      <c r="V94" s="96">
        <v>6.8421673526309208</v>
      </c>
      <c r="W94" s="96">
        <v>6.7903793042292122</v>
      </c>
      <c r="X94" s="96">
        <v>6.7462961409921318</v>
      </c>
      <c r="Y94" s="96">
        <v>6.6186343091927187</v>
      </c>
      <c r="DA94" s="171" t="s">
        <v>868</v>
      </c>
    </row>
    <row r="95" spans="1:105" ht="11.45" customHeight="1" x14ac:dyDescent="0.25">
      <c r="A95" s="111" t="s">
        <v>113</v>
      </c>
      <c r="B95" s="96">
        <v>0</v>
      </c>
      <c r="C95" s="96">
        <v>0</v>
      </c>
      <c r="D95" s="96">
        <v>0</v>
      </c>
      <c r="E95" s="96">
        <v>0</v>
      </c>
      <c r="F95" s="96">
        <v>0</v>
      </c>
      <c r="G95" s="96">
        <v>0</v>
      </c>
      <c r="H95" s="96">
        <v>0</v>
      </c>
      <c r="I95" s="96">
        <v>0</v>
      </c>
      <c r="J95" s="96">
        <v>0</v>
      </c>
      <c r="K95" s="96">
        <v>0</v>
      </c>
      <c r="L95" s="96">
        <v>0</v>
      </c>
      <c r="M95" s="96">
        <v>0</v>
      </c>
      <c r="N95" s="96">
        <v>0</v>
      </c>
      <c r="O95" s="96">
        <v>0</v>
      </c>
      <c r="P95" s="96">
        <v>0</v>
      </c>
      <c r="Q95" s="96">
        <v>5.3622954946422468</v>
      </c>
      <c r="R95" s="96">
        <v>5.4069477319328723</v>
      </c>
      <c r="S95" s="96">
        <v>5.4025457296128678</v>
      </c>
      <c r="T95" s="96">
        <v>5.4368663364395857</v>
      </c>
      <c r="U95" s="96">
        <v>5.4581411879631663</v>
      </c>
      <c r="V95" s="96">
        <v>5.4735857531021539</v>
      </c>
      <c r="W95" s="96">
        <v>5.4784630466044471</v>
      </c>
      <c r="X95" s="96">
        <v>5.4804962211514585</v>
      </c>
      <c r="Y95" s="96">
        <v>5.482498904359967</v>
      </c>
      <c r="DA95" s="171" t="s">
        <v>869</v>
      </c>
    </row>
    <row r="96" spans="1:105" ht="11.45" customHeight="1" x14ac:dyDescent="0.25">
      <c r="A96" s="111" t="s">
        <v>114</v>
      </c>
      <c r="B96" s="96">
        <v>0</v>
      </c>
      <c r="C96" s="96">
        <v>0</v>
      </c>
      <c r="D96" s="96">
        <v>0</v>
      </c>
      <c r="E96" s="96">
        <v>0</v>
      </c>
      <c r="F96" s="96">
        <v>0</v>
      </c>
      <c r="G96" s="96">
        <v>0</v>
      </c>
      <c r="H96" s="96">
        <v>0</v>
      </c>
      <c r="I96" s="96">
        <v>0</v>
      </c>
      <c r="J96" s="96">
        <v>0</v>
      </c>
      <c r="K96" s="96">
        <v>0</v>
      </c>
      <c r="L96" s="96">
        <v>0</v>
      </c>
      <c r="M96" s="96">
        <v>0</v>
      </c>
      <c r="N96" s="96">
        <v>2.4700479675985063</v>
      </c>
      <c r="O96" s="96">
        <v>2.9734784882835599</v>
      </c>
      <c r="P96" s="96">
        <v>5.234220157793759</v>
      </c>
      <c r="Q96" s="96">
        <v>3.1202470968779523</v>
      </c>
      <c r="R96" s="96">
        <v>2.9298332684435975</v>
      </c>
      <c r="S96" s="96">
        <v>2.9689019527798735</v>
      </c>
      <c r="T96" s="96">
        <v>3.1936430415605583</v>
      </c>
      <c r="U96" s="96">
        <v>3.1448832225979699</v>
      </c>
      <c r="V96" s="96">
        <v>3.2891875482837594</v>
      </c>
      <c r="W96" s="96">
        <v>3.0834227279310413</v>
      </c>
      <c r="X96" s="96">
        <v>3.0061790420254759</v>
      </c>
      <c r="Y96" s="96">
        <v>2.9104538189102422</v>
      </c>
      <c r="DA96" s="171" t="s">
        <v>870</v>
      </c>
    </row>
    <row r="97" spans="1:105" ht="11.45" customHeight="1" x14ac:dyDescent="0.25">
      <c r="A97" s="111" t="s">
        <v>115</v>
      </c>
      <c r="B97" s="96">
        <v>0</v>
      </c>
      <c r="C97" s="96">
        <v>0</v>
      </c>
      <c r="D97" s="96">
        <v>0</v>
      </c>
      <c r="E97" s="96">
        <v>0</v>
      </c>
      <c r="F97" s="96">
        <v>0</v>
      </c>
      <c r="G97" s="96">
        <v>0</v>
      </c>
      <c r="H97" s="96">
        <v>0</v>
      </c>
      <c r="I97" s="96">
        <v>0</v>
      </c>
      <c r="J97" s="96">
        <v>0</v>
      </c>
      <c r="K97" s="96">
        <v>0</v>
      </c>
      <c r="L97" s="96">
        <v>1.3047135028115469</v>
      </c>
      <c r="M97" s="96">
        <v>1.3047135028115469</v>
      </c>
      <c r="N97" s="96">
        <v>1.2515474988744668</v>
      </c>
      <c r="O97" s="96">
        <v>1.2460425463353229</v>
      </c>
      <c r="P97" s="96">
        <v>1.2225909726840707</v>
      </c>
      <c r="Q97" s="96">
        <v>1.1996280215091604</v>
      </c>
      <c r="R97" s="96">
        <v>1.1260522141817801</v>
      </c>
      <c r="S97" s="96">
        <v>1.4383690411159324</v>
      </c>
      <c r="T97" s="96">
        <v>1.4549120889797451</v>
      </c>
      <c r="U97" s="96">
        <v>1.468629685404153</v>
      </c>
      <c r="V97" s="96">
        <v>1.5286387783795659</v>
      </c>
      <c r="W97" s="96">
        <v>1.5333396740081147</v>
      </c>
      <c r="X97" s="96">
        <v>1.518750938980358</v>
      </c>
      <c r="Y97" s="96">
        <v>1.5104619867087743</v>
      </c>
      <c r="DA97" s="171" t="s">
        <v>871</v>
      </c>
    </row>
    <row r="98" spans="1:105" ht="11.45" customHeight="1" x14ac:dyDescent="0.25">
      <c r="A98" s="109" t="s">
        <v>21</v>
      </c>
      <c r="B98" s="130">
        <v>55.434832465132288</v>
      </c>
      <c r="C98" s="130">
        <v>53.573647133308363</v>
      </c>
      <c r="D98" s="130">
        <v>52.871707484164808</v>
      </c>
      <c r="E98" s="130">
        <v>52.35674750624392</v>
      </c>
      <c r="F98" s="130">
        <v>51.149766098433233</v>
      </c>
      <c r="G98" s="130">
        <v>49.957789889545218</v>
      </c>
      <c r="H98" s="130">
        <v>48.855828331121216</v>
      </c>
      <c r="I98" s="130">
        <v>48.004363485138491</v>
      </c>
      <c r="J98" s="130">
        <v>46.906721851378876</v>
      </c>
      <c r="K98" s="130">
        <v>46.341829272368834</v>
      </c>
      <c r="L98" s="130">
        <v>45.798749074472049</v>
      </c>
      <c r="M98" s="130">
        <v>45.404369715362336</v>
      </c>
      <c r="N98" s="130">
        <v>45.100355269719941</v>
      </c>
      <c r="O98" s="130">
        <v>44.808624523634592</v>
      </c>
      <c r="P98" s="130">
        <v>44.503272954174662</v>
      </c>
      <c r="Q98" s="130">
        <v>44.004647012751072</v>
      </c>
      <c r="R98" s="130">
        <v>43.700412469972953</v>
      </c>
      <c r="S98" s="130">
        <v>43.344570495175724</v>
      </c>
      <c r="T98" s="130">
        <v>42.848529635815289</v>
      </c>
      <c r="U98" s="130">
        <v>42.489232073407599</v>
      </c>
      <c r="V98" s="130">
        <v>41.796525583116463</v>
      </c>
      <c r="W98" s="130">
        <v>40.978519523405929</v>
      </c>
      <c r="X98" s="130">
        <v>40.133780813314829</v>
      </c>
      <c r="Y98" s="130">
        <v>39.257734810988751</v>
      </c>
      <c r="DA98" s="176" t="s">
        <v>872</v>
      </c>
    </row>
    <row r="99" spans="1:105" ht="11.45" customHeight="1" x14ac:dyDescent="0.25">
      <c r="A99" s="111" t="s">
        <v>110</v>
      </c>
      <c r="B99" s="97">
        <v>0</v>
      </c>
      <c r="C99" s="97">
        <v>0</v>
      </c>
      <c r="D99" s="97">
        <v>0</v>
      </c>
      <c r="E99" s="97">
        <v>0</v>
      </c>
      <c r="F99" s="97">
        <v>0</v>
      </c>
      <c r="G99" s="97">
        <v>0</v>
      </c>
      <c r="H99" s="97">
        <v>0</v>
      </c>
      <c r="I99" s="97">
        <v>0</v>
      </c>
      <c r="J99" s="97">
        <v>0</v>
      </c>
      <c r="K99" s="97">
        <v>0</v>
      </c>
      <c r="L99" s="97">
        <v>0</v>
      </c>
      <c r="M99" s="97">
        <v>0</v>
      </c>
      <c r="N99" s="97">
        <v>0</v>
      </c>
      <c r="O99" s="97">
        <v>0</v>
      </c>
      <c r="P99" s="97">
        <v>0</v>
      </c>
      <c r="Q99" s="97">
        <v>0</v>
      </c>
      <c r="R99" s="97">
        <v>0</v>
      </c>
      <c r="S99" s="97">
        <v>0</v>
      </c>
      <c r="T99" s="97">
        <v>0</v>
      </c>
      <c r="U99" s="97">
        <v>0</v>
      </c>
      <c r="V99" s="97">
        <v>0</v>
      </c>
      <c r="W99" s="97">
        <v>0</v>
      </c>
      <c r="X99" s="97">
        <v>0</v>
      </c>
      <c r="Y99" s="97">
        <v>0</v>
      </c>
      <c r="DA99" s="175" t="s">
        <v>873</v>
      </c>
    </row>
    <row r="100" spans="1:105" ht="11.45" customHeight="1" x14ac:dyDescent="0.25">
      <c r="A100" s="111" t="s">
        <v>111</v>
      </c>
      <c r="B100" s="97">
        <v>55.943392791592011</v>
      </c>
      <c r="C100" s="97">
        <v>53.017608845255374</v>
      </c>
      <c r="D100" s="97">
        <v>52.05624962384028</v>
      </c>
      <c r="E100" s="97">
        <v>51.354296980490773</v>
      </c>
      <c r="F100" s="97">
        <v>50.377543554417741</v>
      </c>
      <c r="G100" s="97">
        <v>49.432754966388728</v>
      </c>
      <c r="H100" s="97">
        <v>48.438395374163186</v>
      </c>
      <c r="I100" s="97">
        <v>47.725468249691211</v>
      </c>
      <c r="J100" s="97">
        <v>46.92032728888119</v>
      </c>
      <c r="K100" s="97">
        <v>46.476086757734599</v>
      </c>
      <c r="L100" s="97">
        <v>46.056140997086551</v>
      </c>
      <c r="M100" s="97">
        <v>45.706831025800319</v>
      </c>
      <c r="N100" s="97">
        <v>45.389344525615037</v>
      </c>
      <c r="O100" s="97">
        <v>45.079263628792205</v>
      </c>
      <c r="P100" s="97">
        <v>44.74170173792438</v>
      </c>
      <c r="Q100" s="97">
        <v>44.269846704168792</v>
      </c>
      <c r="R100" s="97">
        <v>43.952540176661266</v>
      </c>
      <c r="S100" s="97">
        <v>43.587867739123048</v>
      </c>
      <c r="T100" s="97">
        <v>43.153535581183576</v>
      </c>
      <c r="U100" s="97">
        <v>42.719267322610598</v>
      </c>
      <c r="V100" s="97">
        <v>42.091990178422321</v>
      </c>
      <c r="W100" s="97">
        <v>41.321383942291362</v>
      </c>
      <c r="X100" s="97">
        <v>40.442934374493404</v>
      </c>
      <c r="Y100" s="97">
        <v>39.551368906753879</v>
      </c>
      <c r="DA100" s="175" t="s">
        <v>874</v>
      </c>
    </row>
    <row r="101" spans="1:105" ht="11.45" customHeight="1" x14ac:dyDescent="0.25">
      <c r="A101" s="111" t="s">
        <v>112</v>
      </c>
      <c r="B101" s="97">
        <v>42.811115786298863</v>
      </c>
      <c r="C101" s="97">
        <v>42.811115786298863</v>
      </c>
      <c r="D101" s="97">
        <v>42.811115786298863</v>
      </c>
      <c r="E101" s="97">
        <v>42.762317457038947</v>
      </c>
      <c r="F101" s="97">
        <v>39.763220908695892</v>
      </c>
      <c r="G101" s="97">
        <v>39.594621960669244</v>
      </c>
      <c r="H101" s="97">
        <v>39.497696403101195</v>
      </c>
      <c r="I101" s="97">
        <v>39.394905388196008</v>
      </c>
      <c r="J101" s="97">
        <v>39.274926833373641</v>
      </c>
      <c r="K101" s="97">
        <v>39.158664913254206</v>
      </c>
      <c r="L101" s="97">
        <v>39.023449302419188</v>
      </c>
      <c r="M101" s="97">
        <v>38.880895015979959</v>
      </c>
      <c r="N101" s="97">
        <v>38.842588282688084</v>
      </c>
      <c r="O101" s="97">
        <v>38.811749490588831</v>
      </c>
      <c r="P101" s="97">
        <v>38.779032555326417</v>
      </c>
      <c r="Q101" s="97">
        <v>38.757709270413464</v>
      </c>
      <c r="R101" s="97">
        <v>38.732404458040556</v>
      </c>
      <c r="S101" s="97">
        <v>38.68354369812532</v>
      </c>
      <c r="T101" s="97">
        <v>38.036127990454368</v>
      </c>
      <c r="U101" s="97">
        <v>37.942366075946602</v>
      </c>
      <c r="V101" s="97">
        <v>37.846590141757453</v>
      </c>
      <c r="W101" s="97">
        <v>37.701823305861573</v>
      </c>
      <c r="X101" s="97">
        <v>37.557630493137857</v>
      </c>
      <c r="Y101" s="97">
        <v>37.531839567894792</v>
      </c>
      <c r="DA101" s="175" t="s">
        <v>875</v>
      </c>
    </row>
    <row r="102" spans="1:105" ht="11.45" customHeight="1" x14ac:dyDescent="0.25">
      <c r="A102" s="111" t="s">
        <v>113</v>
      </c>
      <c r="B102" s="97">
        <v>0</v>
      </c>
      <c r="C102" s="97">
        <v>0</v>
      </c>
      <c r="D102" s="97">
        <v>0</v>
      </c>
      <c r="E102" s="97">
        <v>0</v>
      </c>
      <c r="F102" s="97">
        <v>0</v>
      </c>
      <c r="G102" s="97">
        <v>0</v>
      </c>
      <c r="H102" s="97">
        <v>0</v>
      </c>
      <c r="I102" s="97">
        <v>0</v>
      </c>
      <c r="J102" s="97">
        <v>0</v>
      </c>
      <c r="K102" s="97">
        <v>0</v>
      </c>
      <c r="L102" s="97">
        <v>0</v>
      </c>
      <c r="M102" s="97">
        <v>0</v>
      </c>
      <c r="N102" s="97">
        <v>0</v>
      </c>
      <c r="O102" s="97">
        <v>0</v>
      </c>
      <c r="P102" s="97">
        <v>0</v>
      </c>
      <c r="Q102" s="97">
        <v>35.99999999992361</v>
      </c>
      <c r="R102" s="97">
        <v>35.866982402184405</v>
      </c>
      <c r="S102" s="97">
        <v>35.627309147301816</v>
      </c>
      <c r="T102" s="97">
        <v>34.530920345308232</v>
      </c>
      <c r="U102" s="97">
        <v>34.304302175049408</v>
      </c>
      <c r="V102" s="97">
        <v>34.098073151677546</v>
      </c>
      <c r="W102" s="97">
        <v>33.949686678133055</v>
      </c>
      <c r="X102" s="97">
        <v>33.895880068374048</v>
      </c>
      <c r="Y102" s="97">
        <v>33.815510636759583</v>
      </c>
      <c r="DA102" s="175" t="s">
        <v>876</v>
      </c>
    </row>
    <row r="103" spans="1:105" ht="11.45" customHeight="1" x14ac:dyDescent="0.25">
      <c r="A103" s="111" t="s">
        <v>115</v>
      </c>
      <c r="B103" s="97">
        <v>28.790649514217378</v>
      </c>
      <c r="C103" s="97">
        <v>28.415444320758468</v>
      </c>
      <c r="D103" s="97">
        <v>28.345192243476209</v>
      </c>
      <c r="E103" s="97">
        <v>28.22128186179755</v>
      </c>
      <c r="F103" s="97">
        <v>28.163093979404366</v>
      </c>
      <c r="G103" s="97">
        <v>25.612379858427126</v>
      </c>
      <c r="H103" s="97">
        <v>25.481393081802103</v>
      </c>
      <c r="I103" s="97">
        <v>25.408831068216987</v>
      </c>
      <c r="J103" s="97">
        <v>25.35189747031653</v>
      </c>
      <c r="K103" s="97">
        <v>25.293289123983762</v>
      </c>
      <c r="L103" s="97">
        <v>25.183894989403584</v>
      </c>
      <c r="M103" s="97">
        <v>25.111324141664085</v>
      </c>
      <c r="N103" s="97">
        <v>25.073276615852404</v>
      </c>
      <c r="O103" s="97">
        <v>24.793384463463301</v>
      </c>
      <c r="P103" s="97">
        <v>24.567626583124742</v>
      </c>
      <c r="Q103" s="97">
        <v>24.2563103064115</v>
      </c>
      <c r="R103" s="97">
        <v>24.107341246314753</v>
      </c>
      <c r="S103" s="97">
        <v>23.354359379420934</v>
      </c>
      <c r="T103" s="97">
        <v>22.880705672002481</v>
      </c>
      <c r="U103" s="97">
        <v>21.849053605429141</v>
      </c>
      <c r="V103" s="97">
        <v>21.251476634514908</v>
      </c>
      <c r="W103" s="97">
        <v>20.790009406647666</v>
      </c>
      <c r="X103" s="97">
        <v>20.457793947484078</v>
      </c>
      <c r="Y103" s="97">
        <v>19.876452136951439</v>
      </c>
      <c r="DA103" s="175" t="s">
        <v>877</v>
      </c>
    </row>
    <row r="104" spans="1:105" ht="11.45" customHeight="1" x14ac:dyDescent="0.25">
      <c r="A104" s="27" t="s">
        <v>34</v>
      </c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DA104" s="173"/>
    </row>
    <row r="105" spans="1:105" ht="11.45" customHeight="1" x14ac:dyDescent="0.25">
      <c r="A105" s="136" t="s">
        <v>153</v>
      </c>
      <c r="B105" s="141">
        <v>8.3841987239983151</v>
      </c>
      <c r="C105" s="141">
        <v>8.2501771844325518</v>
      </c>
      <c r="D105" s="141">
        <v>8.2707382644510545</v>
      </c>
      <c r="E105" s="141">
        <v>8.2258238930135654</v>
      </c>
      <c r="F105" s="141">
        <v>8.2101988805675123</v>
      </c>
      <c r="G105" s="141">
        <v>8.2189710862620284</v>
      </c>
      <c r="H105" s="141">
        <v>8.1949760646963004</v>
      </c>
      <c r="I105" s="141">
        <v>8.1690934866765232</v>
      </c>
      <c r="J105" s="141">
        <v>8.1304368845214174</v>
      </c>
      <c r="K105" s="141">
        <v>8.0855992876326557</v>
      </c>
      <c r="L105" s="141">
        <v>8.0414225417273588</v>
      </c>
      <c r="M105" s="141">
        <v>8.0494308858671548</v>
      </c>
      <c r="N105" s="141">
        <v>8.0150683561712732</v>
      </c>
      <c r="O105" s="141">
        <v>7.9517586727980838</v>
      </c>
      <c r="P105" s="141">
        <v>7.8635245135887004</v>
      </c>
      <c r="Q105" s="141">
        <v>7.7790684493818159</v>
      </c>
      <c r="R105" s="141">
        <v>7.6935347453590763</v>
      </c>
      <c r="S105" s="141">
        <v>7.5666188867237159</v>
      </c>
      <c r="T105" s="141">
        <v>7.4715765699445988</v>
      </c>
      <c r="U105" s="141">
        <v>7.3273534219936796</v>
      </c>
      <c r="V105" s="141">
        <v>7.2366759736524591</v>
      </c>
      <c r="W105" s="141">
        <v>7.1441237603004435</v>
      </c>
      <c r="X105" s="141">
        <v>7.010667209585721</v>
      </c>
      <c r="Y105" s="141">
        <v>6.9595511787436886</v>
      </c>
      <c r="DA105" s="174" t="s">
        <v>878</v>
      </c>
    </row>
    <row r="106" spans="1:105" ht="11.45" customHeight="1" x14ac:dyDescent="0.25">
      <c r="A106" s="111" t="s">
        <v>110</v>
      </c>
      <c r="B106" s="96">
        <v>7.7947865586975071</v>
      </c>
      <c r="C106" s="96">
        <v>7.741479799136159</v>
      </c>
      <c r="D106" s="96">
        <v>7.6922410834134842</v>
      </c>
      <c r="E106" s="96">
        <v>7.6139486727057699</v>
      </c>
      <c r="F106" s="96">
        <v>7.5612198684935885</v>
      </c>
      <c r="G106" s="96">
        <v>7.5368482853493726</v>
      </c>
      <c r="H106" s="96">
        <v>7.4762589604613501</v>
      </c>
      <c r="I106" s="96">
        <v>7.3860482990402678</v>
      </c>
      <c r="J106" s="96">
        <v>7.263389153235261</v>
      </c>
      <c r="K106" s="96">
        <v>7.1516433690931338</v>
      </c>
      <c r="L106" s="96">
        <v>7.0311832208943263</v>
      </c>
      <c r="M106" s="96">
        <v>6.9248082151771921</v>
      </c>
      <c r="N106" s="96">
        <v>6.8574567071101695</v>
      </c>
      <c r="O106" s="96">
        <v>6.7247033041986537</v>
      </c>
      <c r="P106" s="96">
        <v>6.6035704645261379</v>
      </c>
      <c r="Q106" s="96">
        <v>6.4840554667045858</v>
      </c>
      <c r="R106" s="96">
        <v>6.3935196875751465</v>
      </c>
      <c r="S106" s="96">
        <v>6.2443614473743256</v>
      </c>
      <c r="T106" s="96">
        <v>6.0812476290242152</v>
      </c>
      <c r="U106" s="96">
        <v>6.0387652396764464</v>
      </c>
      <c r="V106" s="96">
        <v>5.9334477260684793</v>
      </c>
      <c r="W106" s="96">
        <v>5.9178468669471354</v>
      </c>
      <c r="X106" s="96">
        <v>5.7928362855713962</v>
      </c>
      <c r="Y106" s="96">
        <v>5.7061330983085332</v>
      </c>
      <c r="DA106" s="171" t="s">
        <v>879</v>
      </c>
    </row>
    <row r="107" spans="1:105" ht="11.45" customHeight="1" x14ac:dyDescent="0.25">
      <c r="A107" s="111" t="s">
        <v>111</v>
      </c>
      <c r="B107" s="96">
        <v>9.6692171731580459</v>
      </c>
      <c r="C107" s="96">
        <v>9.2234393650090514</v>
      </c>
      <c r="D107" s="96">
        <v>9.079946761277272</v>
      </c>
      <c r="E107" s="96">
        <v>8.9781892962468302</v>
      </c>
      <c r="F107" s="96">
        <v>8.8961100560501887</v>
      </c>
      <c r="G107" s="96">
        <v>8.8125683173994975</v>
      </c>
      <c r="H107" s="96">
        <v>8.7495111248703168</v>
      </c>
      <c r="I107" s="96">
        <v>8.6954191728867922</v>
      </c>
      <c r="J107" s="96">
        <v>8.6448729987233861</v>
      </c>
      <c r="K107" s="96">
        <v>8.5836597607628509</v>
      </c>
      <c r="L107" s="96">
        <v>8.5568021715237261</v>
      </c>
      <c r="M107" s="96">
        <v>8.565489384198175</v>
      </c>
      <c r="N107" s="96">
        <v>8.5241014007499345</v>
      </c>
      <c r="O107" s="96">
        <v>8.4481462207487823</v>
      </c>
      <c r="P107" s="96">
        <v>8.3451698956141396</v>
      </c>
      <c r="Q107" s="96">
        <v>8.2262230417611377</v>
      </c>
      <c r="R107" s="96">
        <v>8.0907149341203155</v>
      </c>
      <c r="S107" s="96">
        <v>7.9480316005181155</v>
      </c>
      <c r="T107" s="96">
        <v>7.8313503677796543</v>
      </c>
      <c r="U107" s="96">
        <v>7.6082419101044163</v>
      </c>
      <c r="V107" s="96">
        <v>7.5050077046801134</v>
      </c>
      <c r="W107" s="96">
        <v>7.3805719514648072</v>
      </c>
      <c r="X107" s="96">
        <v>7.232607336741621</v>
      </c>
      <c r="Y107" s="96">
        <v>7.1858943043383681</v>
      </c>
      <c r="DA107" s="171" t="s">
        <v>880</v>
      </c>
    </row>
    <row r="108" spans="1:105" ht="11.45" customHeight="1" x14ac:dyDescent="0.25">
      <c r="A108" s="111" t="s">
        <v>112</v>
      </c>
      <c r="B108" s="96">
        <v>9.5497311133145431</v>
      </c>
      <c r="C108" s="96">
        <v>9.2941750111738202</v>
      </c>
      <c r="D108" s="96">
        <v>8.7800613689384388</v>
      </c>
      <c r="E108" s="96">
        <v>8.5932660009925694</v>
      </c>
      <c r="F108" s="96">
        <v>8.5391493809140258</v>
      </c>
      <c r="G108" s="96">
        <v>8.4061628089058598</v>
      </c>
      <c r="H108" s="96">
        <v>8.1882599869056865</v>
      </c>
      <c r="I108" s="96">
        <v>8.082823302266096</v>
      </c>
      <c r="J108" s="96">
        <v>8.0217066694195172</v>
      </c>
      <c r="K108" s="96">
        <v>7.9939709460298722</v>
      </c>
      <c r="L108" s="96">
        <v>7.9585825637009791</v>
      </c>
      <c r="M108" s="96">
        <v>7.9235958377626323</v>
      </c>
      <c r="N108" s="96">
        <v>7.8201851772220898</v>
      </c>
      <c r="O108" s="96">
        <v>7.7778530730744695</v>
      </c>
      <c r="P108" s="96">
        <v>7.5840053845597284</v>
      </c>
      <c r="Q108" s="96">
        <v>7.5471496222974483</v>
      </c>
      <c r="R108" s="96">
        <v>7.4434887567541201</v>
      </c>
      <c r="S108" s="96">
        <v>7.3586488986261234</v>
      </c>
      <c r="T108" s="96">
        <v>7.259760183601804</v>
      </c>
      <c r="U108" s="96">
        <v>7.2327766589034352</v>
      </c>
      <c r="V108" s="96">
        <v>7.223144760192314</v>
      </c>
      <c r="W108" s="96">
        <v>7.1871198636403184</v>
      </c>
      <c r="X108" s="96">
        <v>7.1640869435557715</v>
      </c>
      <c r="Y108" s="96">
        <v>7.1318151426452712</v>
      </c>
      <c r="DA108" s="171" t="s">
        <v>881</v>
      </c>
    </row>
    <row r="109" spans="1:105" ht="11.45" customHeight="1" x14ac:dyDescent="0.25">
      <c r="A109" s="111" t="s">
        <v>113</v>
      </c>
      <c r="B109" s="96">
        <v>0</v>
      </c>
      <c r="C109" s="96">
        <v>0</v>
      </c>
      <c r="D109" s="96">
        <v>0</v>
      </c>
      <c r="E109" s="96">
        <v>0</v>
      </c>
      <c r="F109" s="96">
        <v>0</v>
      </c>
      <c r="G109" s="96">
        <v>0</v>
      </c>
      <c r="H109" s="96">
        <v>0</v>
      </c>
      <c r="I109" s="96">
        <v>0</v>
      </c>
      <c r="J109" s="96">
        <v>0</v>
      </c>
      <c r="K109" s="96">
        <v>0</v>
      </c>
      <c r="L109" s="96">
        <v>0</v>
      </c>
      <c r="M109" s="96">
        <v>0</v>
      </c>
      <c r="N109" s="96">
        <v>0</v>
      </c>
      <c r="O109" s="96">
        <v>0</v>
      </c>
      <c r="P109" s="96">
        <v>0</v>
      </c>
      <c r="Q109" s="96">
        <v>7.8400932320557821</v>
      </c>
      <c r="R109" s="96">
        <v>7.9062784498628309</v>
      </c>
      <c r="S109" s="96">
        <v>7.8739963186090254</v>
      </c>
      <c r="T109" s="96">
        <v>7.9042067972586851</v>
      </c>
      <c r="U109" s="96">
        <v>7.8544200582067214</v>
      </c>
      <c r="V109" s="96">
        <v>7.8429336664144182</v>
      </c>
      <c r="W109" s="96">
        <v>7.8291875842935692</v>
      </c>
      <c r="X109" s="96">
        <v>7.9025699272551906</v>
      </c>
      <c r="Y109" s="96">
        <v>7.8126339605101034</v>
      </c>
      <c r="DA109" s="171" t="s">
        <v>882</v>
      </c>
    </row>
    <row r="110" spans="1:105" ht="11.45" customHeight="1" x14ac:dyDescent="0.25">
      <c r="A110" s="111" t="s">
        <v>115</v>
      </c>
      <c r="B110" s="96">
        <v>0</v>
      </c>
      <c r="C110" s="96">
        <v>0</v>
      </c>
      <c r="D110" s="96">
        <v>0</v>
      </c>
      <c r="E110" s="96">
        <v>0</v>
      </c>
      <c r="F110" s="96">
        <v>0</v>
      </c>
      <c r="G110" s="96">
        <v>0</v>
      </c>
      <c r="H110" s="96">
        <v>0</v>
      </c>
      <c r="I110" s="96">
        <v>0</v>
      </c>
      <c r="J110" s="96">
        <v>0</v>
      </c>
      <c r="K110" s="96">
        <v>0</v>
      </c>
      <c r="L110" s="96">
        <v>0</v>
      </c>
      <c r="M110" s="96">
        <v>0</v>
      </c>
      <c r="N110" s="96">
        <v>1.3327601031814271</v>
      </c>
      <c r="O110" s="96">
        <v>1.3327601031814273</v>
      </c>
      <c r="P110" s="96">
        <v>1.3324582275019701</v>
      </c>
      <c r="Q110" s="96">
        <v>1.3548413420067238</v>
      </c>
      <c r="R110" s="96">
        <v>1.3697392995880244</v>
      </c>
      <c r="S110" s="96">
        <v>1.3481091802889753</v>
      </c>
      <c r="T110" s="96">
        <v>1.4347419532469012</v>
      </c>
      <c r="U110" s="96">
        <v>1.6534669414096346</v>
      </c>
      <c r="V110" s="96">
        <v>1.8277141091311602</v>
      </c>
      <c r="W110" s="96">
        <v>2.061447352632213</v>
      </c>
      <c r="X110" s="96">
        <v>2.13123312559269</v>
      </c>
      <c r="Y110" s="96">
        <v>2.2848916251680009</v>
      </c>
      <c r="DA110" s="171" t="s">
        <v>883</v>
      </c>
    </row>
    <row r="111" spans="1:105" ht="11.45" customHeight="1" x14ac:dyDescent="0.25">
      <c r="A111" s="109" t="s">
        <v>154</v>
      </c>
      <c r="B111" s="130">
        <v>31.466333978972877</v>
      </c>
      <c r="C111" s="130">
        <v>31.356481375006048</v>
      </c>
      <c r="D111" s="130">
        <v>31.074572640225789</v>
      </c>
      <c r="E111" s="130">
        <v>30.991542709954587</v>
      </c>
      <c r="F111" s="130">
        <v>30.905780014797035</v>
      </c>
      <c r="G111" s="130">
        <v>30.745472370743038</v>
      </c>
      <c r="H111" s="130">
        <v>30.543723933234968</v>
      </c>
      <c r="I111" s="130">
        <v>30.167971726755912</v>
      </c>
      <c r="J111" s="130">
        <v>29.783139692976292</v>
      </c>
      <c r="K111" s="130">
        <v>29.509372077219965</v>
      </c>
      <c r="L111" s="130">
        <v>29.176687451809038</v>
      </c>
      <c r="M111" s="130">
        <v>28.804472724847383</v>
      </c>
      <c r="N111" s="130">
        <v>28.446999108417614</v>
      </c>
      <c r="O111" s="130">
        <v>28.026149784110281</v>
      </c>
      <c r="P111" s="130">
        <v>27.605883231182872</v>
      </c>
      <c r="Q111" s="130">
        <v>27.206524835844661</v>
      </c>
      <c r="R111" s="130">
        <v>26.572522929249121</v>
      </c>
      <c r="S111" s="130">
        <v>26.023935902501055</v>
      </c>
      <c r="T111" s="130">
        <v>25.617998662172727</v>
      </c>
      <c r="U111" s="130">
        <v>25.027642690408062</v>
      </c>
      <c r="V111" s="130">
        <v>24.730720540446331</v>
      </c>
      <c r="W111" s="130">
        <v>24.23837298258168</v>
      </c>
      <c r="X111" s="130">
        <v>23.743214851016415</v>
      </c>
      <c r="Y111" s="130">
        <v>23.423694849845155</v>
      </c>
      <c r="DA111" s="176" t="s">
        <v>884</v>
      </c>
    </row>
    <row r="112" spans="1:105" ht="11.45" customHeight="1" x14ac:dyDescent="0.25">
      <c r="A112" s="128" t="s">
        <v>27</v>
      </c>
      <c r="B112" s="97">
        <v>31.297618478311183</v>
      </c>
      <c r="C112" s="97">
        <v>31.190843330604626</v>
      </c>
      <c r="D112" s="97">
        <v>30.92490300892575</v>
      </c>
      <c r="E112" s="97">
        <v>30.843658344612013</v>
      </c>
      <c r="F112" s="97">
        <v>30.747131020343801</v>
      </c>
      <c r="G112" s="97">
        <v>30.589309118955025</v>
      </c>
      <c r="H112" s="97">
        <v>30.376515058154475</v>
      </c>
      <c r="I112" s="97">
        <v>30.013120279342964</v>
      </c>
      <c r="J112" s="97">
        <v>29.637287979237399</v>
      </c>
      <c r="K112" s="97">
        <v>29.370250449564097</v>
      </c>
      <c r="L112" s="97">
        <v>29.034553791496375</v>
      </c>
      <c r="M112" s="97">
        <v>28.667072056293243</v>
      </c>
      <c r="N112" s="97">
        <v>28.307783127321926</v>
      </c>
      <c r="O112" s="97">
        <v>27.885983095713573</v>
      </c>
      <c r="P112" s="97">
        <v>27.463964596873954</v>
      </c>
      <c r="Q112" s="97">
        <v>27.062274409221587</v>
      </c>
      <c r="R112" s="97">
        <v>26.416332994917976</v>
      </c>
      <c r="S112" s="97">
        <v>25.857115156252558</v>
      </c>
      <c r="T112" s="97">
        <v>25.475754518436769</v>
      </c>
      <c r="U112" s="97">
        <v>24.876386301945931</v>
      </c>
      <c r="V112" s="97">
        <v>24.585493930229806</v>
      </c>
      <c r="W112" s="97">
        <v>24.091367070240668</v>
      </c>
      <c r="X112" s="97">
        <v>23.591987605147228</v>
      </c>
      <c r="Y112" s="97">
        <v>23.276982330937834</v>
      </c>
      <c r="DA112" s="175" t="s">
        <v>885</v>
      </c>
    </row>
    <row r="113" spans="1:105" ht="11.45" customHeight="1" x14ac:dyDescent="0.25">
      <c r="A113" s="138" t="s">
        <v>116</v>
      </c>
      <c r="B113" s="98">
        <v>36.742268041163946</v>
      </c>
      <c r="C113" s="98">
        <v>36.373777148502612</v>
      </c>
      <c r="D113" s="98">
        <v>36.053298782386754</v>
      </c>
      <c r="E113" s="98">
        <v>35.795062632250385</v>
      </c>
      <c r="F113" s="98">
        <v>35.136757230451714</v>
      </c>
      <c r="G113" s="98">
        <v>34.835725659111993</v>
      </c>
      <c r="H113" s="98">
        <v>34.162514319443041</v>
      </c>
      <c r="I113" s="98">
        <v>34.063143568747762</v>
      </c>
      <c r="J113" s="98">
        <v>33.725698546390689</v>
      </c>
      <c r="K113" s="98">
        <v>33.50466117701702</v>
      </c>
      <c r="L113" s="98">
        <v>32.742247113693637</v>
      </c>
      <c r="M113" s="98">
        <v>32.261316526852838</v>
      </c>
      <c r="N113" s="98">
        <v>31.704081756404793</v>
      </c>
      <c r="O113" s="98">
        <v>31.206045967413338</v>
      </c>
      <c r="P113" s="98">
        <v>30.906265672992181</v>
      </c>
      <c r="Q113" s="98">
        <v>30.54035981763511</v>
      </c>
      <c r="R113" s="98">
        <v>29.871794690202385</v>
      </c>
      <c r="S113" s="98">
        <v>29.205442166559667</v>
      </c>
      <c r="T113" s="98">
        <v>28.945952513153188</v>
      </c>
      <c r="U113" s="98">
        <v>28.166368454617825</v>
      </c>
      <c r="V113" s="98">
        <v>27.929163503488414</v>
      </c>
      <c r="W113" s="98">
        <v>27.409275527440183</v>
      </c>
      <c r="X113" s="98">
        <v>27.005393969345313</v>
      </c>
      <c r="Y113" s="98">
        <v>26.64789237586681</v>
      </c>
      <c r="DA113" s="178" t="s">
        <v>886</v>
      </c>
    </row>
    <row r="114" spans="1:105" x14ac:dyDescent="0.25">
      <c r="A114" s="106"/>
      <c r="B114" s="106"/>
      <c r="C114" s="106"/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X114" s="106"/>
      <c r="Y114" s="106"/>
      <c r="DA114" s="171"/>
    </row>
    <row r="115" spans="1:105" ht="11.45" customHeight="1" x14ac:dyDescent="0.25">
      <c r="A115" s="53" t="s">
        <v>121</v>
      </c>
      <c r="B115" s="59"/>
      <c r="C115" s="59"/>
      <c r="D115" s="59"/>
      <c r="E115" s="59"/>
      <c r="F115" s="59"/>
      <c r="G115" s="59"/>
      <c r="H115" s="59"/>
      <c r="I115" s="59"/>
      <c r="J115" s="59"/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  <c r="V115" s="59"/>
      <c r="W115" s="59"/>
      <c r="X115" s="59"/>
      <c r="Y115" s="59"/>
      <c r="DA115" s="172"/>
    </row>
    <row r="116" spans="1:105" ht="11.45" customHeight="1" x14ac:dyDescent="0.25">
      <c r="A116" s="27" t="s">
        <v>33</v>
      </c>
      <c r="B116" s="47"/>
      <c r="C116" s="47"/>
      <c r="D116" s="47"/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X116" s="47"/>
      <c r="Y116" s="47"/>
      <c r="DA116" s="173"/>
    </row>
    <row r="117" spans="1:105" ht="11.45" customHeight="1" x14ac:dyDescent="0.25">
      <c r="A117" s="136" t="s">
        <v>173</v>
      </c>
      <c r="B117" s="150">
        <f>IF(TrRoad_act!B59=0,0,TrRoad_ene!B62/TrRoad_tech!B90)</f>
        <v>1.1275000000068984</v>
      </c>
      <c r="C117" s="150">
        <f>IF(TrRoad_act!C59=0,0,TrRoad_ene!C62/TrRoad_tech!C90)</f>
        <v>1.0898264305983918</v>
      </c>
      <c r="D117" s="150">
        <f>IF(TrRoad_act!D59=0,0,TrRoad_ene!D62/TrRoad_tech!D90)</f>
        <v>1.1275310284151274</v>
      </c>
      <c r="E117" s="150">
        <f>IF(TrRoad_act!E59=0,0,TrRoad_ene!E62/TrRoad_tech!E90)</f>
        <v>1.0735043996945548</v>
      </c>
      <c r="F117" s="150">
        <f>IF(TrRoad_act!F59=0,0,TrRoad_ene!F62/TrRoad_tech!F90)</f>
        <v>1.0736040927075652</v>
      </c>
      <c r="G117" s="150">
        <f>IF(TrRoad_act!G59=0,0,TrRoad_ene!G62/TrRoad_tech!G90)</f>
        <v>1.0822140561749096</v>
      </c>
      <c r="H117" s="150">
        <f>IF(TrRoad_act!H59=0,0,TrRoad_ene!H62/TrRoad_tech!H90)</f>
        <v>1.0861209176466284</v>
      </c>
      <c r="I117" s="150">
        <f>IF(TrRoad_act!I59=0,0,TrRoad_ene!I62/TrRoad_tech!I90)</f>
        <v>1.0927560196694566</v>
      </c>
      <c r="J117" s="150">
        <f>IF(TrRoad_act!J59=0,0,TrRoad_ene!J62/TrRoad_tech!J90)</f>
        <v>1.1593626467080544</v>
      </c>
      <c r="K117" s="150">
        <f>IF(TrRoad_act!K59=0,0,TrRoad_ene!K62/TrRoad_tech!K90)</f>
        <v>1.1110753862193887</v>
      </c>
      <c r="L117" s="150">
        <f>IF(TrRoad_act!L59=0,0,TrRoad_ene!L62/TrRoad_tech!L90)</f>
        <v>1.1173990369510882</v>
      </c>
      <c r="M117" s="150">
        <f>IF(TrRoad_act!M59=0,0,TrRoad_ene!M62/TrRoad_tech!M90)</f>
        <v>1.1261323420778286</v>
      </c>
      <c r="N117" s="150">
        <f>IF(TrRoad_act!N59=0,0,TrRoad_ene!N62/TrRoad_tech!N90)</f>
        <v>1.1331293810203809</v>
      </c>
      <c r="O117" s="150">
        <f>IF(TrRoad_act!O59=0,0,TrRoad_ene!O62/TrRoad_tech!O90)</f>
        <v>1.1411151430220123</v>
      </c>
      <c r="P117" s="150">
        <f>IF(TrRoad_act!P59=0,0,TrRoad_ene!P62/TrRoad_tech!P90)</f>
        <v>1.1472471853851689</v>
      </c>
      <c r="Q117" s="150">
        <f>IF(TrRoad_act!Q59=0,0,TrRoad_ene!Q62/TrRoad_tech!Q90)</f>
        <v>1.1577347365971196</v>
      </c>
      <c r="R117" s="150">
        <f>IF(TrRoad_act!R59=0,0,TrRoad_ene!R62/TrRoad_tech!R90)</f>
        <v>1.1679107880407971</v>
      </c>
      <c r="S117" s="150">
        <f>IF(TrRoad_act!S59=0,0,TrRoad_ene!S62/TrRoad_tech!S90)</f>
        <v>1.1759084103245983</v>
      </c>
      <c r="T117" s="150">
        <f>IF(TrRoad_act!T59=0,0,TrRoad_ene!T62/TrRoad_tech!T90)</f>
        <v>1.1858117427947727</v>
      </c>
      <c r="U117" s="150">
        <f>IF(TrRoad_act!U59=0,0,TrRoad_ene!U62/TrRoad_tech!U90)</f>
        <v>1.1951100254947074</v>
      </c>
      <c r="V117" s="150">
        <f>IF(TrRoad_act!V59=0,0,TrRoad_ene!V62/TrRoad_tech!V90)</f>
        <v>1.2062298873127348</v>
      </c>
      <c r="W117" s="150">
        <f>IF(TrRoad_act!W59=0,0,TrRoad_ene!W62/TrRoad_tech!W90)</f>
        <v>1.2171042638616678</v>
      </c>
      <c r="X117" s="150">
        <f>IF(TrRoad_act!X59=0,0,TrRoad_ene!X62/TrRoad_tech!X90)</f>
        <v>1.2279411762983137</v>
      </c>
      <c r="Y117" s="150">
        <f>IF(TrRoad_act!Y59=0,0,TrRoad_ene!Y62/TrRoad_tech!Y90)</f>
        <v>1.2392174462640984</v>
      </c>
      <c r="DA117" s="174"/>
    </row>
    <row r="118" spans="1:105" ht="11.45" customHeight="1" x14ac:dyDescent="0.25">
      <c r="A118" s="109" t="s">
        <v>20</v>
      </c>
      <c r="B118" s="151">
        <f>IF(TrRoad_act!B60=0,0,TrRoad_ene!B63/TrRoad_tech!B91)</f>
        <v>0.9012980412110263</v>
      </c>
      <c r="C118" s="151">
        <f>IF(TrRoad_act!C60=0,0,TrRoad_ene!C63/TrRoad_tech!C91)</f>
        <v>0.90443054058474259</v>
      </c>
      <c r="D118" s="151">
        <f>IF(TrRoad_act!D60=0,0,TrRoad_ene!D63/TrRoad_tech!D91)</f>
        <v>0.89132242219821978</v>
      </c>
      <c r="E118" s="151">
        <f>IF(TrRoad_act!E60=0,0,TrRoad_ene!E63/TrRoad_tech!E91)</f>
        <v>0.90904508040517618</v>
      </c>
      <c r="F118" s="151">
        <f>IF(TrRoad_act!F60=0,0,TrRoad_ene!F63/TrRoad_tech!F91)</f>
        <v>0.92773281267311425</v>
      </c>
      <c r="G118" s="151">
        <f>IF(TrRoad_act!G60=0,0,TrRoad_ene!G63/TrRoad_tech!G91)</f>
        <v>0.95212955194034421</v>
      </c>
      <c r="H118" s="151">
        <f>IF(TrRoad_act!H60=0,0,TrRoad_ene!H63/TrRoad_tech!H91)</f>
        <v>0.9670711242240001</v>
      </c>
      <c r="I118" s="151">
        <f>IF(TrRoad_act!I60=0,0,TrRoad_ene!I63/TrRoad_tech!I91)</f>
        <v>0.97244344204161937</v>
      </c>
      <c r="J118" s="151">
        <f>IF(TrRoad_act!J60=0,0,TrRoad_ene!J63/TrRoad_tech!J91)</f>
        <v>0.95700577795309205</v>
      </c>
      <c r="K118" s="151">
        <f>IF(TrRoad_act!K60=0,0,TrRoad_ene!K63/TrRoad_tech!K91)</f>
        <v>0.95254056831738809</v>
      </c>
      <c r="L118" s="151">
        <f>IF(TrRoad_act!L60=0,0,TrRoad_ene!L63/TrRoad_tech!L91)</f>
        <v>0.9534928332189585</v>
      </c>
      <c r="M118" s="151">
        <f>IF(TrRoad_act!M60=0,0,TrRoad_ene!M63/TrRoad_tech!M91)</f>
        <v>0.95125527670638765</v>
      </c>
      <c r="N118" s="151">
        <f>IF(TrRoad_act!N60=0,0,TrRoad_ene!N63/TrRoad_tech!N91)</f>
        <v>0.9582195373712924</v>
      </c>
      <c r="O118" s="151">
        <f>IF(TrRoad_act!O60=0,0,TrRoad_ene!O63/TrRoad_tech!O91)</f>
        <v>0.9588788758709007</v>
      </c>
      <c r="P118" s="151">
        <f>IF(TrRoad_act!P60=0,0,TrRoad_ene!P63/TrRoad_tech!P91)</f>
        <v>0.96520370836354363</v>
      </c>
      <c r="Q118" s="151">
        <f>IF(TrRoad_act!Q60=0,0,TrRoad_ene!Q63/TrRoad_tech!Q91)</f>
        <v>0.96513551058812097</v>
      </c>
      <c r="R118" s="151">
        <f>IF(TrRoad_act!R60=0,0,TrRoad_ene!R63/TrRoad_tech!R91)</f>
        <v>1.0075024206487091</v>
      </c>
      <c r="S118" s="151">
        <f>IF(TrRoad_act!S60=0,0,TrRoad_ene!S63/TrRoad_tech!S91)</f>
        <v>1.0281682499423408</v>
      </c>
      <c r="T118" s="151">
        <f>IF(TrRoad_act!T60=0,0,TrRoad_ene!T63/TrRoad_tech!T91)</f>
        <v>1.0090023038298084</v>
      </c>
      <c r="U118" s="151">
        <f>IF(TrRoad_act!U60=0,0,TrRoad_ene!U63/TrRoad_tech!U91)</f>
        <v>1.0160965839919385</v>
      </c>
      <c r="V118" s="151">
        <f>IF(TrRoad_act!V60=0,0,TrRoad_ene!V63/TrRoad_tech!V91)</f>
        <v>0.97610486543116015</v>
      </c>
      <c r="W118" s="151">
        <f>IF(TrRoad_act!W60=0,0,TrRoad_ene!W63/TrRoad_tech!W91)</f>
        <v>1.0001063187387909</v>
      </c>
      <c r="X118" s="151">
        <f>IF(TrRoad_act!X60=0,0,TrRoad_ene!X63/TrRoad_tech!X91)</f>
        <v>1.0189562066439446</v>
      </c>
      <c r="Y118" s="151">
        <f>IF(TrRoad_act!Y60=0,0,TrRoad_ene!Y63/TrRoad_tech!Y91)</f>
        <v>1.0182407537418354</v>
      </c>
      <c r="DA118" s="176"/>
    </row>
    <row r="119" spans="1:105" ht="11.45" customHeight="1" x14ac:dyDescent="0.25">
      <c r="A119" s="111" t="s">
        <v>110</v>
      </c>
      <c r="B119" s="91">
        <f>IF(TrRoad_act!B61=0,0,TrRoad_ene!B64/TrRoad_tech!B92)</f>
        <v>0.88282209689926117</v>
      </c>
      <c r="C119" s="91">
        <f>IF(TrRoad_act!C61=0,0,TrRoad_ene!C64/TrRoad_tech!C92)</f>
        <v>0.88879147510718626</v>
      </c>
      <c r="D119" s="91">
        <f>IF(TrRoad_act!D61=0,0,TrRoad_ene!D64/TrRoad_tech!D92)</f>
        <v>0.85079741611482451</v>
      </c>
      <c r="E119" s="91">
        <f>IF(TrRoad_act!E61=0,0,TrRoad_ene!E64/TrRoad_tech!E92)</f>
        <v>0.86736275159867615</v>
      </c>
      <c r="F119" s="91">
        <f>IF(TrRoad_act!F61=0,0,TrRoad_ene!F64/TrRoad_tech!F92)</f>
        <v>0.89772216537171212</v>
      </c>
      <c r="G119" s="91">
        <f>IF(TrRoad_act!G61=0,0,TrRoad_ene!G64/TrRoad_tech!G92)</f>
        <v>0.88726600830613589</v>
      </c>
      <c r="H119" s="91">
        <f>IF(TrRoad_act!H61=0,0,TrRoad_ene!H64/TrRoad_tech!H92)</f>
        <v>0.89335761985460638</v>
      </c>
      <c r="I119" s="91">
        <f>IF(TrRoad_act!I61=0,0,TrRoad_ene!I64/TrRoad_tech!I92)</f>
        <v>0.91102277554390299</v>
      </c>
      <c r="J119" s="91">
        <f>IF(TrRoad_act!J61=0,0,TrRoad_ene!J64/TrRoad_tech!J92)</f>
        <v>0.92960289837804333</v>
      </c>
      <c r="K119" s="91">
        <f>IF(TrRoad_act!K61=0,0,TrRoad_ene!K64/TrRoad_tech!K92)</f>
        <v>0.96709088898398632</v>
      </c>
      <c r="L119" s="91">
        <f>IF(TrRoad_act!L61=0,0,TrRoad_ene!L64/TrRoad_tech!L92)</f>
        <v>0.98976349157543519</v>
      </c>
      <c r="M119" s="91">
        <f>IF(TrRoad_act!M61=0,0,TrRoad_ene!M64/TrRoad_tech!M92)</f>
        <v>0.97607062517394705</v>
      </c>
      <c r="N119" s="91">
        <f>IF(TrRoad_act!N61=0,0,TrRoad_ene!N64/TrRoad_tech!N92)</f>
        <v>0.9551233616407766</v>
      </c>
      <c r="O119" s="91">
        <f>IF(TrRoad_act!O61=0,0,TrRoad_ene!O64/TrRoad_tech!O92)</f>
        <v>0.95259021992311321</v>
      </c>
      <c r="P119" s="91">
        <f>IF(TrRoad_act!P61=0,0,TrRoad_ene!P64/TrRoad_tech!P92)</f>
        <v>0.95813860271951479</v>
      </c>
      <c r="Q119" s="91">
        <f>IF(TrRoad_act!Q61=0,0,TrRoad_ene!Q64/TrRoad_tech!Q92)</f>
        <v>0.97079658985259254</v>
      </c>
      <c r="R119" s="91">
        <f>IF(TrRoad_act!R61=0,0,TrRoad_ene!R64/TrRoad_tech!R92)</f>
        <v>1.0428715692398027</v>
      </c>
      <c r="S119" s="91">
        <f>IF(TrRoad_act!S61=0,0,TrRoad_ene!S64/TrRoad_tech!S92)</f>
        <v>1.0457499491375646</v>
      </c>
      <c r="T119" s="91">
        <f>IF(TrRoad_act!T61=0,0,TrRoad_ene!T64/TrRoad_tech!T92)</f>
        <v>1.0458399341714351</v>
      </c>
      <c r="U119" s="91">
        <f>IF(TrRoad_act!U61=0,0,TrRoad_ene!U64/TrRoad_tech!U92)</f>
        <v>1.0449134489396332</v>
      </c>
      <c r="V119" s="91">
        <f>IF(TrRoad_act!V61=0,0,TrRoad_ene!V64/TrRoad_tech!V92)</f>
        <v>1.001947442169048</v>
      </c>
      <c r="W119" s="91">
        <f>IF(TrRoad_act!W61=0,0,TrRoad_ene!W64/TrRoad_tech!W92)</f>
        <v>1.0336164951091651</v>
      </c>
      <c r="X119" s="91">
        <f>IF(TrRoad_act!X61=0,0,TrRoad_ene!X64/TrRoad_tech!X92)</f>
        <v>1.0603535645223245</v>
      </c>
      <c r="Y119" s="91">
        <f>IF(TrRoad_act!Y61=0,0,TrRoad_ene!Y64/TrRoad_tech!Y92)</f>
        <v>1.0634110617254413</v>
      </c>
      <c r="DA119" s="171"/>
    </row>
    <row r="120" spans="1:105" ht="11.45" customHeight="1" x14ac:dyDescent="0.25">
      <c r="A120" s="111" t="s">
        <v>111</v>
      </c>
      <c r="B120" s="91">
        <f>IF(TrRoad_act!B62=0,0,TrRoad_ene!B65/TrRoad_tech!B93)</f>
        <v>0.95951343885099261</v>
      </c>
      <c r="C120" s="91">
        <f>IF(TrRoad_act!C62=0,0,TrRoad_ene!C65/TrRoad_tech!C93)</f>
        <v>0.93859103379474162</v>
      </c>
      <c r="D120" s="91">
        <f>IF(TrRoad_act!D62=0,0,TrRoad_ene!D65/TrRoad_tech!D93)</f>
        <v>0.95176642591329852</v>
      </c>
      <c r="E120" s="91">
        <f>IF(TrRoad_act!E62=0,0,TrRoad_ene!E65/TrRoad_tech!E93)</f>
        <v>0.97373295627686551</v>
      </c>
      <c r="F120" s="91">
        <f>IF(TrRoad_act!F62=0,0,TrRoad_ene!F65/TrRoad_tech!F93)</f>
        <v>0.94279909795509254</v>
      </c>
      <c r="G120" s="91">
        <f>IF(TrRoad_act!G62=0,0,TrRoad_ene!G65/TrRoad_tech!G93)</f>
        <v>1.0749225757517276</v>
      </c>
      <c r="H120" s="91">
        <f>IF(TrRoad_act!H62=0,0,TrRoad_ene!H65/TrRoad_tech!H93)</f>
        <v>1.1327118293995944</v>
      </c>
      <c r="I120" s="91">
        <f>IF(TrRoad_act!I62=0,0,TrRoad_ene!I65/TrRoad_tech!I93)</f>
        <v>1.1297628945681069</v>
      </c>
      <c r="J120" s="91">
        <f>IF(TrRoad_act!J62=0,0,TrRoad_ene!J65/TrRoad_tech!J93)</f>
        <v>1.0658495242690798</v>
      </c>
      <c r="K120" s="91">
        <f>IF(TrRoad_act!K62=0,0,TrRoad_ene!K65/TrRoad_tech!K93)</f>
        <v>1.0570185533336827</v>
      </c>
      <c r="L120" s="91">
        <f>IF(TrRoad_act!L62=0,0,TrRoad_ene!L65/TrRoad_tech!L93)</f>
        <v>1.0789016457736609</v>
      </c>
      <c r="M120" s="91">
        <f>IF(TrRoad_act!M62=0,0,TrRoad_ene!M65/TrRoad_tech!M93)</f>
        <v>1.0416989087128565</v>
      </c>
      <c r="N120" s="91">
        <f>IF(TrRoad_act!N62=0,0,TrRoad_ene!N65/TrRoad_tech!N93)</f>
        <v>1.0004388465013461</v>
      </c>
      <c r="O120" s="91">
        <f>IF(TrRoad_act!O62=0,0,TrRoad_ene!O65/TrRoad_tech!O93)</f>
        <v>0.97592059730509295</v>
      </c>
      <c r="P120" s="91">
        <f>IF(TrRoad_act!P62=0,0,TrRoad_ene!P65/TrRoad_tech!P93)</f>
        <v>0.97491605899183653</v>
      </c>
      <c r="Q120" s="91">
        <f>IF(TrRoad_act!Q62=0,0,TrRoad_ene!Q65/TrRoad_tech!Q93)</f>
        <v>0.97579127122908171</v>
      </c>
      <c r="R120" s="91">
        <f>IF(TrRoad_act!R62=0,0,TrRoad_ene!R65/TrRoad_tech!R93)</f>
        <v>1.0270313315286921</v>
      </c>
      <c r="S120" s="91">
        <f>IF(TrRoad_act!S62=0,0,TrRoad_ene!S65/TrRoad_tech!S93)</f>
        <v>1.0798211190643834</v>
      </c>
      <c r="T120" s="91">
        <f>IF(TrRoad_act!T62=0,0,TrRoad_ene!T65/TrRoad_tech!T93)</f>
        <v>1.0657503347916226</v>
      </c>
      <c r="U120" s="91">
        <f>IF(TrRoad_act!U62=0,0,TrRoad_ene!U65/TrRoad_tech!U93)</f>
        <v>1.0676047276465239</v>
      </c>
      <c r="V120" s="91">
        <f>IF(TrRoad_act!V62=0,0,TrRoad_ene!V65/TrRoad_tech!V93)</f>
        <v>1.043779566865809</v>
      </c>
      <c r="W120" s="91">
        <f>IF(TrRoad_act!W62=0,0,TrRoad_ene!W65/TrRoad_tech!W93)</f>
        <v>1.0452605922936271</v>
      </c>
      <c r="X120" s="91">
        <f>IF(TrRoad_act!X62=0,0,TrRoad_ene!X65/TrRoad_tech!X93)</f>
        <v>1.0653735843725358</v>
      </c>
      <c r="Y120" s="91">
        <f>IF(TrRoad_act!Y62=0,0,TrRoad_ene!Y65/TrRoad_tech!Y93)</f>
        <v>1.0683668063444702</v>
      </c>
      <c r="DA120" s="171"/>
    </row>
    <row r="121" spans="1:105" ht="11.45" customHeight="1" x14ac:dyDescent="0.25">
      <c r="A121" s="111" t="s">
        <v>112</v>
      </c>
      <c r="B121" s="91">
        <f>IF(TrRoad_act!B63=0,0,TrRoad_ene!B66/TrRoad_tech!B94)</f>
        <v>1.0103942150802883</v>
      </c>
      <c r="C121" s="91">
        <f>IF(TrRoad_act!C63=0,0,TrRoad_ene!C66/TrRoad_tech!C94)</f>
        <v>1.0584173992871448</v>
      </c>
      <c r="D121" s="91">
        <f>IF(TrRoad_act!D63=0,0,TrRoad_ene!D66/TrRoad_tech!D94)</f>
        <v>1.1158433735597353</v>
      </c>
      <c r="E121" s="91">
        <f>IF(TrRoad_act!E63=0,0,TrRoad_ene!E66/TrRoad_tech!E94)</f>
        <v>1.0777494009039548</v>
      </c>
      <c r="F121" s="91">
        <f>IF(TrRoad_act!F63=0,0,TrRoad_ene!F66/TrRoad_tech!F94)</f>
        <v>1.0875735180074622</v>
      </c>
      <c r="G121" s="91">
        <f>IF(TrRoad_act!G63=0,0,TrRoad_ene!G66/TrRoad_tech!G94)</f>
        <v>1.1315584519301169</v>
      </c>
      <c r="H121" s="91">
        <f>IF(TrRoad_act!H63=0,0,TrRoad_ene!H66/TrRoad_tech!H94)</f>
        <v>1.1181930053109266</v>
      </c>
      <c r="I121" s="91">
        <f>IF(TrRoad_act!I63=0,0,TrRoad_ene!I66/TrRoad_tech!I94)</f>
        <v>1.0677772274176893</v>
      </c>
      <c r="J121" s="91">
        <f>IF(TrRoad_act!J63=0,0,TrRoad_ene!J66/TrRoad_tech!J94)</f>
        <v>1.0068202845281933</v>
      </c>
      <c r="K121" s="91">
        <f>IF(TrRoad_act!K63=0,0,TrRoad_ene!K66/TrRoad_tech!K94)</f>
        <v>0.90178869370689207</v>
      </c>
      <c r="L121" s="91">
        <f>IF(TrRoad_act!L63=0,0,TrRoad_ene!L66/TrRoad_tech!L94)</f>
        <v>0.82235317790480889</v>
      </c>
      <c r="M121" s="91">
        <f>IF(TrRoad_act!M63=0,0,TrRoad_ene!M66/TrRoad_tech!M94)</f>
        <v>0.87747725988328773</v>
      </c>
      <c r="N121" s="91">
        <f>IF(TrRoad_act!N63=0,0,TrRoad_ene!N66/TrRoad_tech!N94)</f>
        <v>1.0315444044962097</v>
      </c>
      <c r="O121" s="91">
        <f>IF(TrRoad_act!O63=0,0,TrRoad_ene!O66/TrRoad_tech!O94)</f>
        <v>1.0833532421689793</v>
      </c>
      <c r="P121" s="91">
        <f>IF(TrRoad_act!P63=0,0,TrRoad_ene!P66/TrRoad_tech!P94)</f>
        <v>1.1050096527147455</v>
      </c>
      <c r="Q121" s="91">
        <f>IF(TrRoad_act!Q63=0,0,TrRoad_ene!Q66/TrRoad_tech!Q94)</f>
        <v>1.0672749914909159</v>
      </c>
      <c r="R121" s="91">
        <f>IF(TrRoad_act!R63=0,0,TrRoad_ene!R66/TrRoad_tech!R94)</f>
        <v>1.036188276265114</v>
      </c>
      <c r="S121" s="91">
        <f>IF(TrRoad_act!S63=0,0,TrRoad_ene!S66/TrRoad_tech!S94)</f>
        <v>1.01999043669298</v>
      </c>
      <c r="T121" s="91">
        <f>IF(TrRoad_act!T63=0,0,TrRoad_ene!T66/TrRoad_tech!T94)</f>
        <v>0.95448401362722612</v>
      </c>
      <c r="U121" s="91">
        <f>IF(TrRoad_act!U63=0,0,TrRoad_ene!U66/TrRoad_tech!U94)</f>
        <v>0.99947793927103212</v>
      </c>
      <c r="V121" s="91">
        <f>IF(TrRoad_act!V63=0,0,TrRoad_ene!V66/TrRoad_tech!V94)</f>
        <v>0.92487281436658952</v>
      </c>
      <c r="W121" s="91">
        <f>IF(TrRoad_act!W63=0,0,TrRoad_ene!W66/TrRoad_tech!W94)</f>
        <v>0.99560769830351026</v>
      </c>
      <c r="X121" s="91">
        <f>IF(TrRoad_act!X63=0,0,TrRoad_ene!X66/TrRoad_tech!X94)</f>
        <v>0.9878878812052867</v>
      </c>
      <c r="Y121" s="91">
        <f>IF(TrRoad_act!Y63=0,0,TrRoad_ene!Y66/TrRoad_tech!Y94)</f>
        <v>0.96658121644507522</v>
      </c>
      <c r="DA121" s="171"/>
    </row>
    <row r="122" spans="1:105" ht="11.45" customHeight="1" x14ac:dyDescent="0.25">
      <c r="A122" s="111" t="s">
        <v>113</v>
      </c>
      <c r="B122" s="91">
        <f>IF(TrRoad_act!B64=0,0,TrRoad_ene!B67/TrRoad_tech!B95)</f>
        <v>0</v>
      </c>
      <c r="C122" s="91">
        <f>IF(TrRoad_act!C64=0,0,TrRoad_ene!C67/TrRoad_tech!C95)</f>
        <v>0</v>
      </c>
      <c r="D122" s="91">
        <f>IF(TrRoad_act!D64=0,0,TrRoad_ene!D67/TrRoad_tech!D95)</f>
        <v>0</v>
      </c>
      <c r="E122" s="91">
        <f>IF(TrRoad_act!E64=0,0,TrRoad_ene!E67/TrRoad_tech!E95)</f>
        <v>0</v>
      </c>
      <c r="F122" s="91">
        <f>IF(TrRoad_act!F64=0,0,TrRoad_ene!F67/TrRoad_tech!F95)</f>
        <v>0</v>
      </c>
      <c r="G122" s="91">
        <f>IF(TrRoad_act!G64=0,0,TrRoad_ene!G67/TrRoad_tech!G95)</f>
        <v>0</v>
      </c>
      <c r="H122" s="91">
        <f>IF(TrRoad_act!H64=0,0,TrRoad_ene!H67/TrRoad_tech!H95)</f>
        <v>0</v>
      </c>
      <c r="I122" s="91">
        <f>IF(TrRoad_act!I64=0,0,TrRoad_ene!I67/TrRoad_tech!I95)</f>
        <v>0</v>
      </c>
      <c r="J122" s="91">
        <f>IF(TrRoad_act!J64=0,0,TrRoad_ene!J67/TrRoad_tech!J95)</f>
        <v>0</v>
      </c>
      <c r="K122" s="91">
        <f>IF(TrRoad_act!K64=0,0,TrRoad_ene!K67/TrRoad_tech!K95)</f>
        <v>0</v>
      </c>
      <c r="L122" s="91">
        <f>IF(TrRoad_act!L64=0,0,TrRoad_ene!L67/TrRoad_tech!L95)</f>
        <v>0</v>
      </c>
      <c r="M122" s="91">
        <f>IF(TrRoad_act!M64=0,0,TrRoad_ene!M67/TrRoad_tech!M95)</f>
        <v>0</v>
      </c>
      <c r="N122" s="91">
        <f>IF(TrRoad_act!N64=0,0,TrRoad_ene!N67/TrRoad_tech!N95)</f>
        <v>0</v>
      </c>
      <c r="O122" s="91">
        <f>IF(TrRoad_act!O64=0,0,TrRoad_ene!O67/TrRoad_tech!O95)</f>
        <v>0</v>
      </c>
      <c r="P122" s="91">
        <f>IF(TrRoad_act!P64=0,0,TrRoad_ene!P67/TrRoad_tech!P95)</f>
        <v>0</v>
      </c>
      <c r="Q122" s="91">
        <f>IF(TrRoad_act!Q64=0,0,TrRoad_ene!Q67/TrRoad_tech!Q95)</f>
        <v>1.0833333333391701</v>
      </c>
      <c r="R122" s="91">
        <f>IF(TrRoad_act!R64=0,0,TrRoad_ene!R67/TrRoad_tech!R95)</f>
        <v>1.0849647441702845</v>
      </c>
      <c r="S122" s="91">
        <f>IF(TrRoad_act!S64=0,0,TrRoad_ene!S67/TrRoad_tech!S95)</f>
        <v>1.0852905982410805</v>
      </c>
      <c r="T122" s="91">
        <f>IF(TrRoad_act!T64=0,0,TrRoad_ene!T67/TrRoad_tech!T95)</f>
        <v>1.0857647874425991</v>
      </c>
      <c r="U122" s="91">
        <f>IF(TrRoad_act!U64=0,0,TrRoad_ene!U67/TrRoad_tech!U95)</f>
        <v>1.0862501863719785</v>
      </c>
      <c r="V122" s="91">
        <f>IF(TrRoad_act!V64=0,0,TrRoad_ene!V67/TrRoad_tech!V95)</f>
        <v>1.0866099768862711</v>
      </c>
      <c r="W122" s="91">
        <f>IF(TrRoad_act!W64=0,0,TrRoad_ene!W67/TrRoad_tech!W95)</f>
        <v>1.0870552296400393</v>
      </c>
      <c r="X122" s="91">
        <f>IF(TrRoad_act!X64=0,0,TrRoad_ene!X67/TrRoad_tech!X95)</f>
        <v>1.0871138008047048</v>
      </c>
      <c r="Y122" s="91">
        <f>IF(TrRoad_act!Y64=0,0,TrRoad_ene!Y67/TrRoad_tech!Y95)</f>
        <v>1.0871786171818887</v>
      </c>
      <c r="DA122" s="171"/>
    </row>
    <row r="123" spans="1:105" ht="11.45" customHeight="1" x14ac:dyDescent="0.25">
      <c r="A123" s="111" t="s">
        <v>114</v>
      </c>
      <c r="B123" s="91">
        <f>IF(TrRoad_act!B65=0,0,TrRoad_ene!B68/TrRoad_tech!B96)</f>
        <v>0</v>
      </c>
      <c r="C123" s="91">
        <f>IF(TrRoad_act!C65=0,0,TrRoad_ene!C68/TrRoad_tech!C96)</f>
        <v>0</v>
      </c>
      <c r="D123" s="91">
        <f>IF(TrRoad_act!D65=0,0,TrRoad_ene!D68/TrRoad_tech!D96)</f>
        <v>0</v>
      </c>
      <c r="E123" s="91">
        <f>IF(TrRoad_act!E65=0,0,TrRoad_ene!E68/TrRoad_tech!E96)</f>
        <v>0</v>
      </c>
      <c r="F123" s="91">
        <f>IF(TrRoad_act!F65=0,0,TrRoad_ene!F68/TrRoad_tech!F96)</f>
        <v>0</v>
      </c>
      <c r="G123" s="91">
        <f>IF(TrRoad_act!G65=0,0,TrRoad_ene!G68/TrRoad_tech!G96)</f>
        <v>0</v>
      </c>
      <c r="H123" s="91">
        <f>IF(TrRoad_act!H65=0,0,TrRoad_ene!H68/TrRoad_tech!H96)</f>
        <v>0</v>
      </c>
      <c r="I123" s="91">
        <f>IF(TrRoad_act!I65=0,0,TrRoad_ene!I68/TrRoad_tech!I96)</f>
        <v>0</v>
      </c>
      <c r="J123" s="91">
        <f>IF(TrRoad_act!J65=0,0,TrRoad_ene!J68/TrRoad_tech!J96)</f>
        <v>0</v>
      </c>
      <c r="K123" s="91">
        <f>IF(TrRoad_act!K65=0,0,TrRoad_ene!K68/TrRoad_tech!K96)</f>
        <v>0</v>
      </c>
      <c r="L123" s="91">
        <f>IF(TrRoad_act!L65=0,0,TrRoad_ene!L68/TrRoad_tech!L96)</f>
        <v>0</v>
      </c>
      <c r="M123" s="91">
        <f>IF(TrRoad_act!M65=0,0,TrRoad_ene!M68/TrRoad_tech!M96)</f>
        <v>0</v>
      </c>
      <c r="N123" s="91">
        <f>IF(TrRoad_act!N65=0,0,TrRoad_ene!N68/TrRoad_tech!N96)</f>
        <v>1.013223225802705</v>
      </c>
      <c r="O123" s="91">
        <f>IF(TrRoad_act!O65=0,0,TrRoad_ene!O68/TrRoad_tech!O96)</f>
        <v>1.0098017461687347</v>
      </c>
      <c r="P123" s="91">
        <f>IF(TrRoad_act!P65=0,0,TrRoad_ene!P68/TrRoad_tech!P96)</f>
        <v>1.0102142581025246</v>
      </c>
      <c r="Q123" s="91">
        <f>IF(TrRoad_act!Q65=0,0,TrRoad_ene!Q68/TrRoad_tech!Q96)</f>
        <v>1.0342956925902023</v>
      </c>
      <c r="R123" s="91">
        <f>IF(TrRoad_act!R65=0,0,TrRoad_ene!R68/TrRoad_tech!R96)</f>
        <v>1.0852596115018145</v>
      </c>
      <c r="S123" s="91">
        <f>IF(TrRoad_act!S65=0,0,TrRoad_ene!S68/TrRoad_tech!S96)</f>
        <v>1.0920331945342656</v>
      </c>
      <c r="T123" s="91">
        <f>IF(TrRoad_act!T65=0,0,TrRoad_ene!T68/TrRoad_tech!T96)</f>
        <v>1.0920688855200911</v>
      </c>
      <c r="U123" s="91">
        <f>IF(TrRoad_act!U65=0,0,TrRoad_ene!U68/TrRoad_tech!U96)</f>
        <v>1.0916241429642086</v>
      </c>
      <c r="V123" s="91">
        <f>IF(TrRoad_act!V65=0,0,TrRoad_ene!V68/TrRoad_tech!V96)</f>
        <v>1.0681349195799026</v>
      </c>
      <c r="W123" s="91">
        <f>IF(TrRoad_act!W65=0,0,TrRoad_ene!W68/TrRoad_tech!W96)</f>
        <v>1.0863515449207519</v>
      </c>
      <c r="X123" s="91">
        <f>IF(TrRoad_act!X65=0,0,TrRoad_ene!X68/TrRoad_tech!X96)</f>
        <v>1.0985441101311293</v>
      </c>
      <c r="Y123" s="91">
        <f>IF(TrRoad_act!Y65=0,0,TrRoad_ene!Y68/TrRoad_tech!Y96)</f>
        <v>1.0989958704152349</v>
      </c>
      <c r="DA123" s="171"/>
    </row>
    <row r="124" spans="1:105" ht="11.45" customHeight="1" x14ac:dyDescent="0.25">
      <c r="A124" s="111" t="s">
        <v>115</v>
      </c>
      <c r="B124" s="91">
        <f>IF(TrRoad_act!B66=0,0,TrRoad_ene!B69/TrRoad_tech!B97)</f>
        <v>0</v>
      </c>
      <c r="C124" s="91">
        <f>IF(TrRoad_act!C66=0,0,TrRoad_ene!C69/TrRoad_tech!C97)</f>
        <v>0</v>
      </c>
      <c r="D124" s="91">
        <f>IF(TrRoad_act!D66=0,0,TrRoad_ene!D69/TrRoad_tech!D97)</f>
        <v>0</v>
      </c>
      <c r="E124" s="91">
        <f>IF(TrRoad_act!E66=0,0,TrRoad_ene!E69/TrRoad_tech!E97)</f>
        <v>0</v>
      </c>
      <c r="F124" s="91">
        <f>IF(TrRoad_act!F66=0,0,TrRoad_ene!F69/TrRoad_tech!F97)</f>
        <v>0</v>
      </c>
      <c r="G124" s="91">
        <f>IF(TrRoad_act!G66=0,0,TrRoad_ene!G69/TrRoad_tech!G97)</f>
        <v>0</v>
      </c>
      <c r="H124" s="91">
        <f>IF(TrRoad_act!H66=0,0,TrRoad_ene!H69/TrRoad_tech!H97)</f>
        <v>0</v>
      </c>
      <c r="I124" s="91">
        <f>IF(TrRoad_act!I66=0,0,TrRoad_ene!I69/TrRoad_tech!I97)</f>
        <v>0</v>
      </c>
      <c r="J124" s="91">
        <f>IF(TrRoad_act!J66=0,0,TrRoad_ene!J69/TrRoad_tech!J97)</f>
        <v>0</v>
      </c>
      <c r="K124" s="91">
        <f>IF(TrRoad_act!K66=0,0,TrRoad_ene!K69/TrRoad_tech!K97)</f>
        <v>0</v>
      </c>
      <c r="L124" s="91">
        <f>IF(TrRoad_act!L66=0,0,TrRoad_ene!L69/TrRoad_tech!L97)</f>
        <v>1.0555555555604397</v>
      </c>
      <c r="M124" s="91">
        <f>IF(TrRoad_act!M66=0,0,TrRoad_ene!M69/TrRoad_tech!M97)</f>
        <v>1.0596974999152835</v>
      </c>
      <c r="N124" s="91">
        <f>IF(TrRoad_act!N66=0,0,TrRoad_ene!N69/TrRoad_tech!N97)</f>
        <v>1.062665524076096</v>
      </c>
      <c r="O124" s="91">
        <f>IF(TrRoad_act!O66=0,0,TrRoad_ene!O69/TrRoad_tech!O97)</f>
        <v>1.063638783149903</v>
      </c>
      <c r="P124" s="91">
        <f>IF(TrRoad_act!P66=0,0,TrRoad_ene!P69/TrRoad_tech!P97)</f>
        <v>1.0664369093287995</v>
      </c>
      <c r="Q124" s="91">
        <f>IF(TrRoad_act!Q66=0,0,TrRoad_ene!Q69/TrRoad_tech!Q97)</f>
        <v>1.0695978715152203</v>
      </c>
      <c r="R124" s="91">
        <f>IF(TrRoad_act!R66=0,0,TrRoad_ene!R69/TrRoad_tech!R97)</f>
        <v>1.0816905637919336</v>
      </c>
      <c r="S124" s="91">
        <f>IF(TrRoad_act!S66=0,0,TrRoad_ene!S69/TrRoad_tech!S97)</f>
        <v>1.0886842868977229</v>
      </c>
      <c r="T124" s="91">
        <f>IF(TrRoad_act!T66=0,0,TrRoad_ene!T69/TrRoad_tech!T97)</f>
        <v>1.0918645293383467</v>
      </c>
      <c r="U124" s="91">
        <f>IF(TrRoad_act!U66=0,0,TrRoad_ene!U69/TrRoad_tech!U97)</f>
        <v>1.0940260039031664</v>
      </c>
      <c r="V124" s="91">
        <f>IF(TrRoad_act!V66=0,0,TrRoad_ene!V69/TrRoad_tech!V97)</f>
        <v>1.0958458395280612</v>
      </c>
      <c r="W124" s="91">
        <f>IF(TrRoad_act!W66=0,0,TrRoad_ene!W69/TrRoad_tech!W97)</f>
        <v>1.098304903851103</v>
      </c>
      <c r="X124" s="91">
        <f>IF(TrRoad_act!X66=0,0,TrRoad_ene!X69/TrRoad_tech!X97)</f>
        <v>1.0990432756942088</v>
      </c>
      <c r="Y124" s="91">
        <f>IF(TrRoad_act!Y66=0,0,TrRoad_ene!Y69/TrRoad_tech!Y97)</f>
        <v>1.0997757607665208</v>
      </c>
      <c r="DA124" s="171"/>
    </row>
    <row r="125" spans="1:105" ht="11.45" customHeight="1" x14ac:dyDescent="0.25">
      <c r="A125" s="109" t="s">
        <v>21</v>
      </c>
      <c r="B125" s="151">
        <f>IF(TrRoad_act!B67=0,0,TrRoad_ene!B70/TrRoad_tech!B98)</f>
        <v>1.1029133162697837</v>
      </c>
      <c r="C125" s="151">
        <f>IF(TrRoad_act!C67=0,0,TrRoad_ene!C70/TrRoad_tech!C98)</f>
        <v>1.0828881602095046</v>
      </c>
      <c r="D125" s="151">
        <f>IF(TrRoad_act!D67=0,0,TrRoad_ene!D70/TrRoad_tech!D98)</f>
        <v>1.0788633260938267</v>
      </c>
      <c r="E125" s="151">
        <f>IF(TrRoad_act!E67=0,0,TrRoad_ene!E70/TrRoad_tech!E98)</f>
        <v>1.0771334110256847</v>
      </c>
      <c r="F125" s="151">
        <f>IF(TrRoad_act!F67=0,0,TrRoad_ene!F70/TrRoad_tech!F98)</f>
        <v>1.0811865414542523</v>
      </c>
      <c r="G125" s="151">
        <f>IF(TrRoad_act!G67=0,0,TrRoad_ene!G70/TrRoad_tech!G98)</f>
        <v>1.085665300902938</v>
      </c>
      <c r="H125" s="151">
        <f>IF(TrRoad_act!H67=0,0,TrRoad_ene!H70/TrRoad_tech!H98)</f>
        <v>1.0946738715160806</v>
      </c>
      <c r="I125" s="151">
        <f>IF(TrRoad_act!I67=0,0,TrRoad_ene!I70/TrRoad_tech!I98)</f>
        <v>1.1059223770262669</v>
      </c>
      <c r="J125" s="151">
        <f>IF(TrRoad_act!J67=0,0,TrRoad_ene!J70/TrRoad_tech!J98)</f>
        <v>1.1226927937813918</v>
      </c>
      <c r="K125" s="151">
        <f>IF(TrRoad_act!K67=0,0,TrRoad_ene!K70/TrRoad_tech!K98)</f>
        <v>1.1336134272953655</v>
      </c>
      <c r="L125" s="151">
        <f>IF(TrRoad_act!L67=0,0,TrRoad_ene!L70/TrRoad_tech!L98)</f>
        <v>1.1456346786949125</v>
      </c>
      <c r="M125" s="151">
        <f>IF(TrRoad_act!M67=0,0,TrRoad_ene!M70/TrRoad_tech!M98)</f>
        <v>1.1582168078480446</v>
      </c>
      <c r="N125" s="151">
        <f>IF(TrRoad_act!N67=0,0,TrRoad_ene!N70/TrRoad_tech!N98)</f>
        <v>1.1718568112983025</v>
      </c>
      <c r="O125" s="151">
        <f>IF(TrRoad_act!O67=0,0,TrRoad_ene!O70/TrRoad_tech!O98)</f>
        <v>1.1868226746577726</v>
      </c>
      <c r="P125" s="151">
        <f>IF(TrRoad_act!P67=0,0,TrRoad_ene!P70/TrRoad_tech!P98)</f>
        <v>1.2031007805281921</v>
      </c>
      <c r="Q125" s="151">
        <f>IF(TrRoad_act!Q67=0,0,TrRoad_ene!Q70/TrRoad_tech!Q98)</f>
        <v>1.2292129767644666</v>
      </c>
      <c r="R125" s="151">
        <f>IF(TrRoad_act!R67=0,0,TrRoad_ene!R70/TrRoad_tech!R98)</f>
        <v>1.2428169010128938</v>
      </c>
      <c r="S125" s="151">
        <f>IF(TrRoad_act!S67=0,0,TrRoad_ene!S70/TrRoad_tech!S98)</f>
        <v>1.2551684153610583</v>
      </c>
      <c r="T125" s="151">
        <f>IF(TrRoad_act!T67=0,0,TrRoad_ene!T70/TrRoad_tech!T98)</f>
        <v>1.2574218822747534</v>
      </c>
      <c r="U125" s="151">
        <f>IF(TrRoad_act!U67=0,0,TrRoad_ene!U70/TrRoad_tech!U98)</f>
        <v>1.2649163380394342</v>
      </c>
      <c r="V125" s="151">
        <f>IF(TrRoad_act!V67=0,0,TrRoad_ene!V70/TrRoad_tech!V98)</f>
        <v>1.2732707981159013</v>
      </c>
      <c r="W125" s="151">
        <f>IF(TrRoad_act!W67=0,0,TrRoad_ene!W70/TrRoad_tech!W98)</f>
        <v>1.2889326591567383</v>
      </c>
      <c r="X125" s="151">
        <f>IF(TrRoad_act!X67=0,0,TrRoad_ene!X70/TrRoad_tech!X98)</f>
        <v>1.3075400595855959</v>
      </c>
      <c r="Y125" s="151">
        <f>IF(TrRoad_act!Y67=0,0,TrRoad_ene!Y70/TrRoad_tech!Y98)</f>
        <v>1.3054336896979692</v>
      </c>
      <c r="DA125" s="176"/>
    </row>
    <row r="126" spans="1:105" ht="11.45" customHeight="1" x14ac:dyDescent="0.25">
      <c r="A126" s="111" t="s">
        <v>110</v>
      </c>
      <c r="B126" s="93">
        <f>IF(TrRoad_act!B68=0,0,TrRoad_ene!B71/TrRoad_tech!B99)</f>
        <v>0</v>
      </c>
      <c r="C126" s="93">
        <f>IF(TrRoad_act!C68=0,0,TrRoad_ene!C71/TrRoad_tech!C99)</f>
        <v>0</v>
      </c>
      <c r="D126" s="93">
        <f>IF(TrRoad_act!D68=0,0,TrRoad_ene!D71/TrRoad_tech!D99)</f>
        <v>0</v>
      </c>
      <c r="E126" s="93">
        <f>IF(TrRoad_act!E68=0,0,TrRoad_ene!E71/TrRoad_tech!E99)</f>
        <v>0</v>
      </c>
      <c r="F126" s="93">
        <f>IF(TrRoad_act!F68=0,0,TrRoad_ene!F71/TrRoad_tech!F99)</f>
        <v>0</v>
      </c>
      <c r="G126" s="93">
        <f>IF(TrRoad_act!G68=0,0,TrRoad_ene!G71/TrRoad_tech!G99)</f>
        <v>0</v>
      </c>
      <c r="H126" s="93">
        <f>IF(TrRoad_act!H68=0,0,TrRoad_ene!H71/TrRoad_tech!H99)</f>
        <v>0</v>
      </c>
      <c r="I126" s="93">
        <f>IF(TrRoad_act!I68=0,0,TrRoad_ene!I71/TrRoad_tech!I99)</f>
        <v>0</v>
      </c>
      <c r="J126" s="93">
        <f>IF(TrRoad_act!J68=0,0,TrRoad_ene!J71/TrRoad_tech!J99)</f>
        <v>0</v>
      </c>
      <c r="K126" s="93">
        <f>IF(TrRoad_act!K68=0,0,TrRoad_ene!K71/TrRoad_tech!K99)</f>
        <v>0</v>
      </c>
      <c r="L126" s="93">
        <f>IF(TrRoad_act!L68=0,0,TrRoad_ene!L71/TrRoad_tech!L99)</f>
        <v>0</v>
      </c>
      <c r="M126" s="93">
        <f>IF(TrRoad_act!M68=0,0,TrRoad_ene!M71/TrRoad_tech!M99)</f>
        <v>0</v>
      </c>
      <c r="N126" s="93">
        <f>IF(TrRoad_act!N68=0,0,TrRoad_ene!N71/TrRoad_tech!N99)</f>
        <v>0</v>
      </c>
      <c r="O126" s="93">
        <f>IF(TrRoad_act!O68=0,0,TrRoad_ene!O71/TrRoad_tech!O99)</f>
        <v>0</v>
      </c>
      <c r="P126" s="93">
        <f>IF(TrRoad_act!P68=0,0,TrRoad_ene!P71/TrRoad_tech!P99)</f>
        <v>0</v>
      </c>
      <c r="Q126" s="93">
        <f>IF(TrRoad_act!Q68=0,0,TrRoad_ene!Q71/TrRoad_tech!Q99)</f>
        <v>0</v>
      </c>
      <c r="R126" s="93">
        <f>IF(TrRoad_act!R68=0,0,TrRoad_ene!R71/TrRoad_tech!R99)</f>
        <v>0</v>
      </c>
      <c r="S126" s="93">
        <f>IF(TrRoad_act!S68=0,0,TrRoad_ene!S71/TrRoad_tech!S99)</f>
        <v>0</v>
      </c>
      <c r="T126" s="93">
        <f>IF(TrRoad_act!T68=0,0,TrRoad_ene!T71/TrRoad_tech!T99)</f>
        <v>0</v>
      </c>
      <c r="U126" s="93">
        <f>IF(TrRoad_act!U68=0,0,TrRoad_ene!U71/TrRoad_tech!U99)</f>
        <v>0</v>
      </c>
      <c r="V126" s="93">
        <f>IF(TrRoad_act!V68=0,0,TrRoad_ene!V71/TrRoad_tech!V99)</f>
        <v>0</v>
      </c>
      <c r="W126" s="93">
        <f>IF(TrRoad_act!W68=0,0,TrRoad_ene!W71/TrRoad_tech!W99)</f>
        <v>0</v>
      </c>
      <c r="X126" s="93">
        <f>IF(TrRoad_act!X68=0,0,TrRoad_ene!X71/TrRoad_tech!X99)</f>
        <v>0</v>
      </c>
      <c r="Y126" s="93">
        <f>IF(TrRoad_act!Y68=0,0,TrRoad_ene!Y71/TrRoad_tech!Y99)</f>
        <v>0</v>
      </c>
      <c r="DA126" s="175"/>
    </row>
    <row r="127" spans="1:105" ht="11.45" customHeight="1" x14ac:dyDescent="0.25">
      <c r="A127" s="111" t="s">
        <v>111</v>
      </c>
      <c r="B127" s="93">
        <f>IF(TrRoad_act!B69=0,0,TrRoad_ene!B72/TrRoad_tech!B100)</f>
        <v>1.1000000000067303</v>
      </c>
      <c r="C127" s="93">
        <f>IF(TrRoad_act!C69=0,0,TrRoad_ene!C72/TrRoad_tech!C100)</f>
        <v>1.1005683927109302</v>
      </c>
      <c r="D127" s="93">
        <f>IF(TrRoad_act!D69=0,0,TrRoad_ene!D72/TrRoad_tech!D100)</f>
        <v>1.1016187743712373</v>
      </c>
      <c r="E127" s="93">
        <f>IF(TrRoad_act!E69=0,0,TrRoad_ene!E72/TrRoad_tech!E100)</f>
        <v>1.1029453265726492</v>
      </c>
      <c r="F127" s="93">
        <f>IF(TrRoad_act!F69=0,0,TrRoad_ene!F72/TrRoad_tech!F100)</f>
        <v>1.106405649200064</v>
      </c>
      <c r="G127" s="93">
        <f>IF(TrRoad_act!G69=0,0,TrRoad_ene!G72/TrRoad_tech!G100)</f>
        <v>1.1108361546344685</v>
      </c>
      <c r="H127" s="93">
        <f>IF(TrRoad_act!H69=0,0,TrRoad_ene!H72/TrRoad_tech!H100)</f>
        <v>1.1171133377646549</v>
      </c>
      <c r="I127" s="93">
        <f>IF(TrRoad_act!I69=0,0,TrRoad_ene!I72/TrRoad_tech!I100)</f>
        <v>1.124465719086948</v>
      </c>
      <c r="J127" s="93">
        <f>IF(TrRoad_act!J69=0,0,TrRoad_ene!J72/TrRoad_tech!J100)</f>
        <v>1.1339176358651217</v>
      </c>
      <c r="K127" s="93">
        <f>IF(TrRoad_act!K69=0,0,TrRoad_ene!K72/TrRoad_tech!K100)</f>
        <v>1.1411811073811058</v>
      </c>
      <c r="L127" s="93">
        <f>IF(TrRoad_act!L69=0,0,TrRoad_ene!L72/TrRoad_tech!L100)</f>
        <v>1.1497908651429904</v>
      </c>
      <c r="M127" s="93">
        <f>IF(TrRoad_act!M69=0,0,TrRoad_ene!M72/TrRoad_tech!M100)</f>
        <v>1.1606358412875279</v>
      </c>
      <c r="N127" s="93">
        <f>IF(TrRoad_act!N69=0,0,TrRoad_ene!N72/TrRoad_tech!N100)</f>
        <v>1.1742922454381668</v>
      </c>
      <c r="O127" s="93">
        <f>IF(TrRoad_act!O69=0,0,TrRoad_ene!O72/TrRoad_tech!O100)</f>
        <v>1.1897812350622954</v>
      </c>
      <c r="P127" s="93">
        <f>IF(TrRoad_act!P69=0,0,TrRoad_ene!P72/TrRoad_tech!P100)</f>
        <v>1.2066292740827838</v>
      </c>
      <c r="Q127" s="93">
        <f>IF(TrRoad_act!Q69=0,0,TrRoad_ene!Q72/TrRoad_tech!Q100)</f>
        <v>1.233158360759236</v>
      </c>
      <c r="R127" s="93">
        <f>IF(TrRoad_act!R69=0,0,TrRoad_ene!R72/TrRoad_tech!R100)</f>
        <v>1.2487982988188198</v>
      </c>
      <c r="S127" s="93">
        <f>IF(TrRoad_act!S69=0,0,TrRoad_ene!S72/TrRoad_tech!S100)</f>
        <v>1.2635429404074507</v>
      </c>
      <c r="T127" s="93">
        <f>IF(TrRoad_act!T69=0,0,TrRoad_ene!T72/TrRoad_tech!T100)</f>
        <v>1.2773477344961051</v>
      </c>
      <c r="U127" s="93">
        <f>IF(TrRoad_act!U69=0,0,TrRoad_ene!U72/TrRoad_tech!U100)</f>
        <v>1.2858742129242475</v>
      </c>
      <c r="V127" s="93">
        <f>IF(TrRoad_act!V69=0,0,TrRoad_ene!V72/TrRoad_tech!V100)</f>
        <v>1.2981118765891788</v>
      </c>
      <c r="W127" s="93">
        <f>IF(TrRoad_act!W69=0,0,TrRoad_ene!W72/TrRoad_tech!W100)</f>
        <v>1.3104721365387753</v>
      </c>
      <c r="X127" s="93">
        <f>IF(TrRoad_act!X69=0,0,TrRoad_ene!X72/TrRoad_tech!X100)</f>
        <v>1.3209597621302671</v>
      </c>
      <c r="Y127" s="93">
        <f>IF(TrRoad_act!Y69=0,0,TrRoad_ene!Y72/TrRoad_tech!Y100)</f>
        <v>1.3256887649444498</v>
      </c>
      <c r="DA127" s="175"/>
    </row>
    <row r="128" spans="1:105" ht="11.45" customHeight="1" x14ac:dyDescent="0.25">
      <c r="A128" s="111" t="s">
        <v>112</v>
      </c>
      <c r="B128" s="93">
        <f>IF(TrRoad_act!B70=0,0,TrRoad_ene!B73/TrRoad_tech!B101)</f>
        <v>1.1000000000067305</v>
      </c>
      <c r="C128" s="93">
        <f>IF(TrRoad_act!C70=0,0,TrRoad_ene!C73/TrRoad_tech!C101)</f>
        <v>1.1000000000067305</v>
      </c>
      <c r="D128" s="93">
        <f>IF(TrRoad_act!D70=0,0,TrRoad_ene!D73/TrRoad_tech!D101)</f>
        <v>1.1000000000067303</v>
      </c>
      <c r="E128" s="93">
        <f>IF(TrRoad_act!E70=0,0,TrRoad_ene!E73/TrRoad_tech!E101)</f>
        <v>1.1001825071767053</v>
      </c>
      <c r="F128" s="93">
        <f>IF(TrRoad_act!F70=0,0,TrRoad_ene!F73/TrRoad_tech!F101)</f>
        <v>1.1182970493693143</v>
      </c>
      <c r="G128" s="93">
        <f>IF(TrRoad_act!G70=0,0,TrRoad_ene!G73/TrRoad_tech!G101)</f>
        <v>1.1194240797422006</v>
      </c>
      <c r="H128" s="93">
        <f>IF(TrRoad_act!H70=0,0,TrRoad_ene!H73/TrRoad_tech!H101)</f>
        <v>1.1201166254227686</v>
      </c>
      <c r="I128" s="93">
        <f>IF(TrRoad_act!I70=0,0,TrRoad_ene!I73/TrRoad_tech!I101)</f>
        <v>1.1208198826644711</v>
      </c>
      <c r="J128" s="93">
        <f>IF(TrRoad_act!J70=0,0,TrRoad_ene!J73/TrRoad_tech!J101)</f>
        <v>1.1219008043917209</v>
      </c>
      <c r="K128" s="93">
        <f>IF(TrRoad_act!K70=0,0,TrRoad_ene!K73/TrRoad_tech!K101)</f>
        <v>1.1226883756242747</v>
      </c>
      <c r="L128" s="93">
        <f>IF(TrRoad_act!L70=0,0,TrRoad_ene!L73/TrRoad_tech!L101)</f>
        <v>1.1239323783474238</v>
      </c>
      <c r="M128" s="93">
        <f>IF(TrRoad_act!M70=0,0,TrRoad_ene!M73/TrRoad_tech!M101)</f>
        <v>1.1253598729734116</v>
      </c>
      <c r="N128" s="93">
        <f>IF(TrRoad_act!N70=0,0,TrRoad_ene!N73/TrRoad_tech!N101)</f>
        <v>1.1268953569567219</v>
      </c>
      <c r="O128" s="93">
        <f>IF(TrRoad_act!O70=0,0,TrRoad_ene!O73/TrRoad_tech!O101)</f>
        <v>1.1285102365655677</v>
      </c>
      <c r="P128" s="93">
        <f>IF(TrRoad_act!P70=0,0,TrRoad_ene!P73/TrRoad_tech!P101)</f>
        <v>1.1302220080750633</v>
      </c>
      <c r="Q128" s="93">
        <f>IF(TrRoad_act!Q70=0,0,TrRoad_ene!Q73/TrRoad_tech!Q101)</f>
        <v>1.131354102997927</v>
      </c>
      <c r="R128" s="93">
        <f>IF(TrRoad_act!R70=0,0,TrRoad_ene!R73/TrRoad_tech!R101)</f>
        <v>1.1327550762647229</v>
      </c>
      <c r="S128" s="93">
        <f>IF(TrRoad_act!S70=0,0,TrRoad_ene!S73/TrRoad_tech!S101)</f>
        <v>1.1355152766799568</v>
      </c>
      <c r="T128" s="93">
        <f>IF(TrRoad_act!T70=0,0,TrRoad_ene!T73/TrRoad_tech!T101)</f>
        <v>1.1717570405980655</v>
      </c>
      <c r="U128" s="93">
        <f>IF(TrRoad_act!U70=0,0,TrRoad_ene!U73/TrRoad_tech!U101)</f>
        <v>1.1768783179518607</v>
      </c>
      <c r="V128" s="93">
        <f>IF(TrRoad_act!V70=0,0,TrRoad_ene!V73/TrRoad_tech!V101)</f>
        <v>1.1818794394865981</v>
      </c>
      <c r="W128" s="93">
        <f>IF(TrRoad_act!W70=0,0,TrRoad_ene!W73/TrRoad_tech!W101)</f>
        <v>1.1890125218051335</v>
      </c>
      <c r="X128" s="93">
        <f>IF(TrRoad_act!X70=0,0,TrRoad_ene!X73/TrRoad_tech!X101)</f>
        <v>1.1957973302745992</v>
      </c>
      <c r="Y128" s="93">
        <f>IF(TrRoad_act!Y70=0,0,TrRoad_ene!Y73/TrRoad_tech!Y101)</f>
        <v>1.1972227396031931</v>
      </c>
      <c r="DA128" s="175"/>
    </row>
    <row r="129" spans="1:105" ht="11.45" customHeight="1" x14ac:dyDescent="0.25">
      <c r="A129" s="111" t="s">
        <v>113</v>
      </c>
      <c r="B129" s="93">
        <f>IF(TrRoad_act!B71=0,0,TrRoad_ene!B74/TrRoad_tech!B102)</f>
        <v>0</v>
      </c>
      <c r="C129" s="93">
        <f>IF(TrRoad_act!C71=0,0,TrRoad_ene!C74/TrRoad_tech!C102)</f>
        <v>0</v>
      </c>
      <c r="D129" s="93">
        <f>IF(TrRoad_act!D71=0,0,TrRoad_ene!D74/TrRoad_tech!D102)</f>
        <v>0</v>
      </c>
      <c r="E129" s="93">
        <f>IF(TrRoad_act!E71=0,0,TrRoad_ene!E74/TrRoad_tech!E102)</f>
        <v>0</v>
      </c>
      <c r="F129" s="93">
        <f>IF(TrRoad_act!F71=0,0,TrRoad_ene!F74/TrRoad_tech!F102)</f>
        <v>0</v>
      </c>
      <c r="G129" s="93">
        <f>IF(TrRoad_act!G71=0,0,TrRoad_ene!G74/TrRoad_tech!G102)</f>
        <v>0</v>
      </c>
      <c r="H129" s="93">
        <f>IF(TrRoad_act!H71=0,0,TrRoad_ene!H74/TrRoad_tech!H102)</f>
        <v>0</v>
      </c>
      <c r="I129" s="93">
        <f>IF(TrRoad_act!I71=0,0,TrRoad_ene!I74/TrRoad_tech!I102)</f>
        <v>0</v>
      </c>
      <c r="J129" s="93">
        <f>IF(TrRoad_act!J71=0,0,TrRoad_ene!J74/TrRoad_tech!J102)</f>
        <v>0</v>
      </c>
      <c r="K129" s="93">
        <f>IF(TrRoad_act!K71=0,0,TrRoad_ene!K74/TrRoad_tech!K102)</f>
        <v>0</v>
      </c>
      <c r="L129" s="93">
        <f>IF(TrRoad_act!L71=0,0,TrRoad_ene!L74/TrRoad_tech!L102)</f>
        <v>0</v>
      </c>
      <c r="M129" s="93">
        <f>IF(TrRoad_act!M71=0,0,TrRoad_ene!M74/TrRoad_tech!M102)</f>
        <v>0</v>
      </c>
      <c r="N129" s="93">
        <f>IF(TrRoad_act!N71=0,0,TrRoad_ene!N74/TrRoad_tech!N102)</f>
        <v>0</v>
      </c>
      <c r="O129" s="93">
        <f>IF(TrRoad_act!O71=0,0,TrRoad_ene!O74/TrRoad_tech!O102)</f>
        <v>0</v>
      </c>
      <c r="P129" s="93">
        <f>IF(TrRoad_act!P71=0,0,TrRoad_ene!P74/TrRoad_tech!P102)</f>
        <v>0</v>
      </c>
      <c r="Q129" s="93">
        <f>IF(TrRoad_act!Q71=0,0,TrRoad_ene!Q74/TrRoad_tech!Q102)</f>
        <v>1.3000000000070033</v>
      </c>
      <c r="R129" s="93">
        <f>IF(TrRoad_act!R71=0,0,TrRoad_ene!R74/TrRoad_tech!R102)</f>
        <v>1.1408112865208195</v>
      </c>
      <c r="S129" s="93">
        <f>IF(TrRoad_act!S71=0,0,TrRoad_ene!S74/TrRoad_tech!S102)</f>
        <v>0.84394933349812018</v>
      </c>
      <c r="T129" s="93">
        <f>IF(TrRoad_act!T71=0,0,TrRoad_ene!T74/TrRoad_tech!T102)</f>
        <v>0.46983911533570455</v>
      </c>
      <c r="U129" s="93">
        <f>IF(TrRoad_act!U71=0,0,TrRoad_ene!U74/TrRoad_tech!U102)</f>
        <v>0.62128090259054169</v>
      </c>
      <c r="V129" s="93">
        <f>IF(TrRoad_act!V71=0,0,TrRoad_ene!V74/TrRoad_tech!V102)</f>
        <v>0.69014699173004346</v>
      </c>
      <c r="W129" s="93">
        <f>IF(TrRoad_act!W71=0,0,TrRoad_ene!W74/TrRoad_tech!W102)</f>
        <v>0.98046823383985227</v>
      </c>
      <c r="X129" s="93">
        <f>IF(TrRoad_act!X71=0,0,TrRoad_ene!X74/TrRoad_tech!X102)</f>
        <v>1.3420918702083477</v>
      </c>
      <c r="Y129" s="93">
        <f>IF(TrRoad_act!Y71=0,0,TrRoad_ene!Y74/TrRoad_tech!Y102)</f>
        <v>1.2968834594075205</v>
      </c>
      <c r="DA129" s="175"/>
    </row>
    <row r="130" spans="1:105" ht="11.45" customHeight="1" x14ac:dyDescent="0.25">
      <c r="A130" s="111" t="s">
        <v>115</v>
      </c>
      <c r="B130" s="93">
        <f>IF(TrRoad_act!B72=0,0,TrRoad_ene!B75/TrRoad_tech!B103)</f>
        <v>1.1000000000067305</v>
      </c>
      <c r="C130" s="93">
        <f>IF(TrRoad_act!C72=0,0,TrRoad_ene!C75/TrRoad_tech!C103)</f>
        <v>1.1004643094272444</v>
      </c>
      <c r="D130" s="93">
        <f>IF(TrRoad_act!D72=0,0,TrRoad_ene!D75/TrRoad_tech!D103)</f>
        <v>1.1006833925735107</v>
      </c>
      <c r="E130" s="93">
        <f>IF(TrRoad_act!E72=0,0,TrRoad_ene!E75/TrRoad_tech!E103)</f>
        <v>1.1008773232979858</v>
      </c>
      <c r="F130" s="93">
        <f>IF(TrRoad_act!F72=0,0,TrRoad_ene!F75/TrRoad_tech!F103)</f>
        <v>1.1009689813282384</v>
      </c>
      <c r="G130" s="93">
        <f>IF(TrRoad_act!G72=0,0,TrRoad_ene!G75/TrRoad_tech!G103)</f>
        <v>1.1269737379830456</v>
      </c>
      <c r="H130" s="93">
        <f>IF(TrRoad_act!H72=0,0,TrRoad_ene!H75/TrRoad_tech!H103)</f>
        <v>1.1284416809144961</v>
      </c>
      <c r="I130" s="93">
        <f>IF(TrRoad_act!I72=0,0,TrRoad_ene!I75/TrRoad_tech!I103)</f>
        <v>1.1292965972776317</v>
      </c>
      <c r="J130" s="93">
        <f>IF(TrRoad_act!J72=0,0,TrRoad_ene!J75/TrRoad_tech!J103)</f>
        <v>1.1298898626635732</v>
      </c>
      <c r="K130" s="93">
        <f>IF(TrRoad_act!K72=0,0,TrRoad_ene!K75/TrRoad_tech!K103)</f>
        <v>1.1305957690550368</v>
      </c>
      <c r="L130" s="93">
        <f>IF(TrRoad_act!L72=0,0,TrRoad_ene!L75/TrRoad_tech!L103)</f>
        <v>1.133714493902066</v>
      </c>
      <c r="M130" s="93">
        <f>IF(TrRoad_act!M72=0,0,TrRoad_ene!M75/TrRoad_tech!M103)</f>
        <v>1.1357500866567141</v>
      </c>
      <c r="N130" s="93">
        <f>IF(TrRoad_act!N72=0,0,TrRoad_ene!N75/TrRoad_tech!N103)</f>
        <v>1.136310968126953</v>
      </c>
      <c r="O130" s="93">
        <f>IF(TrRoad_act!O72=0,0,TrRoad_ene!O75/TrRoad_tech!O103)</f>
        <v>1.1509405637659145</v>
      </c>
      <c r="P130" s="93">
        <f>IF(TrRoad_act!P72=0,0,TrRoad_ene!P75/TrRoad_tech!P103)</f>
        <v>1.1627048342085231</v>
      </c>
      <c r="Q130" s="93">
        <f>IF(TrRoad_act!Q72=0,0,TrRoad_ene!Q75/TrRoad_tech!Q103)</f>
        <v>1.183369886056816</v>
      </c>
      <c r="R130" s="93">
        <f>IF(TrRoad_act!R72=0,0,TrRoad_ene!R75/TrRoad_tech!R103)</f>
        <v>1.1930167431416179</v>
      </c>
      <c r="S130" s="93">
        <f>IF(TrRoad_act!S72=0,0,TrRoad_ene!S75/TrRoad_tech!S103)</f>
        <v>1.2388810780825588</v>
      </c>
      <c r="T130" s="93">
        <f>IF(TrRoad_act!T72=0,0,TrRoad_ene!T75/TrRoad_tech!T103)</f>
        <v>1.2679596876851265</v>
      </c>
      <c r="U130" s="93">
        <f>IF(TrRoad_act!U72=0,0,TrRoad_ene!U75/TrRoad_tech!U103)</f>
        <v>1.3284215854522108</v>
      </c>
      <c r="V130" s="93">
        <f>IF(TrRoad_act!V72=0,0,TrRoad_ene!V75/TrRoad_tech!V103)</f>
        <v>1.339046019148934</v>
      </c>
      <c r="W130" s="93">
        <f>IF(TrRoad_act!W72=0,0,TrRoad_ene!W75/TrRoad_tech!W103)</f>
        <v>1.3452020454677294</v>
      </c>
      <c r="X130" s="93">
        <f>IF(TrRoad_act!X72=0,0,TrRoad_ene!X75/TrRoad_tech!X103)</f>
        <v>1.3484616889674381</v>
      </c>
      <c r="Y130" s="93">
        <f>IF(TrRoad_act!Y72=0,0,TrRoad_ene!Y75/TrRoad_tech!Y103)</f>
        <v>1.3529212649698985</v>
      </c>
      <c r="DA130" s="175"/>
    </row>
    <row r="131" spans="1:105" ht="11.45" customHeight="1" x14ac:dyDescent="0.25">
      <c r="A131" s="27" t="s">
        <v>34</v>
      </c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  <c r="DA131" s="173"/>
    </row>
    <row r="132" spans="1:105" ht="11.45" customHeight="1" x14ac:dyDescent="0.25">
      <c r="A132" s="136" t="s">
        <v>153</v>
      </c>
      <c r="B132" s="150">
        <f>IF(TrRoad_act!B74=0,0,TrRoad_ene!B77/TrRoad_tech!B105)</f>
        <v>1.1207043879544822</v>
      </c>
      <c r="C132" s="150">
        <f>IF(TrRoad_act!C74=0,0,TrRoad_ene!C77/TrRoad_tech!C105)</f>
        <v>1.1119417486784795</v>
      </c>
      <c r="D132" s="150">
        <f>IF(TrRoad_act!D74=0,0,TrRoad_ene!D77/TrRoad_tech!D105)</f>
        <v>1.1090971004183023</v>
      </c>
      <c r="E132" s="150">
        <f>IF(TrRoad_act!E74=0,0,TrRoad_ene!E77/TrRoad_tech!E105)</f>
        <v>1.107631987692657</v>
      </c>
      <c r="F132" s="150">
        <f>IF(TrRoad_act!F74=0,0,TrRoad_ene!F77/TrRoad_tech!F105)</f>
        <v>1.1069637599882356</v>
      </c>
      <c r="G132" s="150">
        <f>IF(TrRoad_act!G74=0,0,TrRoad_ene!G77/TrRoad_tech!G105)</f>
        <v>1.1084010959820692</v>
      </c>
      <c r="H132" s="150">
        <f>IF(TrRoad_act!H74=0,0,TrRoad_ene!H77/TrRoad_tech!H105)</f>
        <v>1.1107946490520815</v>
      </c>
      <c r="I132" s="150">
        <f>IF(TrRoad_act!I74=0,0,TrRoad_ene!I77/TrRoad_tech!I105)</f>
        <v>1.114168260429248</v>
      </c>
      <c r="J132" s="150">
        <f>IF(TrRoad_act!J74=0,0,TrRoad_ene!J77/TrRoad_tech!J105)</f>
        <v>1.1199118802115131</v>
      </c>
      <c r="K132" s="150">
        <f>IF(TrRoad_act!K74=0,0,TrRoad_ene!K77/TrRoad_tech!K105)</f>
        <v>1.121045474392885</v>
      </c>
      <c r="L132" s="150">
        <f>IF(TrRoad_act!L74=0,0,TrRoad_ene!L77/TrRoad_tech!L105)</f>
        <v>1.1290467721740935</v>
      </c>
      <c r="M132" s="150">
        <f>IF(TrRoad_act!M74=0,0,TrRoad_ene!M77/TrRoad_tech!M105)</f>
        <v>1.1358487444164793</v>
      </c>
      <c r="N132" s="150">
        <f>IF(TrRoad_act!N74=0,0,TrRoad_ene!N77/TrRoad_tech!N105)</f>
        <v>1.142946705199162</v>
      </c>
      <c r="O132" s="150">
        <f>IF(TrRoad_act!O74=0,0,TrRoad_ene!O77/TrRoad_tech!O105)</f>
        <v>1.1515682293536726</v>
      </c>
      <c r="P132" s="150">
        <f>IF(TrRoad_act!P74=0,0,TrRoad_ene!P77/TrRoad_tech!P105)</f>
        <v>1.1598730842980411</v>
      </c>
      <c r="Q132" s="150">
        <f>IF(TrRoad_act!Q74=0,0,TrRoad_ene!Q77/TrRoad_tech!Q105)</f>
        <v>1.1709742032469981</v>
      </c>
      <c r="R132" s="150">
        <f>IF(TrRoad_act!R74=0,0,TrRoad_ene!R77/TrRoad_tech!R105)</f>
        <v>1.177894479468971</v>
      </c>
      <c r="S132" s="150">
        <f>IF(TrRoad_act!S74=0,0,TrRoad_ene!S77/TrRoad_tech!S105)</f>
        <v>1.1882738425479493</v>
      </c>
      <c r="T132" s="150">
        <f>IF(TrRoad_act!T74=0,0,TrRoad_ene!T77/TrRoad_tech!T105)</f>
        <v>1.1989138636970953</v>
      </c>
      <c r="U132" s="150">
        <f>IF(TrRoad_act!U74=0,0,TrRoad_ene!U77/TrRoad_tech!U105)</f>
        <v>1.2106585221044988</v>
      </c>
      <c r="V132" s="150">
        <f>IF(TrRoad_act!V74=0,0,TrRoad_ene!V77/TrRoad_tech!V105)</f>
        <v>1.2297656617711199</v>
      </c>
      <c r="W132" s="150">
        <f>IF(TrRoad_act!W74=0,0,TrRoad_ene!W77/TrRoad_tech!W105)</f>
        <v>1.2465037901507123</v>
      </c>
      <c r="X132" s="150">
        <f>IF(TrRoad_act!X74=0,0,TrRoad_ene!X77/TrRoad_tech!X105)</f>
        <v>1.2604121240431401</v>
      </c>
      <c r="Y132" s="150">
        <f>IF(TrRoad_act!Y74=0,0,TrRoad_ene!Y77/TrRoad_tech!Y105)</f>
        <v>1.2735606902535916</v>
      </c>
      <c r="DA132" s="174"/>
    </row>
    <row r="133" spans="1:105" ht="11.45" customHeight="1" x14ac:dyDescent="0.25">
      <c r="A133" s="111" t="s">
        <v>110</v>
      </c>
      <c r="B133" s="91">
        <f>IF(TrRoad_act!B75=0,0,TrRoad_ene!B78/TrRoad_tech!B106)</f>
        <v>1.1000000000067303</v>
      </c>
      <c r="C133" s="91">
        <f>IF(TrRoad_act!C75=0,0,TrRoad_ene!C78/TrRoad_tech!C106)</f>
        <v>1.1000086455982117</v>
      </c>
      <c r="D133" s="91">
        <f>IF(TrRoad_act!D75=0,0,TrRoad_ene!D78/TrRoad_tech!D106)</f>
        <v>1.1000408071256604</v>
      </c>
      <c r="E133" s="91">
        <f>IF(TrRoad_act!E75=0,0,TrRoad_ene!E78/TrRoad_tech!E106)</f>
        <v>1.1001307988273064</v>
      </c>
      <c r="F133" s="91">
        <f>IF(TrRoad_act!F75=0,0,TrRoad_ene!F78/TrRoad_tech!F106)</f>
        <v>1.1002112324839686</v>
      </c>
      <c r="G133" s="91">
        <f>IF(TrRoad_act!G75=0,0,TrRoad_ene!G78/TrRoad_tech!G106)</f>
        <v>1.100255212010236</v>
      </c>
      <c r="H133" s="91">
        <f>IF(TrRoad_act!H75=0,0,TrRoad_ene!H78/TrRoad_tech!H106)</f>
        <v>1.1006437806386393</v>
      </c>
      <c r="I133" s="91">
        <f>IF(TrRoad_act!I75=0,0,TrRoad_ene!I78/TrRoad_tech!I106)</f>
        <v>1.1017323699400485</v>
      </c>
      <c r="J133" s="91">
        <f>IF(TrRoad_act!J75=0,0,TrRoad_ene!J78/TrRoad_tech!J106)</f>
        <v>1.1041105696198448</v>
      </c>
      <c r="K133" s="91">
        <f>IF(TrRoad_act!K75=0,0,TrRoad_ene!K78/TrRoad_tech!K106)</f>
        <v>1.1070101622208324</v>
      </c>
      <c r="L133" s="91">
        <f>IF(TrRoad_act!L75=0,0,TrRoad_ene!L78/TrRoad_tech!L106)</f>
        <v>1.1116699993435306</v>
      </c>
      <c r="M133" s="91">
        <f>IF(TrRoad_act!M75=0,0,TrRoad_ene!M78/TrRoad_tech!M106)</f>
        <v>1.1158111961067352</v>
      </c>
      <c r="N133" s="91">
        <f>IF(TrRoad_act!N75=0,0,TrRoad_ene!N78/TrRoad_tech!N106)</f>
        <v>1.1209752342328401</v>
      </c>
      <c r="O133" s="91">
        <f>IF(TrRoad_act!O75=0,0,TrRoad_ene!O78/TrRoad_tech!O106)</f>
        <v>1.1281127902390469</v>
      </c>
      <c r="P133" s="91">
        <f>IF(TrRoad_act!P75=0,0,TrRoad_ene!P78/TrRoad_tech!P106)</f>
        <v>1.1350696744478748</v>
      </c>
      <c r="Q133" s="91">
        <f>IF(TrRoad_act!Q75=0,0,TrRoad_ene!Q78/TrRoad_tech!Q106)</f>
        <v>1.1424367486830964</v>
      </c>
      <c r="R133" s="91">
        <f>IF(TrRoad_act!R75=0,0,TrRoad_ene!R78/TrRoad_tech!R106)</f>
        <v>1.1500674842653136</v>
      </c>
      <c r="S133" s="91">
        <f>IF(TrRoad_act!S75=0,0,TrRoad_ene!S78/TrRoad_tech!S106)</f>
        <v>1.1622528536370351</v>
      </c>
      <c r="T133" s="91">
        <f>IF(TrRoad_act!T75=0,0,TrRoad_ene!T78/TrRoad_tech!T106)</f>
        <v>1.1786773536999859</v>
      </c>
      <c r="U133" s="91">
        <f>IF(TrRoad_act!U75=0,0,TrRoad_ene!U78/TrRoad_tech!U106)</f>
        <v>1.1865227677001247</v>
      </c>
      <c r="V133" s="91">
        <f>IF(TrRoad_act!V75=0,0,TrRoad_ene!V78/TrRoad_tech!V106)</f>
        <v>1.2001599037448052</v>
      </c>
      <c r="W133" s="91">
        <f>IF(TrRoad_act!W75=0,0,TrRoad_ene!W78/TrRoad_tech!W106)</f>
        <v>1.2175992246411609</v>
      </c>
      <c r="X133" s="91">
        <f>IF(TrRoad_act!X75=0,0,TrRoad_ene!X78/TrRoad_tech!X106)</f>
        <v>1.2352899354722446</v>
      </c>
      <c r="Y133" s="91">
        <f>IF(TrRoad_act!Y75=0,0,TrRoad_ene!Y78/TrRoad_tech!Y106)</f>
        <v>1.2533409475394874</v>
      </c>
      <c r="DA133" s="171"/>
    </row>
    <row r="134" spans="1:105" ht="11.45" customHeight="1" x14ac:dyDescent="0.25">
      <c r="A134" s="111" t="s">
        <v>111</v>
      </c>
      <c r="B134" s="91">
        <f>IF(TrRoad_act!B76=0,0,TrRoad_ene!B79/TrRoad_tech!B107)</f>
        <v>1.1000000000067305</v>
      </c>
      <c r="C134" s="91">
        <f>IF(TrRoad_act!C76=0,0,TrRoad_ene!C79/TrRoad_tech!C107)</f>
        <v>1.1000851333695763</v>
      </c>
      <c r="D134" s="91">
        <f>IF(TrRoad_act!D76=0,0,TrRoad_ene!D79/TrRoad_tech!D107)</f>
        <v>1.1003667885640216</v>
      </c>
      <c r="E134" s="91">
        <f>IF(TrRoad_act!E76=0,0,TrRoad_ene!E79/TrRoad_tech!E107)</f>
        <v>1.1006985169633565</v>
      </c>
      <c r="F134" s="91">
        <f>IF(TrRoad_act!F76=0,0,TrRoad_ene!F79/TrRoad_tech!F107)</f>
        <v>1.1011293046000636</v>
      </c>
      <c r="G134" s="91">
        <f>IF(TrRoad_act!G76=0,0,TrRoad_ene!G79/TrRoad_tech!G107)</f>
        <v>1.1019530970994762</v>
      </c>
      <c r="H134" s="91">
        <f>IF(TrRoad_act!H76=0,0,TrRoad_ene!H79/TrRoad_tech!H107)</f>
        <v>1.1034213395435641</v>
      </c>
      <c r="I134" s="91">
        <f>IF(TrRoad_act!I76=0,0,TrRoad_ene!I79/TrRoad_tech!I107)</f>
        <v>1.1059516376547993</v>
      </c>
      <c r="J134" s="91">
        <f>IF(TrRoad_act!J76=0,0,TrRoad_ene!J79/TrRoad_tech!J107)</f>
        <v>1.1096863379294479</v>
      </c>
      <c r="K134" s="91">
        <f>IF(TrRoad_act!K76=0,0,TrRoad_ene!K79/TrRoad_tech!K107)</f>
        <v>1.113625184100032</v>
      </c>
      <c r="L134" s="91">
        <f>IF(TrRoad_act!L76=0,0,TrRoad_ene!L79/TrRoad_tech!L107)</f>
        <v>1.117590346010195</v>
      </c>
      <c r="M134" s="91">
        <f>IF(TrRoad_act!M76=0,0,TrRoad_ene!M79/TrRoad_tech!M107)</f>
        <v>1.1224488490122295</v>
      </c>
      <c r="N134" s="91">
        <f>IF(TrRoad_act!N76=0,0,TrRoad_ene!N79/TrRoad_tech!N107)</f>
        <v>1.1282689010873643</v>
      </c>
      <c r="O134" s="91">
        <f>IF(TrRoad_act!O76=0,0,TrRoad_ene!O79/TrRoad_tech!O107)</f>
        <v>1.1361738271986006</v>
      </c>
      <c r="P134" s="91">
        <f>IF(TrRoad_act!P76=0,0,TrRoad_ene!P79/TrRoad_tech!P107)</f>
        <v>1.1441758395842951</v>
      </c>
      <c r="Q134" s="91">
        <f>IF(TrRoad_act!Q76=0,0,TrRoad_ene!Q79/TrRoad_tech!Q107)</f>
        <v>1.1543896117280812</v>
      </c>
      <c r="R134" s="91">
        <f>IF(TrRoad_act!R76=0,0,TrRoad_ene!R79/TrRoad_tech!R107)</f>
        <v>1.1652836383511138</v>
      </c>
      <c r="S134" s="91">
        <f>IF(TrRoad_act!S76=0,0,TrRoad_ene!S79/TrRoad_tech!S107)</f>
        <v>1.1774125826583526</v>
      </c>
      <c r="T134" s="91">
        <f>IF(TrRoad_act!T76=0,0,TrRoad_ene!T79/TrRoad_tech!T107)</f>
        <v>1.1894096857672776</v>
      </c>
      <c r="U134" s="91">
        <f>IF(TrRoad_act!U76=0,0,TrRoad_ene!U79/TrRoad_tech!U107)</f>
        <v>1.2084149559396904</v>
      </c>
      <c r="V134" s="91">
        <f>IF(TrRoad_act!V76=0,0,TrRoad_ene!V79/TrRoad_tech!V107)</f>
        <v>1.2266888462923724</v>
      </c>
      <c r="W134" s="91">
        <f>IF(TrRoad_act!W76=0,0,TrRoad_ene!W79/TrRoad_tech!W107)</f>
        <v>1.2448452923740563</v>
      </c>
      <c r="X134" s="91">
        <f>IF(TrRoad_act!X76=0,0,TrRoad_ene!X79/TrRoad_tech!X107)</f>
        <v>1.2613906457927331</v>
      </c>
      <c r="Y134" s="91">
        <f>IF(TrRoad_act!Y76=0,0,TrRoad_ene!Y79/TrRoad_tech!Y107)</f>
        <v>1.2734937546397287</v>
      </c>
      <c r="DA134" s="171"/>
    </row>
    <row r="135" spans="1:105" ht="11.45" customHeight="1" x14ac:dyDescent="0.25">
      <c r="A135" s="111" t="s">
        <v>112</v>
      </c>
      <c r="B135" s="91">
        <f>IF(TrRoad_act!B77=0,0,TrRoad_ene!B80/TrRoad_tech!B108)</f>
        <v>1.1000000000067303</v>
      </c>
      <c r="C135" s="91">
        <f>IF(TrRoad_act!C77=0,0,TrRoad_ene!C80/TrRoad_tech!C108)</f>
        <v>1.1000560299568831</v>
      </c>
      <c r="D135" s="91">
        <f>IF(TrRoad_act!D77=0,0,TrRoad_ene!D80/TrRoad_tech!D108)</f>
        <v>1.1003362419770359</v>
      </c>
      <c r="E135" s="91">
        <f>IF(TrRoad_act!E77=0,0,TrRoad_ene!E80/TrRoad_tech!E108)</f>
        <v>1.1005360050053883</v>
      </c>
      <c r="F135" s="91">
        <f>IF(TrRoad_act!F77=0,0,TrRoad_ene!F80/TrRoad_tech!F108)</f>
        <v>1.1006203271313635</v>
      </c>
      <c r="G135" s="91">
        <f>IF(TrRoad_act!G77=0,0,TrRoad_ene!G80/TrRoad_tech!G108)</f>
        <v>1.1008994496531632</v>
      </c>
      <c r="H135" s="91">
        <f>IF(TrRoad_act!H77=0,0,TrRoad_ene!H80/TrRoad_tech!H108)</f>
        <v>1.1020029200827461</v>
      </c>
      <c r="I135" s="91">
        <f>IF(TrRoad_act!I77=0,0,TrRoad_ene!I80/TrRoad_tech!I108)</f>
        <v>1.1030673496093488</v>
      </c>
      <c r="J135" s="91">
        <f>IF(TrRoad_act!J77=0,0,TrRoad_ene!J80/TrRoad_tech!J108)</f>
        <v>1.1040683127237283</v>
      </c>
      <c r="K135" s="91">
        <f>IF(TrRoad_act!K77=0,0,TrRoad_ene!K80/TrRoad_tech!K108)</f>
        <v>1.1046961818991978</v>
      </c>
      <c r="L135" s="91">
        <f>IF(TrRoad_act!L77=0,0,TrRoad_ene!L80/TrRoad_tech!L108)</f>
        <v>1.1057044504732567</v>
      </c>
      <c r="M135" s="91">
        <f>IF(TrRoad_act!M77=0,0,TrRoad_ene!M80/TrRoad_tech!M108)</f>
        <v>1.1071856199413013</v>
      </c>
      <c r="N135" s="91">
        <f>IF(TrRoad_act!N77=0,0,TrRoad_ene!N80/TrRoad_tech!N108)</f>
        <v>1.1097304916828667</v>
      </c>
      <c r="O135" s="91">
        <f>IF(TrRoad_act!O77=0,0,TrRoad_ene!O80/TrRoad_tech!O108)</f>
        <v>1.1114034238729564</v>
      </c>
      <c r="P135" s="91">
        <f>IF(TrRoad_act!P77=0,0,TrRoad_ene!P80/TrRoad_tech!P108)</f>
        <v>1.120605181013447</v>
      </c>
      <c r="Q135" s="91">
        <f>IF(TrRoad_act!Q77=0,0,TrRoad_ene!Q80/TrRoad_tech!Q108)</f>
        <v>1.1227766378137933</v>
      </c>
      <c r="R135" s="91">
        <f>IF(TrRoad_act!R77=0,0,TrRoad_ene!R80/TrRoad_tech!R108)</f>
        <v>1.12994749953372</v>
      </c>
      <c r="S135" s="91">
        <f>IF(TrRoad_act!S77=0,0,TrRoad_ene!S80/TrRoad_tech!S108)</f>
        <v>1.1350869574645879</v>
      </c>
      <c r="T135" s="91">
        <f>IF(TrRoad_act!T77=0,0,TrRoad_ene!T80/TrRoad_tech!T108)</f>
        <v>1.142106376688041</v>
      </c>
      <c r="U135" s="91">
        <f>IF(TrRoad_act!U77=0,0,TrRoad_ene!U80/TrRoad_tech!U108)</f>
        <v>1.1442479935989873</v>
      </c>
      <c r="V135" s="91">
        <f>IF(TrRoad_act!V77=0,0,TrRoad_ene!V80/TrRoad_tech!V108)</f>
        <v>1.1448455620651761</v>
      </c>
      <c r="W135" s="91">
        <f>IF(TrRoad_act!W77=0,0,TrRoad_ene!W80/TrRoad_tech!W108)</f>
        <v>1.1479355746371493</v>
      </c>
      <c r="X135" s="91">
        <f>IF(TrRoad_act!X77=0,0,TrRoad_ene!X80/TrRoad_tech!X108)</f>
        <v>1.1498085104145916</v>
      </c>
      <c r="Y135" s="91">
        <f>IF(TrRoad_act!Y77=0,0,TrRoad_ene!Y80/TrRoad_tech!Y108)</f>
        <v>1.1529948994869623</v>
      </c>
      <c r="DA135" s="171"/>
    </row>
    <row r="136" spans="1:105" ht="11.45" customHeight="1" x14ac:dyDescent="0.25">
      <c r="A136" s="111" t="s">
        <v>113</v>
      </c>
      <c r="B136" s="91">
        <f>IF(TrRoad_act!B78=0,0,TrRoad_ene!B81/TrRoad_tech!B109)</f>
        <v>0</v>
      </c>
      <c r="C136" s="91">
        <f>IF(TrRoad_act!C78=0,0,TrRoad_ene!C81/TrRoad_tech!C109)</f>
        <v>0</v>
      </c>
      <c r="D136" s="91">
        <f>IF(TrRoad_act!D78=0,0,TrRoad_ene!D81/TrRoad_tech!D109)</f>
        <v>0</v>
      </c>
      <c r="E136" s="91">
        <f>IF(TrRoad_act!E78=0,0,TrRoad_ene!E81/TrRoad_tech!E109)</f>
        <v>0</v>
      </c>
      <c r="F136" s="91">
        <f>IF(TrRoad_act!F78=0,0,TrRoad_ene!F81/TrRoad_tech!F109)</f>
        <v>0</v>
      </c>
      <c r="G136" s="91">
        <f>IF(TrRoad_act!G78=0,0,TrRoad_ene!G81/TrRoad_tech!G109)</f>
        <v>0</v>
      </c>
      <c r="H136" s="91">
        <f>IF(TrRoad_act!H78=0,0,TrRoad_ene!H81/TrRoad_tech!H109)</f>
        <v>0</v>
      </c>
      <c r="I136" s="91">
        <f>IF(TrRoad_act!I78=0,0,TrRoad_ene!I81/TrRoad_tech!I109)</f>
        <v>0</v>
      </c>
      <c r="J136" s="91">
        <f>IF(TrRoad_act!J78=0,0,TrRoad_ene!J81/TrRoad_tech!J109)</f>
        <v>0</v>
      </c>
      <c r="K136" s="91">
        <f>IF(TrRoad_act!K78=0,0,TrRoad_ene!K81/TrRoad_tech!K109)</f>
        <v>0</v>
      </c>
      <c r="L136" s="91">
        <f>IF(TrRoad_act!L78=0,0,TrRoad_ene!L81/TrRoad_tech!L109)</f>
        <v>0</v>
      </c>
      <c r="M136" s="91">
        <f>IF(TrRoad_act!M78=0,0,TrRoad_ene!M81/TrRoad_tech!M109)</f>
        <v>0</v>
      </c>
      <c r="N136" s="91">
        <f>IF(TrRoad_act!N78=0,0,TrRoad_ene!N81/TrRoad_tech!N109)</f>
        <v>0</v>
      </c>
      <c r="O136" s="91">
        <f>IF(TrRoad_act!O78=0,0,TrRoad_ene!O81/TrRoad_tech!O109)</f>
        <v>0</v>
      </c>
      <c r="P136" s="91">
        <f>IF(TrRoad_act!P78=0,0,TrRoad_ene!P81/TrRoad_tech!P109)</f>
        <v>0</v>
      </c>
      <c r="Q136" s="91">
        <f>IF(TrRoad_act!Q78=0,0,TrRoad_ene!Q81/TrRoad_tech!Q109)</f>
        <v>1.3000000000070033</v>
      </c>
      <c r="R136" s="91">
        <f>IF(TrRoad_act!R78=0,0,TrRoad_ene!R81/TrRoad_tech!R109)</f>
        <v>1.3027336920798993</v>
      </c>
      <c r="S136" s="91">
        <f>IF(TrRoad_act!S78=0,0,TrRoad_ene!S81/TrRoad_tech!S109)</f>
        <v>1.3042979546065585</v>
      </c>
      <c r="T136" s="91">
        <f>IF(TrRoad_act!T78=0,0,TrRoad_ene!T81/TrRoad_tech!T109)</f>
        <v>1.305836689831583</v>
      </c>
      <c r="U136" s="91">
        <f>IF(TrRoad_act!U78=0,0,TrRoad_ene!U81/TrRoad_tech!U109)</f>
        <v>1.3066704084981189</v>
      </c>
      <c r="V136" s="91">
        <f>IF(TrRoad_act!V78=0,0,TrRoad_ene!V81/TrRoad_tech!V109)</f>
        <v>1.3096488758954685</v>
      </c>
      <c r="W136" s="91">
        <f>IF(TrRoad_act!W78=0,0,TrRoad_ene!W81/TrRoad_tech!W109)</f>
        <v>1.3112680331006341</v>
      </c>
      <c r="X136" s="91">
        <f>IF(TrRoad_act!X78=0,0,TrRoad_ene!X81/TrRoad_tech!X109)</f>
        <v>1.3142886239295712</v>
      </c>
      <c r="Y136" s="91">
        <f>IF(TrRoad_act!Y78=0,0,TrRoad_ene!Y81/TrRoad_tech!Y109)</f>
        <v>1.3162987637679169</v>
      </c>
      <c r="DA136" s="171"/>
    </row>
    <row r="137" spans="1:105" ht="11.45" customHeight="1" x14ac:dyDescent="0.25">
      <c r="A137" s="111" t="s">
        <v>115</v>
      </c>
      <c r="B137" s="91">
        <f>IF(TrRoad_act!B79=0,0,TrRoad_ene!B82/TrRoad_tech!B110)</f>
        <v>0</v>
      </c>
      <c r="C137" s="91">
        <f>IF(TrRoad_act!C79=0,0,TrRoad_ene!C82/TrRoad_tech!C110)</f>
        <v>0</v>
      </c>
      <c r="D137" s="91">
        <f>IF(TrRoad_act!D79=0,0,TrRoad_ene!D82/TrRoad_tech!D110)</f>
        <v>0</v>
      </c>
      <c r="E137" s="91">
        <f>IF(TrRoad_act!E79=0,0,TrRoad_ene!E82/TrRoad_tech!E110)</f>
        <v>0</v>
      </c>
      <c r="F137" s="91">
        <f>IF(TrRoad_act!F79=0,0,TrRoad_ene!F82/TrRoad_tech!F110)</f>
        <v>0</v>
      </c>
      <c r="G137" s="91">
        <f>IF(TrRoad_act!G79=0,0,TrRoad_ene!G82/TrRoad_tech!G110)</f>
        <v>0</v>
      </c>
      <c r="H137" s="91">
        <f>IF(TrRoad_act!H79=0,0,TrRoad_ene!H82/TrRoad_tech!H110)</f>
        <v>0</v>
      </c>
      <c r="I137" s="91">
        <f>IF(TrRoad_act!I79=0,0,TrRoad_ene!I82/TrRoad_tech!I110)</f>
        <v>0</v>
      </c>
      <c r="J137" s="91">
        <f>IF(TrRoad_act!J79=0,0,TrRoad_ene!J82/TrRoad_tech!J110)</f>
        <v>0</v>
      </c>
      <c r="K137" s="91">
        <f>IF(TrRoad_act!K79=0,0,TrRoad_ene!K82/TrRoad_tech!K110)</f>
        <v>0</v>
      </c>
      <c r="L137" s="91">
        <f>IF(TrRoad_act!L79=0,0,TrRoad_ene!L82/TrRoad_tech!L110)</f>
        <v>0</v>
      </c>
      <c r="M137" s="91">
        <f>IF(TrRoad_act!M79=0,0,TrRoad_ene!M82/TrRoad_tech!M110)</f>
        <v>0</v>
      </c>
      <c r="N137" s="91">
        <f>IF(TrRoad_act!N79=0,0,TrRoad_ene!N82/TrRoad_tech!N110)</f>
        <v>1.2360000000066977</v>
      </c>
      <c r="O137" s="91">
        <f>IF(TrRoad_act!O79=0,0,TrRoad_ene!O82/TrRoad_tech!O110)</f>
        <v>1.2454138274005397</v>
      </c>
      <c r="P137" s="91">
        <f>IF(TrRoad_act!P79=0,0,TrRoad_ene!P82/TrRoad_tech!P110)</f>
        <v>1.2532476983008323</v>
      </c>
      <c r="Q137" s="91">
        <f>IF(TrRoad_act!Q79=0,0,TrRoad_ene!Q82/TrRoad_tech!Q110)</f>
        <v>1.2681997333886461</v>
      </c>
      <c r="R137" s="91">
        <f>IF(TrRoad_act!R79=0,0,TrRoad_ene!R82/TrRoad_tech!R110)</f>
        <v>1.2804873374692947</v>
      </c>
      <c r="S137" s="91">
        <f>IF(TrRoad_act!S79=0,0,TrRoad_ene!S82/TrRoad_tech!S110)</f>
        <v>1.2986856289678552</v>
      </c>
      <c r="T137" s="91">
        <f>IF(TrRoad_act!T79=0,0,TrRoad_ene!T82/TrRoad_tech!T110)</f>
        <v>1.3225592629521994</v>
      </c>
      <c r="U137" s="91">
        <f>IF(TrRoad_act!U79=0,0,TrRoad_ene!U82/TrRoad_tech!U110)</f>
        <v>1.3393293968965183</v>
      </c>
      <c r="V137" s="91">
        <f>IF(TrRoad_act!V79=0,0,TrRoad_ene!V82/TrRoad_tech!V110)</f>
        <v>1.3477923850295523</v>
      </c>
      <c r="W137" s="91">
        <f>IF(TrRoad_act!W79=0,0,TrRoad_ene!W82/TrRoad_tech!W110)</f>
        <v>1.3536878424170378</v>
      </c>
      <c r="X137" s="91">
        <f>IF(TrRoad_act!X79=0,0,TrRoad_ene!X82/TrRoad_tech!X110)</f>
        <v>1.3578246894610295</v>
      </c>
      <c r="Y137" s="91">
        <f>IF(TrRoad_act!Y79=0,0,TrRoad_ene!Y82/TrRoad_tech!Y110)</f>
        <v>1.3613467873548974</v>
      </c>
      <c r="DA137" s="171"/>
    </row>
    <row r="138" spans="1:105" ht="11.45" customHeight="1" x14ac:dyDescent="0.25">
      <c r="A138" s="109" t="s">
        <v>154</v>
      </c>
      <c r="B138" s="151">
        <f>IF(TrRoad_act!B80=0,0,TrRoad_ene!B83/TrRoad_tech!B111)</f>
        <v>0.36853578202386422</v>
      </c>
      <c r="C138" s="151">
        <f>IF(TrRoad_act!C80=0,0,TrRoad_ene!C83/TrRoad_tech!C111)</f>
        <v>0.4626036564367596</v>
      </c>
      <c r="D138" s="151">
        <f>IF(TrRoad_act!D80=0,0,TrRoad_ene!D83/TrRoad_tech!D111)</f>
        <v>0.33561185563181201</v>
      </c>
      <c r="E138" s="151">
        <f>IF(TrRoad_act!E80=0,0,TrRoad_ene!E83/TrRoad_tech!E111)</f>
        <v>0.53532936355435767</v>
      </c>
      <c r="F138" s="151">
        <f>IF(TrRoad_act!F80=0,0,TrRoad_ene!F83/TrRoad_tech!F111)</f>
        <v>0.69160454884084244</v>
      </c>
      <c r="G138" s="151">
        <f>IF(TrRoad_act!G80=0,0,TrRoad_ene!G83/TrRoad_tech!G111)</f>
        <v>0.93594167827727204</v>
      </c>
      <c r="H138" s="151">
        <f>IF(TrRoad_act!H80=0,0,TrRoad_ene!H83/TrRoad_tech!H111)</f>
        <v>1.0628978114202046</v>
      </c>
      <c r="I138" s="151">
        <f>IF(TrRoad_act!I80=0,0,TrRoad_ene!I83/TrRoad_tech!I111)</f>
        <v>1.197367831525902</v>
      </c>
      <c r="J138" s="151">
        <f>IF(TrRoad_act!J80=0,0,TrRoad_ene!J83/TrRoad_tech!J111)</f>
        <v>1.2250108985623003</v>
      </c>
      <c r="K138" s="151">
        <f>IF(TrRoad_act!K80=0,0,TrRoad_ene!K83/TrRoad_tech!K111)</f>
        <v>1.1212930865718731</v>
      </c>
      <c r="L138" s="151">
        <f>IF(TrRoad_act!L80=0,0,TrRoad_ene!L83/TrRoad_tech!L111)</f>
        <v>1.1762283240096338</v>
      </c>
      <c r="M138" s="151">
        <f>IF(TrRoad_act!M80=0,0,TrRoad_ene!M83/TrRoad_tech!M111)</f>
        <v>1.0893717874067366</v>
      </c>
      <c r="N138" s="151">
        <f>IF(TrRoad_act!N80=0,0,TrRoad_ene!N83/TrRoad_tech!N111)</f>
        <v>0.92514117532408868</v>
      </c>
      <c r="O138" s="151">
        <f>IF(TrRoad_act!O80=0,0,TrRoad_ene!O83/TrRoad_tech!O111)</f>
        <v>0.7133863092822248</v>
      </c>
      <c r="P138" s="151">
        <f>IF(TrRoad_act!P80=0,0,TrRoad_ene!P83/TrRoad_tech!P111)</f>
        <v>0.74806569691127911</v>
      </c>
      <c r="Q138" s="151">
        <f>IF(TrRoad_act!Q80=0,0,TrRoad_ene!Q83/TrRoad_tech!Q111)</f>
        <v>0.75280907856890289</v>
      </c>
      <c r="R138" s="151">
        <f>IF(TrRoad_act!R80=0,0,TrRoad_ene!R83/TrRoad_tech!R111)</f>
        <v>1.0101796646161538</v>
      </c>
      <c r="S138" s="151">
        <f>IF(TrRoad_act!S80=0,0,TrRoad_ene!S83/TrRoad_tech!S111)</f>
        <v>1.2893968623689893</v>
      </c>
      <c r="T138" s="151">
        <f>IF(TrRoad_act!T80=0,0,TrRoad_ene!T83/TrRoad_tech!T111)</f>
        <v>1.4201330713966209</v>
      </c>
      <c r="U138" s="151">
        <f>IF(TrRoad_act!U80=0,0,TrRoad_ene!U83/TrRoad_tech!U111)</f>
        <v>1.4170707067923032</v>
      </c>
      <c r="V138" s="151">
        <f>IF(TrRoad_act!V80=0,0,TrRoad_ene!V83/TrRoad_tech!V111)</f>
        <v>1.2941205866517318</v>
      </c>
      <c r="W138" s="151">
        <f>IF(TrRoad_act!W80=0,0,TrRoad_ene!W83/TrRoad_tech!W111)</f>
        <v>1.614090974287453</v>
      </c>
      <c r="X138" s="151">
        <f>IF(TrRoad_act!X80=0,0,TrRoad_ene!X83/TrRoad_tech!X111)</f>
        <v>1.6614446739993385</v>
      </c>
      <c r="Y138" s="151">
        <f>IF(TrRoad_act!Y80=0,0,TrRoad_ene!Y83/TrRoad_tech!Y111)</f>
        <v>1.6589800133324062</v>
      </c>
      <c r="DA138" s="176"/>
    </row>
    <row r="139" spans="1:105" ht="11.45" customHeight="1" x14ac:dyDescent="0.25">
      <c r="A139" s="128" t="s">
        <v>27</v>
      </c>
      <c r="B139" s="93">
        <f>IF(TrRoad_act!B81=0,0,TrRoad_ene!B84/TrRoad_tech!B112)</f>
        <v>0.3574953255874031</v>
      </c>
      <c r="C139" s="93">
        <f>IF(TrRoad_act!C81=0,0,TrRoad_ene!C84/TrRoad_tech!C112)</f>
        <v>0.44893663619145613</v>
      </c>
      <c r="D139" s="93">
        <f>IF(TrRoad_act!D81=0,0,TrRoad_ene!D84/TrRoad_tech!D112)</f>
        <v>0.32555789014209169</v>
      </c>
      <c r="E139" s="93">
        <f>IF(TrRoad_act!E81=0,0,TrRoad_ene!E84/TrRoad_tech!E112)</f>
        <v>0.52045069505648256</v>
      </c>
      <c r="F139" s="93">
        <f>IF(TrRoad_act!F81=0,0,TrRoad_ene!F84/TrRoad_tech!F112)</f>
        <v>0.67424978928667612</v>
      </c>
      <c r="G139" s="93">
        <f>IF(TrRoad_act!G81=0,0,TrRoad_ene!G84/TrRoad_tech!G112)</f>
        <v>0.91340419894383673</v>
      </c>
      <c r="H139" s="93">
        <f>IF(TrRoad_act!H81=0,0,TrRoad_ene!H84/TrRoad_tech!H112)</f>
        <v>1.0348613639230773</v>
      </c>
      <c r="I139" s="93">
        <f>IF(TrRoad_act!I81=0,0,TrRoad_ene!I84/TrRoad_tech!I112)</f>
        <v>1.1690240255236068</v>
      </c>
      <c r="J139" s="93">
        <f>IF(TrRoad_act!J81=0,0,TrRoad_ene!J84/TrRoad_tech!J112)</f>
        <v>1.1974477696541619</v>
      </c>
      <c r="K139" s="93">
        <f>IF(TrRoad_act!K81=0,0,TrRoad_ene!K84/TrRoad_tech!K112)</f>
        <v>1.0992605970403935</v>
      </c>
      <c r="L139" s="93">
        <f>IF(TrRoad_act!L81=0,0,TrRoad_ene!L84/TrRoad_tech!L112)</f>
        <v>1.1519449506973634</v>
      </c>
      <c r="M139" s="93">
        <f>IF(TrRoad_act!M81=0,0,TrRoad_ene!M84/TrRoad_tech!M112)</f>
        <v>1.0678545887563131</v>
      </c>
      <c r="N139" s="93">
        <f>IF(TrRoad_act!N81=0,0,TrRoad_ene!N84/TrRoad_tech!N112)</f>
        <v>0.90543760710654786</v>
      </c>
      <c r="O139" s="93">
        <f>IF(TrRoad_act!O81=0,0,TrRoad_ene!O84/TrRoad_tech!O112)</f>
        <v>0.69864125968022162</v>
      </c>
      <c r="P139" s="93">
        <f>IF(TrRoad_act!P81=0,0,TrRoad_ene!P84/TrRoad_tech!P112)</f>
        <v>0.73161750454400443</v>
      </c>
      <c r="Q139" s="93">
        <f>IF(TrRoad_act!Q81=0,0,TrRoad_ene!Q84/TrRoad_tech!Q112)</f>
        <v>0.73644310728785234</v>
      </c>
      <c r="R139" s="93">
        <f>IF(TrRoad_act!R81=0,0,TrRoad_ene!R84/TrRoad_tech!R112)</f>
        <v>0.98504377291408352</v>
      </c>
      <c r="S139" s="93">
        <f>IF(TrRoad_act!S81=0,0,TrRoad_ene!S84/TrRoad_tech!S112)</f>
        <v>1.2557147034741356</v>
      </c>
      <c r="T139" s="93">
        <f>IF(TrRoad_act!T81=0,0,TrRoad_ene!T84/TrRoad_tech!T112)</f>
        <v>1.3842307490890386</v>
      </c>
      <c r="U139" s="93">
        <f>IF(TrRoad_act!U81=0,0,TrRoad_ene!U84/TrRoad_tech!U112)</f>
        <v>1.3755648914600804</v>
      </c>
      <c r="V139" s="93">
        <f>IF(TrRoad_act!V81=0,0,TrRoad_ene!V84/TrRoad_tech!V112)</f>
        <v>1.2577147960857651</v>
      </c>
      <c r="W139" s="93">
        <f>IF(TrRoad_act!W81=0,0,TrRoad_ene!W84/TrRoad_tech!W112)</f>
        <v>1.5675281173498221</v>
      </c>
      <c r="X139" s="93">
        <f>IF(TrRoad_act!X81=0,0,TrRoad_ene!X84/TrRoad_tech!X112)</f>
        <v>1.6104467498237582</v>
      </c>
      <c r="Y139" s="93">
        <f>IF(TrRoad_act!Y81=0,0,TrRoad_ene!Y84/TrRoad_tech!Y112)</f>
        <v>1.6046228819849131</v>
      </c>
      <c r="DA139" s="175"/>
    </row>
    <row r="140" spans="1:105" ht="11.45" customHeight="1" x14ac:dyDescent="0.25">
      <c r="A140" s="138" t="s">
        <v>116</v>
      </c>
      <c r="B140" s="94">
        <f>IF(TrRoad_act!B82=0,0,TrRoad_ene!B85/TrRoad_tech!B113)</f>
        <v>0.35749532558740338</v>
      </c>
      <c r="C140" s="94">
        <f>IF(TrRoad_act!C82=0,0,TrRoad_ene!C85/TrRoad_tech!C113)</f>
        <v>0.44899024936340126</v>
      </c>
      <c r="D140" s="94">
        <f>IF(TrRoad_act!D82=0,0,TrRoad_ene!D85/TrRoad_tech!D113)</f>
        <v>0.3254119263496717</v>
      </c>
      <c r="E140" s="94">
        <f>IF(TrRoad_act!E82=0,0,TrRoad_ene!E85/TrRoad_tech!E113)</f>
        <v>0.52041821511388942</v>
      </c>
      <c r="F140" s="94">
        <f>IF(TrRoad_act!F82=0,0,TrRoad_ene!F85/TrRoad_tech!F113)</f>
        <v>0.67623291940755614</v>
      </c>
      <c r="G140" s="94">
        <f>IF(TrRoad_act!G82=0,0,TrRoad_ene!G85/TrRoad_tech!G113)</f>
        <v>0.91643375664267679</v>
      </c>
      <c r="H140" s="94">
        <f>IF(TrRoad_act!H82=0,0,TrRoad_ene!H85/TrRoad_tech!H113)</f>
        <v>1.0426172900785409</v>
      </c>
      <c r="I140" s="94">
        <f>IF(TrRoad_act!I82=0,0,TrRoad_ene!I85/TrRoad_tech!I113)</f>
        <v>1.1713923389824867</v>
      </c>
      <c r="J140" s="94">
        <f>IF(TrRoad_act!J82=0,0,TrRoad_ene!J85/TrRoad_tech!J113)</f>
        <v>1.1969137085392871</v>
      </c>
      <c r="K140" s="94">
        <f>IF(TrRoad_act!K82=0,0,TrRoad_ene!K85/TrRoad_tech!K113)</f>
        <v>1.0960836471328905</v>
      </c>
      <c r="L140" s="94">
        <f>IF(TrRoad_act!L82=0,0,TrRoad_ene!L85/TrRoad_tech!L113)</f>
        <v>1.1571688941104747</v>
      </c>
      <c r="M140" s="94">
        <f>IF(TrRoad_act!M82=0,0,TrRoad_ene!M85/TrRoad_tech!M113)</f>
        <v>1.0738579286183541</v>
      </c>
      <c r="N140" s="94">
        <f>IF(TrRoad_act!N82=0,0,TrRoad_ene!N85/TrRoad_tech!N113)</f>
        <v>0.91399710258483802</v>
      </c>
      <c r="O140" s="94">
        <f>IF(TrRoad_act!O82=0,0,TrRoad_ene!O85/TrRoad_tech!O113)</f>
        <v>0.70603318191432196</v>
      </c>
      <c r="P140" s="94">
        <f>IF(TrRoad_act!P82=0,0,TrRoad_ene!P85/TrRoad_tech!P113)</f>
        <v>0.73812417683975073</v>
      </c>
      <c r="Q140" s="94">
        <f>IF(TrRoad_act!Q82=0,0,TrRoad_ene!Q85/TrRoad_tech!Q113)</f>
        <v>0.74364492264514859</v>
      </c>
      <c r="R140" s="94">
        <f>IF(TrRoad_act!R82=0,0,TrRoad_ene!R85/TrRoad_tech!R113)</f>
        <v>0.9985780852418874</v>
      </c>
      <c r="S140" s="94">
        <f>IF(TrRoad_act!S82=0,0,TrRoad_ene!S85/TrRoad_tech!S113)</f>
        <v>1.2798584661735402</v>
      </c>
      <c r="T140" s="94">
        <f>IF(TrRoad_act!T82=0,0,TrRoad_ene!T85/TrRoad_tech!T113)</f>
        <v>1.4095088243646026</v>
      </c>
      <c r="U140" s="94">
        <f>IF(TrRoad_act!U82=0,0,TrRoad_ene!U85/TrRoad_tech!U113)</f>
        <v>1.4110409237551991</v>
      </c>
      <c r="V140" s="94">
        <f>IF(TrRoad_act!V82=0,0,TrRoad_ene!V85/TrRoad_tech!V113)</f>
        <v>1.2891001051921105</v>
      </c>
      <c r="W140" s="94">
        <f>IF(TrRoad_act!W82=0,0,TrRoad_ene!W85/TrRoad_tech!W113)</f>
        <v>1.6125592751423834</v>
      </c>
      <c r="X140" s="94">
        <f>IF(TrRoad_act!X82=0,0,TrRoad_ene!X85/TrRoad_tech!X113)</f>
        <v>1.6554993513917959</v>
      </c>
      <c r="Y140" s="94">
        <f>IF(TrRoad_act!Y82=0,0,TrRoad_ene!Y85/TrRoad_tech!Y113)</f>
        <v>1.6539191612006534</v>
      </c>
      <c r="DA140" s="178"/>
    </row>
    <row r="141" spans="1:105" x14ac:dyDescent="0.25">
      <c r="A141" s="106"/>
      <c r="B141" s="106"/>
      <c r="C141" s="106"/>
      <c r="D141" s="106"/>
      <c r="E141" s="106"/>
      <c r="F141" s="106"/>
      <c r="G141" s="106"/>
      <c r="H141" s="106"/>
      <c r="I141" s="106"/>
      <c r="J141" s="106"/>
      <c r="K141" s="106"/>
      <c r="L141" s="106"/>
      <c r="M141" s="106"/>
      <c r="N141" s="106"/>
      <c r="O141" s="106"/>
      <c r="P141" s="106"/>
      <c r="Q141" s="106"/>
      <c r="R141" s="106"/>
      <c r="S141" s="106"/>
      <c r="T141" s="106"/>
      <c r="U141" s="106"/>
      <c r="V141" s="106"/>
      <c r="W141" s="106"/>
      <c r="X141" s="106"/>
      <c r="Y141" s="106"/>
      <c r="DA141" s="171"/>
    </row>
    <row r="142" spans="1:105" ht="11.45" customHeight="1" x14ac:dyDescent="0.25">
      <c r="A142" s="53" t="s">
        <v>122</v>
      </c>
      <c r="B142" s="79"/>
      <c r="C142" s="79"/>
      <c r="D142" s="79"/>
      <c r="E142" s="79"/>
      <c r="F142" s="79"/>
      <c r="G142" s="79"/>
      <c r="H142" s="79"/>
      <c r="I142" s="79"/>
      <c r="J142" s="79"/>
      <c r="K142" s="79"/>
      <c r="L142" s="79"/>
      <c r="M142" s="79"/>
      <c r="N142" s="79"/>
      <c r="O142" s="79"/>
      <c r="P142" s="79"/>
      <c r="Q142" s="79"/>
      <c r="R142" s="79"/>
      <c r="S142" s="79"/>
      <c r="T142" s="79"/>
      <c r="U142" s="79"/>
      <c r="V142" s="79"/>
      <c r="W142" s="79"/>
      <c r="X142" s="79"/>
      <c r="Y142" s="79"/>
      <c r="DA142" s="172"/>
    </row>
    <row r="143" spans="1:105" ht="11.45" customHeight="1" x14ac:dyDescent="0.25">
      <c r="A143" s="27" t="s">
        <v>33</v>
      </c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DA143" s="173"/>
    </row>
    <row r="144" spans="1:105" ht="11.45" customHeight="1" x14ac:dyDescent="0.25">
      <c r="A144" s="136" t="s">
        <v>173</v>
      </c>
      <c r="B144" s="141">
        <v>0</v>
      </c>
      <c r="C144" s="141">
        <v>3.7549913314804533</v>
      </c>
      <c r="D144" s="141">
        <v>3.7322843103913348</v>
      </c>
      <c r="E144" s="141">
        <v>3.6855682601231243</v>
      </c>
      <c r="F144" s="141">
        <v>3.6804643884104329</v>
      </c>
      <c r="G144" s="141">
        <v>3.6308839203442824</v>
      </c>
      <c r="H144" s="141">
        <v>3.5576589853642338</v>
      </c>
      <c r="I144" s="141">
        <v>3.5054745011181394</v>
      </c>
      <c r="J144" s="141">
        <v>3.3352760035969444</v>
      </c>
      <c r="K144" s="141">
        <v>3.1516928629108332</v>
      </c>
      <c r="L144" s="141">
        <v>3.0370640706696617</v>
      </c>
      <c r="M144" s="141">
        <v>3.0082672075142156</v>
      </c>
      <c r="N144" s="141">
        <v>2.9416778013645026</v>
      </c>
      <c r="O144" s="141">
        <v>2.8811114646759535</v>
      </c>
      <c r="P144" s="141">
        <v>2.7727513261427275</v>
      </c>
      <c r="Q144" s="141">
        <v>2.7096501828587432</v>
      </c>
      <c r="R144" s="141">
        <v>2.6652139513794171</v>
      </c>
      <c r="S144" s="141">
        <v>2.6296649661959561</v>
      </c>
      <c r="T144" s="141">
        <v>2.6012257780491876</v>
      </c>
      <c r="U144" s="141">
        <v>2.5784744275317726</v>
      </c>
      <c r="V144" s="141">
        <v>2.5602733471178407</v>
      </c>
      <c r="W144" s="141">
        <v>2.545712482786695</v>
      </c>
      <c r="X144" s="141">
        <v>2.5340637913217785</v>
      </c>
      <c r="Y144" s="141">
        <v>2.5247448381498456</v>
      </c>
      <c r="DA144" s="174" t="s">
        <v>887</v>
      </c>
    </row>
    <row r="145" spans="1:105" ht="11.45" customHeight="1" x14ac:dyDescent="0.25">
      <c r="A145" s="109" t="s">
        <v>20</v>
      </c>
      <c r="B145" s="130">
        <v>7.4066763675881395</v>
      </c>
      <c r="C145" s="130">
        <v>7.4474792789619837</v>
      </c>
      <c r="D145" s="130">
        <v>7.4873701607661953</v>
      </c>
      <c r="E145" s="130">
        <v>7.4455798471019037</v>
      </c>
      <c r="F145" s="130">
        <v>7.2767702587258345</v>
      </c>
      <c r="G145" s="130">
        <v>7.2051308524257056</v>
      </c>
      <c r="H145" s="130">
        <v>7.1020836489300621</v>
      </c>
      <c r="I145" s="130">
        <v>6.9875504609469079</v>
      </c>
      <c r="J145" s="130">
        <v>6.6341690408717708</v>
      </c>
      <c r="K145" s="130">
        <v>6.3412218991287741</v>
      </c>
      <c r="L145" s="130">
        <v>6.1016515662597186</v>
      </c>
      <c r="M145" s="130">
        <v>5.9376613627759758</v>
      </c>
      <c r="N145" s="130">
        <v>5.8679913453333254</v>
      </c>
      <c r="O145" s="130">
        <v>5.6957098179157759</v>
      </c>
      <c r="P145" s="130">
        <v>5.4803566110209463</v>
      </c>
      <c r="Q145" s="130">
        <v>5.3366808043145397</v>
      </c>
      <c r="R145" s="130">
        <v>5.2612575186533528</v>
      </c>
      <c r="S145" s="130">
        <v>5.2921656984798968</v>
      </c>
      <c r="T145" s="130">
        <v>5.3949303141614422</v>
      </c>
      <c r="U145" s="130">
        <v>5.2957118741474583</v>
      </c>
      <c r="V145" s="130">
        <v>5.046687354306794</v>
      </c>
      <c r="W145" s="130">
        <v>4.8563874723633838</v>
      </c>
      <c r="X145" s="130">
        <v>4.852914898058204</v>
      </c>
      <c r="Y145" s="130">
        <v>4.7669128672880596</v>
      </c>
      <c r="DA145" s="176" t="s">
        <v>888</v>
      </c>
    </row>
    <row r="146" spans="1:105" ht="11.45" customHeight="1" x14ac:dyDescent="0.25">
      <c r="A146" s="111" t="s">
        <v>110</v>
      </c>
      <c r="B146" s="96">
        <v>7.4911760217516079</v>
      </c>
      <c r="C146" s="96">
        <v>7.450393383192444</v>
      </c>
      <c r="D146" s="96">
        <v>7.405339686728202</v>
      </c>
      <c r="E146" s="96">
        <v>7.3126489396446575</v>
      </c>
      <c r="F146" s="96">
        <v>7.3025221913568252</v>
      </c>
      <c r="G146" s="96">
        <v>7.2041480651321459</v>
      </c>
      <c r="H146" s="96">
        <v>7.058860227451583</v>
      </c>
      <c r="I146" s="96">
        <v>6.9553193929167874</v>
      </c>
      <c r="J146" s="96">
        <v>6.6176233377673697</v>
      </c>
      <c r="K146" s="96">
        <v>6.2533704019039389</v>
      </c>
      <c r="L146" s="96">
        <v>6.025918481050474</v>
      </c>
      <c r="M146" s="96">
        <v>5.9649180053675988</v>
      </c>
      <c r="N146" s="96">
        <v>5.833702554443378</v>
      </c>
      <c r="O146" s="96">
        <v>5.7157642447769943</v>
      </c>
      <c r="P146" s="96">
        <v>5.5043509802003738</v>
      </c>
      <c r="Q146" s="96">
        <v>5.3794676215332968</v>
      </c>
      <c r="R146" s="96">
        <v>5.3330508504264946</v>
      </c>
      <c r="S146" s="96">
        <v>5.230975875570067</v>
      </c>
      <c r="T146" s="96">
        <v>5.3229451198617248</v>
      </c>
      <c r="U146" s="96">
        <v>5.2644962544734142</v>
      </c>
      <c r="V146" s="96">
        <v>5.0176999370306987</v>
      </c>
      <c r="W146" s="96">
        <v>4.817482351248036</v>
      </c>
      <c r="X146" s="96">
        <v>4.8132920410705644</v>
      </c>
      <c r="Y146" s="96">
        <v>4.7235483952677795</v>
      </c>
      <c r="DA146" s="171" t="s">
        <v>889</v>
      </c>
    </row>
    <row r="147" spans="1:105" ht="11.45" customHeight="1" x14ac:dyDescent="0.25">
      <c r="A147" s="111" t="s">
        <v>111</v>
      </c>
      <c r="B147" s="96">
        <v>6.8361913787439059</v>
      </c>
      <c r="C147" s="96">
        <v>6.8327950642631974</v>
      </c>
      <c r="D147" s="96">
        <v>6.829023360444797</v>
      </c>
      <c r="E147" s="96">
        <v>6.8445816386956935</v>
      </c>
      <c r="F147" s="96">
        <v>6.7994390586192255</v>
      </c>
      <c r="G147" s="96">
        <v>6.8197119666431245</v>
      </c>
      <c r="H147" s="96">
        <v>6.8634401577876911</v>
      </c>
      <c r="I147" s="96">
        <v>6.8002641188295057</v>
      </c>
      <c r="J147" s="96">
        <v>6.4934595863515927</v>
      </c>
      <c r="K147" s="96">
        <v>6.2382802498880183</v>
      </c>
      <c r="L147" s="96">
        <v>5.9986591916753422</v>
      </c>
      <c r="M147" s="96">
        <v>5.9024913354687696</v>
      </c>
      <c r="N147" s="96">
        <v>5.7512772366773053</v>
      </c>
      <c r="O147" s="96">
        <v>5.6392268884388956</v>
      </c>
      <c r="P147" s="96">
        <v>5.4259212401866863</v>
      </c>
      <c r="Q147" s="96">
        <v>5.2293220625269559</v>
      </c>
      <c r="R147" s="96">
        <v>5.1308157819418918</v>
      </c>
      <c r="S147" s="96">
        <v>5.3257150228578567</v>
      </c>
      <c r="T147" s="96">
        <v>5.4212238872081127</v>
      </c>
      <c r="U147" s="96">
        <v>5.2922995931812418</v>
      </c>
      <c r="V147" s="96">
        <v>5.1643714202516922</v>
      </c>
      <c r="W147" s="96">
        <v>5.0208312260348666</v>
      </c>
      <c r="X147" s="96">
        <v>5.0588925469937678</v>
      </c>
      <c r="Y147" s="96">
        <v>5.2291571450578909</v>
      </c>
      <c r="DA147" s="171" t="s">
        <v>890</v>
      </c>
    </row>
    <row r="148" spans="1:105" ht="11.45" customHeight="1" x14ac:dyDescent="0.25">
      <c r="A148" s="111" t="s">
        <v>112</v>
      </c>
      <c r="B148" s="96">
        <v>0</v>
      </c>
      <c r="C148" s="96">
        <v>7.5859624997623341</v>
      </c>
      <c r="D148" s="96">
        <v>7.5817750474156016</v>
      </c>
      <c r="E148" s="96">
        <v>7.5990482883458679</v>
      </c>
      <c r="F148" s="96">
        <v>7.5489297180709203</v>
      </c>
      <c r="G148" s="96">
        <v>7.5714372744346035</v>
      </c>
      <c r="H148" s="96">
        <v>7.6199855500795266</v>
      </c>
      <c r="I148" s="96">
        <v>7.5498457232717682</v>
      </c>
      <c r="J148" s="96">
        <v>7.2092226464422948</v>
      </c>
      <c r="K148" s="96">
        <v>6.9259153236087165</v>
      </c>
      <c r="L148" s="96">
        <v>6.659881241705448</v>
      </c>
      <c r="M148" s="96">
        <v>6.5938872188203632</v>
      </c>
      <c r="N148" s="96">
        <v>6.616240145803876</v>
      </c>
      <c r="O148" s="96">
        <v>5.7874853655494762</v>
      </c>
      <c r="P148" s="96">
        <v>5.5805630248571285</v>
      </c>
      <c r="Q148" s="96">
        <v>5.4565350871139238</v>
      </c>
      <c r="R148" s="96">
        <v>5.467286906072216</v>
      </c>
      <c r="S148" s="96">
        <v>5.6153070569843599</v>
      </c>
      <c r="T148" s="96">
        <v>5.5860261581483774</v>
      </c>
      <c r="U148" s="96">
        <v>5.7559021734865636</v>
      </c>
      <c r="V148" s="96">
        <v>4.6884817435566779</v>
      </c>
      <c r="W148" s="96">
        <v>4.5945150292411183</v>
      </c>
      <c r="X148" s="96">
        <v>4.5469298354228789</v>
      </c>
      <c r="Y148" s="96">
        <v>4.5145012572176153</v>
      </c>
      <c r="DA148" s="171" t="s">
        <v>891</v>
      </c>
    </row>
    <row r="149" spans="1:105" ht="11.45" customHeight="1" x14ac:dyDescent="0.25">
      <c r="A149" s="111" t="s">
        <v>113</v>
      </c>
      <c r="B149" s="96">
        <v>0</v>
      </c>
      <c r="C149" s="96">
        <v>0</v>
      </c>
      <c r="D149" s="96">
        <v>0</v>
      </c>
      <c r="E149" s="96">
        <v>0</v>
      </c>
      <c r="F149" s="96">
        <v>0</v>
      </c>
      <c r="G149" s="96">
        <v>0</v>
      </c>
      <c r="H149" s="96">
        <v>0</v>
      </c>
      <c r="I149" s="96">
        <v>0</v>
      </c>
      <c r="J149" s="96">
        <v>0</v>
      </c>
      <c r="K149" s="96">
        <v>0</v>
      </c>
      <c r="L149" s="96">
        <v>0</v>
      </c>
      <c r="M149" s="96">
        <v>0</v>
      </c>
      <c r="N149" s="96">
        <v>0</v>
      </c>
      <c r="O149" s="96">
        <v>0</v>
      </c>
      <c r="P149" s="96">
        <v>0</v>
      </c>
      <c r="Q149" s="96">
        <v>5.3622954946422476</v>
      </c>
      <c r="R149" s="96">
        <v>5.5028663828276461</v>
      </c>
      <c r="S149" s="96">
        <v>5.28955739497425</v>
      </c>
      <c r="T149" s="96">
        <v>6.1733787898372388</v>
      </c>
      <c r="U149" s="96">
        <v>5.9526608911806251</v>
      </c>
      <c r="V149" s="96">
        <v>6.0146900560545902</v>
      </c>
      <c r="W149" s="96">
        <v>5.5773284239219185</v>
      </c>
      <c r="X149" s="96">
        <v>0</v>
      </c>
      <c r="Y149" s="96">
        <v>4.5519143540345626</v>
      </c>
      <c r="DA149" s="171" t="s">
        <v>892</v>
      </c>
    </row>
    <row r="150" spans="1:105" ht="11.45" customHeight="1" x14ac:dyDescent="0.25">
      <c r="A150" s="111" t="s">
        <v>114</v>
      </c>
      <c r="B150" s="96">
        <v>0</v>
      </c>
      <c r="C150" s="96">
        <v>0</v>
      </c>
      <c r="D150" s="96">
        <v>0</v>
      </c>
      <c r="E150" s="96">
        <v>0</v>
      </c>
      <c r="F150" s="96">
        <v>0</v>
      </c>
      <c r="G150" s="96">
        <v>0</v>
      </c>
      <c r="H150" s="96">
        <v>0</v>
      </c>
      <c r="I150" s="96">
        <v>0</v>
      </c>
      <c r="J150" s="96">
        <v>0</v>
      </c>
      <c r="K150" s="96">
        <v>0</v>
      </c>
      <c r="L150" s="96">
        <v>0</v>
      </c>
      <c r="M150" s="96">
        <v>0</v>
      </c>
      <c r="N150" s="96">
        <v>2.4700479675985068</v>
      </c>
      <c r="O150" s="96">
        <v>3.5557784176570397</v>
      </c>
      <c r="P150" s="96">
        <v>5.2342201577937599</v>
      </c>
      <c r="Q150" s="96">
        <v>3.0337068121370954</v>
      </c>
      <c r="R150" s="96">
        <v>2.6263639189886034</v>
      </c>
      <c r="S150" s="96">
        <v>3.0463501411960818</v>
      </c>
      <c r="T150" s="96">
        <v>3.4174436626117748</v>
      </c>
      <c r="U150" s="96">
        <v>3.0048092810732325</v>
      </c>
      <c r="V150" s="96">
        <v>3.3507861144349609</v>
      </c>
      <c r="W150" s="96">
        <v>2.9645825864528836</v>
      </c>
      <c r="X150" s="96">
        <v>2.9007805030599751</v>
      </c>
      <c r="Y150" s="96">
        <v>2.7972102593024837</v>
      </c>
      <c r="DA150" s="171" t="s">
        <v>893</v>
      </c>
    </row>
    <row r="151" spans="1:105" ht="11.45" customHeight="1" x14ac:dyDescent="0.25">
      <c r="A151" s="111" t="s">
        <v>115</v>
      </c>
      <c r="B151" s="96">
        <v>0</v>
      </c>
      <c r="C151" s="96">
        <v>0</v>
      </c>
      <c r="D151" s="96">
        <v>0</v>
      </c>
      <c r="E151" s="96">
        <v>0</v>
      </c>
      <c r="F151" s="96">
        <v>0</v>
      </c>
      <c r="G151" s="96">
        <v>0</v>
      </c>
      <c r="H151" s="96">
        <v>0</v>
      </c>
      <c r="I151" s="96">
        <v>0</v>
      </c>
      <c r="J151" s="96">
        <v>0</v>
      </c>
      <c r="K151" s="96">
        <v>0</v>
      </c>
      <c r="L151" s="96">
        <v>1.3047135028115466</v>
      </c>
      <c r="M151" s="96">
        <v>1.3047135028115466</v>
      </c>
      <c r="N151" s="96">
        <v>1.2037833190025795</v>
      </c>
      <c r="O151" s="96">
        <v>1.2066494697621091</v>
      </c>
      <c r="P151" s="96">
        <v>1.1412491206128348</v>
      </c>
      <c r="Q151" s="96">
        <v>1.1092003439380911</v>
      </c>
      <c r="R151" s="96">
        <v>1.0891372886213817</v>
      </c>
      <c r="S151" s="96">
        <v>1.6484461368382262</v>
      </c>
      <c r="T151" s="96">
        <v>1.4681681067899579</v>
      </c>
      <c r="U151" s="96">
        <v>1.4754270211042708</v>
      </c>
      <c r="V151" s="96">
        <v>1.6031582014519596</v>
      </c>
      <c r="W151" s="96">
        <v>1.5040969096150929</v>
      </c>
      <c r="X151" s="96">
        <v>1.5033413226294643</v>
      </c>
      <c r="Y151" s="96">
        <v>1.5027748848598057</v>
      </c>
      <c r="DA151" s="171" t="s">
        <v>894</v>
      </c>
    </row>
    <row r="152" spans="1:105" ht="11.45" customHeight="1" x14ac:dyDescent="0.25">
      <c r="A152" s="109" t="s">
        <v>21</v>
      </c>
      <c r="B152" s="130">
        <v>46.984708798975369</v>
      </c>
      <c r="C152" s="130">
        <v>46.802842298780917</v>
      </c>
      <c r="D152" s="130">
        <v>46.819299131232633</v>
      </c>
      <c r="E152" s="130">
        <v>46.686212374273232</v>
      </c>
      <c r="F152" s="130">
        <v>45.076153819356598</v>
      </c>
      <c r="G152" s="130">
        <v>44.410592973543451</v>
      </c>
      <c r="H152" s="130">
        <v>46.232423675927535</v>
      </c>
      <c r="I152" s="130">
        <v>46.097058032291173</v>
      </c>
      <c r="J152" s="130">
        <v>45.523895260792784</v>
      </c>
      <c r="K152" s="130">
        <v>44.876567727846172</v>
      </c>
      <c r="L152" s="130">
        <v>44.369159201638318</v>
      </c>
      <c r="M152" s="130">
        <v>44.316624831778299</v>
      </c>
      <c r="N152" s="130">
        <v>44.089763388022305</v>
      </c>
      <c r="O152" s="130">
        <v>43.670803611107715</v>
      </c>
      <c r="P152" s="130">
        <v>43.319637155004571</v>
      </c>
      <c r="Q152" s="130">
        <v>42.735348210530454</v>
      </c>
      <c r="R152" s="130">
        <v>42.433348713360878</v>
      </c>
      <c r="S152" s="130">
        <v>41.203833440692847</v>
      </c>
      <c r="T152" s="130">
        <v>39.720738117220279</v>
      </c>
      <c r="U152" s="130">
        <v>38.855302947393795</v>
      </c>
      <c r="V152" s="130">
        <v>37.032631106299199</v>
      </c>
      <c r="W152" s="130">
        <v>35.614348462530074</v>
      </c>
      <c r="X152" s="130">
        <v>34.341337026004432</v>
      </c>
      <c r="Y152" s="130">
        <v>32.264150518557223</v>
      </c>
      <c r="DA152" s="176" t="s">
        <v>895</v>
      </c>
    </row>
    <row r="153" spans="1:105" ht="11.45" customHeight="1" x14ac:dyDescent="0.25">
      <c r="A153" s="111" t="s">
        <v>110</v>
      </c>
      <c r="B153" s="97">
        <v>0</v>
      </c>
      <c r="C153" s="97">
        <v>0</v>
      </c>
      <c r="D153" s="97">
        <v>0</v>
      </c>
      <c r="E153" s="97">
        <v>0</v>
      </c>
      <c r="F153" s="97">
        <v>0</v>
      </c>
      <c r="G153" s="97">
        <v>0</v>
      </c>
      <c r="H153" s="97">
        <v>0</v>
      </c>
      <c r="I153" s="97">
        <v>0</v>
      </c>
      <c r="J153" s="97">
        <v>0</v>
      </c>
      <c r="K153" s="97">
        <v>0</v>
      </c>
      <c r="L153" s="97">
        <v>0</v>
      </c>
      <c r="M153" s="97">
        <v>0</v>
      </c>
      <c r="N153" s="97">
        <v>0</v>
      </c>
      <c r="O153" s="97">
        <v>0</v>
      </c>
      <c r="P153" s="97">
        <v>0</v>
      </c>
      <c r="Q153" s="97">
        <v>0</v>
      </c>
      <c r="R153" s="97">
        <v>0</v>
      </c>
      <c r="S153" s="97">
        <v>0</v>
      </c>
      <c r="T153" s="97">
        <v>0</v>
      </c>
      <c r="U153" s="97">
        <v>0</v>
      </c>
      <c r="V153" s="97">
        <v>0</v>
      </c>
      <c r="W153" s="97">
        <v>0</v>
      </c>
      <c r="X153" s="97">
        <v>0</v>
      </c>
      <c r="Y153" s="97">
        <v>0</v>
      </c>
      <c r="DA153" s="175" t="s">
        <v>896</v>
      </c>
    </row>
    <row r="154" spans="1:105" ht="11.45" customHeight="1" x14ac:dyDescent="0.25">
      <c r="A154" s="111" t="s">
        <v>111</v>
      </c>
      <c r="B154" s="97">
        <v>46.984708798975369</v>
      </c>
      <c r="C154" s="97">
        <v>46.920484785453411</v>
      </c>
      <c r="D154" s="97">
        <v>46.84922772720568</v>
      </c>
      <c r="E154" s="97">
        <v>46.701238512790866</v>
      </c>
      <c r="F154" s="97">
        <v>46.685053427265842</v>
      </c>
      <c r="G154" s="97">
        <v>46.526222139785474</v>
      </c>
      <c r="H154" s="97">
        <v>46.288043118017633</v>
      </c>
      <c r="I154" s="97">
        <v>46.116414334485142</v>
      </c>
      <c r="J154" s="97">
        <v>45.535497400394135</v>
      </c>
      <c r="K154" s="97">
        <v>44.881915080598098</v>
      </c>
      <c r="L154" s="97">
        <v>44.46237598455928</v>
      </c>
      <c r="M154" s="97">
        <v>44.35622516267491</v>
      </c>
      <c r="N154" s="97">
        <v>44.106619850550224</v>
      </c>
      <c r="O154" s="97">
        <v>43.876030849605989</v>
      </c>
      <c r="P154" s="97">
        <v>43.45150565616489</v>
      </c>
      <c r="Q154" s="97">
        <v>43.199999999908329</v>
      </c>
      <c r="R154" s="97">
        <v>42.631090708573524</v>
      </c>
      <c r="S154" s="97">
        <v>41.788477048321951</v>
      </c>
      <c r="T154" s="97">
        <v>40.716018760135917</v>
      </c>
      <c r="U154" s="97">
        <v>39.456164328029203</v>
      </c>
      <c r="V154" s="97">
        <v>38.048815207420667</v>
      </c>
      <c r="W154" s="97">
        <v>36.530570688548302</v>
      </c>
      <c r="X154" s="97">
        <v>34.934289598446952</v>
      </c>
      <c r="Y154" s="97">
        <v>33.288904373873009</v>
      </c>
      <c r="DA154" s="175" t="s">
        <v>897</v>
      </c>
    </row>
    <row r="155" spans="1:105" ht="11.45" customHeight="1" x14ac:dyDescent="0.25">
      <c r="A155" s="111" t="s">
        <v>112</v>
      </c>
      <c r="B155" s="97">
        <v>0</v>
      </c>
      <c r="C155" s="97">
        <v>0</v>
      </c>
      <c r="D155" s="97">
        <v>0</v>
      </c>
      <c r="E155" s="97">
        <v>38.917698760659057</v>
      </c>
      <c r="F155" s="97">
        <v>38.904211189388199</v>
      </c>
      <c r="G155" s="97">
        <v>38.771851783154567</v>
      </c>
      <c r="H155" s="97">
        <v>38.573369265014698</v>
      </c>
      <c r="I155" s="97">
        <v>38.430345278737619</v>
      </c>
      <c r="J155" s="97">
        <v>37.946247833661779</v>
      </c>
      <c r="K155" s="97">
        <v>0</v>
      </c>
      <c r="L155" s="97">
        <v>37.051979987132732</v>
      </c>
      <c r="M155" s="97">
        <v>36.963520968895757</v>
      </c>
      <c r="N155" s="97">
        <v>36.755516542125186</v>
      </c>
      <c r="O155" s="97">
        <v>36.563359041338323</v>
      </c>
      <c r="P155" s="97">
        <v>36.209588046804079</v>
      </c>
      <c r="Q155" s="97">
        <v>35.99999999992361</v>
      </c>
      <c r="R155" s="97">
        <v>35.77659578113655</v>
      </c>
      <c r="S155" s="97">
        <v>35.541140861582988</v>
      </c>
      <c r="T155" s="97">
        <v>35.295226067130095</v>
      </c>
      <c r="U155" s="97">
        <v>35.040282532991775</v>
      </c>
      <c r="V155" s="97">
        <v>34.777595807532727</v>
      </c>
      <c r="W155" s="97">
        <v>34.508319053315283</v>
      </c>
      <c r="X155" s="97">
        <v>34.233485325138105</v>
      </c>
      <c r="Y155" s="97">
        <v>0</v>
      </c>
      <c r="DA155" s="175" t="s">
        <v>898</v>
      </c>
    </row>
    <row r="156" spans="1:105" ht="11.45" customHeight="1" x14ac:dyDescent="0.25">
      <c r="A156" s="111" t="s">
        <v>113</v>
      </c>
      <c r="B156" s="97">
        <v>0</v>
      </c>
      <c r="C156" s="97">
        <v>0</v>
      </c>
      <c r="D156" s="97">
        <v>0</v>
      </c>
      <c r="E156" s="97">
        <v>0</v>
      </c>
      <c r="F156" s="97">
        <v>0</v>
      </c>
      <c r="G156" s="97">
        <v>0</v>
      </c>
      <c r="H156" s="97">
        <v>0</v>
      </c>
      <c r="I156" s="97">
        <v>0</v>
      </c>
      <c r="J156" s="97">
        <v>0</v>
      </c>
      <c r="K156" s="97">
        <v>0</v>
      </c>
      <c r="L156" s="97">
        <v>0</v>
      </c>
      <c r="M156" s="97">
        <v>0</v>
      </c>
      <c r="N156" s="97">
        <v>0</v>
      </c>
      <c r="O156" s="97">
        <v>0</v>
      </c>
      <c r="P156" s="97">
        <v>0</v>
      </c>
      <c r="Q156" s="97">
        <v>35.99999999992361</v>
      </c>
      <c r="R156" s="97">
        <v>34.959468517249519</v>
      </c>
      <c r="S156" s="97">
        <v>34.315292267415863</v>
      </c>
      <c r="T156" s="97">
        <v>33.90056362809522</v>
      </c>
      <c r="U156" s="97">
        <v>33.620482123997867</v>
      </c>
      <c r="V156" s="97">
        <v>33.420091619855349</v>
      </c>
      <c r="W156" s="97">
        <v>33.267130655575322</v>
      </c>
      <c r="X156" s="97">
        <v>33.142514635062788</v>
      </c>
      <c r="Y156" s="97">
        <v>33.03490123042085</v>
      </c>
      <c r="DA156" s="175" t="s">
        <v>899</v>
      </c>
    </row>
    <row r="157" spans="1:105" ht="11.45" customHeight="1" x14ac:dyDescent="0.25">
      <c r="A157" s="111" t="s">
        <v>115</v>
      </c>
      <c r="B157" s="97">
        <v>0</v>
      </c>
      <c r="C157" s="97">
        <v>25.850096251428077</v>
      </c>
      <c r="D157" s="97">
        <v>25.824389056144817</v>
      </c>
      <c r="E157" s="97">
        <v>0</v>
      </c>
      <c r="F157" s="97">
        <v>0</v>
      </c>
      <c r="G157" s="97">
        <v>25.05737887678826</v>
      </c>
      <c r="H157" s="97">
        <v>24.806805088020376</v>
      </c>
      <c r="I157" s="97">
        <v>24.558737037140173</v>
      </c>
      <c r="J157" s="97">
        <v>0</v>
      </c>
      <c r="K157" s="97">
        <v>24.070018170101083</v>
      </c>
      <c r="L157" s="97">
        <v>23.829317988400071</v>
      </c>
      <c r="M157" s="97">
        <v>23.591024808516071</v>
      </c>
      <c r="N157" s="97">
        <v>0</v>
      </c>
      <c r="O157" s="97">
        <v>23.1215634148266</v>
      </c>
      <c r="P157" s="97">
        <v>22.890347780678333</v>
      </c>
      <c r="Q157" s="97">
        <v>22.661444302871548</v>
      </c>
      <c r="R157" s="97">
        <v>22.34510200699842</v>
      </c>
      <c r="S157" s="97">
        <v>21.953850509061922</v>
      </c>
      <c r="T157" s="97">
        <v>21.499546949228893</v>
      </c>
      <c r="U157" s="97">
        <v>20.993223729384539</v>
      </c>
      <c r="V157" s="97">
        <v>20.444997330736154</v>
      </c>
      <c r="W157" s="97">
        <v>19.864025796860385</v>
      </c>
      <c r="X157" s="97">
        <v>19.258503747646646</v>
      </c>
      <c r="Y157" s="97">
        <v>18.635685297039359</v>
      </c>
      <c r="DA157" s="175" t="s">
        <v>900</v>
      </c>
    </row>
    <row r="158" spans="1:105" ht="11.45" customHeight="1" x14ac:dyDescent="0.25">
      <c r="A158" s="27" t="s">
        <v>34</v>
      </c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DA158" s="173"/>
    </row>
    <row r="159" spans="1:105" ht="11.45" customHeight="1" x14ac:dyDescent="0.25">
      <c r="A159" s="136" t="s">
        <v>153</v>
      </c>
      <c r="B159" s="141">
        <v>8.2421366448684008</v>
      </c>
      <c r="C159" s="141">
        <v>8.0234528211128193</v>
      </c>
      <c r="D159" s="141">
        <v>8.0652709155930058</v>
      </c>
      <c r="E159" s="141">
        <v>7.8006925174385415</v>
      </c>
      <c r="F159" s="141">
        <v>8.0135031461536261</v>
      </c>
      <c r="G159" s="141">
        <v>8.3614560021512236</v>
      </c>
      <c r="H159" s="141">
        <v>8.0568911114012014</v>
      </c>
      <c r="I159" s="141">
        <v>8.041455092898417</v>
      </c>
      <c r="J159" s="141">
        <v>7.9547102690755445</v>
      </c>
      <c r="K159" s="141">
        <v>7.9234903738297655</v>
      </c>
      <c r="L159" s="141">
        <v>7.9266917507488248</v>
      </c>
      <c r="M159" s="141">
        <v>8.1416203312648232</v>
      </c>
      <c r="N159" s="141">
        <v>7.7236130113449972</v>
      </c>
      <c r="O159" s="141">
        <v>7.4802271162207568</v>
      </c>
      <c r="P159" s="141">
        <v>6.8490838296066912</v>
      </c>
      <c r="Q159" s="141">
        <v>7.0287615965880645</v>
      </c>
      <c r="R159" s="141">
        <v>6.9558983938274679</v>
      </c>
      <c r="S159" s="141">
        <v>6.6074123288679552</v>
      </c>
      <c r="T159" s="141">
        <v>6.5777895777872173</v>
      </c>
      <c r="U159" s="141">
        <v>6.5727480431425249</v>
      </c>
      <c r="V159" s="141">
        <v>6.8967581739742645</v>
      </c>
      <c r="W159" s="141">
        <v>6.8209997450430588</v>
      </c>
      <c r="X159" s="141">
        <v>6.3299240608112699</v>
      </c>
      <c r="Y159" s="141">
        <v>6.6347708151020184</v>
      </c>
      <c r="DA159" s="174" t="s">
        <v>901</v>
      </c>
    </row>
    <row r="160" spans="1:105" ht="11.45" customHeight="1" x14ac:dyDescent="0.25">
      <c r="A160" s="111" t="s">
        <v>110</v>
      </c>
      <c r="B160" s="96">
        <v>6.9491060900041024</v>
      </c>
      <c r="C160" s="96">
        <v>6.9112745290909672</v>
      </c>
      <c r="D160" s="96">
        <v>6.8694809688318328</v>
      </c>
      <c r="E160" s="96">
        <v>6.7834974285739307</v>
      </c>
      <c r="F160" s="96">
        <v>6.7741034631945851</v>
      </c>
      <c r="G160" s="96">
        <v>6.6828477995094975</v>
      </c>
      <c r="H160" s="96">
        <v>6.5480731533527461</v>
      </c>
      <c r="I160" s="96">
        <v>6.4520246501884024</v>
      </c>
      <c r="J160" s="96">
        <v>6.138764661824057</v>
      </c>
      <c r="K160" s="96">
        <v>5.8008694785363231</v>
      </c>
      <c r="L160" s="96">
        <v>5.5898886846593587</v>
      </c>
      <c r="M160" s="96">
        <v>5.5368864246606702</v>
      </c>
      <c r="N160" s="96">
        <v>5.4143248456840389</v>
      </c>
      <c r="O160" s="96">
        <v>5.3943464197256255</v>
      </c>
      <c r="P160" s="96">
        <v>5.5049344066290367</v>
      </c>
      <c r="Q160" s="96">
        <v>5.3253406825136036</v>
      </c>
      <c r="R160" s="96">
        <v>6.3548110649580165</v>
      </c>
      <c r="S160" s="96">
        <v>5.1972537271105699</v>
      </c>
      <c r="T160" s="96">
        <v>5.3951207242576222</v>
      </c>
      <c r="U160" s="96">
        <v>5.9563284004645949</v>
      </c>
      <c r="V160" s="96">
        <v>5.3324401759173092</v>
      </c>
      <c r="W160" s="96">
        <v>5.2104305625140901</v>
      </c>
      <c r="X160" s="96">
        <v>5.1236708912859363</v>
      </c>
      <c r="Y160" s="96">
        <v>5.9724946328222375</v>
      </c>
      <c r="DA160" s="171" t="s">
        <v>902</v>
      </c>
    </row>
    <row r="161" spans="1:105" ht="11.45" customHeight="1" x14ac:dyDescent="0.25">
      <c r="A161" s="111" t="s">
        <v>111</v>
      </c>
      <c r="B161" s="96">
        <v>8.5775063564647791</v>
      </c>
      <c r="C161" s="96">
        <v>8.5732449326056663</v>
      </c>
      <c r="D161" s="96">
        <v>8.5685125002197609</v>
      </c>
      <c r="E161" s="96">
        <v>8.588033783811623</v>
      </c>
      <c r="F161" s="96">
        <v>8.5313924836928035</v>
      </c>
      <c r="G161" s="96">
        <v>8.5568293077670514</v>
      </c>
      <c r="H161" s="96">
        <v>8.6116959457411557</v>
      </c>
      <c r="I161" s="96">
        <v>8.5324277032772251</v>
      </c>
      <c r="J161" s="96">
        <v>8.1474739063861499</v>
      </c>
      <c r="K161" s="96">
        <v>7.8272952777771678</v>
      </c>
      <c r="L161" s="96">
        <v>7.5266379327600506</v>
      </c>
      <c r="M161" s="96">
        <v>7.4059741958634628</v>
      </c>
      <c r="N161" s="96">
        <v>7.2162428349767298</v>
      </c>
      <c r="O161" s="96">
        <v>7.1196338132297372</v>
      </c>
      <c r="P161" s="96">
        <v>6.7014286247424852</v>
      </c>
      <c r="Q161" s="96">
        <v>7.0815044625527515</v>
      </c>
      <c r="R161" s="96">
        <v>6.8830726272026475</v>
      </c>
      <c r="S161" s="96">
        <v>6.5392893253644413</v>
      </c>
      <c r="T161" s="96">
        <v>6.8977780763763521</v>
      </c>
      <c r="U161" s="96">
        <v>6.7095897354554932</v>
      </c>
      <c r="V161" s="96">
        <v>7.6434337107717401</v>
      </c>
      <c r="W161" s="96">
        <v>7.1767048311526151</v>
      </c>
      <c r="X161" s="96">
        <v>6.9387878373094489</v>
      </c>
      <c r="Y161" s="96">
        <v>7.1363270068618005</v>
      </c>
      <c r="DA161" s="171" t="s">
        <v>903</v>
      </c>
    </row>
    <row r="162" spans="1:105" ht="11.45" customHeight="1" x14ac:dyDescent="0.25">
      <c r="A162" s="111" t="s">
        <v>112</v>
      </c>
      <c r="B162" s="96">
        <v>0</v>
      </c>
      <c r="C162" s="96">
        <v>7.1112119480643887</v>
      </c>
      <c r="D162" s="96">
        <v>7.1072865580877096</v>
      </c>
      <c r="E162" s="96">
        <v>7.123478791741511</v>
      </c>
      <c r="F162" s="96">
        <v>7.0764967804581298</v>
      </c>
      <c r="G162" s="96">
        <v>7.0975957515827837</v>
      </c>
      <c r="H162" s="96">
        <v>7.1431057416249075</v>
      </c>
      <c r="I162" s="96">
        <v>7.0773554595155348</v>
      </c>
      <c r="J162" s="96">
        <v>6.7580495186000507</v>
      </c>
      <c r="K162" s="96">
        <v>6.4924723529903581</v>
      </c>
      <c r="L162" s="96">
        <v>6.2430874210344669</v>
      </c>
      <c r="M162" s="96">
        <v>6.181223486951489</v>
      </c>
      <c r="N162" s="96">
        <v>6.2021775058310542</v>
      </c>
      <c r="O162" s="96">
        <v>5.924417935292233</v>
      </c>
      <c r="P162" s="96">
        <v>5.6742484001306313</v>
      </c>
      <c r="Q162" s="96">
        <v>6.614923695219173</v>
      </c>
      <c r="R162" s="96">
        <v>5.6813222369094118</v>
      </c>
      <c r="S162" s="96">
        <v>5.5284070722182017</v>
      </c>
      <c r="T162" s="96">
        <v>5.5213935581608844</v>
      </c>
      <c r="U162" s="96">
        <v>5.539591005332368</v>
      </c>
      <c r="V162" s="96">
        <v>5.8864522365302001</v>
      </c>
      <c r="W162" s="96">
        <v>5.8140617625964133</v>
      </c>
      <c r="X162" s="96">
        <v>7.1667599513775793</v>
      </c>
      <c r="Y162" s="96">
        <v>7.6261569750388345</v>
      </c>
      <c r="DA162" s="171" t="s">
        <v>904</v>
      </c>
    </row>
    <row r="163" spans="1:105" ht="11.45" customHeight="1" x14ac:dyDescent="0.25">
      <c r="A163" s="111" t="s">
        <v>113</v>
      </c>
      <c r="B163" s="96">
        <v>0</v>
      </c>
      <c r="C163" s="96">
        <v>0</v>
      </c>
      <c r="D163" s="96">
        <v>0</v>
      </c>
      <c r="E163" s="96">
        <v>0</v>
      </c>
      <c r="F163" s="96">
        <v>0</v>
      </c>
      <c r="G163" s="96">
        <v>0</v>
      </c>
      <c r="H163" s="96">
        <v>0</v>
      </c>
      <c r="I163" s="96">
        <v>0</v>
      </c>
      <c r="J163" s="96">
        <v>0</v>
      </c>
      <c r="K163" s="96">
        <v>0</v>
      </c>
      <c r="L163" s="96">
        <v>0</v>
      </c>
      <c r="M163" s="96">
        <v>0</v>
      </c>
      <c r="N163" s="96">
        <v>0</v>
      </c>
      <c r="O163" s="96">
        <v>0</v>
      </c>
      <c r="P163" s="96">
        <v>0</v>
      </c>
      <c r="Q163" s="96">
        <v>7.840093232055783</v>
      </c>
      <c r="R163" s="96">
        <v>8.2776953681440943</v>
      </c>
      <c r="S163" s="96">
        <v>7.205403111011627</v>
      </c>
      <c r="T163" s="96">
        <v>8.6541668241529059</v>
      </c>
      <c r="U163" s="96">
        <v>5.9179286330163867</v>
      </c>
      <c r="V163" s="96">
        <v>7.622467586594456</v>
      </c>
      <c r="W163" s="96">
        <v>7.300828556052724</v>
      </c>
      <c r="X163" s="96">
        <v>9.7722207050486425</v>
      </c>
      <c r="Y163" s="96">
        <v>5.9405466156515665</v>
      </c>
      <c r="DA163" s="171" t="s">
        <v>905</v>
      </c>
    </row>
    <row r="164" spans="1:105" ht="11.45" customHeight="1" x14ac:dyDescent="0.25">
      <c r="A164" s="111" t="s">
        <v>115</v>
      </c>
      <c r="B164" s="96">
        <v>0</v>
      </c>
      <c r="C164" s="96">
        <v>0</v>
      </c>
      <c r="D164" s="96">
        <v>0</v>
      </c>
      <c r="E164" s="96">
        <v>0</v>
      </c>
      <c r="F164" s="96">
        <v>0</v>
      </c>
      <c r="G164" s="96">
        <v>0</v>
      </c>
      <c r="H164" s="96">
        <v>0</v>
      </c>
      <c r="I164" s="96">
        <v>0</v>
      </c>
      <c r="J164" s="96">
        <v>0</v>
      </c>
      <c r="K164" s="96">
        <v>0</v>
      </c>
      <c r="L164" s="96">
        <v>0</v>
      </c>
      <c r="M164" s="96">
        <v>0</v>
      </c>
      <c r="N164" s="96">
        <v>1.3327601031814273</v>
      </c>
      <c r="O164" s="96">
        <v>1.3327601031814273</v>
      </c>
      <c r="P164" s="96">
        <v>1.3315309513313551</v>
      </c>
      <c r="Q164" s="96">
        <v>1.4050392746402443</v>
      </c>
      <c r="R164" s="96">
        <v>1.418744625967326</v>
      </c>
      <c r="S164" s="96">
        <v>1.3069647463456577</v>
      </c>
      <c r="T164" s="96">
        <v>1.5107480653482372</v>
      </c>
      <c r="U164" s="96">
        <v>1.7973730245797137</v>
      </c>
      <c r="V164" s="96">
        <v>1.9796174393527197</v>
      </c>
      <c r="W164" s="96">
        <v>2.2587126337209424</v>
      </c>
      <c r="X164" s="96">
        <v>2.1849821661730515</v>
      </c>
      <c r="Y164" s="96">
        <v>2.379234886509356</v>
      </c>
      <c r="DA164" s="171" t="s">
        <v>906</v>
      </c>
    </row>
    <row r="165" spans="1:105" ht="11.45" customHeight="1" x14ac:dyDescent="0.25">
      <c r="A165" s="109" t="s">
        <v>154</v>
      </c>
      <c r="B165" s="130">
        <v>33.546147315091126</v>
      </c>
      <c r="C165" s="130">
        <v>29.938882036904687</v>
      </c>
      <c r="D165" s="130">
        <v>29.652462151279376</v>
      </c>
      <c r="E165" s="130">
        <v>29.567322957267326</v>
      </c>
      <c r="F165" s="130">
        <v>29.730247374902444</v>
      </c>
      <c r="G165" s="130">
        <v>29.002186838025345</v>
      </c>
      <c r="H165" s="130">
        <v>28.927068243335658</v>
      </c>
      <c r="I165" s="130">
        <v>28.106013191519821</v>
      </c>
      <c r="J165" s="130">
        <v>27.777808862410595</v>
      </c>
      <c r="K165" s="130">
        <v>27.295524677045197</v>
      </c>
      <c r="L165" s="130">
        <v>27.085005551588413</v>
      </c>
      <c r="M165" s="130">
        <v>26.397993097478619</v>
      </c>
      <c r="N165" s="130">
        <v>25.952493107436098</v>
      </c>
      <c r="O165" s="130">
        <v>25.287094714199366</v>
      </c>
      <c r="P165" s="130">
        <v>24.589247086472355</v>
      </c>
      <c r="Q165" s="130">
        <v>23.994321317373146</v>
      </c>
      <c r="R165" s="130">
        <v>23.338659935643783</v>
      </c>
      <c r="S165" s="130">
        <v>22.868420904142134</v>
      </c>
      <c r="T165" s="130">
        <v>21.939049836593686</v>
      </c>
      <c r="U165" s="130">
        <v>21.619379929822767</v>
      </c>
      <c r="V165" s="130">
        <v>21.316854984792229</v>
      </c>
      <c r="W165" s="130">
        <v>21.013153395345764</v>
      </c>
      <c r="X165" s="130">
        <v>20.848071952806553</v>
      </c>
      <c r="Y165" s="130">
        <v>20.615005562001482</v>
      </c>
      <c r="DA165" s="176" t="s">
        <v>907</v>
      </c>
    </row>
    <row r="166" spans="1:105" ht="11.45" customHeight="1" x14ac:dyDescent="0.25">
      <c r="A166" s="128" t="s">
        <v>27</v>
      </c>
      <c r="B166" s="97">
        <v>0</v>
      </c>
      <c r="C166" s="97">
        <v>29.761237113342801</v>
      </c>
      <c r="D166" s="97">
        <v>29.588922602924782</v>
      </c>
      <c r="E166" s="97">
        <v>29.374358963563107</v>
      </c>
      <c r="F166" s="97">
        <v>29.118091405506654</v>
      </c>
      <c r="G166" s="97">
        <v>28.82076651317303</v>
      </c>
      <c r="H166" s="97">
        <v>28.483128213066234</v>
      </c>
      <c r="I166" s="97">
        <v>28.106013191519821</v>
      </c>
      <c r="J166" s="97">
        <v>27.690345813999645</v>
      </c>
      <c r="K166" s="97">
        <v>27.237132601727268</v>
      </c>
      <c r="L166" s="97">
        <v>26.747456326460068</v>
      </c>
      <c r="M166" s="97">
        <v>26.222469785211288</v>
      </c>
      <c r="N166" s="97">
        <v>25.663389319086974</v>
      </c>
      <c r="O166" s="97">
        <v>25.071488141167379</v>
      </c>
      <c r="P166" s="97">
        <v>24.448089536833479</v>
      </c>
      <c r="Q166" s="97">
        <v>23.794559999949502</v>
      </c>
      <c r="R166" s="97">
        <v>23.032543505758202</v>
      </c>
      <c r="S166" s="97">
        <v>22.499131959824293</v>
      </c>
      <c r="T166" s="97">
        <v>21.939049836593686</v>
      </c>
      <c r="U166" s="97">
        <v>21.254505019311836</v>
      </c>
      <c r="V166" s="97">
        <v>21.24246831595925</v>
      </c>
      <c r="W166" s="97">
        <v>20.767208454504718</v>
      </c>
      <c r="X166" s="97">
        <v>20.652794132804861</v>
      </c>
      <c r="Y166" s="97">
        <v>20.446266191476813</v>
      </c>
      <c r="DA166" s="175" t="s">
        <v>908</v>
      </c>
    </row>
    <row r="167" spans="1:105" ht="11.45" customHeight="1" x14ac:dyDescent="0.25">
      <c r="A167" s="138" t="s">
        <v>116</v>
      </c>
      <c r="B167" s="98">
        <v>33.546147315091126</v>
      </c>
      <c r="C167" s="98">
        <v>33.402061855603584</v>
      </c>
      <c r="D167" s="98">
        <v>33.242692617271175</v>
      </c>
      <c r="E167" s="98">
        <v>33.04424825123408</v>
      </c>
      <c r="F167" s="98">
        <v>32.807233008364037</v>
      </c>
      <c r="G167" s="98">
        <v>32.532244897882101</v>
      </c>
      <c r="H167" s="98">
        <v>32.219971958189838</v>
      </c>
      <c r="I167" s="98">
        <v>0</v>
      </c>
      <c r="J167" s="98">
        <v>31.48674800162302</v>
      </c>
      <c r="K167" s="98">
        <v>31.067582811954381</v>
      </c>
      <c r="L167" s="98">
        <v>30.614693877473673</v>
      </c>
      <c r="M167" s="98">
        <v>30.129147390351896</v>
      </c>
      <c r="N167" s="98">
        <v>29.612068313049569</v>
      </c>
      <c r="O167" s="98">
        <v>29.064634207446638</v>
      </c>
      <c r="P167" s="98">
        <v>28.488068946000222</v>
      </c>
      <c r="Q167" s="98">
        <v>27.883636363577196</v>
      </c>
      <c r="R167" s="98">
        <v>27.103246514875242</v>
      </c>
      <c r="S167" s="98">
        <v>26.556973620783872</v>
      </c>
      <c r="T167" s="98">
        <v>0</v>
      </c>
      <c r="U167" s="98">
        <v>25.282336867904011</v>
      </c>
      <c r="V167" s="98">
        <v>24.879360481322131</v>
      </c>
      <c r="W167" s="98">
        <v>24.748425433669372</v>
      </c>
      <c r="X167" s="98">
        <v>24.612077098006637</v>
      </c>
      <c r="Y167" s="98">
        <v>24.36595632702657</v>
      </c>
      <c r="DA167" s="178" t="s">
        <v>909</v>
      </c>
    </row>
    <row r="168" spans="1:105" x14ac:dyDescent="0.25">
      <c r="A168" s="106"/>
      <c r="B168" s="106"/>
      <c r="C168" s="106"/>
      <c r="D168" s="106"/>
      <c r="E168" s="106"/>
      <c r="F168" s="106"/>
      <c r="G168" s="106"/>
      <c r="H168" s="106"/>
      <c r="I168" s="106"/>
      <c r="J168" s="106"/>
      <c r="K168" s="106"/>
      <c r="L168" s="106"/>
      <c r="M168" s="106"/>
      <c r="N168" s="106"/>
      <c r="O168" s="106"/>
      <c r="P168" s="106"/>
      <c r="Q168" s="106"/>
      <c r="R168" s="106"/>
      <c r="S168" s="106"/>
      <c r="T168" s="106"/>
      <c r="U168" s="106"/>
      <c r="V168" s="106"/>
      <c r="W168" s="106"/>
      <c r="X168" s="106"/>
      <c r="Y168" s="106"/>
      <c r="DA168" s="171"/>
    </row>
    <row r="169" spans="1:105" ht="11.45" customHeight="1" x14ac:dyDescent="0.25">
      <c r="A169" s="53" t="s">
        <v>123</v>
      </c>
      <c r="B169" s="62"/>
      <c r="C169" s="62"/>
      <c r="D169" s="62"/>
      <c r="E169" s="62"/>
      <c r="F169" s="62"/>
      <c r="G169" s="62"/>
      <c r="H169" s="62"/>
      <c r="I169" s="62"/>
      <c r="J169" s="62"/>
      <c r="K169" s="62"/>
      <c r="L169" s="62"/>
      <c r="M169" s="62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X169" s="62"/>
      <c r="Y169" s="62"/>
      <c r="DA169" s="172"/>
    </row>
    <row r="170" spans="1:105" ht="11.45" customHeight="1" x14ac:dyDescent="0.25">
      <c r="A170" s="27" t="s">
        <v>33</v>
      </c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DA170" s="173"/>
    </row>
    <row r="171" spans="1:105" ht="11.45" customHeight="1" x14ac:dyDescent="0.25">
      <c r="A171" s="136" t="s">
        <v>173</v>
      </c>
      <c r="B171" s="152">
        <v>122.87696391630357</v>
      </c>
      <c r="C171" s="152">
        <v>122.62208567793837</v>
      </c>
      <c r="D171" s="152">
        <v>121.04322180929094</v>
      </c>
      <c r="E171" s="152">
        <v>120.9622671086275</v>
      </c>
      <c r="F171" s="152">
        <v>120.87685279798475</v>
      </c>
      <c r="G171" s="152">
        <v>116.09514380734218</v>
      </c>
      <c r="H171" s="152">
        <v>114.33675480966912</v>
      </c>
      <c r="I171" s="152">
        <v>111.94122871656047</v>
      </c>
      <c r="J171" s="152">
        <v>108.20624590550591</v>
      </c>
      <c r="K171" s="152">
        <v>105.06458372104753</v>
      </c>
      <c r="L171" s="152">
        <v>102.87113839188295</v>
      </c>
      <c r="M171" s="152">
        <v>100.42401411969875</v>
      </c>
      <c r="N171" s="152">
        <v>98.672973872931237</v>
      </c>
      <c r="O171" s="152">
        <v>96.895525458792847</v>
      </c>
      <c r="P171" s="152">
        <v>95.745034322412735</v>
      </c>
      <c r="Q171" s="152">
        <v>93.692963319140688</v>
      </c>
      <c r="R171" s="152">
        <v>91.799682404962468</v>
      </c>
      <c r="S171" s="152">
        <v>90.640075934709628</v>
      </c>
      <c r="T171" s="152">
        <v>89.260154114097972</v>
      </c>
      <c r="U171" s="152">
        <v>88.227087907241184</v>
      </c>
      <c r="V171" s="152">
        <v>87.083106747676581</v>
      </c>
      <c r="W171" s="152">
        <v>86.030896681912992</v>
      </c>
      <c r="X171" s="152">
        <v>85.020125668583702</v>
      </c>
      <c r="Y171" s="152">
        <v>83.998496230357787</v>
      </c>
      <c r="DA171" s="174" t="s">
        <v>910</v>
      </c>
    </row>
    <row r="172" spans="1:105" ht="11.45" customHeight="1" x14ac:dyDescent="0.25">
      <c r="A172" s="109" t="s">
        <v>20</v>
      </c>
      <c r="B172" s="116">
        <v>235.26136864912408</v>
      </c>
      <c r="C172" s="116">
        <v>230.68130313709713</v>
      </c>
      <c r="D172" s="116">
        <v>222.21782056069884</v>
      </c>
      <c r="E172" s="116">
        <v>219.92569331846423</v>
      </c>
      <c r="F172" s="116">
        <v>226.32394757125911</v>
      </c>
      <c r="G172" s="116">
        <v>225.70847006388172</v>
      </c>
      <c r="H172" s="116">
        <v>226.91952200593954</v>
      </c>
      <c r="I172" s="116">
        <v>226.44883160588296</v>
      </c>
      <c r="J172" s="116">
        <v>225.78374388565516</v>
      </c>
      <c r="K172" s="116">
        <v>222.25780888150462</v>
      </c>
      <c r="L172" s="116">
        <v>220.5987381844561</v>
      </c>
      <c r="M172" s="116">
        <v>222.04288554586066</v>
      </c>
      <c r="N172" s="116">
        <v>215.69603889912858</v>
      </c>
      <c r="O172" s="116">
        <v>213.00603946509023</v>
      </c>
      <c r="P172" s="116">
        <v>210.71587500767257</v>
      </c>
      <c r="Q172" s="116">
        <v>206.18149318777569</v>
      </c>
      <c r="R172" s="116">
        <v>204.22892147136375</v>
      </c>
      <c r="S172" s="116">
        <v>201.87241530887633</v>
      </c>
      <c r="T172" s="116">
        <v>196.54171312806301</v>
      </c>
      <c r="U172" s="116">
        <v>196.60977545343295</v>
      </c>
      <c r="V172" s="116">
        <v>194.67976210792389</v>
      </c>
      <c r="W172" s="116">
        <v>189.82587757924981</v>
      </c>
      <c r="X172" s="116">
        <v>185.80663881794649</v>
      </c>
      <c r="Y172" s="116">
        <v>179.62164027979321</v>
      </c>
      <c r="DA172" s="176" t="s">
        <v>911</v>
      </c>
    </row>
    <row r="173" spans="1:105" ht="11.45" customHeight="1" x14ac:dyDescent="0.25">
      <c r="A173" s="111" t="s">
        <v>110</v>
      </c>
      <c r="B173" s="87">
        <v>243.80395002080127</v>
      </c>
      <c r="C173" s="87">
        <v>239.47277660154822</v>
      </c>
      <c r="D173" s="87">
        <v>238.23145456180211</v>
      </c>
      <c r="E173" s="87">
        <v>237.26272534643451</v>
      </c>
      <c r="F173" s="87">
        <v>234.88628130544126</v>
      </c>
      <c r="G173" s="87">
        <v>232.98413695140266</v>
      </c>
      <c r="H173" s="87">
        <v>231.34929587130912</v>
      </c>
      <c r="I173" s="87">
        <v>229.34674109099961</v>
      </c>
      <c r="J173" s="87">
        <v>227.01739090508434</v>
      </c>
      <c r="K173" s="87">
        <v>224.4368175248847</v>
      </c>
      <c r="L173" s="87">
        <v>222.08489111997406</v>
      </c>
      <c r="M173" s="87">
        <v>219.3779314537004</v>
      </c>
      <c r="N173" s="87">
        <v>215.63250310974109</v>
      </c>
      <c r="O173" s="87">
        <v>211.93777745536008</v>
      </c>
      <c r="P173" s="87">
        <v>208.01158926430591</v>
      </c>
      <c r="Q173" s="87">
        <v>203.12815429150984</v>
      </c>
      <c r="R173" s="87">
        <v>200.03275644893259</v>
      </c>
      <c r="S173" s="87">
        <v>196.86756853818486</v>
      </c>
      <c r="T173" s="87">
        <v>193.16137955437961</v>
      </c>
      <c r="U173" s="87">
        <v>189.53222340734681</v>
      </c>
      <c r="V173" s="87">
        <v>186.63189239245827</v>
      </c>
      <c r="W173" s="87">
        <v>181.79170046547867</v>
      </c>
      <c r="X173" s="87">
        <v>177.02546862445789</v>
      </c>
      <c r="Y173" s="87">
        <v>173.39720914859001</v>
      </c>
      <c r="DA173" s="171" t="s">
        <v>912</v>
      </c>
    </row>
    <row r="174" spans="1:105" ht="11.45" customHeight="1" x14ac:dyDescent="0.25">
      <c r="A174" s="111" t="s">
        <v>111</v>
      </c>
      <c r="B174" s="87">
        <v>239.08091092901094</v>
      </c>
      <c r="C174" s="87">
        <v>234.19584904254731</v>
      </c>
      <c r="D174" s="87">
        <v>233.38536511104004</v>
      </c>
      <c r="E174" s="87">
        <v>231.62476539875436</v>
      </c>
      <c r="F174" s="87">
        <v>228.11537825721709</v>
      </c>
      <c r="G174" s="87">
        <v>219.70974312112222</v>
      </c>
      <c r="H174" s="87">
        <v>217.18686235431326</v>
      </c>
      <c r="I174" s="87">
        <v>215.19106898833806</v>
      </c>
      <c r="J174" s="87">
        <v>213.4218125145932</v>
      </c>
      <c r="K174" s="87">
        <v>211.95229787426757</v>
      </c>
      <c r="L174" s="87">
        <v>210.99956817307697</v>
      </c>
      <c r="M174" s="87">
        <v>210.19985190652031</v>
      </c>
      <c r="N174" s="87">
        <v>209.53601860693271</v>
      </c>
      <c r="O174" s="87">
        <v>208.1235506312961</v>
      </c>
      <c r="P174" s="87">
        <v>206.16109650757755</v>
      </c>
      <c r="Q174" s="87">
        <v>203.45153087867328</v>
      </c>
      <c r="R174" s="87">
        <v>200.64516183231945</v>
      </c>
      <c r="S174" s="87">
        <v>198.19460777661456</v>
      </c>
      <c r="T174" s="87">
        <v>195.83054684050265</v>
      </c>
      <c r="U174" s="87">
        <v>192.74787558717719</v>
      </c>
      <c r="V174" s="87">
        <v>189.78931360058965</v>
      </c>
      <c r="W174" s="87">
        <v>186.27427838620017</v>
      </c>
      <c r="X174" s="87">
        <v>183.2208758140759</v>
      </c>
      <c r="Y174" s="87">
        <v>181.26489777956857</v>
      </c>
      <c r="DA174" s="171" t="s">
        <v>913</v>
      </c>
    </row>
    <row r="175" spans="1:105" ht="11.45" customHeight="1" x14ac:dyDescent="0.25">
      <c r="A175" s="111" t="s">
        <v>112</v>
      </c>
      <c r="B175" s="87">
        <v>219.87282047997752</v>
      </c>
      <c r="C175" s="87">
        <v>200.11714001427353</v>
      </c>
      <c r="D175" s="87">
        <v>193.31331611035031</v>
      </c>
      <c r="E175" s="87">
        <v>191.21987920163446</v>
      </c>
      <c r="F175" s="87">
        <v>190.91577442315781</v>
      </c>
      <c r="G175" s="87">
        <v>191.26784215367104</v>
      </c>
      <c r="H175" s="87">
        <v>192.11289117956349</v>
      </c>
      <c r="I175" s="87">
        <v>192.5928825185932</v>
      </c>
      <c r="J175" s="87">
        <v>193.26090912094944</v>
      </c>
      <c r="K175" s="87">
        <v>193.35532969030197</v>
      </c>
      <c r="L175" s="87">
        <v>193.49676809519889</v>
      </c>
      <c r="M175" s="87">
        <v>192.91079278235532</v>
      </c>
      <c r="N175" s="87">
        <v>193.31768101485898</v>
      </c>
      <c r="O175" s="87">
        <v>193.07116859369319</v>
      </c>
      <c r="P175" s="87">
        <v>192.56747590198938</v>
      </c>
      <c r="Q175" s="87">
        <v>191.65986873656604</v>
      </c>
      <c r="R175" s="87">
        <v>188.63735023568179</v>
      </c>
      <c r="S175" s="87">
        <v>187.6351871170302</v>
      </c>
      <c r="T175" s="87">
        <v>183.42659672783523</v>
      </c>
      <c r="U175" s="87">
        <v>182.00886192608698</v>
      </c>
      <c r="V175" s="87">
        <v>180.7612213762894</v>
      </c>
      <c r="W175" s="87">
        <v>179.39304804767477</v>
      </c>
      <c r="X175" s="87">
        <v>178.22842783039798</v>
      </c>
      <c r="Y175" s="87">
        <v>174.85576717334419</v>
      </c>
      <c r="DA175" s="171" t="s">
        <v>914</v>
      </c>
    </row>
    <row r="176" spans="1:105" ht="11.45" customHeight="1" x14ac:dyDescent="0.25">
      <c r="A176" s="111" t="s">
        <v>113</v>
      </c>
      <c r="B176" s="87">
        <v>0</v>
      </c>
      <c r="C176" s="87">
        <v>0</v>
      </c>
      <c r="D176" s="87">
        <v>0</v>
      </c>
      <c r="E176" s="87">
        <v>0</v>
      </c>
      <c r="F176" s="87">
        <v>0</v>
      </c>
      <c r="G176" s="87">
        <v>0</v>
      </c>
      <c r="H176" s="87">
        <v>0</v>
      </c>
      <c r="I176" s="87">
        <v>0</v>
      </c>
      <c r="J176" s="87">
        <v>0</v>
      </c>
      <c r="K176" s="87">
        <v>0</v>
      </c>
      <c r="L176" s="87">
        <v>0</v>
      </c>
      <c r="M176" s="87">
        <v>0</v>
      </c>
      <c r="N176" s="87">
        <v>0</v>
      </c>
      <c r="O176" s="87">
        <v>0</v>
      </c>
      <c r="P176" s="87">
        <v>0</v>
      </c>
      <c r="Q176" s="87">
        <v>125.94931773879141</v>
      </c>
      <c r="R176" s="87">
        <v>126.99810716635726</v>
      </c>
      <c r="S176" s="87">
        <v>126.89471316476913</v>
      </c>
      <c r="T176" s="87">
        <v>127.7008337932435</v>
      </c>
      <c r="U176" s="87">
        <v>128.2005363995371</v>
      </c>
      <c r="V176" s="87">
        <v>128.56329754240426</v>
      </c>
      <c r="W176" s="87">
        <v>128.67785515856684</v>
      </c>
      <c r="X176" s="87">
        <v>128.72561025660198</v>
      </c>
      <c r="Y176" s="87">
        <v>128.7726491756639</v>
      </c>
      <c r="DA176" s="171" t="s">
        <v>915</v>
      </c>
    </row>
    <row r="177" spans="1:105" ht="11.45" customHeight="1" x14ac:dyDescent="0.25">
      <c r="A177" s="111" t="s">
        <v>114</v>
      </c>
      <c r="B177" s="87">
        <v>0</v>
      </c>
      <c r="C177" s="87">
        <v>0</v>
      </c>
      <c r="D177" s="87">
        <v>0</v>
      </c>
      <c r="E177" s="87">
        <v>0</v>
      </c>
      <c r="F177" s="87">
        <v>0</v>
      </c>
      <c r="G177" s="87">
        <v>0</v>
      </c>
      <c r="H177" s="87">
        <v>0</v>
      </c>
      <c r="I177" s="87">
        <v>0</v>
      </c>
      <c r="J177" s="87">
        <v>0</v>
      </c>
      <c r="K177" s="87">
        <v>0</v>
      </c>
      <c r="L177" s="87">
        <v>0</v>
      </c>
      <c r="M177" s="87">
        <v>0</v>
      </c>
      <c r="N177" s="87">
        <v>46.059052216094486</v>
      </c>
      <c r="O177" s="87">
        <v>59.072902728728828</v>
      </c>
      <c r="P177" s="87">
        <v>122.88470050723787</v>
      </c>
      <c r="Q177" s="87">
        <v>60.947816047791584</v>
      </c>
      <c r="R177" s="87">
        <v>54.892794173367484</v>
      </c>
      <c r="S177" s="87">
        <v>46.882713234963624</v>
      </c>
      <c r="T177" s="87">
        <v>51.736397996648833</v>
      </c>
      <c r="U177" s="87">
        <v>52.35612704825008</v>
      </c>
      <c r="V177" s="87">
        <v>52.665424255273571</v>
      </c>
      <c r="W177" s="87">
        <v>44.359059639606194</v>
      </c>
      <c r="X177" s="87">
        <v>41.604735581000149</v>
      </c>
      <c r="Y177" s="87">
        <v>38.280568132749572</v>
      </c>
      <c r="DA177" s="171" t="s">
        <v>916</v>
      </c>
    </row>
    <row r="178" spans="1:105" ht="11.45" customHeight="1" x14ac:dyDescent="0.25">
      <c r="A178" s="111" t="s">
        <v>115</v>
      </c>
      <c r="B178" s="87">
        <v>0</v>
      </c>
      <c r="C178" s="87">
        <v>0</v>
      </c>
      <c r="D178" s="87">
        <v>0</v>
      </c>
      <c r="E178" s="87">
        <v>0</v>
      </c>
      <c r="F178" s="87">
        <v>0</v>
      </c>
      <c r="G178" s="87">
        <v>0</v>
      </c>
      <c r="H178" s="87">
        <v>0</v>
      </c>
      <c r="I178" s="87">
        <v>0</v>
      </c>
      <c r="J178" s="87">
        <v>0</v>
      </c>
      <c r="K178" s="87">
        <v>0</v>
      </c>
      <c r="L178" s="87">
        <v>0</v>
      </c>
      <c r="M178" s="87">
        <v>0</v>
      </c>
      <c r="N178" s="87">
        <v>0</v>
      </c>
      <c r="O178" s="87">
        <v>0</v>
      </c>
      <c r="P178" s="87">
        <v>0</v>
      </c>
      <c r="Q178" s="87">
        <v>0</v>
      </c>
      <c r="R178" s="87">
        <v>0</v>
      </c>
      <c r="S178" s="87">
        <v>0</v>
      </c>
      <c r="T178" s="87">
        <v>0</v>
      </c>
      <c r="U178" s="87">
        <v>0</v>
      </c>
      <c r="V178" s="87">
        <v>0</v>
      </c>
      <c r="W178" s="87">
        <v>0</v>
      </c>
      <c r="X178" s="87">
        <v>0</v>
      </c>
      <c r="Y178" s="87">
        <v>0</v>
      </c>
      <c r="DA178" s="171" t="s">
        <v>917</v>
      </c>
    </row>
    <row r="179" spans="1:105" ht="11.45" customHeight="1" x14ac:dyDescent="0.25">
      <c r="A179" s="109" t="s">
        <v>21</v>
      </c>
      <c r="B179" s="116">
        <v>1719.820664146768</v>
      </c>
      <c r="C179" s="116">
        <v>1656.9534360731363</v>
      </c>
      <c r="D179" s="116">
        <v>1639.0138915780467</v>
      </c>
      <c r="E179" s="116">
        <v>1623.9375378671846</v>
      </c>
      <c r="F179" s="116">
        <v>1544.8391906665904</v>
      </c>
      <c r="G179" s="116">
        <v>1463.8553147490059</v>
      </c>
      <c r="H179" s="116">
        <v>1513.7011433605628</v>
      </c>
      <c r="I179" s="116">
        <v>1488.6042969356222</v>
      </c>
      <c r="J179" s="116">
        <v>1454.9676746458726</v>
      </c>
      <c r="K179" s="116">
        <v>1437.5194902750477</v>
      </c>
      <c r="L179" s="116">
        <v>1417.5457250233133</v>
      </c>
      <c r="M179" s="116">
        <v>1407.3041925670311</v>
      </c>
      <c r="N179" s="116">
        <v>1398.8048431307338</v>
      </c>
      <c r="O179" s="116">
        <v>1383.0134494292502</v>
      </c>
      <c r="P179" s="116">
        <v>1376.0955083007098</v>
      </c>
      <c r="Q179" s="116">
        <v>1347.5728169274805</v>
      </c>
      <c r="R179" s="116">
        <v>1348.8337443389896</v>
      </c>
      <c r="S179" s="116">
        <v>1323.6614030233566</v>
      </c>
      <c r="T179" s="116">
        <v>1290.241898609605</v>
      </c>
      <c r="U179" s="116">
        <v>1291.7797542383018</v>
      </c>
      <c r="V179" s="116">
        <v>1248.4987235495889</v>
      </c>
      <c r="W179" s="116">
        <v>1222.4911922670428</v>
      </c>
      <c r="X179" s="116">
        <v>1212.7564545529356</v>
      </c>
      <c r="Y179" s="116">
        <v>1158.0765031821813</v>
      </c>
      <c r="DA179" s="176" t="s">
        <v>918</v>
      </c>
    </row>
    <row r="180" spans="1:105" ht="11.45" customHeight="1" x14ac:dyDescent="0.25">
      <c r="A180" s="111" t="s">
        <v>110</v>
      </c>
      <c r="B180" s="101">
        <v>0</v>
      </c>
      <c r="C180" s="101">
        <v>0</v>
      </c>
      <c r="D180" s="101">
        <v>0</v>
      </c>
      <c r="E180" s="101">
        <v>0</v>
      </c>
      <c r="F180" s="101">
        <v>0</v>
      </c>
      <c r="G180" s="101">
        <v>0</v>
      </c>
      <c r="H180" s="101">
        <v>0</v>
      </c>
      <c r="I180" s="101">
        <v>0</v>
      </c>
      <c r="J180" s="101">
        <v>0</v>
      </c>
      <c r="K180" s="101">
        <v>0</v>
      </c>
      <c r="L180" s="101">
        <v>0</v>
      </c>
      <c r="M180" s="101">
        <v>0</v>
      </c>
      <c r="N180" s="101">
        <v>0</v>
      </c>
      <c r="O180" s="101">
        <v>0</v>
      </c>
      <c r="P180" s="101">
        <v>0</v>
      </c>
      <c r="Q180" s="101">
        <v>0</v>
      </c>
      <c r="R180" s="101">
        <v>0</v>
      </c>
      <c r="S180" s="101">
        <v>0</v>
      </c>
      <c r="T180" s="101">
        <v>0</v>
      </c>
      <c r="U180" s="101">
        <v>0</v>
      </c>
      <c r="V180" s="101">
        <v>0</v>
      </c>
      <c r="W180" s="101">
        <v>0</v>
      </c>
      <c r="X180" s="101">
        <v>0</v>
      </c>
      <c r="Y180" s="101">
        <v>0</v>
      </c>
      <c r="DA180" s="175" t="s">
        <v>919</v>
      </c>
    </row>
    <row r="181" spans="1:105" ht="11.45" customHeight="1" x14ac:dyDescent="0.25">
      <c r="A181" s="111" t="s">
        <v>111</v>
      </c>
      <c r="B181" s="101">
        <v>1735.5983353241957</v>
      </c>
      <c r="C181" s="101">
        <v>1644.8282641256658</v>
      </c>
      <c r="D181" s="101">
        <v>1615.0028749049504</v>
      </c>
      <c r="E181" s="101">
        <v>1593.2253641305781</v>
      </c>
      <c r="F181" s="101">
        <v>1562.9223822104445</v>
      </c>
      <c r="G181" s="101">
        <v>1533.6110834351778</v>
      </c>
      <c r="H181" s="101">
        <v>1502.7618845063691</v>
      </c>
      <c r="I181" s="101">
        <v>1480.6438993664513</v>
      </c>
      <c r="J181" s="101">
        <v>1455.6650548317805</v>
      </c>
      <c r="K181" s="101">
        <v>1441.8828530762687</v>
      </c>
      <c r="L181" s="101">
        <v>1428.8543768481206</v>
      </c>
      <c r="M181" s="101">
        <v>1418.017318628662</v>
      </c>
      <c r="N181" s="101">
        <v>1408.1675577594519</v>
      </c>
      <c r="O181" s="101">
        <v>1398.5475497212119</v>
      </c>
      <c r="P181" s="101">
        <v>1388.0749661572929</v>
      </c>
      <c r="Q181" s="101">
        <v>1373.4360468813134</v>
      </c>
      <c r="R181" s="101">
        <v>1363.5918695182925</v>
      </c>
      <c r="S181" s="101">
        <v>1352.2782032576888</v>
      </c>
      <c r="T181" s="101">
        <v>1338.8034007353285</v>
      </c>
      <c r="U181" s="101">
        <v>1325.330580638928</v>
      </c>
      <c r="V181" s="101">
        <v>1305.869816589528</v>
      </c>
      <c r="W181" s="101">
        <v>1281.9623838458283</v>
      </c>
      <c r="X181" s="101">
        <v>1254.7091993059457</v>
      </c>
      <c r="Y181" s="101">
        <v>1227.0491046204868</v>
      </c>
      <c r="DA181" s="175" t="s">
        <v>920</v>
      </c>
    </row>
    <row r="182" spans="1:105" ht="11.45" customHeight="1" x14ac:dyDescent="0.25">
      <c r="A182" s="111" t="s">
        <v>112</v>
      </c>
      <c r="B182" s="101">
        <v>1131.0143671124204</v>
      </c>
      <c r="C182" s="101">
        <v>1131.0143671124201</v>
      </c>
      <c r="D182" s="101">
        <v>1131.0143671124201</v>
      </c>
      <c r="E182" s="101">
        <v>1129.7251783008146</v>
      </c>
      <c r="F182" s="101">
        <v>1050.4929223263316</v>
      </c>
      <c r="G182" s="101">
        <v>1046.0387559493086</v>
      </c>
      <c r="H182" s="101">
        <v>1043.4781079461809</v>
      </c>
      <c r="I182" s="101">
        <v>1040.7625021383772</v>
      </c>
      <c r="J182" s="101">
        <v>1037.592823732263</v>
      </c>
      <c r="K182" s="101">
        <v>1034.5213340131083</v>
      </c>
      <c r="L182" s="101">
        <v>1030.9491122734164</v>
      </c>
      <c r="M182" s="101">
        <v>1027.1830122058302</v>
      </c>
      <c r="N182" s="101">
        <v>1026.1709978045581</v>
      </c>
      <c r="O182" s="101">
        <v>1025.3562767610151</v>
      </c>
      <c r="P182" s="101">
        <v>1024.4919376016626</v>
      </c>
      <c r="Q182" s="101">
        <v>1023.9286039639466</v>
      </c>
      <c r="R182" s="101">
        <v>1023.2600835148719</v>
      </c>
      <c r="S182" s="101">
        <v>1021.9692453660132</v>
      </c>
      <c r="T182" s="101">
        <v>1004.8653588304409</v>
      </c>
      <c r="U182" s="101">
        <v>1002.3882901895394</v>
      </c>
      <c r="V182" s="101">
        <v>999.85801375076881</v>
      </c>
      <c r="W182" s="101">
        <v>996.03346098515181</v>
      </c>
      <c r="X182" s="101">
        <v>992.22407317010516</v>
      </c>
      <c r="Y182" s="101">
        <v>991.54271024705872</v>
      </c>
      <c r="DA182" s="175" t="s">
        <v>921</v>
      </c>
    </row>
    <row r="183" spans="1:105" ht="11.45" customHeight="1" x14ac:dyDescent="0.25">
      <c r="A183" s="111" t="s">
        <v>113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0</v>
      </c>
      <c r="M183" s="101">
        <v>0</v>
      </c>
      <c r="N183" s="101">
        <v>0</v>
      </c>
      <c r="O183" s="101">
        <v>0</v>
      </c>
      <c r="P183" s="101">
        <v>0</v>
      </c>
      <c r="Q183" s="101">
        <v>845.56612799820584</v>
      </c>
      <c r="R183" s="101">
        <v>842.44181757942249</v>
      </c>
      <c r="S183" s="101">
        <v>836.81238463174952</v>
      </c>
      <c r="T183" s="101">
        <v>811.06046146274184</v>
      </c>
      <c r="U183" s="101">
        <v>805.73766566384745</v>
      </c>
      <c r="V183" s="101">
        <v>800.89376908679844</v>
      </c>
      <c r="W183" s="101">
        <v>797.40847531228201</v>
      </c>
      <c r="X183" s="101">
        <v>796.14466846020616</v>
      </c>
      <c r="Y183" s="101">
        <v>794.25695542965605</v>
      </c>
      <c r="DA183" s="175" t="s">
        <v>922</v>
      </c>
    </row>
    <row r="184" spans="1:105" ht="11.45" customHeight="1" x14ac:dyDescent="0.25">
      <c r="A184" s="111" t="s">
        <v>115</v>
      </c>
      <c r="B184" s="101">
        <v>0</v>
      </c>
      <c r="C184" s="101">
        <v>0</v>
      </c>
      <c r="D184" s="101">
        <v>0</v>
      </c>
      <c r="E184" s="101">
        <v>0</v>
      </c>
      <c r="F184" s="101">
        <v>0</v>
      </c>
      <c r="G184" s="101">
        <v>0</v>
      </c>
      <c r="H184" s="101">
        <v>0</v>
      </c>
      <c r="I184" s="101">
        <v>0</v>
      </c>
      <c r="J184" s="101">
        <v>0</v>
      </c>
      <c r="K184" s="101">
        <v>0</v>
      </c>
      <c r="L184" s="101">
        <v>0</v>
      </c>
      <c r="M184" s="101">
        <v>0</v>
      </c>
      <c r="N184" s="101">
        <v>0</v>
      </c>
      <c r="O184" s="101">
        <v>0</v>
      </c>
      <c r="P184" s="101">
        <v>0</v>
      </c>
      <c r="Q184" s="101">
        <v>0</v>
      </c>
      <c r="R184" s="101">
        <v>0</v>
      </c>
      <c r="S184" s="101">
        <v>0</v>
      </c>
      <c r="T184" s="101">
        <v>0</v>
      </c>
      <c r="U184" s="101">
        <v>0</v>
      </c>
      <c r="V184" s="101">
        <v>0</v>
      </c>
      <c r="W184" s="101">
        <v>0</v>
      </c>
      <c r="X184" s="101">
        <v>0</v>
      </c>
      <c r="Y184" s="101">
        <v>0</v>
      </c>
      <c r="DA184" s="175" t="s">
        <v>923</v>
      </c>
    </row>
    <row r="185" spans="1:105" ht="11.45" customHeight="1" x14ac:dyDescent="0.25">
      <c r="A185" s="27" t="s">
        <v>34</v>
      </c>
      <c r="B185" s="29">
        <v>0</v>
      </c>
      <c r="C185" s="29">
        <v>0</v>
      </c>
      <c r="D185" s="29">
        <v>0</v>
      </c>
      <c r="E185" s="29">
        <v>0</v>
      </c>
      <c r="F185" s="29">
        <v>0</v>
      </c>
      <c r="G185" s="29">
        <v>0</v>
      </c>
      <c r="H185" s="29">
        <v>0</v>
      </c>
      <c r="I185" s="29">
        <v>0</v>
      </c>
      <c r="J185" s="29">
        <v>0</v>
      </c>
      <c r="K185" s="29">
        <v>0</v>
      </c>
      <c r="L185" s="29">
        <v>0</v>
      </c>
      <c r="M185" s="29">
        <v>0</v>
      </c>
      <c r="N185" s="29">
        <v>0</v>
      </c>
      <c r="O185" s="29">
        <v>0</v>
      </c>
      <c r="P185" s="29">
        <v>0</v>
      </c>
      <c r="Q185" s="29">
        <v>0</v>
      </c>
      <c r="R185" s="29">
        <v>0</v>
      </c>
      <c r="S185" s="29">
        <v>0</v>
      </c>
      <c r="T185" s="29">
        <v>0</v>
      </c>
      <c r="U185" s="29">
        <v>0</v>
      </c>
      <c r="V185" s="29">
        <v>0</v>
      </c>
      <c r="W185" s="29">
        <v>0</v>
      </c>
      <c r="X185" s="29">
        <v>0</v>
      </c>
      <c r="Y185" s="29">
        <v>0</v>
      </c>
      <c r="DA185" s="173"/>
    </row>
    <row r="186" spans="1:105" ht="11.45" customHeight="1" x14ac:dyDescent="0.25">
      <c r="A186" s="136" t="s">
        <v>153</v>
      </c>
      <c r="B186" s="152">
        <v>242.22645961200013</v>
      </c>
      <c r="C186" s="152">
        <v>243.83306339597783</v>
      </c>
      <c r="D186" s="152">
        <v>242.28853695259463</v>
      </c>
      <c r="E186" s="152">
        <v>240.90871112669129</v>
      </c>
      <c r="F186" s="152">
        <v>245.55181875588531</v>
      </c>
      <c r="G186" s="152">
        <v>250.21625424068336</v>
      </c>
      <c r="H186" s="152">
        <v>246.23523778080732</v>
      </c>
      <c r="I186" s="152">
        <v>244.36377509650288</v>
      </c>
      <c r="J186" s="152">
        <v>233.63832286450358</v>
      </c>
      <c r="K186" s="152">
        <v>225.37815030647315</v>
      </c>
      <c r="L186" s="152">
        <v>212.34345409301625</v>
      </c>
      <c r="M186" s="152">
        <v>211.25718829628067</v>
      </c>
      <c r="N186" s="152">
        <v>211.56271657330277</v>
      </c>
      <c r="O186" s="152">
        <v>216.45807997884393</v>
      </c>
      <c r="P186" s="152">
        <v>219.43690436968097</v>
      </c>
      <c r="Q186" s="152">
        <v>227.64972803132503</v>
      </c>
      <c r="R186" s="152">
        <v>228.74530742732108</v>
      </c>
      <c r="S186" s="152">
        <v>215.47157078971765</v>
      </c>
      <c r="T186" s="152">
        <v>223.79560268272925</v>
      </c>
      <c r="U186" s="152">
        <v>227.27068818692982</v>
      </c>
      <c r="V186" s="152">
        <v>235.10802457169819</v>
      </c>
      <c r="W186" s="152">
        <v>220.22959921226987</v>
      </c>
      <c r="X186" s="152">
        <v>223.78638733098921</v>
      </c>
      <c r="Y186" s="152">
        <v>221.18702990242531</v>
      </c>
      <c r="DA186" s="174" t="s">
        <v>924</v>
      </c>
    </row>
    <row r="187" spans="1:105" ht="11.45" customHeight="1" x14ac:dyDescent="0.25">
      <c r="A187" s="111" t="s">
        <v>110</v>
      </c>
      <c r="B187" s="87">
        <v>226.16202168220624</v>
      </c>
      <c r="C187" s="87">
        <v>224.61535142755127</v>
      </c>
      <c r="D187" s="87">
        <v>223.18671352848656</v>
      </c>
      <c r="E187" s="87">
        <v>220.91509649898973</v>
      </c>
      <c r="F187" s="87">
        <v>219.38519534368407</v>
      </c>
      <c r="G187" s="87">
        <v>218.67806545962824</v>
      </c>
      <c r="H187" s="87">
        <v>216.92009503852088</v>
      </c>
      <c r="I187" s="87">
        <v>214.30267563766304</v>
      </c>
      <c r="J187" s="87">
        <v>210.74377890788421</v>
      </c>
      <c r="K187" s="87">
        <v>207.50152817199361</v>
      </c>
      <c r="L187" s="87">
        <v>204.00643431103578</v>
      </c>
      <c r="M187" s="87">
        <v>200.9200141546558</v>
      </c>
      <c r="N187" s="87">
        <v>198.96584220740903</v>
      </c>
      <c r="O187" s="87">
        <v>195.11406541255116</v>
      </c>
      <c r="P187" s="87">
        <v>191.59945372868478</v>
      </c>
      <c r="Q187" s="87">
        <v>188.1317829560314</v>
      </c>
      <c r="R187" s="87">
        <v>185.50493041962159</v>
      </c>
      <c r="S187" s="87">
        <v>181.17717507951713</v>
      </c>
      <c r="T187" s="87">
        <v>176.44450528226616</v>
      </c>
      <c r="U187" s="87">
        <v>175.21189897695803</v>
      </c>
      <c r="V187" s="87">
        <v>172.1561614507593</v>
      </c>
      <c r="W187" s="87">
        <v>171.70350994936248</v>
      </c>
      <c r="X187" s="87">
        <v>168.07638743578212</v>
      </c>
      <c r="Y187" s="87">
        <v>165.5607357280673</v>
      </c>
      <c r="DA187" s="171" t="s">
        <v>925</v>
      </c>
    </row>
    <row r="188" spans="1:105" ht="11.45" customHeight="1" x14ac:dyDescent="0.25">
      <c r="A188" s="111" t="s">
        <v>111</v>
      </c>
      <c r="B188" s="87">
        <v>299.97961139288378</v>
      </c>
      <c r="C188" s="87">
        <v>286.14971686664143</v>
      </c>
      <c r="D188" s="87">
        <v>281.69797535185717</v>
      </c>
      <c r="E188" s="87">
        <v>278.54103262634942</v>
      </c>
      <c r="F188" s="87">
        <v>275.99459084759155</v>
      </c>
      <c r="G188" s="87">
        <v>273.40277624184569</v>
      </c>
      <c r="H188" s="87">
        <v>271.44647804606819</v>
      </c>
      <c r="I188" s="87">
        <v>269.76831915844434</v>
      </c>
      <c r="J188" s="87">
        <v>268.20016514851812</v>
      </c>
      <c r="K188" s="87">
        <v>266.3010741459417</v>
      </c>
      <c r="L188" s="87">
        <v>265.46783924816037</v>
      </c>
      <c r="M188" s="87">
        <v>265.73735296736845</v>
      </c>
      <c r="N188" s="87">
        <v>264.45332438792934</v>
      </c>
      <c r="O188" s="87">
        <v>262.09687660399976</v>
      </c>
      <c r="P188" s="87">
        <v>258.90211973347346</v>
      </c>
      <c r="Q188" s="87">
        <v>255.2118901775294</v>
      </c>
      <c r="R188" s="87">
        <v>251.00786117055631</v>
      </c>
      <c r="S188" s="87">
        <v>246.58122660441492</v>
      </c>
      <c r="T188" s="87">
        <v>242.96128610386512</v>
      </c>
      <c r="U188" s="87">
        <v>236.03952736855854</v>
      </c>
      <c r="V188" s="87">
        <v>232.83676997144434</v>
      </c>
      <c r="W188" s="87">
        <v>228.97625176977107</v>
      </c>
      <c r="X188" s="87">
        <v>224.38576974525139</v>
      </c>
      <c r="Y188" s="87">
        <v>222.93653584592275</v>
      </c>
      <c r="DA188" s="171" t="s">
        <v>926</v>
      </c>
    </row>
    <row r="189" spans="1:105" ht="11.45" customHeight="1" x14ac:dyDescent="0.25">
      <c r="A189" s="111" t="s">
        <v>112</v>
      </c>
      <c r="B189" s="87">
        <v>252.29155776117187</v>
      </c>
      <c r="C189" s="87">
        <v>245.54009572109791</v>
      </c>
      <c r="D189" s="87">
        <v>231.95787752806487</v>
      </c>
      <c r="E189" s="87">
        <v>227.02298524655041</v>
      </c>
      <c r="F189" s="87">
        <v>225.5932940627485</v>
      </c>
      <c r="G189" s="87">
        <v>222.07996064894377</v>
      </c>
      <c r="H189" s="87">
        <v>216.3232496221452</v>
      </c>
      <c r="I189" s="87">
        <v>213.53774863816378</v>
      </c>
      <c r="J189" s="87">
        <v>211.92312616104678</v>
      </c>
      <c r="K189" s="87">
        <v>211.19038418364698</v>
      </c>
      <c r="L189" s="87">
        <v>210.25546884430761</v>
      </c>
      <c r="M189" s="87">
        <v>209.33116474786638</v>
      </c>
      <c r="N189" s="87">
        <v>206.59918870295866</v>
      </c>
      <c r="O189" s="87">
        <v>205.48082920445708</v>
      </c>
      <c r="P189" s="87">
        <v>200.35962372511119</v>
      </c>
      <c r="Q189" s="87">
        <v>199.38594210378662</v>
      </c>
      <c r="R189" s="87">
        <v>196.64735596597018</v>
      </c>
      <c r="S189" s="87">
        <v>194.40599652732516</v>
      </c>
      <c r="T189" s="87">
        <v>191.7934844406025</v>
      </c>
      <c r="U189" s="87">
        <v>191.08061458078549</v>
      </c>
      <c r="V189" s="87">
        <v>190.8261522612508</v>
      </c>
      <c r="W189" s="87">
        <v>189.87442103851342</v>
      </c>
      <c r="X189" s="87">
        <v>189.26592104841245</v>
      </c>
      <c r="Y189" s="87">
        <v>188.41334176352382</v>
      </c>
      <c r="DA189" s="171" t="s">
        <v>927</v>
      </c>
    </row>
    <row r="190" spans="1:105" ht="11.45" customHeight="1" x14ac:dyDescent="0.25">
      <c r="A190" s="111" t="s">
        <v>113</v>
      </c>
      <c r="B190" s="87">
        <v>0</v>
      </c>
      <c r="C190" s="87">
        <v>0</v>
      </c>
      <c r="D190" s="87">
        <v>0</v>
      </c>
      <c r="E190" s="87">
        <v>0</v>
      </c>
      <c r="F190" s="87">
        <v>0</v>
      </c>
      <c r="G190" s="87">
        <v>0</v>
      </c>
      <c r="H190" s="87">
        <v>0</v>
      </c>
      <c r="I190" s="87">
        <v>0</v>
      </c>
      <c r="J190" s="87">
        <v>0</v>
      </c>
      <c r="K190" s="87">
        <v>0</v>
      </c>
      <c r="L190" s="87">
        <v>0</v>
      </c>
      <c r="M190" s="87">
        <v>0</v>
      </c>
      <c r="N190" s="87">
        <v>0</v>
      </c>
      <c r="O190" s="87">
        <v>0</v>
      </c>
      <c r="P190" s="87">
        <v>0</v>
      </c>
      <c r="Q190" s="87">
        <v>184.14770214967817</v>
      </c>
      <c r="R190" s="87">
        <v>185.7022571038988</v>
      </c>
      <c r="S190" s="87">
        <v>184.94401608368025</v>
      </c>
      <c r="T190" s="87">
        <v>185.65359823525858</v>
      </c>
      <c r="U190" s="87">
        <v>184.48420989731648</v>
      </c>
      <c r="V190" s="87">
        <v>184.21441812419121</v>
      </c>
      <c r="W190" s="87">
        <v>183.89155086213299</v>
      </c>
      <c r="X190" s="87">
        <v>185.61515151773375</v>
      </c>
      <c r="Y190" s="87">
        <v>183.50274020749538</v>
      </c>
      <c r="DA190" s="171" t="s">
        <v>928</v>
      </c>
    </row>
    <row r="191" spans="1:105" ht="11.45" customHeight="1" x14ac:dyDescent="0.25">
      <c r="A191" s="111" t="s">
        <v>115</v>
      </c>
      <c r="B191" s="87">
        <v>0</v>
      </c>
      <c r="C191" s="87">
        <v>0</v>
      </c>
      <c r="D191" s="87">
        <v>0</v>
      </c>
      <c r="E191" s="87">
        <v>0</v>
      </c>
      <c r="F191" s="87">
        <v>0</v>
      </c>
      <c r="G191" s="87">
        <v>0</v>
      </c>
      <c r="H191" s="87">
        <v>0</v>
      </c>
      <c r="I191" s="87">
        <v>0</v>
      </c>
      <c r="J191" s="87">
        <v>0</v>
      </c>
      <c r="K191" s="87">
        <v>0</v>
      </c>
      <c r="L191" s="87">
        <v>0</v>
      </c>
      <c r="M191" s="87">
        <v>0</v>
      </c>
      <c r="N191" s="87">
        <v>0</v>
      </c>
      <c r="O191" s="87">
        <v>0</v>
      </c>
      <c r="P191" s="87">
        <v>0</v>
      </c>
      <c r="Q191" s="87">
        <v>0</v>
      </c>
      <c r="R191" s="87">
        <v>0</v>
      </c>
      <c r="S191" s="87">
        <v>0</v>
      </c>
      <c r="T191" s="87">
        <v>0</v>
      </c>
      <c r="U191" s="87">
        <v>0</v>
      </c>
      <c r="V191" s="87">
        <v>0</v>
      </c>
      <c r="W191" s="87">
        <v>0</v>
      </c>
      <c r="X191" s="87">
        <v>0</v>
      </c>
      <c r="Y191" s="87">
        <v>0</v>
      </c>
      <c r="DA191" s="171" t="s">
        <v>929</v>
      </c>
    </row>
    <row r="192" spans="1:105" ht="11.45" customHeight="1" x14ac:dyDescent="0.25">
      <c r="A192" s="109" t="s">
        <v>154</v>
      </c>
      <c r="B192" s="116">
        <v>976.21746103444264</v>
      </c>
      <c r="C192" s="116">
        <v>972.80937319668635</v>
      </c>
      <c r="D192" s="116">
        <v>964.06338361002133</v>
      </c>
      <c r="E192" s="116">
        <v>961.48744744366047</v>
      </c>
      <c r="F192" s="116">
        <v>958.82672946570597</v>
      </c>
      <c r="G192" s="116">
        <v>953.85331497873779</v>
      </c>
      <c r="H192" s="116">
        <v>947.59423352478109</v>
      </c>
      <c r="I192" s="116">
        <v>935.93682642956026</v>
      </c>
      <c r="J192" s="116">
        <v>923.99772506515887</v>
      </c>
      <c r="K192" s="116">
        <v>915.50430708562283</v>
      </c>
      <c r="L192" s="116">
        <v>905.1830367221645</v>
      </c>
      <c r="M192" s="116">
        <v>893.63537705653755</v>
      </c>
      <c r="N192" s="116">
        <v>882.54504837538047</v>
      </c>
      <c r="O192" s="116">
        <v>869.48853981839682</v>
      </c>
      <c r="P192" s="116">
        <v>856.45011127026498</v>
      </c>
      <c r="Q192" s="116">
        <v>844.06034133391393</v>
      </c>
      <c r="R192" s="116">
        <v>824.39094699133557</v>
      </c>
      <c r="S192" s="116">
        <v>807.37147993914243</v>
      </c>
      <c r="T192" s="116">
        <v>794.7776066789952</v>
      </c>
      <c r="U192" s="116">
        <v>776.46229202404561</v>
      </c>
      <c r="V192" s="116">
        <v>767.25052342226866</v>
      </c>
      <c r="W192" s="116">
        <v>751.97584022573483</v>
      </c>
      <c r="X192" s="116">
        <v>736.61396126232523</v>
      </c>
      <c r="Y192" s="116">
        <v>726.70111267622792</v>
      </c>
      <c r="DA192" s="176" t="s">
        <v>930</v>
      </c>
    </row>
    <row r="193" spans="1:105" ht="11.45" customHeight="1" x14ac:dyDescent="0.25">
      <c r="A193" s="128" t="s">
        <v>27</v>
      </c>
      <c r="B193" s="101">
        <v>908.08550248180325</v>
      </c>
      <c r="C193" s="101">
        <v>904.98747239606791</v>
      </c>
      <c r="D193" s="101">
        <v>897.27134055014858</v>
      </c>
      <c r="E193" s="101">
        <v>894.91406528754555</v>
      </c>
      <c r="F193" s="101">
        <v>892.1133709209098</v>
      </c>
      <c r="G193" s="101">
        <v>887.53424357533947</v>
      </c>
      <c r="H193" s="101">
        <v>881.36012519118447</v>
      </c>
      <c r="I193" s="101">
        <v>870.81639865988302</v>
      </c>
      <c r="J193" s="101">
        <v>859.91180336849516</v>
      </c>
      <c r="K193" s="101">
        <v>852.16383655488823</v>
      </c>
      <c r="L193" s="101">
        <v>842.42375781266264</v>
      </c>
      <c r="M193" s="101">
        <v>831.76145018704972</v>
      </c>
      <c r="N193" s="101">
        <v>821.33685293447718</v>
      </c>
      <c r="O193" s="101">
        <v>809.09852579417577</v>
      </c>
      <c r="P193" s="101">
        <v>796.85385993114971</v>
      </c>
      <c r="Q193" s="101">
        <v>785.19901034094573</v>
      </c>
      <c r="R193" s="101">
        <v>766.45732767303957</v>
      </c>
      <c r="S193" s="101">
        <v>750.23188827185368</v>
      </c>
      <c r="T193" s="101">
        <v>739.16689089329213</v>
      </c>
      <c r="U193" s="101">
        <v>721.77650739108162</v>
      </c>
      <c r="V193" s="101">
        <v>713.33640369050704</v>
      </c>
      <c r="W193" s="101">
        <v>698.99954805230755</v>
      </c>
      <c r="X193" s="101">
        <v>684.51029057724668</v>
      </c>
      <c r="Y193" s="101">
        <v>675.37056248857175</v>
      </c>
      <c r="DA193" s="175" t="s">
        <v>931</v>
      </c>
    </row>
    <row r="194" spans="1:105" ht="11.45" customHeight="1" x14ac:dyDescent="0.25">
      <c r="A194" s="138" t="s">
        <v>116</v>
      </c>
      <c r="B194" s="88">
        <v>1066.0594178947845</v>
      </c>
      <c r="C194" s="88">
        <v>1055.3678300458807</v>
      </c>
      <c r="D194" s="88">
        <v>1046.0693028007313</v>
      </c>
      <c r="E194" s="88">
        <v>1038.5767038249321</v>
      </c>
      <c r="F194" s="88">
        <v>1019.4762859451148</v>
      </c>
      <c r="G194" s="88">
        <v>1010.7419981937209</v>
      </c>
      <c r="H194" s="88">
        <v>991.20909162182386</v>
      </c>
      <c r="I194" s="88">
        <v>988.32589659087762</v>
      </c>
      <c r="J194" s="88">
        <v>978.53508989101783</v>
      </c>
      <c r="K194" s="88">
        <v>972.1217958324288</v>
      </c>
      <c r="L194" s="88">
        <v>950.00071469419493</v>
      </c>
      <c r="M194" s="88">
        <v>936.04674263996822</v>
      </c>
      <c r="N194" s="88">
        <v>919.87884101916916</v>
      </c>
      <c r="O194" s="88">
        <v>905.42856966661748</v>
      </c>
      <c r="P194" s="88">
        <v>896.7305871194078</v>
      </c>
      <c r="Q194" s="88">
        <v>886.11400289740948</v>
      </c>
      <c r="R194" s="88">
        <v>866.71590396194972</v>
      </c>
      <c r="S194" s="88">
        <v>847.3820026722575</v>
      </c>
      <c r="T194" s="88">
        <v>839.85303389574358</v>
      </c>
      <c r="U194" s="88">
        <v>817.23377351935187</v>
      </c>
      <c r="V194" s="88">
        <v>810.35138477188877</v>
      </c>
      <c r="W194" s="88">
        <v>795.26708261352576</v>
      </c>
      <c r="X194" s="88">
        <v>783.54865145302495</v>
      </c>
      <c r="Y194" s="88">
        <v>773.17591288900451</v>
      </c>
      <c r="DA194" s="178" t="s">
        <v>932</v>
      </c>
    </row>
    <row r="195" spans="1:105" x14ac:dyDescent="0.25">
      <c r="A195" s="106"/>
      <c r="B195" s="106"/>
      <c r="C195" s="106"/>
      <c r="D195" s="106"/>
      <c r="E195" s="106"/>
      <c r="F195" s="106"/>
      <c r="G195" s="106"/>
      <c r="H195" s="106"/>
      <c r="I195" s="106"/>
      <c r="J195" s="106"/>
      <c r="K195" s="106"/>
      <c r="L195" s="106"/>
      <c r="M195" s="106"/>
      <c r="N195" s="106"/>
      <c r="O195" s="106"/>
      <c r="P195" s="106"/>
      <c r="Q195" s="106"/>
      <c r="R195" s="106"/>
      <c r="S195" s="106"/>
      <c r="T195" s="106"/>
      <c r="U195" s="106"/>
      <c r="V195" s="106"/>
      <c r="W195" s="106"/>
      <c r="X195" s="106"/>
      <c r="Y195" s="106"/>
      <c r="DA195" s="171"/>
    </row>
    <row r="196" spans="1:105" ht="11.45" customHeight="1" x14ac:dyDescent="0.25">
      <c r="A196" s="53" t="s">
        <v>124</v>
      </c>
      <c r="B196" s="59"/>
      <c r="C196" s="59"/>
      <c r="D196" s="59"/>
      <c r="E196" s="59"/>
      <c r="F196" s="59"/>
      <c r="G196" s="59"/>
      <c r="H196" s="59"/>
      <c r="I196" s="59"/>
      <c r="J196" s="59"/>
      <c r="K196" s="59"/>
      <c r="L196" s="59"/>
      <c r="M196" s="59"/>
      <c r="N196" s="59"/>
      <c r="O196" s="59"/>
      <c r="P196" s="59"/>
      <c r="Q196" s="59"/>
      <c r="R196" s="59"/>
      <c r="S196" s="59"/>
      <c r="T196" s="59"/>
      <c r="U196" s="59"/>
      <c r="V196" s="59"/>
      <c r="W196" s="59"/>
      <c r="X196" s="59"/>
      <c r="Y196" s="59"/>
      <c r="DA196" s="172"/>
    </row>
    <row r="197" spans="1:105" ht="11.45" customHeight="1" x14ac:dyDescent="0.25">
      <c r="A197" s="27" t="s">
        <v>33</v>
      </c>
      <c r="B197" s="47"/>
      <c r="C197" s="47"/>
      <c r="D197" s="47"/>
      <c r="E197" s="47"/>
      <c r="F197" s="47"/>
      <c r="G197" s="47"/>
      <c r="H197" s="47"/>
      <c r="I197" s="47"/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X197" s="47"/>
      <c r="Y197" s="47"/>
      <c r="DA197" s="173"/>
    </row>
    <row r="198" spans="1:105" ht="11.45" customHeight="1" x14ac:dyDescent="0.25">
      <c r="A198" s="136" t="s">
        <v>173</v>
      </c>
      <c r="B198" s="150">
        <f>IF(TrRoad_act!B59=0,0,TrRoad_emi!B56/TrRoad_tech!B171)</f>
        <v>1.1275000000068984</v>
      </c>
      <c r="C198" s="150">
        <f>IF(TrRoad_act!C59=0,0,TrRoad_emi!C56/TrRoad_tech!C171)</f>
        <v>1.0898264305983918</v>
      </c>
      <c r="D198" s="150">
        <f>IF(TrRoad_act!D59=0,0,TrRoad_emi!D56/TrRoad_tech!D171)</f>
        <v>1.1275310284151274</v>
      </c>
      <c r="E198" s="150">
        <f>IF(TrRoad_act!E59=0,0,TrRoad_emi!E56/TrRoad_tech!E171)</f>
        <v>1.0663976028859166</v>
      </c>
      <c r="F198" s="150">
        <f>IF(TrRoad_act!F59=0,0,TrRoad_emi!F56/TrRoad_tech!F171)</f>
        <v>1.070250789437184</v>
      </c>
      <c r="G198" s="150">
        <f>IF(TrRoad_act!G59=0,0,TrRoad_emi!G56/TrRoad_tech!G171)</f>
        <v>1.0734202094025067</v>
      </c>
      <c r="H198" s="150">
        <f>IF(TrRoad_act!H59=0,0,TrRoad_emi!H56/TrRoad_tech!H171)</f>
        <v>1.0722269373425184</v>
      </c>
      <c r="I198" s="150">
        <f>IF(TrRoad_act!I59=0,0,TrRoad_emi!I56/TrRoad_tech!I171)</f>
        <v>1.0745946384006042</v>
      </c>
      <c r="J198" s="150">
        <f>IF(TrRoad_act!J59=0,0,TrRoad_emi!J56/TrRoad_tech!J171)</f>
        <v>1.1253355008951713</v>
      </c>
      <c r="K198" s="150">
        <f>IF(TrRoad_act!K59=0,0,TrRoad_emi!K56/TrRoad_tech!K171)</f>
        <v>1.0691548804680697</v>
      </c>
      <c r="L198" s="150">
        <f>IF(TrRoad_act!L59=0,0,TrRoad_emi!L56/TrRoad_tech!L171)</f>
        <v>1.0744465815738622</v>
      </c>
      <c r="M198" s="150">
        <f>IF(TrRoad_act!M59=0,0,TrRoad_emi!M56/TrRoad_tech!M171)</f>
        <v>1.0827749478098767</v>
      </c>
      <c r="N198" s="150">
        <f>IF(TrRoad_act!N59=0,0,TrRoad_emi!N56/TrRoad_tech!N171)</f>
        <v>1.0937278327840991</v>
      </c>
      <c r="O198" s="150">
        <f>IF(TrRoad_act!O59=0,0,TrRoad_emi!O56/TrRoad_tech!O171)</f>
        <v>1.0978792212449437</v>
      </c>
      <c r="P198" s="150">
        <f>IF(TrRoad_act!P59=0,0,TrRoad_emi!P56/TrRoad_tech!P171)</f>
        <v>1.1056993798006398</v>
      </c>
      <c r="Q198" s="150">
        <f>IF(TrRoad_act!Q59=0,0,TrRoad_emi!Q56/TrRoad_tech!Q171)</f>
        <v>1.1110680481428912</v>
      </c>
      <c r="R198" s="150">
        <f>IF(TrRoad_act!R59=0,0,TrRoad_emi!R56/TrRoad_tech!R171)</f>
        <v>1.1192865114626611</v>
      </c>
      <c r="S198" s="150">
        <f>IF(TrRoad_act!S59=0,0,TrRoad_emi!S56/TrRoad_tech!S171)</f>
        <v>1.1287765364974087</v>
      </c>
      <c r="T198" s="150">
        <f>IF(TrRoad_act!T59=0,0,TrRoad_emi!T56/TrRoad_tech!T171)</f>
        <v>1.1408637691297172</v>
      </c>
      <c r="U198" s="150">
        <f>IF(TrRoad_act!U59=0,0,TrRoad_emi!U56/TrRoad_tech!U171)</f>
        <v>1.1477111196546963</v>
      </c>
      <c r="V198" s="150">
        <f>IF(TrRoad_act!V59=0,0,TrRoad_emi!V56/TrRoad_tech!V171)</f>
        <v>1.1561703753401962</v>
      </c>
      <c r="W198" s="150">
        <f>IF(TrRoad_act!W59=0,0,TrRoad_emi!W56/TrRoad_tech!W171)</f>
        <v>1.1652465828589076</v>
      </c>
      <c r="X198" s="150">
        <f>IF(TrRoad_act!X59=0,0,TrRoad_emi!X56/TrRoad_tech!X171)</f>
        <v>1.1729955615296117</v>
      </c>
      <c r="Y198" s="150">
        <f>IF(TrRoad_act!Y59=0,0,TrRoad_emi!Y56/TrRoad_tech!Y171)</f>
        <v>1.1837102481851625</v>
      </c>
      <c r="DA198" s="174"/>
    </row>
    <row r="199" spans="1:105" ht="11.45" customHeight="1" x14ac:dyDescent="0.25">
      <c r="A199" s="109" t="s">
        <v>20</v>
      </c>
      <c r="B199" s="151">
        <f>IF(TrRoad_act!B60=0,0,TrRoad_emi!B57/TrRoad_tech!B172)</f>
        <v>0.92512511029926814</v>
      </c>
      <c r="C199" s="151">
        <f>IF(TrRoad_act!C60=0,0,TrRoad_emi!C57/TrRoad_tech!C172)</f>
        <v>0.92674095974923398</v>
      </c>
      <c r="D199" s="151">
        <f>IF(TrRoad_act!D60=0,0,TrRoad_emi!D57/TrRoad_tech!D172)</f>
        <v>0.93362503797981411</v>
      </c>
      <c r="E199" s="151">
        <f>IF(TrRoad_act!E60=0,0,TrRoad_emi!E57/TrRoad_tech!E172)</f>
        <v>0.94733476293725127</v>
      </c>
      <c r="F199" s="151">
        <f>IF(TrRoad_act!F60=0,0,TrRoad_emi!F57/TrRoad_tech!F172)</f>
        <v>0.93057330346559752</v>
      </c>
      <c r="G199" s="151">
        <f>IF(TrRoad_act!G60=0,0,TrRoad_emi!G57/TrRoad_tech!G172)</f>
        <v>0.94300794127817666</v>
      </c>
      <c r="H199" s="151">
        <f>IF(TrRoad_act!H60=0,0,TrRoad_emi!H57/TrRoad_tech!H172)</f>
        <v>0.9469551298924197</v>
      </c>
      <c r="I199" s="151">
        <f>IF(TrRoad_act!I60=0,0,TrRoad_emi!I57/TrRoad_tech!I172)</f>
        <v>0.95001956482423</v>
      </c>
      <c r="J199" s="151">
        <f>IF(TrRoad_act!J60=0,0,TrRoad_emi!J57/TrRoad_tech!J172)</f>
        <v>0.91786109616385247</v>
      </c>
      <c r="K199" s="151">
        <f>IF(TrRoad_act!K60=0,0,TrRoad_emi!K57/TrRoad_tech!K172)</f>
        <v>0.91221020551953758</v>
      </c>
      <c r="L199" s="151">
        <f>IF(TrRoad_act!L60=0,0,TrRoad_emi!L57/TrRoad_tech!L172)</f>
        <v>0.90687139051071874</v>
      </c>
      <c r="M199" s="151">
        <f>IF(TrRoad_act!M60=0,0,TrRoad_emi!M57/TrRoad_tech!M172)</f>
        <v>0.89044436036239949</v>
      </c>
      <c r="N199" s="151">
        <f>IF(TrRoad_act!N60=0,0,TrRoad_emi!N57/TrRoad_tech!N172)</f>
        <v>0.91614314328368518</v>
      </c>
      <c r="O199" s="151">
        <f>IF(TrRoad_act!O60=0,0,TrRoad_emi!O57/TrRoad_tech!O172)</f>
        <v>0.91480221690333208</v>
      </c>
      <c r="P199" s="151">
        <f>IF(TrRoad_act!P60=0,0,TrRoad_emi!P57/TrRoad_tech!P172)</f>
        <v>0.92084707286780343</v>
      </c>
      <c r="Q199" s="151">
        <f>IF(TrRoad_act!Q60=0,0,TrRoad_emi!Q57/TrRoad_tech!Q172)</f>
        <v>0.92874725956383908</v>
      </c>
      <c r="R199" s="151">
        <f>IF(TrRoad_act!R60=0,0,TrRoad_emi!R57/TrRoad_tech!R172)</f>
        <v>0.97757466682242034</v>
      </c>
      <c r="S199" s="151">
        <f>IF(TrRoad_act!S60=0,0,TrRoad_emi!S57/TrRoad_tech!S172)</f>
        <v>0.99700441884281721</v>
      </c>
      <c r="T199" s="151">
        <f>IF(TrRoad_act!T60=0,0,TrRoad_emi!T57/TrRoad_tech!T172)</f>
        <v>0.98159571116749411</v>
      </c>
      <c r="U199" s="151">
        <f>IF(TrRoad_act!U60=0,0,TrRoad_emi!U57/TrRoad_tech!U172)</f>
        <v>0.97018380683914485</v>
      </c>
      <c r="V199" s="151">
        <f>IF(TrRoad_act!V60=0,0,TrRoad_emi!V57/TrRoad_tech!V172)</f>
        <v>0.92881959328839825</v>
      </c>
      <c r="W199" s="151">
        <f>IF(TrRoad_act!W60=0,0,TrRoad_emi!W57/TrRoad_tech!W172)</f>
        <v>0.95417777198257714</v>
      </c>
      <c r="X199" s="151">
        <f>IF(TrRoad_act!X60=0,0,TrRoad_emi!X57/TrRoad_tech!X172)</f>
        <v>0.96998465180076043</v>
      </c>
      <c r="Y199" s="151">
        <f>IF(TrRoad_act!Y60=0,0,TrRoad_emi!Y57/TrRoad_tech!Y172)</f>
        <v>0.98094635795869911</v>
      </c>
      <c r="DA199" s="176"/>
    </row>
    <row r="200" spans="1:105" ht="11.45" customHeight="1" x14ac:dyDescent="0.25">
      <c r="A200" s="111" t="s">
        <v>110</v>
      </c>
      <c r="B200" s="91">
        <f>IF(TrRoad_act!B61=0,0,TrRoad_emi!B58/TrRoad_tech!B173)</f>
        <v>0.88282209689926139</v>
      </c>
      <c r="C200" s="91">
        <f>IF(TrRoad_act!C61=0,0,TrRoad_emi!C58/TrRoad_tech!C173)</f>
        <v>0.88879147510718637</v>
      </c>
      <c r="D200" s="91">
        <f>IF(TrRoad_act!D61=0,0,TrRoad_emi!D58/TrRoad_tech!D173)</f>
        <v>0.85079741611482451</v>
      </c>
      <c r="E200" s="91">
        <f>IF(TrRoad_act!E61=0,0,TrRoad_emi!E58/TrRoad_tech!E173)</f>
        <v>0.8616206504608076</v>
      </c>
      <c r="F200" s="91">
        <f>IF(TrRoad_act!F61=0,0,TrRoad_emi!F58/TrRoad_tech!F173)</f>
        <v>0.89491821306426256</v>
      </c>
      <c r="G200" s="91">
        <f>IF(TrRoad_act!G61=0,0,TrRoad_emi!G58/TrRoad_tech!G173)</f>
        <v>0.88005626890302358</v>
      </c>
      <c r="H200" s="91">
        <f>IF(TrRoad_act!H61=0,0,TrRoad_emi!H58/TrRoad_tech!H173)</f>
        <v>0.88192952471978392</v>
      </c>
      <c r="I200" s="91">
        <f>IF(TrRoad_act!I61=0,0,TrRoad_emi!I58/TrRoad_tech!I173)</f>
        <v>0.89588176357650529</v>
      </c>
      <c r="J200" s="91">
        <f>IF(TrRoad_act!J61=0,0,TrRoad_emi!J58/TrRoad_tech!J173)</f>
        <v>0.9023191718745156</v>
      </c>
      <c r="K200" s="91">
        <f>IF(TrRoad_act!K61=0,0,TrRoad_emi!K58/TrRoad_tech!K173)</f>
        <v>0.93060287055019819</v>
      </c>
      <c r="L200" s="91">
        <f>IF(TrRoad_act!L61=0,0,TrRoad_emi!L58/TrRoad_tech!L173)</f>
        <v>0.95171730502966845</v>
      </c>
      <c r="M200" s="91">
        <f>IF(TrRoad_act!M61=0,0,TrRoad_emi!M58/TrRoad_tech!M173)</f>
        <v>0.93849078011688325</v>
      </c>
      <c r="N200" s="91">
        <f>IF(TrRoad_act!N61=0,0,TrRoad_emi!N58/TrRoad_tech!N173)</f>
        <v>0.92191149736857858</v>
      </c>
      <c r="O200" s="91">
        <f>IF(TrRoad_act!O61=0,0,TrRoad_emi!O58/TrRoad_tech!O173)</f>
        <v>0.91649735367201535</v>
      </c>
      <c r="P200" s="91">
        <f>IF(TrRoad_act!P61=0,0,TrRoad_emi!P58/TrRoad_tech!P173)</f>
        <v>0.92343940546198766</v>
      </c>
      <c r="Q200" s="91">
        <f>IF(TrRoad_act!Q61=0,0,TrRoad_emi!Q58/TrRoad_tech!Q173)</f>
        <v>0.93166511994072121</v>
      </c>
      <c r="R200" s="91">
        <f>IF(TrRoad_act!R61=0,0,TrRoad_emi!R58/TrRoad_tech!R173)</f>
        <v>0.99945311969944317</v>
      </c>
      <c r="S200" s="91">
        <f>IF(TrRoad_act!S61=0,0,TrRoad_emi!S58/TrRoad_tech!S173)</f>
        <v>1.0038349885634363</v>
      </c>
      <c r="T200" s="91">
        <f>IF(TrRoad_act!T61=0,0,TrRoad_emi!T58/TrRoad_tech!T173)</f>
        <v>1.0061975658911131</v>
      </c>
      <c r="U200" s="91">
        <f>IF(TrRoad_act!U61=0,0,TrRoad_emi!U58/TrRoad_tech!U173)</f>
        <v>1.0034714451737046</v>
      </c>
      <c r="V200" s="91">
        <f>IF(TrRoad_act!V61=0,0,TrRoad_emi!V58/TrRoad_tech!V173)</f>
        <v>0.96036581622471273</v>
      </c>
      <c r="W200" s="91">
        <f>IF(TrRoad_act!W61=0,0,TrRoad_emi!W58/TrRoad_tech!W173)</f>
        <v>0.98957675580819859</v>
      </c>
      <c r="X200" s="91">
        <f>IF(TrRoad_act!X61=0,0,TrRoad_emi!X58/TrRoad_tech!X173)</f>
        <v>1.0129068467157789</v>
      </c>
      <c r="Y200" s="91">
        <f>IF(TrRoad_act!Y61=0,0,TrRoad_emi!Y58/TrRoad_tech!Y173)</f>
        <v>1.0157786073725139</v>
      </c>
      <c r="DA200" s="171"/>
    </row>
    <row r="201" spans="1:105" ht="11.45" customHeight="1" x14ac:dyDescent="0.25">
      <c r="A201" s="111" t="s">
        <v>111</v>
      </c>
      <c r="B201" s="91">
        <f>IF(TrRoad_act!B62=0,0,TrRoad_emi!B59/TrRoad_tech!B174)</f>
        <v>0.95951343885099238</v>
      </c>
      <c r="C201" s="91">
        <f>IF(TrRoad_act!C62=0,0,TrRoad_emi!C59/TrRoad_tech!C174)</f>
        <v>0.93859103379474162</v>
      </c>
      <c r="D201" s="91">
        <f>IF(TrRoad_act!D62=0,0,TrRoad_emi!D59/TrRoad_tech!D174)</f>
        <v>0.95176642591329841</v>
      </c>
      <c r="E201" s="91">
        <f>IF(TrRoad_act!E62=0,0,TrRoad_emi!E59/TrRoad_tech!E174)</f>
        <v>0.97373295627686529</v>
      </c>
      <c r="F201" s="91">
        <f>IF(TrRoad_act!F62=0,0,TrRoad_emi!F59/TrRoad_tech!F174)</f>
        <v>0.94279909795509254</v>
      </c>
      <c r="G201" s="91">
        <f>IF(TrRoad_act!G62=0,0,TrRoad_emi!G59/TrRoad_tech!G174)</f>
        <v>1.0719056419040083</v>
      </c>
      <c r="H201" s="91">
        <f>IF(TrRoad_act!H62=0,0,TrRoad_emi!H59/TrRoad_tech!H174)</f>
        <v>1.1265607537023998</v>
      </c>
      <c r="I201" s="91">
        <f>IF(TrRoad_act!I62=0,0,TrRoad_emi!I59/TrRoad_tech!I174)</f>
        <v>1.1262010786223993</v>
      </c>
      <c r="J201" s="91">
        <f>IF(TrRoad_act!J62=0,0,TrRoad_emi!J59/TrRoad_tech!J174)</f>
        <v>1.028162463986102</v>
      </c>
      <c r="K201" s="91">
        <f>IF(TrRoad_act!K62=0,0,TrRoad_emi!K59/TrRoad_tech!K174)</f>
        <v>1.0033526923406604</v>
      </c>
      <c r="L201" s="91">
        <f>IF(TrRoad_act!L62=0,0,TrRoad_emi!L59/TrRoad_tech!L174)</f>
        <v>1.0059439899615501</v>
      </c>
      <c r="M201" s="91">
        <f>IF(TrRoad_act!M62=0,0,TrRoad_emi!M59/TrRoad_tech!M174)</f>
        <v>0.96910865319320161</v>
      </c>
      <c r="N201" s="91">
        <f>IF(TrRoad_act!N62=0,0,TrRoad_emi!N59/TrRoad_tech!N174)</f>
        <v>0.93526918917068758</v>
      </c>
      <c r="O201" s="91">
        <f>IF(TrRoad_act!O62=0,0,TrRoad_emi!O59/TrRoad_tech!O174)</f>
        <v>0.91345505975286123</v>
      </c>
      <c r="P201" s="91">
        <f>IF(TrRoad_act!P62=0,0,TrRoad_emi!P59/TrRoad_tech!P174)</f>
        <v>0.91695562278870946</v>
      </c>
      <c r="Q201" s="91">
        <f>IF(TrRoad_act!Q62=0,0,TrRoad_emi!Q59/TrRoad_tech!Q174)</f>
        <v>0.92810430000163413</v>
      </c>
      <c r="R201" s="91">
        <f>IF(TrRoad_act!R62=0,0,TrRoad_emi!R59/TrRoad_tech!R174)</f>
        <v>1.0019323252686394</v>
      </c>
      <c r="S201" s="91">
        <f>IF(TrRoad_act!S62=0,0,TrRoad_emi!S59/TrRoad_tech!S174)</f>
        <v>1.0473022260692295</v>
      </c>
      <c r="T201" s="91">
        <f>IF(TrRoad_act!T62=0,0,TrRoad_emi!T59/TrRoad_tech!T174)</f>
        <v>1.0128199414554726</v>
      </c>
      <c r="U201" s="91">
        <f>IF(TrRoad_act!U62=0,0,TrRoad_emi!U59/TrRoad_tech!U174)</f>
        <v>1.0084867538549123</v>
      </c>
      <c r="V201" s="91">
        <f>IF(TrRoad_act!V62=0,0,TrRoad_emi!V59/TrRoad_tech!V174)</f>
        <v>0.98311602141212506</v>
      </c>
      <c r="W201" s="91">
        <f>IF(TrRoad_act!W62=0,0,TrRoad_emi!W59/TrRoad_tech!W174)</f>
        <v>0.98547188178556466</v>
      </c>
      <c r="X201" s="91">
        <f>IF(TrRoad_act!X62=0,0,TrRoad_emi!X59/TrRoad_tech!X174)</f>
        <v>1.001180189544324</v>
      </c>
      <c r="Y201" s="91">
        <f>IF(TrRoad_act!Y62=0,0,TrRoad_emi!Y59/TrRoad_tech!Y174)</f>
        <v>0.99705619367059561</v>
      </c>
      <c r="DA201" s="171"/>
    </row>
    <row r="202" spans="1:105" ht="11.45" customHeight="1" x14ac:dyDescent="0.25">
      <c r="A202" s="111" t="s">
        <v>112</v>
      </c>
      <c r="B202" s="91">
        <f>IF(TrRoad_act!B63=0,0,TrRoad_emi!B60/TrRoad_tech!B175)</f>
        <v>1.010394215080288</v>
      </c>
      <c r="C202" s="91">
        <f>IF(TrRoad_act!C63=0,0,TrRoad_emi!C60/TrRoad_tech!C175)</f>
        <v>1.0584173992871446</v>
      </c>
      <c r="D202" s="91">
        <f>IF(TrRoad_act!D63=0,0,TrRoad_emi!D60/TrRoad_tech!D175)</f>
        <v>1.1158433735597353</v>
      </c>
      <c r="E202" s="91">
        <f>IF(TrRoad_act!E63=0,0,TrRoad_emi!E60/TrRoad_tech!E175)</f>
        <v>1.0777494009039548</v>
      </c>
      <c r="F202" s="91">
        <f>IF(TrRoad_act!F63=0,0,TrRoad_emi!F60/TrRoad_tech!F175)</f>
        <v>1.0875735180074619</v>
      </c>
      <c r="G202" s="91">
        <f>IF(TrRoad_act!G63=0,0,TrRoad_emi!G60/TrRoad_tech!G175)</f>
        <v>1.1315584519301167</v>
      </c>
      <c r="H202" s="91">
        <f>IF(TrRoad_act!H63=0,0,TrRoad_emi!H60/TrRoad_tech!H175)</f>
        <v>1.1181930053109264</v>
      </c>
      <c r="I202" s="91">
        <f>IF(TrRoad_act!I63=0,0,TrRoad_emi!I60/TrRoad_tech!I175)</f>
        <v>1.0677772274176891</v>
      </c>
      <c r="J202" s="91">
        <f>IF(TrRoad_act!J63=0,0,TrRoad_emi!J60/TrRoad_tech!J175)</f>
        <v>1.0068202845281931</v>
      </c>
      <c r="K202" s="91">
        <f>IF(TrRoad_act!K63=0,0,TrRoad_emi!K60/TrRoad_tech!K175)</f>
        <v>0.90178869370689219</v>
      </c>
      <c r="L202" s="91">
        <f>IF(TrRoad_act!L63=0,0,TrRoad_emi!L60/TrRoad_tech!L175)</f>
        <v>0.82235317790480889</v>
      </c>
      <c r="M202" s="91">
        <f>IF(TrRoad_act!M63=0,0,TrRoad_emi!M60/TrRoad_tech!M175)</f>
        <v>0.87747725988328773</v>
      </c>
      <c r="N202" s="91">
        <f>IF(TrRoad_act!N63=0,0,TrRoad_emi!N60/TrRoad_tech!N175)</f>
        <v>1.0315444044962094</v>
      </c>
      <c r="O202" s="91">
        <f>IF(TrRoad_act!O63=0,0,TrRoad_emi!O60/TrRoad_tech!O175)</f>
        <v>1.0833532421689795</v>
      </c>
      <c r="P202" s="91">
        <f>IF(TrRoad_act!P63=0,0,TrRoad_emi!P60/TrRoad_tech!P175)</f>
        <v>1.1050096527147453</v>
      </c>
      <c r="Q202" s="91">
        <f>IF(TrRoad_act!Q63=0,0,TrRoad_emi!Q60/TrRoad_tech!Q175)</f>
        <v>1.0672749914909161</v>
      </c>
      <c r="R202" s="91">
        <f>IF(TrRoad_act!R63=0,0,TrRoad_emi!R60/TrRoad_tech!R175)</f>
        <v>1.036188276265114</v>
      </c>
      <c r="S202" s="91">
        <f>IF(TrRoad_act!S63=0,0,TrRoad_emi!S60/TrRoad_tech!S175)</f>
        <v>1.01999043669298</v>
      </c>
      <c r="T202" s="91">
        <f>IF(TrRoad_act!T63=0,0,TrRoad_emi!T60/TrRoad_tech!T175)</f>
        <v>0.95448401362722612</v>
      </c>
      <c r="U202" s="91">
        <f>IF(TrRoad_act!U63=0,0,TrRoad_emi!U60/TrRoad_tech!U175)</f>
        <v>0.9994779392710319</v>
      </c>
      <c r="V202" s="91">
        <f>IF(TrRoad_act!V63=0,0,TrRoad_emi!V60/TrRoad_tech!V175)</f>
        <v>0.9248728143665893</v>
      </c>
      <c r="W202" s="91">
        <f>IF(TrRoad_act!W63=0,0,TrRoad_emi!W60/TrRoad_tech!W175)</f>
        <v>0.99560769830351015</v>
      </c>
      <c r="X202" s="91">
        <f>IF(TrRoad_act!X63=0,0,TrRoad_emi!X60/TrRoad_tech!X175)</f>
        <v>0.98788788120528692</v>
      </c>
      <c r="Y202" s="91">
        <f>IF(TrRoad_act!Y63=0,0,TrRoad_emi!Y60/TrRoad_tech!Y175)</f>
        <v>0.96658121644507533</v>
      </c>
      <c r="DA202" s="171"/>
    </row>
    <row r="203" spans="1:105" ht="11.45" customHeight="1" x14ac:dyDescent="0.25">
      <c r="A203" s="111" t="s">
        <v>113</v>
      </c>
      <c r="B203" s="91">
        <f>IF(TrRoad_act!B64=0,0,TrRoad_emi!B61/TrRoad_tech!B176)</f>
        <v>0</v>
      </c>
      <c r="C203" s="91">
        <f>IF(TrRoad_act!C64=0,0,TrRoad_emi!C61/TrRoad_tech!C176)</f>
        <v>0</v>
      </c>
      <c r="D203" s="91">
        <f>IF(TrRoad_act!D64=0,0,TrRoad_emi!D61/TrRoad_tech!D176)</f>
        <v>0</v>
      </c>
      <c r="E203" s="91">
        <f>IF(TrRoad_act!E64=0,0,TrRoad_emi!E61/TrRoad_tech!E176)</f>
        <v>0</v>
      </c>
      <c r="F203" s="91">
        <f>IF(TrRoad_act!F64=0,0,TrRoad_emi!F61/TrRoad_tech!F176)</f>
        <v>0</v>
      </c>
      <c r="G203" s="91">
        <f>IF(TrRoad_act!G64=0,0,TrRoad_emi!G61/TrRoad_tech!G176)</f>
        <v>0</v>
      </c>
      <c r="H203" s="91">
        <f>IF(TrRoad_act!H64=0,0,TrRoad_emi!H61/TrRoad_tech!H176)</f>
        <v>0</v>
      </c>
      <c r="I203" s="91">
        <f>IF(TrRoad_act!I64=0,0,TrRoad_emi!I61/TrRoad_tech!I176)</f>
        <v>0</v>
      </c>
      <c r="J203" s="91">
        <f>IF(TrRoad_act!J64=0,0,TrRoad_emi!J61/TrRoad_tech!J176)</f>
        <v>0</v>
      </c>
      <c r="K203" s="91">
        <f>IF(TrRoad_act!K64=0,0,TrRoad_emi!K61/TrRoad_tech!K176)</f>
        <v>0</v>
      </c>
      <c r="L203" s="91">
        <f>IF(TrRoad_act!L64=0,0,TrRoad_emi!L61/TrRoad_tech!L176)</f>
        <v>0</v>
      </c>
      <c r="M203" s="91">
        <f>IF(TrRoad_act!M64=0,0,TrRoad_emi!M61/TrRoad_tech!M176)</f>
        <v>0</v>
      </c>
      <c r="N203" s="91">
        <f>IF(TrRoad_act!N64=0,0,TrRoad_emi!N61/TrRoad_tech!N176)</f>
        <v>0</v>
      </c>
      <c r="O203" s="91">
        <f>IF(TrRoad_act!O64=0,0,TrRoad_emi!O61/TrRoad_tech!O176)</f>
        <v>0</v>
      </c>
      <c r="P203" s="91">
        <f>IF(TrRoad_act!P64=0,0,TrRoad_emi!P61/TrRoad_tech!P176)</f>
        <v>0</v>
      </c>
      <c r="Q203" s="91">
        <f>IF(TrRoad_act!Q64=0,0,TrRoad_emi!Q61/TrRoad_tech!Q176)</f>
        <v>1.0833333333391699</v>
      </c>
      <c r="R203" s="91">
        <f>IF(TrRoad_act!R64=0,0,TrRoad_emi!R61/TrRoad_tech!R176)</f>
        <v>1.0849647441702845</v>
      </c>
      <c r="S203" s="91">
        <f>IF(TrRoad_act!S64=0,0,TrRoad_emi!S61/TrRoad_tech!S176)</f>
        <v>1.0852905982410803</v>
      </c>
      <c r="T203" s="91">
        <f>IF(TrRoad_act!T64=0,0,TrRoad_emi!T61/TrRoad_tech!T176)</f>
        <v>1.0857647874425989</v>
      </c>
      <c r="U203" s="91">
        <f>IF(TrRoad_act!U64=0,0,TrRoad_emi!U61/TrRoad_tech!U176)</f>
        <v>1.0862501863719782</v>
      </c>
      <c r="V203" s="91">
        <f>IF(TrRoad_act!V64=0,0,TrRoad_emi!V61/TrRoad_tech!V176)</f>
        <v>1.0866099768862711</v>
      </c>
      <c r="W203" s="91">
        <f>IF(TrRoad_act!W64=0,0,TrRoad_emi!W61/TrRoad_tech!W176)</f>
        <v>1.0870552296400393</v>
      </c>
      <c r="X203" s="91">
        <f>IF(TrRoad_act!X64=0,0,TrRoad_emi!X61/TrRoad_tech!X176)</f>
        <v>1.0871138008047048</v>
      </c>
      <c r="Y203" s="91">
        <f>IF(TrRoad_act!Y64=0,0,TrRoad_emi!Y61/TrRoad_tech!Y176)</f>
        <v>1.0871786171818889</v>
      </c>
      <c r="DA203" s="171"/>
    </row>
    <row r="204" spans="1:105" ht="11.45" customHeight="1" x14ac:dyDescent="0.25">
      <c r="A204" s="111" t="s">
        <v>114</v>
      </c>
      <c r="B204" s="91">
        <f>IF(TrRoad_act!B65=0,0,TrRoad_emi!B62/TrRoad_tech!B177)</f>
        <v>0</v>
      </c>
      <c r="C204" s="91">
        <f>IF(TrRoad_act!C65=0,0,TrRoad_emi!C62/TrRoad_tech!C177)</f>
        <v>0</v>
      </c>
      <c r="D204" s="91">
        <f>IF(TrRoad_act!D65=0,0,TrRoad_emi!D62/TrRoad_tech!D177)</f>
        <v>0</v>
      </c>
      <c r="E204" s="91">
        <f>IF(TrRoad_act!E65=0,0,TrRoad_emi!E62/TrRoad_tech!E177)</f>
        <v>0</v>
      </c>
      <c r="F204" s="91">
        <f>IF(TrRoad_act!F65=0,0,TrRoad_emi!F62/TrRoad_tech!F177)</f>
        <v>0</v>
      </c>
      <c r="G204" s="91">
        <f>IF(TrRoad_act!G65=0,0,TrRoad_emi!G62/TrRoad_tech!G177)</f>
        <v>0</v>
      </c>
      <c r="H204" s="91">
        <f>IF(TrRoad_act!H65=0,0,TrRoad_emi!H62/TrRoad_tech!H177)</f>
        <v>0</v>
      </c>
      <c r="I204" s="91">
        <f>IF(TrRoad_act!I65=0,0,TrRoad_emi!I62/TrRoad_tech!I177)</f>
        <v>0</v>
      </c>
      <c r="J204" s="91">
        <f>IF(TrRoad_act!J65=0,0,TrRoad_emi!J62/TrRoad_tech!J177)</f>
        <v>0</v>
      </c>
      <c r="K204" s="91">
        <f>IF(TrRoad_act!K65=0,0,TrRoad_emi!K62/TrRoad_tech!K177)</f>
        <v>0</v>
      </c>
      <c r="L204" s="91">
        <f>IF(TrRoad_act!L65=0,0,TrRoad_emi!L62/TrRoad_tech!L177)</f>
        <v>0</v>
      </c>
      <c r="M204" s="91">
        <f>IF(TrRoad_act!M65=0,0,TrRoad_emi!M62/TrRoad_tech!M177)</f>
        <v>0</v>
      </c>
      <c r="N204" s="91">
        <f>IF(TrRoad_act!N65=0,0,TrRoad_emi!N62/TrRoad_tech!N177)</f>
        <v>0.94990676030760079</v>
      </c>
      <c r="O204" s="91">
        <f>IF(TrRoad_act!O65=0,0,TrRoad_emi!O62/TrRoad_tech!O177)</f>
        <v>0.94547637305213283</v>
      </c>
      <c r="P204" s="91">
        <f>IF(TrRoad_act!P65=0,0,TrRoad_emi!P62/TrRoad_tech!P177)</f>
        <v>0.95843902747819243</v>
      </c>
      <c r="Q204" s="91">
        <f>IF(TrRoad_act!Q65=0,0,TrRoad_emi!Q62/TrRoad_tech!Q177)</f>
        <v>0.96995429030836222</v>
      </c>
      <c r="R204" s="91">
        <f>IF(TrRoad_act!R65=0,0,TrRoad_emi!R62/TrRoad_tech!R177)</f>
        <v>1.0403274120959678</v>
      </c>
      <c r="S204" s="91">
        <f>IF(TrRoad_act!S65=0,0,TrRoad_emi!S62/TrRoad_tech!S177)</f>
        <v>1.0488712904535686</v>
      </c>
      <c r="T204" s="91">
        <f>IF(TrRoad_act!T65=0,0,TrRoad_emi!T62/TrRoad_tech!T177)</f>
        <v>1.0499726645869565</v>
      </c>
      <c r="U204" s="91">
        <f>IF(TrRoad_act!U65=0,0,TrRoad_emi!U62/TrRoad_tech!U177)</f>
        <v>1.0459484818343352</v>
      </c>
      <c r="V204" s="91">
        <f>IF(TrRoad_act!V65=0,0,TrRoad_emi!V62/TrRoad_tech!V177)</f>
        <v>1.0010121990346088</v>
      </c>
      <c r="W204" s="91">
        <f>IF(TrRoad_act!W65=0,0,TrRoad_emi!W62/TrRoad_tech!W177)</f>
        <v>1.0283441277246488</v>
      </c>
      <c r="X204" s="91">
        <f>IF(TrRoad_act!X65=0,0,TrRoad_emi!X62/TrRoad_tech!X177)</f>
        <v>1.0489284413030366</v>
      </c>
      <c r="Y204" s="91">
        <f>IF(TrRoad_act!Y65=0,0,TrRoad_emi!Y62/TrRoad_tech!Y177)</f>
        <v>1.0490317977513888</v>
      </c>
      <c r="DA204" s="171"/>
    </row>
    <row r="205" spans="1:105" ht="11.45" customHeight="1" x14ac:dyDescent="0.25">
      <c r="A205" s="111" t="s">
        <v>115</v>
      </c>
      <c r="B205" s="91">
        <f>0</f>
        <v>0</v>
      </c>
      <c r="C205" s="91">
        <f>0</f>
        <v>0</v>
      </c>
      <c r="D205" s="91">
        <f>0</f>
        <v>0</v>
      </c>
      <c r="E205" s="91">
        <f>0</f>
        <v>0</v>
      </c>
      <c r="F205" s="91">
        <f>0</f>
        <v>0</v>
      </c>
      <c r="G205" s="91">
        <f>0</f>
        <v>0</v>
      </c>
      <c r="H205" s="91">
        <f>0</f>
        <v>0</v>
      </c>
      <c r="I205" s="91">
        <f>0</f>
        <v>0</v>
      </c>
      <c r="J205" s="91">
        <f>0</f>
        <v>0</v>
      </c>
      <c r="K205" s="91">
        <f>0</f>
        <v>0</v>
      </c>
      <c r="L205" s="91">
        <f>0</f>
        <v>0</v>
      </c>
      <c r="M205" s="91">
        <f>0</f>
        <v>0</v>
      </c>
      <c r="N205" s="91">
        <f>0</f>
        <v>0</v>
      </c>
      <c r="O205" s="91">
        <f>0</f>
        <v>0</v>
      </c>
      <c r="P205" s="91">
        <f>0</f>
        <v>0</v>
      </c>
      <c r="Q205" s="91">
        <f>0</f>
        <v>0</v>
      </c>
      <c r="R205" s="91">
        <f>0</f>
        <v>0</v>
      </c>
      <c r="S205" s="91">
        <f>0</f>
        <v>0</v>
      </c>
      <c r="T205" s="91">
        <f>0</f>
        <v>0</v>
      </c>
      <c r="U205" s="91">
        <f>0</f>
        <v>0</v>
      </c>
      <c r="V205" s="91">
        <f>0</f>
        <v>0</v>
      </c>
      <c r="W205" s="91">
        <f>0</f>
        <v>0</v>
      </c>
      <c r="X205" s="91">
        <f>0</f>
        <v>0</v>
      </c>
      <c r="Y205" s="91">
        <f>0</f>
        <v>0</v>
      </c>
      <c r="DA205" s="171"/>
    </row>
    <row r="206" spans="1:105" ht="11.45" customHeight="1" x14ac:dyDescent="0.25">
      <c r="A206" s="109" t="s">
        <v>21</v>
      </c>
      <c r="B206" s="151">
        <f>IF(TrRoad_act!B67=0,0,TrRoad_emi!B64/TrRoad_tech!B179)</f>
        <v>1.0976101950984229</v>
      </c>
      <c r="C206" s="151">
        <f>IF(TrRoad_act!C67=0,0,TrRoad_emi!C64/TrRoad_tech!C179)</f>
        <v>1.0805765261945546</v>
      </c>
      <c r="D206" s="151">
        <f>IF(TrRoad_act!D67=0,0,TrRoad_emi!D64/TrRoad_tech!D179)</f>
        <v>1.0740838290177817</v>
      </c>
      <c r="E206" s="151">
        <f>IF(TrRoad_act!E67=0,0,TrRoad_emi!E64/TrRoad_tech!E179)</f>
        <v>1.0727142598264534</v>
      </c>
      <c r="F206" s="151">
        <f>IF(TrRoad_act!F67=0,0,TrRoad_emi!F64/TrRoad_tech!F179)</f>
        <v>1.1040188421435118</v>
      </c>
      <c r="G206" s="151">
        <f>IF(TrRoad_act!G67=0,0,TrRoad_emi!G64/TrRoad_tech!G179)</f>
        <v>1.13336853080957</v>
      </c>
      <c r="H206" s="151">
        <f>IF(TrRoad_act!H67=0,0,TrRoad_emi!H64/TrRoad_tech!H179)</f>
        <v>1.0781013770591306</v>
      </c>
      <c r="I206" s="151">
        <f>IF(TrRoad_act!I67=0,0,TrRoad_emi!I64/TrRoad_tech!I179)</f>
        <v>1.0913406218243236</v>
      </c>
      <c r="J206" s="151">
        <f>IF(TrRoad_act!J67=0,0,TrRoad_emi!J64/TrRoad_tech!J179)</f>
        <v>1.0726683381684645</v>
      </c>
      <c r="K206" s="151">
        <f>IF(TrRoad_act!K67=0,0,TrRoad_emi!K64/TrRoad_tech!K179)</f>
        <v>1.0666188882178884</v>
      </c>
      <c r="L206" s="151">
        <f>IF(TrRoad_act!L67=0,0,TrRoad_emi!L64/TrRoad_tech!L179)</f>
        <v>1.0616364545541916</v>
      </c>
      <c r="M206" s="151">
        <f>IF(TrRoad_act!M67=0,0,TrRoad_emi!M64/TrRoad_tech!M179)</f>
        <v>1.0699812955403085</v>
      </c>
      <c r="N206" s="151">
        <f>IF(TrRoad_act!N67=0,0,TrRoad_emi!N64/TrRoad_tech!N179)</f>
        <v>1.0874435638796724</v>
      </c>
      <c r="O206" s="151">
        <f>IF(TrRoad_act!O67=0,0,TrRoad_emi!O64/TrRoad_tech!O179)</f>
        <v>1.1079250977644417</v>
      </c>
      <c r="P206" s="151">
        <f>IF(TrRoad_act!P67=0,0,TrRoad_emi!P64/TrRoad_tech!P179)</f>
        <v>1.1267278323476797</v>
      </c>
      <c r="Q206" s="151">
        <f>IF(TrRoad_act!Q67=0,0,TrRoad_emi!Q64/TrRoad_tech!Q179)</f>
        <v>1.1736480005073673</v>
      </c>
      <c r="R206" s="151">
        <f>IF(TrRoad_act!R67=0,0,TrRoad_emi!R64/TrRoad_tech!R179)</f>
        <v>1.2074147462991283</v>
      </c>
      <c r="S206" s="151">
        <f>IF(TrRoad_act!S67=0,0,TrRoad_emi!S64/TrRoad_tech!S179)</f>
        <v>1.2254755823308539</v>
      </c>
      <c r="T206" s="151">
        <f>IF(TrRoad_act!T67=0,0,TrRoad_emi!T64/TrRoad_tech!T179)</f>
        <v>1.2205227181115077</v>
      </c>
      <c r="U206" s="151">
        <f>IF(TrRoad_act!U67=0,0,TrRoad_emi!U64/TrRoad_tech!U179)</f>
        <v>1.2107728867021621</v>
      </c>
      <c r="V206" s="151">
        <f>IF(TrRoad_act!V67=0,0,TrRoad_emi!V64/TrRoad_tech!V179)</f>
        <v>1.2330344830555642</v>
      </c>
      <c r="W206" s="151">
        <f>IF(TrRoad_act!W67=0,0,TrRoad_emi!W64/TrRoad_tech!W179)</f>
        <v>1.2451899363359704</v>
      </c>
      <c r="X206" s="151">
        <f>IF(TrRoad_act!X67=0,0,TrRoad_emi!X64/TrRoad_tech!X179)</f>
        <v>1.2378347571287001</v>
      </c>
      <c r="Y206" s="151">
        <f>IF(TrRoad_act!Y67=0,0,TrRoad_emi!Y64/TrRoad_tech!Y179)</f>
        <v>1.2516911981039975</v>
      </c>
      <c r="DA206" s="176"/>
    </row>
    <row r="207" spans="1:105" ht="11.45" customHeight="1" x14ac:dyDescent="0.25">
      <c r="A207" s="111" t="s">
        <v>110</v>
      </c>
      <c r="B207" s="93">
        <f>IF(TrRoad_act!B68=0,0,TrRoad_emi!B65/TrRoad_tech!B180)</f>
        <v>0</v>
      </c>
      <c r="C207" s="93">
        <f>IF(TrRoad_act!C68=0,0,TrRoad_emi!C65/TrRoad_tech!C180)</f>
        <v>0</v>
      </c>
      <c r="D207" s="93">
        <f>IF(TrRoad_act!D68=0,0,TrRoad_emi!D65/TrRoad_tech!D180)</f>
        <v>0</v>
      </c>
      <c r="E207" s="93">
        <f>IF(TrRoad_act!E68=0,0,TrRoad_emi!E65/TrRoad_tech!E180)</f>
        <v>0</v>
      </c>
      <c r="F207" s="93">
        <f>IF(TrRoad_act!F68=0,0,TrRoad_emi!F65/TrRoad_tech!F180)</f>
        <v>0</v>
      </c>
      <c r="G207" s="93">
        <f>IF(TrRoad_act!G68=0,0,TrRoad_emi!G65/TrRoad_tech!G180)</f>
        <v>0</v>
      </c>
      <c r="H207" s="93">
        <f>IF(TrRoad_act!H68=0,0,TrRoad_emi!H65/TrRoad_tech!H180)</f>
        <v>0</v>
      </c>
      <c r="I207" s="93">
        <f>IF(TrRoad_act!I68=0,0,TrRoad_emi!I65/TrRoad_tech!I180)</f>
        <v>0</v>
      </c>
      <c r="J207" s="93">
        <f>IF(TrRoad_act!J68=0,0,TrRoad_emi!J65/TrRoad_tech!J180)</f>
        <v>0</v>
      </c>
      <c r="K207" s="93">
        <f>IF(TrRoad_act!K68=0,0,TrRoad_emi!K65/TrRoad_tech!K180)</f>
        <v>0</v>
      </c>
      <c r="L207" s="93">
        <f>IF(TrRoad_act!L68=0,0,TrRoad_emi!L65/TrRoad_tech!L180)</f>
        <v>0</v>
      </c>
      <c r="M207" s="93">
        <f>IF(TrRoad_act!M68=0,0,TrRoad_emi!M65/TrRoad_tech!M180)</f>
        <v>0</v>
      </c>
      <c r="N207" s="93">
        <f>IF(TrRoad_act!N68=0,0,TrRoad_emi!N65/TrRoad_tech!N180)</f>
        <v>0</v>
      </c>
      <c r="O207" s="93">
        <f>IF(TrRoad_act!O68=0,0,TrRoad_emi!O65/TrRoad_tech!O180)</f>
        <v>0</v>
      </c>
      <c r="P207" s="93">
        <f>IF(TrRoad_act!P68=0,0,TrRoad_emi!P65/TrRoad_tech!P180)</f>
        <v>0</v>
      </c>
      <c r="Q207" s="93">
        <f>IF(TrRoad_act!Q68=0,0,TrRoad_emi!Q65/TrRoad_tech!Q180)</f>
        <v>0</v>
      </c>
      <c r="R207" s="93">
        <f>IF(TrRoad_act!R68=0,0,TrRoad_emi!R65/TrRoad_tech!R180)</f>
        <v>0</v>
      </c>
      <c r="S207" s="93">
        <f>IF(TrRoad_act!S68=0,0,TrRoad_emi!S65/TrRoad_tech!S180)</f>
        <v>0</v>
      </c>
      <c r="T207" s="93">
        <f>IF(TrRoad_act!T68=0,0,TrRoad_emi!T65/TrRoad_tech!T180)</f>
        <v>0</v>
      </c>
      <c r="U207" s="93">
        <f>IF(TrRoad_act!U68=0,0,TrRoad_emi!U65/TrRoad_tech!U180)</f>
        <v>0</v>
      </c>
      <c r="V207" s="93">
        <f>IF(TrRoad_act!V68=0,0,TrRoad_emi!V65/TrRoad_tech!V180)</f>
        <v>0</v>
      </c>
      <c r="W207" s="93">
        <f>IF(TrRoad_act!W68=0,0,TrRoad_emi!W65/TrRoad_tech!W180)</f>
        <v>0</v>
      </c>
      <c r="X207" s="93">
        <f>IF(TrRoad_act!X68=0,0,TrRoad_emi!X65/TrRoad_tech!X180)</f>
        <v>0</v>
      </c>
      <c r="Y207" s="93">
        <f>IF(TrRoad_act!Y68=0,0,TrRoad_emi!Y65/TrRoad_tech!Y180)</f>
        <v>0</v>
      </c>
      <c r="DA207" s="175"/>
    </row>
    <row r="208" spans="1:105" ht="11.45" customHeight="1" x14ac:dyDescent="0.25">
      <c r="A208" s="111" t="s">
        <v>111</v>
      </c>
      <c r="B208" s="93">
        <f>IF(TrRoad_act!B69=0,0,TrRoad_emi!B66/TrRoad_tech!B181)</f>
        <v>1.1000000000067303</v>
      </c>
      <c r="C208" s="93">
        <f>IF(TrRoad_act!C69=0,0,TrRoad_emi!C66/TrRoad_tech!C181)</f>
        <v>1.1005683927109302</v>
      </c>
      <c r="D208" s="93">
        <f>IF(TrRoad_act!D69=0,0,TrRoad_emi!D66/TrRoad_tech!D181)</f>
        <v>1.1016187743712373</v>
      </c>
      <c r="E208" s="93">
        <f>IF(TrRoad_act!E69=0,0,TrRoad_emi!E66/TrRoad_tech!E181)</f>
        <v>1.1029453265726497</v>
      </c>
      <c r="F208" s="93">
        <f>IF(TrRoad_act!F69=0,0,TrRoad_emi!F66/TrRoad_tech!F181)</f>
        <v>1.1064056492000638</v>
      </c>
      <c r="G208" s="93">
        <f>IF(TrRoad_act!G69=0,0,TrRoad_emi!G66/TrRoad_tech!G181)</f>
        <v>1.107718423860377</v>
      </c>
      <c r="H208" s="93">
        <f>IF(TrRoad_act!H69=0,0,TrRoad_emi!H66/TrRoad_tech!H181)</f>
        <v>1.1110469680803385</v>
      </c>
      <c r="I208" s="93">
        <f>IF(TrRoad_act!I69=0,0,TrRoad_emi!I66/TrRoad_tech!I181)</f>
        <v>1.1209206036048391</v>
      </c>
      <c r="J208" s="93">
        <f>IF(TrRoad_act!J69=0,0,TrRoad_emi!J66/TrRoad_tech!J181)</f>
        <v>1.0938237752161848</v>
      </c>
      <c r="K208" s="93">
        <f>IF(TrRoad_act!K69=0,0,TrRoad_emi!K66/TrRoad_tech!K181)</f>
        <v>1.0832422315842452</v>
      </c>
      <c r="L208" s="93">
        <f>IF(TrRoad_act!L69=0,0,TrRoad_emi!L66/TrRoad_tech!L181)</f>
        <v>1.072039527452836</v>
      </c>
      <c r="M208" s="93">
        <f>IF(TrRoad_act!M69=0,0,TrRoad_emi!M66/TrRoad_tech!M181)</f>
        <v>1.0797575264696375</v>
      </c>
      <c r="N208" s="93">
        <f>IF(TrRoad_act!N69=0,0,TrRoad_emi!N66/TrRoad_tech!N181)</f>
        <v>1.0977975916081171</v>
      </c>
      <c r="O208" s="93">
        <f>IF(TrRoad_act!O69=0,0,TrRoad_emi!O66/TrRoad_tech!O181)</f>
        <v>1.1136271661524344</v>
      </c>
      <c r="P208" s="93">
        <f>IF(TrRoad_act!P69=0,0,TrRoad_emi!P66/TrRoad_tech!P181)</f>
        <v>1.1348930887812281</v>
      </c>
      <c r="Q208" s="93">
        <f>IF(TrRoad_act!Q69=0,0,TrRoad_emi!Q66/TrRoad_tech!Q181)</f>
        <v>1.1728938462034311</v>
      </c>
      <c r="R208" s="93">
        <f>IF(TrRoad_act!R69=0,0,TrRoad_emi!R66/TrRoad_tech!R181)</f>
        <v>1.2182796618918006</v>
      </c>
      <c r="S208" s="93">
        <f>IF(TrRoad_act!S69=0,0,TrRoad_emi!S66/TrRoad_tech!S181)</f>
        <v>1.2254912511522029</v>
      </c>
      <c r="T208" s="93">
        <f>IF(TrRoad_act!T69=0,0,TrRoad_emi!T66/TrRoad_tech!T181)</f>
        <v>1.2139083755705098</v>
      </c>
      <c r="U208" s="93">
        <f>IF(TrRoad_act!U69=0,0,TrRoad_emi!U66/TrRoad_tech!U181)</f>
        <v>1.2146696968234776</v>
      </c>
      <c r="V208" s="93">
        <f>IF(TrRoad_act!V69=0,0,TrRoad_emi!V66/TrRoad_tech!V181)</f>
        <v>1.2226667621902696</v>
      </c>
      <c r="W208" s="93">
        <f>IF(TrRoad_act!W69=0,0,TrRoad_emi!W66/TrRoad_tech!W181)</f>
        <v>1.2355133752709544</v>
      </c>
      <c r="X208" s="93">
        <f>IF(TrRoad_act!X69=0,0,TrRoad_emi!X66/TrRoad_tech!X181)</f>
        <v>1.2413661878137501</v>
      </c>
      <c r="Y208" s="93">
        <f>IF(TrRoad_act!Y69=0,0,TrRoad_emi!Y66/TrRoad_tech!Y181)</f>
        <v>1.2372026031864627</v>
      </c>
      <c r="DA208" s="175"/>
    </row>
    <row r="209" spans="1:105" ht="11.45" customHeight="1" x14ac:dyDescent="0.25">
      <c r="A209" s="111" t="s">
        <v>112</v>
      </c>
      <c r="B209" s="93">
        <f>IF(TrRoad_act!B70=0,0,TrRoad_emi!B67/TrRoad_tech!B182)</f>
        <v>1.1000000000067303</v>
      </c>
      <c r="C209" s="93">
        <f>IF(TrRoad_act!C70=0,0,TrRoad_emi!C67/TrRoad_tech!C182)</f>
        <v>1.1000000000067305</v>
      </c>
      <c r="D209" s="93">
        <f>IF(TrRoad_act!D70=0,0,TrRoad_emi!D67/TrRoad_tech!D182)</f>
        <v>1.1000000000067303</v>
      </c>
      <c r="E209" s="93">
        <f>IF(TrRoad_act!E70=0,0,TrRoad_emi!E67/TrRoad_tech!E182)</f>
        <v>1.1001825071767053</v>
      </c>
      <c r="F209" s="93">
        <f>IF(TrRoad_act!F70=0,0,TrRoad_emi!F67/TrRoad_tech!F182)</f>
        <v>1.1182970493693143</v>
      </c>
      <c r="G209" s="93">
        <f>IF(TrRoad_act!G70=0,0,TrRoad_emi!G67/TrRoad_tech!G182)</f>
        <v>1.1194240797422004</v>
      </c>
      <c r="H209" s="93">
        <f>IF(TrRoad_act!H70=0,0,TrRoad_emi!H67/TrRoad_tech!H182)</f>
        <v>1.1201166254227686</v>
      </c>
      <c r="I209" s="93">
        <f>IF(TrRoad_act!I70=0,0,TrRoad_emi!I67/TrRoad_tech!I182)</f>
        <v>1.1208198826644713</v>
      </c>
      <c r="J209" s="93">
        <f>IF(TrRoad_act!J70=0,0,TrRoad_emi!J67/TrRoad_tech!J182)</f>
        <v>1.1219008043917209</v>
      </c>
      <c r="K209" s="93">
        <f>IF(TrRoad_act!K70=0,0,TrRoad_emi!K67/TrRoad_tech!K182)</f>
        <v>1.1226883756242747</v>
      </c>
      <c r="L209" s="93">
        <f>IF(TrRoad_act!L70=0,0,TrRoad_emi!L67/TrRoad_tech!L182)</f>
        <v>1.1239323783474238</v>
      </c>
      <c r="M209" s="93">
        <f>IF(TrRoad_act!M70=0,0,TrRoad_emi!M67/TrRoad_tech!M182)</f>
        <v>1.1253598729734116</v>
      </c>
      <c r="N209" s="93">
        <f>IF(TrRoad_act!N70=0,0,TrRoad_emi!N67/TrRoad_tech!N182)</f>
        <v>1.1268953569567219</v>
      </c>
      <c r="O209" s="93">
        <f>IF(TrRoad_act!O70=0,0,TrRoad_emi!O67/TrRoad_tech!O182)</f>
        <v>1.1285102365655681</v>
      </c>
      <c r="P209" s="93">
        <f>IF(TrRoad_act!P70=0,0,TrRoad_emi!P67/TrRoad_tech!P182)</f>
        <v>1.1302220080750633</v>
      </c>
      <c r="Q209" s="93">
        <f>IF(TrRoad_act!Q70=0,0,TrRoad_emi!Q67/TrRoad_tech!Q182)</f>
        <v>1.131354102997927</v>
      </c>
      <c r="R209" s="93">
        <f>IF(TrRoad_act!R70=0,0,TrRoad_emi!R67/TrRoad_tech!R182)</f>
        <v>1.1327550762647227</v>
      </c>
      <c r="S209" s="93">
        <f>IF(TrRoad_act!S70=0,0,TrRoad_emi!S67/TrRoad_tech!S182)</f>
        <v>1.1355152766799563</v>
      </c>
      <c r="T209" s="93">
        <f>IF(TrRoad_act!T70=0,0,TrRoad_emi!T67/TrRoad_tech!T182)</f>
        <v>1.1717570405980655</v>
      </c>
      <c r="U209" s="93">
        <f>IF(TrRoad_act!U70=0,0,TrRoad_emi!U67/TrRoad_tech!U182)</f>
        <v>1.1768783179518607</v>
      </c>
      <c r="V209" s="93">
        <f>IF(TrRoad_act!V70=0,0,TrRoad_emi!V67/TrRoad_tech!V182)</f>
        <v>1.1818794394865981</v>
      </c>
      <c r="W209" s="93">
        <f>IF(TrRoad_act!W70=0,0,TrRoad_emi!W67/TrRoad_tech!W182)</f>
        <v>1.1890125218051335</v>
      </c>
      <c r="X209" s="93">
        <f>IF(TrRoad_act!X70=0,0,TrRoad_emi!X67/TrRoad_tech!X182)</f>
        <v>1.195797330274599</v>
      </c>
      <c r="Y209" s="93">
        <f>IF(TrRoad_act!Y70=0,0,TrRoad_emi!Y67/TrRoad_tech!Y182)</f>
        <v>1.1972227396031931</v>
      </c>
      <c r="DA209" s="175"/>
    </row>
    <row r="210" spans="1:105" ht="11.45" customHeight="1" x14ac:dyDescent="0.25">
      <c r="A210" s="111" t="s">
        <v>113</v>
      </c>
      <c r="B210" s="93">
        <f>IF(TrRoad_act!B71=0,0,TrRoad_emi!B68/TrRoad_tech!B183)</f>
        <v>0</v>
      </c>
      <c r="C210" s="93">
        <f>IF(TrRoad_act!C71=0,0,TrRoad_emi!C68/TrRoad_tech!C183)</f>
        <v>0</v>
      </c>
      <c r="D210" s="93">
        <f>IF(TrRoad_act!D71=0,0,TrRoad_emi!D68/TrRoad_tech!D183)</f>
        <v>0</v>
      </c>
      <c r="E210" s="93">
        <f>IF(TrRoad_act!E71=0,0,TrRoad_emi!E68/TrRoad_tech!E183)</f>
        <v>0</v>
      </c>
      <c r="F210" s="93">
        <f>IF(TrRoad_act!F71=0,0,TrRoad_emi!F68/TrRoad_tech!F183)</f>
        <v>0</v>
      </c>
      <c r="G210" s="93">
        <f>IF(TrRoad_act!G71=0,0,TrRoad_emi!G68/TrRoad_tech!G183)</f>
        <v>0</v>
      </c>
      <c r="H210" s="93">
        <f>IF(TrRoad_act!H71=0,0,TrRoad_emi!H68/TrRoad_tech!H183)</f>
        <v>0</v>
      </c>
      <c r="I210" s="93">
        <f>IF(TrRoad_act!I71=0,0,TrRoad_emi!I68/TrRoad_tech!I183)</f>
        <v>0</v>
      </c>
      <c r="J210" s="93">
        <f>IF(TrRoad_act!J71=0,0,TrRoad_emi!J68/TrRoad_tech!J183)</f>
        <v>0</v>
      </c>
      <c r="K210" s="93">
        <f>IF(TrRoad_act!K71=0,0,TrRoad_emi!K68/TrRoad_tech!K183)</f>
        <v>0</v>
      </c>
      <c r="L210" s="93">
        <f>IF(TrRoad_act!L71=0,0,TrRoad_emi!L68/TrRoad_tech!L183)</f>
        <v>0</v>
      </c>
      <c r="M210" s="93">
        <f>IF(TrRoad_act!M71=0,0,TrRoad_emi!M68/TrRoad_tech!M183)</f>
        <v>0</v>
      </c>
      <c r="N210" s="93">
        <f>IF(TrRoad_act!N71=0,0,TrRoad_emi!N68/TrRoad_tech!N183)</f>
        <v>0</v>
      </c>
      <c r="O210" s="93">
        <f>IF(TrRoad_act!O71=0,0,TrRoad_emi!O68/TrRoad_tech!O183)</f>
        <v>0</v>
      </c>
      <c r="P210" s="93">
        <f>IF(TrRoad_act!P71=0,0,TrRoad_emi!P68/TrRoad_tech!P183)</f>
        <v>0</v>
      </c>
      <c r="Q210" s="93">
        <f>IF(TrRoad_act!Q71=0,0,TrRoad_emi!Q68/TrRoad_tech!Q183)</f>
        <v>1.3000000000070033</v>
      </c>
      <c r="R210" s="93">
        <f>IF(TrRoad_act!R71=0,0,TrRoad_emi!R68/TrRoad_tech!R183)</f>
        <v>1.1408112865208195</v>
      </c>
      <c r="S210" s="93">
        <f>IF(TrRoad_act!S71=0,0,TrRoad_emi!S68/TrRoad_tech!S183)</f>
        <v>0.84394933349812018</v>
      </c>
      <c r="T210" s="93">
        <f>IF(TrRoad_act!T71=0,0,TrRoad_emi!T68/TrRoad_tech!T183)</f>
        <v>0.46983911533570455</v>
      </c>
      <c r="U210" s="93">
        <f>IF(TrRoad_act!U71=0,0,TrRoad_emi!U68/TrRoad_tech!U183)</f>
        <v>0.62128090259054158</v>
      </c>
      <c r="V210" s="93">
        <f>IF(TrRoad_act!V71=0,0,TrRoad_emi!V68/TrRoad_tech!V183)</f>
        <v>0.69014699173004335</v>
      </c>
      <c r="W210" s="93">
        <f>IF(TrRoad_act!W71=0,0,TrRoad_emi!W68/TrRoad_tech!W183)</f>
        <v>0.98046823383985227</v>
      </c>
      <c r="X210" s="93">
        <f>IF(TrRoad_act!X71=0,0,TrRoad_emi!X68/TrRoad_tech!X183)</f>
        <v>1.3420918702083477</v>
      </c>
      <c r="Y210" s="93">
        <f>IF(TrRoad_act!Y71=0,0,TrRoad_emi!Y68/TrRoad_tech!Y183)</f>
        <v>1.2968834594075205</v>
      </c>
      <c r="DA210" s="175"/>
    </row>
    <row r="211" spans="1:105" ht="11.45" customHeight="1" x14ac:dyDescent="0.25">
      <c r="A211" s="111" t="s">
        <v>115</v>
      </c>
      <c r="B211" s="93">
        <f>0</f>
        <v>0</v>
      </c>
      <c r="C211" s="93">
        <f>0</f>
        <v>0</v>
      </c>
      <c r="D211" s="93">
        <f>0</f>
        <v>0</v>
      </c>
      <c r="E211" s="93">
        <f>0</f>
        <v>0</v>
      </c>
      <c r="F211" s="93">
        <f>0</f>
        <v>0</v>
      </c>
      <c r="G211" s="93">
        <f>0</f>
        <v>0</v>
      </c>
      <c r="H211" s="93">
        <f>0</f>
        <v>0</v>
      </c>
      <c r="I211" s="93">
        <f>0</f>
        <v>0</v>
      </c>
      <c r="J211" s="93">
        <f>0</f>
        <v>0</v>
      </c>
      <c r="K211" s="93">
        <f>0</f>
        <v>0</v>
      </c>
      <c r="L211" s="93">
        <f>0</f>
        <v>0</v>
      </c>
      <c r="M211" s="93">
        <f>0</f>
        <v>0</v>
      </c>
      <c r="N211" s="93">
        <f>0</f>
        <v>0</v>
      </c>
      <c r="O211" s="93">
        <f>0</f>
        <v>0</v>
      </c>
      <c r="P211" s="93">
        <f>0</f>
        <v>0</v>
      </c>
      <c r="Q211" s="93">
        <f>0</f>
        <v>0</v>
      </c>
      <c r="R211" s="93">
        <f>0</f>
        <v>0</v>
      </c>
      <c r="S211" s="93">
        <f>0</f>
        <v>0</v>
      </c>
      <c r="T211" s="93">
        <f>0</f>
        <v>0</v>
      </c>
      <c r="U211" s="93">
        <f>0</f>
        <v>0</v>
      </c>
      <c r="V211" s="93">
        <f>0</f>
        <v>0</v>
      </c>
      <c r="W211" s="93">
        <f>0</f>
        <v>0</v>
      </c>
      <c r="X211" s="93">
        <f>0</f>
        <v>0</v>
      </c>
      <c r="Y211" s="93">
        <f>0</f>
        <v>0</v>
      </c>
      <c r="DA211" s="175"/>
    </row>
    <row r="212" spans="1:105" ht="11.45" customHeight="1" x14ac:dyDescent="0.25">
      <c r="A212" s="27" t="s">
        <v>34</v>
      </c>
      <c r="B212" s="4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DA212" s="173"/>
    </row>
    <row r="213" spans="1:105" ht="11.45" customHeight="1" x14ac:dyDescent="0.25">
      <c r="A213" s="136" t="s">
        <v>153</v>
      </c>
      <c r="B213" s="150">
        <f>IF(TrRoad_act!B74=0,0,TrRoad_emi!B71/TrRoad_tech!B186)</f>
        <v>1.157053972499922</v>
      </c>
      <c r="C213" s="150">
        <f>IF(TrRoad_act!C74=0,0,TrRoad_emi!C71/TrRoad_tech!C186)</f>
        <v>1.1210667594321251</v>
      </c>
      <c r="D213" s="150">
        <f>IF(TrRoad_act!D74=0,0,TrRoad_emi!D71/TrRoad_tech!D186)</f>
        <v>1.1319926813573227</v>
      </c>
      <c r="E213" s="150">
        <f>IF(TrRoad_act!E74=0,0,TrRoad_emi!E71/TrRoad_tech!E186)</f>
        <v>1.1286216333865611</v>
      </c>
      <c r="F213" s="150">
        <f>IF(TrRoad_act!F74=0,0,TrRoad_emi!F71/TrRoad_tech!F186)</f>
        <v>1.1083596275465615</v>
      </c>
      <c r="G213" s="150">
        <f>IF(TrRoad_act!G74=0,0,TrRoad_emi!G71/TrRoad_tech!G186)</f>
        <v>1.0902703804865768</v>
      </c>
      <c r="H213" s="150">
        <f>IF(TrRoad_act!H74=0,0,TrRoad_emi!H71/TrRoad_tech!H186)</f>
        <v>1.106094147906781</v>
      </c>
      <c r="I213" s="150">
        <f>IF(TrRoad_act!I74=0,0,TrRoad_emi!I71/TrRoad_tech!I186)</f>
        <v>1.1179816342131439</v>
      </c>
      <c r="J213" s="150">
        <f>IF(TrRoad_act!J74=0,0,TrRoad_emi!J71/TrRoad_tech!J186)</f>
        <v>1.1424633022476061</v>
      </c>
      <c r="K213" s="150">
        <f>IF(TrRoad_act!K74=0,0,TrRoad_emi!K71/TrRoad_tech!K186)</f>
        <v>1.1637363650986703</v>
      </c>
      <c r="L213" s="150">
        <f>IF(TrRoad_act!L74=0,0,TrRoad_emi!L71/TrRoad_tech!L186)</f>
        <v>1.222294369315122</v>
      </c>
      <c r="M213" s="150">
        <f>IF(TrRoad_act!M74=0,0,TrRoad_emi!M71/TrRoad_tech!M186)</f>
        <v>1.2363772803719111</v>
      </c>
      <c r="N213" s="150">
        <f>IF(TrRoad_act!N74=0,0,TrRoad_emi!N71/TrRoad_tech!N186)</f>
        <v>1.2435487067846043</v>
      </c>
      <c r="O213" s="150">
        <f>IF(TrRoad_act!O74=0,0,TrRoad_emi!O71/TrRoad_tech!O186)</f>
        <v>1.2162546357556232</v>
      </c>
      <c r="P213" s="150">
        <f>IF(TrRoad_act!P74=0,0,TrRoad_emi!P71/TrRoad_tech!P186)</f>
        <v>1.2002345397713363</v>
      </c>
      <c r="Q213" s="150">
        <f>IF(TrRoad_act!Q74=0,0,TrRoad_emi!Q71/TrRoad_tech!Q186)</f>
        <v>1.1664123738099608</v>
      </c>
      <c r="R213" s="150">
        <f>IF(TrRoad_act!R74=0,0,TrRoad_emi!R71/TrRoad_tech!R186)</f>
        <v>1.1803185040601167</v>
      </c>
      <c r="S213" s="150">
        <f>IF(TrRoad_act!S74=0,0,TrRoad_emi!S71/TrRoad_tech!S186)</f>
        <v>1.2378025804935244</v>
      </c>
      <c r="T213" s="150">
        <f>IF(TrRoad_act!T74=0,0,TrRoad_emi!T71/TrRoad_tech!T186)</f>
        <v>1.167883764574144</v>
      </c>
      <c r="U213" s="150">
        <f>IF(TrRoad_act!U74=0,0,TrRoad_emi!U71/TrRoad_tech!U186)</f>
        <v>1.1331354826803979</v>
      </c>
      <c r="V213" s="150">
        <f>IF(TrRoad_act!V74=0,0,TrRoad_emi!V71/TrRoad_tech!V186)</f>
        <v>1.096678247397068</v>
      </c>
      <c r="W213" s="150">
        <f>IF(TrRoad_act!W74=0,0,TrRoad_emi!W71/TrRoad_tech!W186)</f>
        <v>1.1726916285981934</v>
      </c>
      <c r="X213" s="150">
        <f>IF(TrRoad_act!X74=0,0,TrRoad_emi!X71/TrRoad_tech!X186)</f>
        <v>1.1415769918623073</v>
      </c>
      <c r="Y213" s="150">
        <f>IF(TrRoad_act!Y74=0,0,TrRoad_emi!Y71/TrRoad_tech!Y186)</f>
        <v>1.1515600849357948</v>
      </c>
      <c r="DA213" s="174"/>
    </row>
    <row r="214" spans="1:105" ht="11.45" customHeight="1" x14ac:dyDescent="0.25">
      <c r="A214" s="111" t="s">
        <v>110</v>
      </c>
      <c r="B214" s="91">
        <f>IF(TrRoad_act!B75=0,0,TrRoad_emi!B72/TrRoad_tech!B187)</f>
        <v>1.10000000000673</v>
      </c>
      <c r="C214" s="91">
        <f>IF(TrRoad_act!C75=0,0,TrRoad_emi!C72/TrRoad_tech!C187)</f>
        <v>1.1000086455982117</v>
      </c>
      <c r="D214" s="91">
        <f>IF(TrRoad_act!D75=0,0,TrRoad_emi!D72/TrRoad_tech!D187)</f>
        <v>1.1000408071256602</v>
      </c>
      <c r="E214" s="91">
        <f>IF(TrRoad_act!E75=0,0,TrRoad_emi!E72/TrRoad_tech!E187)</f>
        <v>1.0928477303532369</v>
      </c>
      <c r="F214" s="91">
        <f>IF(TrRoad_act!F75=0,0,TrRoad_emi!F72/TrRoad_tech!F187)</f>
        <v>1.0967748242688187</v>
      </c>
      <c r="G214" s="91">
        <f>IF(TrRoad_act!G75=0,0,TrRoad_emi!G72/TrRoad_tech!G187)</f>
        <v>1.0913147665505327</v>
      </c>
      <c r="H214" s="91">
        <f>IF(TrRoad_act!H75=0,0,TrRoad_emi!H72/TrRoad_tech!H187)</f>
        <v>1.0865640195719166</v>
      </c>
      <c r="I214" s="91">
        <f>IF(TrRoad_act!I75=0,0,TrRoad_emi!I72/TrRoad_tech!I187)</f>
        <v>1.0834218035679044</v>
      </c>
      <c r="J214" s="91">
        <f>IF(TrRoad_act!J75=0,0,TrRoad_emi!J72/TrRoad_tech!J187)</f>
        <v>1.0717050652225129</v>
      </c>
      <c r="K214" s="91">
        <f>IF(TrRoad_act!K75=0,0,TrRoad_emi!K72/TrRoad_tech!K187)</f>
        <v>1.0652430360224454</v>
      </c>
      <c r="L214" s="91">
        <f>IF(TrRoad_act!L75=0,0,TrRoad_emi!L72/TrRoad_tech!L187)</f>
        <v>1.0689377663077022</v>
      </c>
      <c r="M214" s="91">
        <f>IF(TrRoad_act!M75=0,0,TrRoad_emi!M72/TrRoad_tech!M187)</f>
        <v>1.072851177865068</v>
      </c>
      <c r="N214" s="91">
        <f>IF(TrRoad_act!N75=0,0,TrRoad_emi!N72/TrRoad_tech!N187)</f>
        <v>1.0819963139938034</v>
      </c>
      <c r="O214" s="91">
        <f>IF(TrRoad_act!O75=0,0,TrRoad_emi!O72/TrRoad_tech!O187)</f>
        <v>1.0853695170008044</v>
      </c>
      <c r="P214" s="91">
        <f>IF(TrRoad_act!P75=0,0,TrRoad_emi!P72/TrRoad_tech!P187)</f>
        <v>1.0939628800624763</v>
      </c>
      <c r="Q214" s="91">
        <f>IF(TrRoad_act!Q75=0,0,TrRoad_emi!Q72/TrRoad_tech!Q187)</f>
        <v>1.0963867009958699</v>
      </c>
      <c r="R214" s="91">
        <f>IF(TrRoad_act!R75=0,0,TrRoad_emi!R72/TrRoad_tech!R187)</f>
        <v>1.1021860878341299</v>
      </c>
      <c r="S214" s="91">
        <f>IF(TrRoad_act!S75=0,0,TrRoad_emi!S72/TrRoad_tech!S187)</f>
        <v>1.1156683115315913</v>
      </c>
      <c r="T214" s="91">
        <f>IF(TrRoad_act!T75=0,0,TrRoad_emi!T72/TrRoad_tech!T187)</f>
        <v>1.1339998077272668</v>
      </c>
      <c r="U214" s="91">
        <f>IF(TrRoad_act!U75=0,0,TrRoad_emi!U72/TrRoad_tech!U187)</f>
        <v>1.1394644385559376</v>
      </c>
      <c r="V214" s="91">
        <f>IF(TrRoad_act!V75=0,0,TrRoad_emi!V72/TrRoad_tech!V187)</f>
        <v>1.1503523009798633</v>
      </c>
      <c r="W214" s="91">
        <f>IF(TrRoad_act!W75=0,0,TrRoad_emi!W72/TrRoad_tech!W187)</f>
        <v>1.1657204546331494</v>
      </c>
      <c r="X214" s="91">
        <f>IF(TrRoad_act!X75=0,0,TrRoad_emi!X72/TrRoad_tech!X187)</f>
        <v>1.1800154921746255</v>
      </c>
      <c r="Y214" s="91">
        <f>IF(TrRoad_act!Y75=0,0,TrRoad_emi!Y72/TrRoad_tech!Y187)</f>
        <v>1.1972011276513408</v>
      </c>
      <c r="DA214" s="171"/>
    </row>
    <row r="215" spans="1:105" ht="11.45" customHeight="1" x14ac:dyDescent="0.25">
      <c r="A215" s="111" t="s">
        <v>111</v>
      </c>
      <c r="B215" s="91">
        <f>IF(TrRoad_act!B76=0,0,TrRoad_emi!B73/TrRoad_tech!B188)</f>
        <v>1.1000000000067305</v>
      </c>
      <c r="C215" s="91">
        <f>IF(TrRoad_act!C76=0,0,TrRoad_emi!C73/TrRoad_tech!C188)</f>
        <v>1.1000851333695765</v>
      </c>
      <c r="D215" s="91">
        <f>IF(TrRoad_act!D76=0,0,TrRoad_emi!D73/TrRoad_tech!D188)</f>
        <v>1.1003667885640218</v>
      </c>
      <c r="E215" s="91">
        <f>IF(TrRoad_act!E76=0,0,TrRoad_emi!E73/TrRoad_tech!E188)</f>
        <v>1.1006985169633561</v>
      </c>
      <c r="F215" s="91">
        <f>IF(TrRoad_act!F76=0,0,TrRoad_emi!F73/TrRoad_tech!F188)</f>
        <v>1.1011293046000639</v>
      </c>
      <c r="G215" s="91">
        <f>IF(TrRoad_act!G76=0,0,TrRoad_emi!G73/TrRoad_tech!G188)</f>
        <v>1.0988602979786526</v>
      </c>
      <c r="H215" s="91">
        <f>IF(TrRoad_act!H76=0,0,TrRoad_emi!H73/TrRoad_tech!H188)</f>
        <v>1.0974293228547034</v>
      </c>
      <c r="I215" s="91">
        <f>IF(TrRoad_act!I76=0,0,TrRoad_emi!I73/TrRoad_tech!I188)</f>
        <v>1.1024648917215421</v>
      </c>
      <c r="J215" s="91">
        <f>IF(TrRoad_act!J76=0,0,TrRoad_emi!J73/TrRoad_tech!J188)</f>
        <v>1.0704492646273578</v>
      </c>
      <c r="K215" s="91">
        <f>IF(TrRoad_act!K76=0,0,TrRoad_emi!K73/TrRoad_tech!K188)</f>
        <v>1.0570853493546954</v>
      </c>
      <c r="L215" s="91">
        <f>IF(TrRoad_act!L76=0,0,TrRoad_emi!L73/TrRoad_tech!L188)</f>
        <v>1.0420164768604441</v>
      </c>
      <c r="M215" s="91">
        <f>IF(TrRoad_act!M76=0,0,TrRoad_emi!M73/TrRoad_tech!M188)</f>
        <v>1.0442315752145472</v>
      </c>
      <c r="N215" s="91">
        <f>IF(TrRoad_act!N76=0,0,TrRoad_emi!N73/TrRoad_tech!N188)</f>
        <v>1.0547722571717051</v>
      </c>
      <c r="O215" s="91">
        <f>IF(TrRoad_act!O76=0,0,TrRoad_emi!O73/TrRoad_tech!O188)</f>
        <v>1.0634509959921292</v>
      </c>
      <c r="P215" s="91">
        <f>IF(TrRoad_act!P76=0,0,TrRoad_emi!P73/TrRoad_tech!P188)</f>
        <v>1.0761526183605485</v>
      </c>
      <c r="Q215" s="91">
        <f>IF(TrRoad_act!Q76=0,0,TrRoad_emi!Q73/TrRoad_tech!Q188)</f>
        <v>1.0979745301190784</v>
      </c>
      <c r="R215" s="91">
        <f>IF(TrRoad_act!R76=0,0,TrRoad_emi!R73/TrRoad_tech!R188)</f>
        <v>1.1368059664088388</v>
      </c>
      <c r="S215" s="91">
        <f>IF(TrRoad_act!S76=0,0,TrRoad_emi!S73/TrRoad_tech!S188)</f>
        <v>1.1419547155073664</v>
      </c>
      <c r="T215" s="91">
        <f>IF(TrRoad_act!T76=0,0,TrRoad_emi!T73/TrRoad_tech!T188)</f>
        <v>1.130337762024652</v>
      </c>
      <c r="U215" s="91">
        <f>IF(TrRoad_act!U76=0,0,TrRoad_emi!U73/TrRoad_tech!U188)</f>
        <v>1.1414996999046996</v>
      </c>
      <c r="V215" s="91">
        <f>IF(TrRoad_act!V76=0,0,TrRoad_emi!V73/TrRoad_tech!V188)</f>
        <v>1.1553947752577822</v>
      </c>
      <c r="W215" s="91">
        <f>IF(TrRoad_act!W76=0,0,TrRoad_emi!W73/TrRoad_tech!W188)</f>
        <v>1.1736403743260511</v>
      </c>
      <c r="X215" s="91">
        <f>IF(TrRoad_act!X76=0,0,TrRoad_emi!X73/TrRoad_tech!X188)</f>
        <v>1.1853863699727387</v>
      </c>
      <c r="Y215" s="91">
        <f>IF(TrRoad_act!Y76=0,0,TrRoad_emi!Y73/TrRoad_tech!Y188)</f>
        <v>1.188491469525274</v>
      </c>
      <c r="DA215" s="171"/>
    </row>
    <row r="216" spans="1:105" ht="11.45" customHeight="1" x14ac:dyDescent="0.25">
      <c r="A216" s="111" t="s">
        <v>112</v>
      </c>
      <c r="B216" s="91">
        <f>IF(TrRoad_act!B77=0,0,TrRoad_emi!B74/TrRoad_tech!B189)</f>
        <v>1.1000000000067305</v>
      </c>
      <c r="C216" s="91">
        <f>IF(TrRoad_act!C77=0,0,TrRoad_emi!C74/TrRoad_tech!C189)</f>
        <v>1.1000560299568833</v>
      </c>
      <c r="D216" s="91">
        <f>IF(TrRoad_act!D77=0,0,TrRoad_emi!D74/TrRoad_tech!D189)</f>
        <v>1.1003362419770362</v>
      </c>
      <c r="E216" s="91">
        <f>IF(TrRoad_act!E77=0,0,TrRoad_emi!E74/TrRoad_tech!E189)</f>
        <v>1.1005360050053883</v>
      </c>
      <c r="F216" s="91">
        <f>IF(TrRoad_act!F77=0,0,TrRoad_emi!F74/TrRoad_tech!F189)</f>
        <v>1.1006203271313635</v>
      </c>
      <c r="G216" s="91">
        <f>IF(TrRoad_act!G77=0,0,TrRoad_emi!G74/TrRoad_tech!G189)</f>
        <v>1.1008994496531632</v>
      </c>
      <c r="H216" s="91">
        <f>IF(TrRoad_act!H77=0,0,TrRoad_emi!H74/TrRoad_tech!H189)</f>
        <v>1.1020029200827459</v>
      </c>
      <c r="I216" s="91">
        <f>IF(TrRoad_act!I77=0,0,TrRoad_emi!I74/TrRoad_tech!I189)</f>
        <v>1.1030673496093488</v>
      </c>
      <c r="J216" s="91">
        <f>IF(TrRoad_act!J77=0,0,TrRoad_emi!J74/TrRoad_tech!J189)</f>
        <v>1.1040683127237281</v>
      </c>
      <c r="K216" s="91">
        <f>IF(TrRoad_act!K77=0,0,TrRoad_emi!K74/TrRoad_tech!K189)</f>
        <v>1.1046961818991978</v>
      </c>
      <c r="L216" s="91">
        <f>IF(TrRoad_act!L77=0,0,TrRoad_emi!L74/TrRoad_tech!L189)</f>
        <v>1.1057044504732567</v>
      </c>
      <c r="M216" s="91">
        <f>IF(TrRoad_act!M77=0,0,TrRoad_emi!M74/TrRoad_tech!M189)</f>
        <v>1.1071856199413013</v>
      </c>
      <c r="N216" s="91">
        <f>IF(TrRoad_act!N77=0,0,TrRoad_emi!N74/TrRoad_tech!N189)</f>
        <v>1.109730491682867</v>
      </c>
      <c r="O216" s="91">
        <f>IF(TrRoad_act!O77=0,0,TrRoad_emi!O74/TrRoad_tech!O189)</f>
        <v>1.1114034238729569</v>
      </c>
      <c r="P216" s="91">
        <f>IF(TrRoad_act!P77=0,0,TrRoad_emi!P74/TrRoad_tech!P189)</f>
        <v>1.1206051810134472</v>
      </c>
      <c r="Q216" s="91">
        <f>IF(TrRoad_act!Q77=0,0,TrRoad_emi!Q74/TrRoad_tech!Q189)</f>
        <v>1.1227766378137931</v>
      </c>
      <c r="R216" s="91">
        <f>IF(TrRoad_act!R77=0,0,TrRoad_emi!R74/TrRoad_tech!R189)</f>
        <v>1.1299474995337198</v>
      </c>
      <c r="S216" s="91">
        <f>IF(TrRoad_act!S77=0,0,TrRoad_emi!S74/TrRoad_tech!S189)</f>
        <v>1.1350869574645881</v>
      </c>
      <c r="T216" s="91">
        <f>IF(TrRoad_act!T77=0,0,TrRoad_emi!T74/TrRoad_tech!T189)</f>
        <v>1.1421063766880406</v>
      </c>
      <c r="U216" s="91">
        <f>IF(TrRoad_act!U77=0,0,TrRoad_emi!U74/TrRoad_tech!U189)</f>
        <v>1.1442479935989871</v>
      </c>
      <c r="V216" s="91">
        <f>IF(TrRoad_act!V77=0,0,TrRoad_emi!V74/TrRoad_tech!V189)</f>
        <v>1.1448455620651761</v>
      </c>
      <c r="W216" s="91">
        <f>IF(TrRoad_act!W77=0,0,TrRoad_emi!W74/TrRoad_tech!W189)</f>
        <v>1.1479355746371496</v>
      </c>
      <c r="X216" s="91">
        <f>IF(TrRoad_act!X77=0,0,TrRoad_emi!X74/TrRoad_tech!X189)</f>
        <v>1.1498085104145914</v>
      </c>
      <c r="Y216" s="91">
        <f>IF(TrRoad_act!Y77=0,0,TrRoad_emi!Y74/TrRoad_tech!Y189)</f>
        <v>1.1529948994869623</v>
      </c>
      <c r="DA216" s="171"/>
    </row>
    <row r="217" spans="1:105" ht="11.45" customHeight="1" x14ac:dyDescent="0.25">
      <c r="A217" s="111" t="s">
        <v>113</v>
      </c>
      <c r="B217" s="91">
        <f>IF(TrRoad_act!B78=0,0,TrRoad_emi!B75/TrRoad_tech!B190)</f>
        <v>0</v>
      </c>
      <c r="C217" s="91">
        <f>IF(TrRoad_act!C78=0,0,TrRoad_emi!C75/TrRoad_tech!C190)</f>
        <v>0</v>
      </c>
      <c r="D217" s="91">
        <f>IF(TrRoad_act!D78=0,0,TrRoad_emi!D75/TrRoad_tech!D190)</f>
        <v>0</v>
      </c>
      <c r="E217" s="91">
        <f>IF(TrRoad_act!E78=0,0,TrRoad_emi!E75/TrRoad_tech!E190)</f>
        <v>0</v>
      </c>
      <c r="F217" s="91">
        <f>IF(TrRoad_act!F78=0,0,TrRoad_emi!F75/TrRoad_tech!F190)</f>
        <v>0</v>
      </c>
      <c r="G217" s="91">
        <f>IF(TrRoad_act!G78=0,0,TrRoad_emi!G75/TrRoad_tech!G190)</f>
        <v>0</v>
      </c>
      <c r="H217" s="91">
        <f>IF(TrRoad_act!H78=0,0,TrRoad_emi!H75/TrRoad_tech!H190)</f>
        <v>0</v>
      </c>
      <c r="I217" s="91">
        <f>IF(TrRoad_act!I78=0,0,TrRoad_emi!I75/TrRoad_tech!I190)</f>
        <v>0</v>
      </c>
      <c r="J217" s="91">
        <f>IF(TrRoad_act!J78=0,0,TrRoad_emi!J75/TrRoad_tech!J190)</f>
        <v>0</v>
      </c>
      <c r="K217" s="91">
        <f>IF(TrRoad_act!K78=0,0,TrRoad_emi!K75/TrRoad_tech!K190)</f>
        <v>0</v>
      </c>
      <c r="L217" s="91">
        <f>IF(TrRoad_act!L78=0,0,TrRoad_emi!L75/TrRoad_tech!L190)</f>
        <v>0</v>
      </c>
      <c r="M217" s="91">
        <f>IF(TrRoad_act!M78=0,0,TrRoad_emi!M75/TrRoad_tech!M190)</f>
        <v>0</v>
      </c>
      <c r="N217" s="91">
        <f>IF(TrRoad_act!N78=0,0,TrRoad_emi!N75/TrRoad_tech!N190)</f>
        <v>0</v>
      </c>
      <c r="O217" s="91">
        <f>IF(TrRoad_act!O78=0,0,TrRoad_emi!O75/TrRoad_tech!O190)</f>
        <v>0</v>
      </c>
      <c r="P217" s="91">
        <f>IF(TrRoad_act!P78=0,0,TrRoad_emi!P75/TrRoad_tech!P190)</f>
        <v>0</v>
      </c>
      <c r="Q217" s="91">
        <f>IF(TrRoad_act!Q78=0,0,TrRoad_emi!Q75/TrRoad_tech!Q190)</f>
        <v>1.3000000000070031</v>
      </c>
      <c r="R217" s="91">
        <f>IF(TrRoad_act!R78=0,0,TrRoad_emi!R75/TrRoad_tech!R190)</f>
        <v>1.3027336920798993</v>
      </c>
      <c r="S217" s="91">
        <f>IF(TrRoad_act!S78=0,0,TrRoad_emi!S75/TrRoad_tech!S190)</f>
        <v>1.3042979546065585</v>
      </c>
      <c r="T217" s="91">
        <f>IF(TrRoad_act!T78=0,0,TrRoad_emi!T75/TrRoad_tech!T190)</f>
        <v>1.3058366898315825</v>
      </c>
      <c r="U217" s="91">
        <f>IF(TrRoad_act!U78=0,0,TrRoad_emi!U75/TrRoad_tech!U190)</f>
        <v>1.3066704084981187</v>
      </c>
      <c r="V217" s="91">
        <f>IF(TrRoad_act!V78=0,0,TrRoad_emi!V75/TrRoad_tech!V190)</f>
        <v>1.3096488758954687</v>
      </c>
      <c r="W217" s="91">
        <f>IF(TrRoad_act!W78=0,0,TrRoad_emi!W75/TrRoad_tech!W190)</f>
        <v>1.3112680331006343</v>
      </c>
      <c r="X217" s="91">
        <f>IF(TrRoad_act!X78=0,0,TrRoad_emi!X75/TrRoad_tech!X190)</f>
        <v>1.3142886239295708</v>
      </c>
      <c r="Y217" s="91">
        <f>IF(TrRoad_act!Y78=0,0,TrRoad_emi!Y75/TrRoad_tech!Y190)</f>
        <v>1.3162987637679171</v>
      </c>
      <c r="DA217" s="171"/>
    </row>
    <row r="218" spans="1:105" ht="11.45" customHeight="1" x14ac:dyDescent="0.25">
      <c r="A218" s="111" t="s">
        <v>115</v>
      </c>
      <c r="B218" s="91">
        <f>0</f>
        <v>0</v>
      </c>
      <c r="C218" s="91">
        <f>0</f>
        <v>0</v>
      </c>
      <c r="D218" s="91">
        <f>0</f>
        <v>0</v>
      </c>
      <c r="E218" s="91">
        <f>0</f>
        <v>0</v>
      </c>
      <c r="F218" s="91">
        <f>0</f>
        <v>0</v>
      </c>
      <c r="G218" s="91">
        <f>0</f>
        <v>0</v>
      </c>
      <c r="H218" s="91">
        <f>0</f>
        <v>0</v>
      </c>
      <c r="I218" s="91">
        <f>0</f>
        <v>0</v>
      </c>
      <c r="J218" s="91">
        <f>0</f>
        <v>0</v>
      </c>
      <c r="K218" s="91">
        <f>0</f>
        <v>0</v>
      </c>
      <c r="L218" s="91">
        <f>0</f>
        <v>0</v>
      </c>
      <c r="M218" s="91">
        <f>0</f>
        <v>0</v>
      </c>
      <c r="N218" s="91">
        <f>0</f>
        <v>0</v>
      </c>
      <c r="O218" s="91">
        <f>0</f>
        <v>0</v>
      </c>
      <c r="P218" s="91">
        <f>0</f>
        <v>0</v>
      </c>
      <c r="Q218" s="91">
        <f>0</f>
        <v>0</v>
      </c>
      <c r="R218" s="91">
        <f>0</f>
        <v>0</v>
      </c>
      <c r="S218" s="91">
        <f>0</f>
        <v>0</v>
      </c>
      <c r="T218" s="91">
        <f>0</f>
        <v>0</v>
      </c>
      <c r="U218" s="91">
        <f>0</f>
        <v>0</v>
      </c>
      <c r="V218" s="91">
        <f>0</f>
        <v>0</v>
      </c>
      <c r="W218" s="91">
        <f>0</f>
        <v>0</v>
      </c>
      <c r="X218" s="91">
        <f>0</f>
        <v>0</v>
      </c>
      <c r="Y218" s="91">
        <f>0</f>
        <v>0</v>
      </c>
      <c r="DA218" s="171"/>
    </row>
    <row r="219" spans="1:105" ht="11.45" customHeight="1" x14ac:dyDescent="0.25">
      <c r="A219" s="109" t="s">
        <v>154</v>
      </c>
      <c r="B219" s="151">
        <f>IF(TrRoad_act!B80=0,0,TrRoad_emi!B77/TrRoad_tech!B192)</f>
        <v>0.36853578202386422</v>
      </c>
      <c r="C219" s="151">
        <f>IF(TrRoad_act!C80=0,0,TrRoad_emi!C77/TrRoad_tech!C192)</f>
        <v>0.4626036564367596</v>
      </c>
      <c r="D219" s="151">
        <f>IF(TrRoad_act!D80=0,0,TrRoad_emi!D77/TrRoad_tech!D192)</f>
        <v>0.3356118556318119</v>
      </c>
      <c r="E219" s="151">
        <f>IF(TrRoad_act!E80=0,0,TrRoad_emi!E77/TrRoad_tech!E192)</f>
        <v>0.53532936355435778</v>
      </c>
      <c r="F219" s="151">
        <f>IF(TrRoad_act!F80=0,0,TrRoad_emi!F77/TrRoad_tech!F192)</f>
        <v>0.69160454884084233</v>
      </c>
      <c r="G219" s="151">
        <f>IF(TrRoad_act!G80=0,0,TrRoad_emi!G77/TrRoad_tech!G192)</f>
        <v>0.93331481547581774</v>
      </c>
      <c r="H219" s="151">
        <f>IF(TrRoad_act!H80=0,0,TrRoad_emi!H77/TrRoad_tech!H192)</f>
        <v>1.0571258536046906</v>
      </c>
      <c r="I219" s="151">
        <f>IF(TrRoad_act!I80=0,0,TrRoad_emi!I77/TrRoad_tech!I192)</f>
        <v>1.1935928767493629</v>
      </c>
      <c r="J219" s="151">
        <f>IF(TrRoad_act!J80=0,0,TrRoad_emi!J77/TrRoad_tech!J192)</f>
        <v>1.1816960979922277</v>
      </c>
      <c r="K219" s="151">
        <f>IF(TrRoad_act!K80=0,0,TrRoad_emi!K77/TrRoad_tech!K192)</f>
        <v>1.064363944953101</v>
      </c>
      <c r="L219" s="151">
        <f>IF(TrRoad_act!L80=0,0,TrRoad_emi!L77/TrRoad_tech!L192)</f>
        <v>1.0966892283416372</v>
      </c>
      <c r="M219" s="151">
        <f>IF(TrRoad_act!M80=0,0,TrRoad_emi!M77/TrRoad_tech!M192)</f>
        <v>1.0134594717247818</v>
      </c>
      <c r="N219" s="151">
        <f>IF(TrRoad_act!N80=0,0,TrRoad_emi!N77/TrRoad_tech!N192)</f>
        <v>0.86487648889253044</v>
      </c>
      <c r="O219" s="151">
        <f>IF(TrRoad_act!O80=0,0,TrRoad_emi!O77/TrRoad_tech!O192)</f>
        <v>0.66772474684080241</v>
      </c>
      <c r="P219" s="151">
        <f>IF(TrRoad_act!P80=0,0,TrRoad_emi!P77/TrRoad_tech!P192)</f>
        <v>0.7035919048327991</v>
      </c>
      <c r="Q219" s="151">
        <f>IF(TrRoad_act!Q80=0,0,TrRoad_emi!Q77/TrRoad_tech!Q192)</f>
        <v>0.71601925893436269</v>
      </c>
      <c r="R219" s="151">
        <f>IF(TrRoad_act!R80=0,0,TrRoad_emi!R77/TrRoad_tech!R192)</f>
        <v>0.98549248619459584</v>
      </c>
      <c r="S219" s="151">
        <f>IF(TrRoad_act!S80=0,0,TrRoad_emi!S77/TrRoad_tech!S192)</f>
        <v>1.2505665803385784</v>
      </c>
      <c r="T219" s="151">
        <f>IF(TrRoad_act!T80=0,0,TrRoad_emi!T77/TrRoad_tech!T192)</f>
        <v>1.3496022917150967</v>
      </c>
      <c r="U219" s="151">
        <f>IF(TrRoad_act!U80=0,0,TrRoad_emi!U77/TrRoad_tech!U192)</f>
        <v>1.3386012632467656</v>
      </c>
      <c r="V219" s="151">
        <f>IF(TrRoad_act!V80=0,0,TrRoad_emi!V77/TrRoad_tech!V192)</f>
        <v>1.2189074424946487</v>
      </c>
      <c r="W219" s="151">
        <f>IF(TrRoad_act!W80=0,0,TrRoad_emi!W77/TrRoad_tech!W192)</f>
        <v>1.5217652722502337</v>
      </c>
      <c r="X219" s="151">
        <f>IF(TrRoad_act!X80=0,0,TrRoad_emi!X77/TrRoad_tech!X192)</f>
        <v>1.5613354019958612</v>
      </c>
      <c r="Y219" s="151">
        <f>IF(TrRoad_act!Y80=0,0,TrRoad_emi!Y77/TrRoad_tech!Y192)</f>
        <v>1.548247556593852</v>
      </c>
      <c r="DA219" s="176"/>
    </row>
    <row r="220" spans="1:105" ht="11.45" customHeight="1" x14ac:dyDescent="0.25">
      <c r="A220" s="128" t="s">
        <v>27</v>
      </c>
      <c r="B220" s="93">
        <f>IF(TrRoad_act!B81=0,0,TrRoad_emi!B78/TrRoad_tech!B193)</f>
        <v>0.38225690658047001</v>
      </c>
      <c r="C220" s="93">
        <f>IF(TrRoad_act!C81=0,0,TrRoad_emi!C78/TrRoad_tech!C193)</f>
        <v>0.4800318144557994</v>
      </c>
      <c r="D220" s="93">
        <f>IF(TrRoad_act!D81=0,0,TrRoad_emi!D78/TrRoad_tech!D193)</f>
        <v>0.34810735439435775</v>
      </c>
      <c r="E220" s="93">
        <f>IF(TrRoad_act!E81=0,0,TrRoad_emi!E78/TrRoad_tech!E193)</f>
        <v>0.55649922804740781</v>
      </c>
      <c r="F220" s="93">
        <f>IF(TrRoad_act!F81=0,0,TrRoad_emi!F78/TrRoad_tech!F193)</f>
        <v>0.72095107339311248</v>
      </c>
      <c r="G220" s="93">
        <f>IF(TrRoad_act!G81=0,0,TrRoad_emi!G78/TrRoad_tech!G193)</f>
        <v>0.97392911679326244</v>
      </c>
      <c r="H220" s="93">
        <f>IF(TrRoad_act!H81=0,0,TrRoad_emi!H78/TrRoad_tech!H193)</f>
        <v>1.1005311204601373</v>
      </c>
      <c r="I220" s="93">
        <f>IF(TrRoad_act!I81=0,0,TrRoad_emi!I78/TrRoad_tech!I193)</f>
        <v>1.2460545123486229</v>
      </c>
      <c r="J220" s="93">
        <f>IF(TrRoad_act!J81=0,0,TrRoad_emi!J78/TrRoad_tech!J193)</f>
        <v>1.235115016099297</v>
      </c>
      <c r="K220" s="93">
        <f>IF(TrRoad_act!K81=0,0,TrRoad_emi!K78/TrRoad_tech!K193)</f>
        <v>1.1157236640347099</v>
      </c>
      <c r="L220" s="93">
        <f>IF(TrRoad_act!L81=0,0,TrRoad_emi!L78/TrRoad_tech!L193)</f>
        <v>1.1484408806361748</v>
      </c>
      <c r="M220" s="93">
        <f>IF(TrRoad_act!M81=0,0,TrRoad_emi!M78/TrRoad_tech!M193)</f>
        <v>1.0622515019452898</v>
      </c>
      <c r="N220" s="93">
        <f>IF(TrRoad_act!N81=0,0,TrRoad_emi!N78/TrRoad_tech!N193)</f>
        <v>0.90508544914825051</v>
      </c>
      <c r="O220" s="93">
        <f>IF(TrRoad_act!O81=0,0,TrRoad_emi!O78/TrRoad_tech!O193)</f>
        <v>0.69921688166526541</v>
      </c>
      <c r="P220" s="93">
        <f>IF(TrRoad_act!P81=0,0,TrRoad_emi!P78/TrRoad_tech!P193)</f>
        <v>0.73578368696660668</v>
      </c>
      <c r="Q220" s="93">
        <f>IF(TrRoad_act!Q81=0,0,TrRoad_emi!Q78/TrRoad_tech!Q193)</f>
        <v>0.74896932512574077</v>
      </c>
      <c r="R220" s="93">
        <f>IF(TrRoad_act!R81=0,0,TrRoad_emi!R78/TrRoad_tech!R193)</f>
        <v>1.0275316288460838</v>
      </c>
      <c r="S220" s="93">
        <f>IF(TrRoad_act!S81=0,0,TrRoad_emi!S78/TrRoad_tech!S193)</f>
        <v>1.3022553863725235</v>
      </c>
      <c r="T220" s="93">
        <f>IF(TrRoad_act!T81=0,0,TrRoad_emi!T78/TrRoad_tech!T193)</f>
        <v>1.4065987644114131</v>
      </c>
      <c r="U220" s="93">
        <f>IF(TrRoad_act!U81=0,0,TrRoad_emi!U78/TrRoad_tech!U193)</f>
        <v>1.3893951103279505</v>
      </c>
      <c r="V220" s="93">
        <f>IF(TrRoad_act!V81=0,0,TrRoad_emi!V78/TrRoad_tech!V193)</f>
        <v>1.2666689545376408</v>
      </c>
      <c r="W220" s="93">
        <f>IF(TrRoad_act!W81=0,0,TrRoad_emi!W78/TrRoad_tech!W193)</f>
        <v>1.5802288013008552</v>
      </c>
      <c r="X220" s="93">
        <f>IF(TrRoad_act!X81=0,0,TrRoad_emi!X78/TrRoad_tech!X193)</f>
        <v>1.6182352822424813</v>
      </c>
      <c r="Y220" s="93">
        <f>IF(TrRoad_act!Y81=0,0,TrRoad_emi!Y78/TrRoad_tech!Y193)</f>
        <v>1.6012428509156524</v>
      </c>
      <c r="DA220" s="175"/>
    </row>
    <row r="221" spans="1:105" ht="11.45" customHeight="1" x14ac:dyDescent="0.25">
      <c r="A221" s="138" t="s">
        <v>116</v>
      </c>
      <c r="B221" s="94">
        <f>IF(TrRoad_act!B82=0,0,TrRoad_emi!B79/TrRoad_tech!B194)</f>
        <v>0.38225690658047029</v>
      </c>
      <c r="C221" s="94">
        <f>IF(TrRoad_act!C82=0,0,TrRoad_emi!C79/TrRoad_tech!C194)</f>
        <v>0.48008914109419965</v>
      </c>
      <c r="D221" s="94">
        <f>IF(TrRoad_act!D82=0,0,TrRoad_emi!D79/TrRoad_tech!D194)</f>
        <v>0.34795128055570951</v>
      </c>
      <c r="E221" s="94">
        <f>IF(TrRoad_act!E82=0,0,TrRoad_emi!E79/TrRoad_tech!E194)</f>
        <v>0.556464498411821</v>
      </c>
      <c r="F221" s="94">
        <f>IF(TrRoad_act!F82=0,0,TrRoad_emi!F79/TrRoad_tech!F194)</f>
        <v>0.72307156317604493</v>
      </c>
      <c r="G221" s="94">
        <f>IF(TrRoad_act!G82=0,0,TrRoad_emi!G79/TrRoad_tech!G194)</f>
        <v>0.97715942212502815</v>
      </c>
      <c r="H221" s="94">
        <f>IF(TrRoad_act!H82=0,0,TrRoad_emi!H79/TrRoad_tech!H194)</f>
        <v>1.1087792186109089</v>
      </c>
      <c r="I221" s="94">
        <f>IF(TrRoad_act!I82=0,0,TrRoad_emi!I79/TrRoad_tech!I194)</f>
        <v>1.248578881059327</v>
      </c>
      <c r="J221" s="94">
        <f>IF(TrRoad_act!J82=0,0,TrRoad_emi!J79/TrRoad_tech!J194)</f>
        <v>1.2345641554110793</v>
      </c>
      <c r="K221" s="94">
        <f>IF(TrRoad_act!K82=0,0,TrRoad_emi!K79/TrRoad_tech!K194)</f>
        <v>1.1124991345639019</v>
      </c>
      <c r="L221" s="94">
        <f>IF(TrRoad_act!L82=0,0,TrRoad_emi!L79/TrRoad_tech!L194)</f>
        <v>1.1536489334776887</v>
      </c>
      <c r="M221" s="94">
        <f>IF(TrRoad_act!M82=0,0,TrRoad_emi!M79/TrRoad_tech!M194)</f>
        <v>1.0682233419807092</v>
      </c>
      <c r="N221" s="94">
        <f>IF(TrRoad_act!N82=0,0,TrRoad_emi!N79/TrRoad_tech!N194)</f>
        <v>0.91364161552420597</v>
      </c>
      <c r="O221" s="94">
        <f>IF(TrRoad_act!O82=0,0,TrRoad_emi!O79/TrRoad_tech!O194)</f>
        <v>0.70661489422525303</v>
      </c>
      <c r="P221" s="94">
        <f>IF(TrRoad_act!P82=0,0,TrRoad_emi!P79/TrRoad_tech!P194)</f>
        <v>0.74232741138806058</v>
      </c>
      <c r="Q221" s="94">
        <f>IF(TrRoad_act!Q82=0,0,TrRoad_emi!Q79/TrRoad_tech!Q194)</f>
        <v>0.75629363671811767</v>
      </c>
      <c r="R221" s="94">
        <f>IF(TrRoad_act!R82=0,0,TrRoad_emi!R79/TrRoad_tech!R194)</f>
        <v>1.0416497161574312</v>
      </c>
      <c r="S221" s="94">
        <f>IF(TrRoad_act!S82=0,0,TrRoad_emi!S79/TrRoad_tech!S194)</f>
        <v>1.3272939918261446</v>
      </c>
      <c r="T221" s="94">
        <f>IF(TrRoad_act!T82=0,0,TrRoad_emi!T79/TrRoad_tech!T194)</f>
        <v>1.4322853123173211</v>
      </c>
      <c r="U221" s="94">
        <f>IF(TrRoad_act!U82=0,0,TrRoad_emi!U79/TrRoad_tech!U194)</f>
        <v>1.425227826116702</v>
      </c>
      <c r="V221" s="94">
        <f>IF(TrRoad_act!V82=0,0,TrRoad_emi!V79/TrRoad_tech!V194)</f>
        <v>1.2982777078076979</v>
      </c>
      <c r="W221" s="94">
        <f>IF(TrRoad_act!W82=0,0,TrRoad_emi!W79/TrRoad_tech!W194)</f>
        <v>1.6256248179413963</v>
      </c>
      <c r="X221" s="94">
        <f>IF(TrRoad_act!X82=0,0,TrRoad_emi!X79/TrRoad_tech!X194)</f>
        <v>1.6635057697157178</v>
      </c>
      <c r="Y221" s="94">
        <f>IF(TrRoad_act!Y82=0,0,TrRoad_emi!Y79/TrRoad_tech!Y194)</f>
        <v>1.650435290807388</v>
      </c>
      <c r="DA221" s="178"/>
    </row>
    <row r="222" spans="1:105" x14ac:dyDescent="0.25">
      <c r="A222" s="106"/>
      <c r="B222" s="106"/>
      <c r="C222" s="106"/>
      <c r="D222" s="106"/>
      <c r="E222" s="106"/>
      <c r="F222" s="106"/>
      <c r="G222" s="106"/>
      <c r="H222" s="106"/>
      <c r="I222" s="106"/>
      <c r="J222" s="106"/>
      <c r="K222" s="106"/>
      <c r="L222" s="106"/>
      <c r="M222" s="106"/>
      <c r="N222" s="106"/>
      <c r="O222" s="106"/>
      <c r="P222" s="106"/>
      <c r="Q222" s="106"/>
      <c r="R222" s="106"/>
      <c r="S222" s="106"/>
      <c r="T222" s="106"/>
      <c r="U222" s="106"/>
      <c r="V222" s="106"/>
      <c r="W222" s="106"/>
      <c r="X222" s="106"/>
      <c r="Y222" s="106"/>
      <c r="DA222" s="171"/>
    </row>
    <row r="223" spans="1:105" ht="11.45" customHeight="1" x14ac:dyDescent="0.25">
      <c r="A223" s="53" t="s">
        <v>125</v>
      </c>
      <c r="B223" s="54"/>
      <c r="C223" s="54"/>
      <c r="D223" s="54"/>
      <c r="E223" s="54"/>
      <c r="F223" s="54"/>
      <c r="G223" s="54"/>
      <c r="H223" s="54"/>
      <c r="I223" s="54"/>
      <c r="J223" s="54"/>
      <c r="K223" s="54"/>
      <c r="L223" s="54"/>
      <c r="M223" s="54"/>
      <c r="N223" s="54"/>
      <c r="O223" s="54"/>
      <c r="P223" s="54"/>
      <c r="Q223" s="54"/>
      <c r="R223" s="54"/>
      <c r="S223" s="54"/>
      <c r="T223" s="54"/>
      <c r="U223" s="54"/>
      <c r="V223" s="54"/>
      <c r="W223" s="54"/>
      <c r="X223" s="54"/>
      <c r="Y223" s="54"/>
      <c r="DA223" s="172"/>
    </row>
    <row r="224" spans="1:105" ht="11.45" customHeight="1" x14ac:dyDescent="0.25">
      <c r="A224" s="27" t="s">
        <v>33</v>
      </c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DA224" s="173"/>
    </row>
    <row r="225" spans="1:105" ht="11.45" customHeight="1" x14ac:dyDescent="0.25">
      <c r="A225" s="136" t="s">
        <v>173</v>
      </c>
      <c r="B225" s="152">
        <v>0</v>
      </c>
      <c r="C225" s="152">
        <v>108.94928610703157</v>
      </c>
      <c r="D225" s="152">
        <v>108.29045269867282</v>
      </c>
      <c r="E225" s="152">
        <v>106.93500873698063</v>
      </c>
      <c r="F225" s="152">
        <v>106.78692232867982</v>
      </c>
      <c r="G225" s="152">
        <v>105.34836864804328</v>
      </c>
      <c r="H225" s="152">
        <v>103.22378201466621</v>
      </c>
      <c r="I225" s="152">
        <v>101.70967404408029</v>
      </c>
      <c r="J225" s="152">
        <v>96.771445652987651</v>
      </c>
      <c r="K225" s="152">
        <v>91.444868211555089</v>
      </c>
      <c r="L225" s="152">
        <v>88.118968367982589</v>
      </c>
      <c r="M225" s="152">
        <v>87.283441090834188</v>
      </c>
      <c r="N225" s="152">
        <v>85.351381167957612</v>
      </c>
      <c r="O225" s="152">
        <v>83.594077738515608</v>
      </c>
      <c r="P225" s="152">
        <v>80.450059898399999</v>
      </c>
      <c r="Q225" s="152">
        <v>78.619210262159399</v>
      </c>
      <c r="R225" s="152">
        <v>77.329914157432924</v>
      </c>
      <c r="S225" s="152">
        <v>76.298477273651756</v>
      </c>
      <c r="T225" s="152">
        <v>75.473327766626838</v>
      </c>
      <c r="U225" s="152">
        <v>74.813208161006884</v>
      </c>
      <c r="V225" s="152">
        <v>74.285112476510932</v>
      </c>
      <c r="W225" s="152">
        <v>73.862635928914145</v>
      </c>
      <c r="X225" s="152">
        <v>73.524654690836741</v>
      </c>
      <c r="Y225" s="152">
        <v>73.254269700374806</v>
      </c>
      <c r="DA225" s="174" t="s">
        <v>933</v>
      </c>
    </row>
    <row r="226" spans="1:105" ht="11.45" customHeight="1" x14ac:dyDescent="0.25">
      <c r="A226" s="109" t="s">
        <v>20</v>
      </c>
      <c r="B226" s="116">
        <v>209.74914604707675</v>
      </c>
      <c r="C226" s="116">
        <v>210.76226447707495</v>
      </c>
      <c r="D226" s="116">
        <v>206.27323125634004</v>
      </c>
      <c r="E226" s="116">
        <v>204.97920146743786</v>
      </c>
      <c r="F226" s="116">
        <v>208.42206783822607</v>
      </c>
      <c r="G226" s="116">
        <v>207.31828255645129</v>
      </c>
      <c r="H226" s="116">
        <v>206.91020902887072</v>
      </c>
      <c r="I226" s="116">
        <v>205.0354671572029</v>
      </c>
      <c r="J226" s="116">
        <v>196.02885218406672</v>
      </c>
      <c r="K226" s="116">
        <v>186.50298330649395</v>
      </c>
      <c r="L226" s="116">
        <v>179.78950831654421</v>
      </c>
      <c r="M226" s="116">
        <v>177.89160866570339</v>
      </c>
      <c r="N226" s="116">
        <v>172.80089191580271</v>
      </c>
      <c r="O226" s="116">
        <v>167.8206831004774</v>
      </c>
      <c r="P226" s="116">
        <v>162.00125762242226</v>
      </c>
      <c r="Q226" s="116">
        <v>157.04756485803438</v>
      </c>
      <c r="R226" s="116">
        <v>155.44198009877579</v>
      </c>
      <c r="S226" s="116">
        <v>156.36092389026555</v>
      </c>
      <c r="T226" s="116">
        <v>157.56494290619085</v>
      </c>
      <c r="U226" s="116">
        <v>156.95439515429598</v>
      </c>
      <c r="V226" s="116">
        <v>149.99696016023071</v>
      </c>
      <c r="W226" s="116">
        <v>143.5216973186599</v>
      </c>
      <c r="X226" s="116">
        <v>143.28849350909064</v>
      </c>
      <c r="Y226" s="116">
        <v>138.44440510820485</v>
      </c>
      <c r="DA226" s="176" t="s">
        <v>934</v>
      </c>
    </row>
    <row r="227" spans="1:105" ht="11.45" customHeight="1" x14ac:dyDescent="0.25">
      <c r="A227" s="111" t="s">
        <v>110</v>
      </c>
      <c r="B227" s="87">
        <v>217.35290647133655</v>
      </c>
      <c r="C227" s="87">
        <v>216.16961762607838</v>
      </c>
      <c r="D227" s="87">
        <v>214.86240606872789</v>
      </c>
      <c r="E227" s="87">
        <v>212.17302816289447</v>
      </c>
      <c r="F227" s="87">
        <v>211.8792053816552</v>
      </c>
      <c r="G227" s="87">
        <v>209.02492693533026</v>
      </c>
      <c r="H227" s="87">
        <v>204.80946948203945</v>
      </c>
      <c r="I227" s="87">
        <v>201.80528145344957</v>
      </c>
      <c r="J227" s="87">
        <v>192.00719115661147</v>
      </c>
      <c r="K227" s="87">
        <v>181.43856560693149</v>
      </c>
      <c r="L227" s="87">
        <v>174.83915639048251</v>
      </c>
      <c r="M227" s="87">
        <v>173.06925662477033</v>
      </c>
      <c r="N227" s="87">
        <v>169.26210277475872</v>
      </c>
      <c r="O227" s="87">
        <v>165.84017885842397</v>
      </c>
      <c r="P227" s="87">
        <v>159.70612361944728</v>
      </c>
      <c r="Q227" s="87">
        <v>156.08269241220077</v>
      </c>
      <c r="R227" s="87">
        <v>154.73593189291995</v>
      </c>
      <c r="S227" s="87">
        <v>151.77427508514873</v>
      </c>
      <c r="T227" s="87">
        <v>154.4427189309109</v>
      </c>
      <c r="U227" s="87">
        <v>152.74685292332899</v>
      </c>
      <c r="V227" s="87">
        <v>145.58617524777571</v>
      </c>
      <c r="W227" s="87">
        <v>139.7769572998626</v>
      </c>
      <c r="X227" s="87">
        <v>139.6553774446509</v>
      </c>
      <c r="Y227" s="87">
        <v>137.05150827965849</v>
      </c>
      <c r="DA227" s="171" t="s">
        <v>935</v>
      </c>
    </row>
    <row r="228" spans="1:105" ht="11.45" customHeight="1" x14ac:dyDescent="0.25">
      <c r="A228" s="111" t="s">
        <v>111</v>
      </c>
      <c r="B228" s="87">
        <v>212.08728653813017</v>
      </c>
      <c r="C228" s="87">
        <v>211.98191863917353</v>
      </c>
      <c r="D228" s="87">
        <v>211.86490459083115</v>
      </c>
      <c r="E228" s="87">
        <v>212.3475875402433</v>
      </c>
      <c r="F228" s="87">
        <v>210.94707564914589</v>
      </c>
      <c r="G228" s="87">
        <v>211.57602615898602</v>
      </c>
      <c r="H228" s="87">
        <v>212.93265778195502</v>
      </c>
      <c r="I228" s="87">
        <v>210.97267247222092</v>
      </c>
      <c r="J228" s="87">
        <v>201.45431097737406</v>
      </c>
      <c r="K228" s="87">
        <v>193.53757926921287</v>
      </c>
      <c r="L228" s="87">
        <v>186.10353051046386</v>
      </c>
      <c r="M228" s="87">
        <v>183.12000085995419</v>
      </c>
      <c r="N228" s="87">
        <v>178.42870623079722</v>
      </c>
      <c r="O228" s="87">
        <v>174.95243516158334</v>
      </c>
      <c r="P228" s="87">
        <v>168.33480062874492</v>
      </c>
      <c r="Q228" s="87">
        <v>162.23547078038405</v>
      </c>
      <c r="R228" s="87">
        <v>159.17939341233227</v>
      </c>
      <c r="S228" s="87">
        <v>165.22598410356645</v>
      </c>
      <c r="T228" s="87">
        <v>168.18906906683529</v>
      </c>
      <c r="U228" s="87">
        <v>164.1892975311784</v>
      </c>
      <c r="V228" s="87">
        <v>160.22042984371549</v>
      </c>
      <c r="W228" s="87">
        <v>155.76721187277619</v>
      </c>
      <c r="X228" s="87">
        <v>156.94803344973349</v>
      </c>
      <c r="Y228" s="87">
        <v>162.23035434981929</v>
      </c>
      <c r="DA228" s="171" t="s">
        <v>936</v>
      </c>
    </row>
    <row r="229" spans="1:105" ht="11.45" customHeight="1" x14ac:dyDescent="0.25">
      <c r="A229" s="111" t="s">
        <v>112</v>
      </c>
      <c r="B229" s="87">
        <v>0</v>
      </c>
      <c r="C229" s="87">
        <v>200.41132818017121</v>
      </c>
      <c r="D229" s="87">
        <v>200.30070109935895</v>
      </c>
      <c r="E229" s="87">
        <v>200.75703780770931</v>
      </c>
      <c r="F229" s="87">
        <v>199.43296993423797</v>
      </c>
      <c r="G229" s="87">
        <v>200.0275904936037</v>
      </c>
      <c r="H229" s="87">
        <v>201.31017321177043</v>
      </c>
      <c r="I229" s="87">
        <v>199.45716960816569</v>
      </c>
      <c r="J229" s="87">
        <v>190.45834800334626</v>
      </c>
      <c r="K229" s="87">
        <v>182.97373456714422</v>
      </c>
      <c r="L229" s="87">
        <v>175.94545783929368</v>
      </c>
      <c r="M229" s="87">
        <v>174.20198101894732</v>
      </c>
      <c r="N229" s="87">
        <v>174.79251646987007</v>
      </c>
      <c r="O229" s="87">
        <v>152.89788592672488</v>
      </c>
      <c r="P229" s="87">
        <v>147.43126502929726</v>
      </c>
      <c r="Q229" s="87">
        <v>144.15460715821732</v>
      </c>
      <c r="R229" s="87">
        <v>144.43865632374533</v>
      </c>
      <c r="S229" s="87">
        <v>148.34915746880918</v>
      </c>
      <c r="T229" s="87">
        <v>147.57559395248381</v>
      </c>
      <c r="U229" s="87">
        <v>152.0634987979069</v>
      </c>
      <c r="V229" s="87">
        <v>123.86363014635479</v>
      </c>
      <c r="W229" s="87">
        <v>121.3811509591326</v>
      </c>
      <c r="X229" s="87">
        <v>120.1240116185251</v>
      </c>
      <c r="Y229" s="87">
        <v>119.2672904800651</v>
      </c>
      <c r="DA229" s="171" t="s">
        <v>937</v>
      </c>
    </row>
    <row r="230" spans="1:105" ht="11.45" customHeight="1" x14ac:dyDescent="0.25">
      <c r="A230" s="111" t="s">
        <v>113</v>
      </c>
      <c r="B230" s="87">
        <v>0</v>
      </c>
      <c r="C230" s="87">
        <v>0</v>
      </c>
      <c r="D230" s="87">
        <v>0</v>
      </c>
      <c r="E230" s="87">
        <v>0</v>
      </c>
      <c r="F230" s="87">
        <v>0</v>
      </c>
      <c r="G230" s="87">
        <v>0</v>
      </c>
      <c r="H230" s="87">
        <v>0</v>
      </c>
      <c r="I230" s="87">
        <v>0</v>
      </c>
      <c r="J230" s="87">
        <v>0</v>
      </c>
      <c r="K230" s="87">
        <v>0</v>
      </c>
      <c r="L230" s="87">
        <v>0</v>
      </c>
      <c r="M230" s="87">
        <v>0</v>
      </c>
      <c r="N230" s="87">
        <v>0</v>
      </c>
      <c r="O230" s="87">
        <v>0</v>
      </c>
      <c r="P230" s="87">
        <v>0</v>
      </c>
      <c r="Q230" s="87">
        <v>125.94931773879142</v>
      </c>
      <c r="R230" s="87">
        <v>129.25103945080386</v>
      </c>
      <c r="S230" s="87">
        <v>124.24084903617067</v>
      </c>
      <c r="T230" s="87">
        <v>145</v>
      </c>
      <c r="U230" s="87">
        <v>139.81578947368419</v>
      </c>
      <c r="V230" s="87">
        <v>141.27272727272731</v>
      </c>
      <c r="W230" s="87">
        <v>131</v>
      </c>
      <c r="X230" s="87">
        <v>0</v>
      </c>
      <c r="Y230" s="87">
        <v>106.9151276480174</v>
      </c>
      <c r="DA230" s="171" t="s">
        <v>938</v>
      </c>
    </row>
    <row r="231" spans="1:105" ht="11.45" customHeight="1" x14ac:dyDescent="0.25">
      <c r="A231" s="111" t="s">
        <v>114</v>
      </c>
      <c r="B231" s="87">
        <v>0</v>
      </c>
      <c r="C231" s="87">
        <v>0</v>
      </c>
      <c r="D231" s="87">
        <v>0</v>
      </c>
      <c r="E231" s="87">
        <v>0</v>
      </c>
      <c r="F231" s="87">
        <v>0</v>
      </c>
      <c r="G231" s="87">
        <v>0</v>
      </c>
      <c r="H231" s="87">
        <v>0</v>
      </c>
      <c r="I231" s="87">
        <v>0</v>
      </c>
      <c r="J231" s="87">
        <v>0</v>
      </c>
      <c r="K231" s="87">
        <v>0</v>
      </c>
      <c r="L231" s="87">
        <v>0</v>
      </c>
      <c r="M231" s="87">
        <v>0</v>
      </c>
      <c r="N231" s="87">
        <v>46.0590522160945</v>
      </c>
      <c r="O231" s="87">
        <v>75.845050109734871</v>
      </c>
      <c r="P231" s="87">
        <v>122.88470050723789</v>
      </c>
      <c r="Q231" s="87">
        <v>58.749239109715248</v>
      </c>
      <c r="R231" s="87">
        <v>45.663092873272362</v>
      </c>
      <c r="S231" s="87">
        <v>46.947989284137108</v>
      </c>
      <c r="T231" s="87">
        <v>56.84870848708487</v>
      </c>
      <c r="U231" s="87">
        <v>51.452884615384619</v>
      </c>
      <c r="V231" s="87">
        <v>52.472814371257471</v>
      </c>
      <c r="W231" s="87">
        <v>39.727577438742493</v>
      </c>
      <c r="X231" s="87">
        <v>37.862016348773842</v>
      </c>
      <c r="Y231" s="87">
        <v>34.3571178733823</v>
      </c>
      <c r="DA231" s="171" t="s">
        <v>939</v>
      </c>
    </row>
    <row r="232" spans="1:105" ht="11.45" customHeight="1" x14ac:dyDescent="0.25">
      <c r="A232" s="111" t="s">
        <v>115</v>
      </c>
      <c r="B232" s="87">
        <v>0</v>
      </c>
      <c r="C232" s="87">
        <v>0</v>
      </c>
      <c r="D232" s="87">
        <v>0</v>
      </c>
      <c r="E232" s="87">
        <v>0</v>
      </c>
      <c r="F232" s="87">
        <v>0</v>
      </c>
      <c r="G232" s="87">
        <v>0</v>
      </c>
      <c r="H232" s="87">
        <v>0</v>
      </c>
      <c r="I232" s="87">
        <v>0</v>
      </c>
      <c r="J232" s="87">
        <v>0</v>
      </c>
      <c r="K232" s="87">
        <v>0</v>
      </c>
      <c r="L232" s="87">
        <v>0</v>
      </c>
      <c r="M232" s="87">
        <v>0</v>
      </c>
      <c r="N232" s="87">
        <v>0</v>
      </c>
      <c r="O232" s="87">
        <v>0</v>
      </c>
      <c r="P232" s="87">
        <v>0</v>
      </c>
      <c r="Q232" s="87">
        <v>0</v>
      </c>
      <c r="R232" s="87">
        <v>0</v>
      </c>
      <c r="S232" s="87">
        <v>0</v>
      </c>
      <c r="T232" s="87">
        <v>0</v>
      </c>
      <c r="U232" s="87">
        <v>0</v>
      </c>
      <c r="V232" s="87">
        <v>0</v>
      </c>
      <c r="W232" s="87">
        <v>0</v>
      </c>
      <c r="X232" s="87">
        <v>0</v>
      </c>
      <c r="Y232" s="87">
        <v>0</v>
      </c>
      <c r="DA232" s="171" t="s">
        <v>940</v>
      </c>
    </row>
    <row r="233" spans="1:105" ht="11.45" customHeight="1" x14ac:dyDescent="0.25">
      <c r="A233" s="109" t="s">
        <v>21</v>
      </c>
      <c r="B233" s="116">
        <v>1457.6624389046663</v>
      </c>
      <c r="C233" s="116">
        <v>1447.542486177666</v>
      </c>
      <c r="D233" s="116">
        <v>1451.3902675267543</v>
      </c>
      <c r="E233" s="116">
        <v>1448.0558168052783</v>
      </c>
      <c r="F233" s="116">
        <v>1361.4022955774685</v>
      </c>
      <c r="G233" s="116">
        <v>1301.3122217618634</v>
      </c>
      <c r="H233" s="116">
        <v>1432.4201424705516</v>
      </c>
      <c r="I233" s="116">
        <v>1429.4591924795191</v>
      </c>
      <c r="J233" s="116">
        <v>1412.0747179536884</v>
      </c>
      <c r="K233" s="116">
        <v>1392.0672053377816</v>
      </c>
      <c r="L233" s="116">
        <v>1373.297594807424</v>
      </c>
      <c r="M233" s="116">
        <v>1373.589641639277</v>
      </c>
      <c r="N233" s="116">
        <v>1367.4609477203057</v>
      </c>
      <c r="O233" s="116">
        <v>1347.8947274913223</v>
      </c>
      <c r="P233" s="116">
        <v>1339.496044967326</v>
      </c>
      <c r="Q233" s="116">
        <v>1308.7025457505415</v>
      </c>
      <c r="R233" s="116">
        <v>1309.7252267175231</v>
      </c>
      <c r="S233" s="116">
        <v>1258.2873323919202</v>
      </c>
      <c r="T233" s="116">
        <v>1196.0587912379613</v>
      </c>
      <c r="U233" s="116">
        <v>1181.2991490531715</v>
      </c>
      <c r="V233" s="116">
        <v>1106.1970348218099</v>
      </c>
      <c r="W233" s="116">
        <v>1062.4646234206764</v>
      </c>
      <c r="X233" s="116">
        <v>1037.7212735075163</v>
      </c>
      <c r="Y233" s="116">
        <v>951.77051835949396</v>
      </c>
      <c r="DA233" s="176" t="s">
        <v>941</v>
      </c>
    </row>
    <row r="234" spans="1:105" ht="11.45" customHeight="1" x14ac:dyDescent="0.25">
      <c r="A234" s="111" t="s">
        <v>110</v>
      </c>
      <c r="B234" s="101">
        <v>0</v>
      </c>
      <c r="C234" s="101">
        <v>0</v>
      </c>
      <c r="D234" s="101">
        <v>0</v>
      </c>
      <c r="E234" s="101">
        <v>0</v>
      </c>
      <c r="F234" s="101">
        <v>0</v>
      </c>
      <c r="G234" s="101">
        <v>0</v>
      </c>
      <c r="H234" s="101">
        <v>0</v>
      </c>
      <c r="I234" s="101">
        <v>0</v>
      </c>
      <c r="J234" s="101">
        <v>0</v>
      </c>
      <c r="K234" s="101">
        <v>0</v>
      </c>
      <c r="L234" s="101">
        <v>0</v>
      </c>
      <c r="M234" s="101">
        <v>0</v>
      </c>
      <c r="N234" s="101">
        <v>0</v>
      </c>
      <c r="O234" s="101">
        <v>0</v>
      </c>
      <c r="P234" s="101">
        <v>0</v>
      </c>
      <c r="Q234" s="101">
        <v>0</v>
      </c>
      <c r="R234" s="101">
        <v>0</v>
      </c>
      <c r="S234" s="101">
        <v>0</v>
      </c>
      <c r="T234" s="101">
        <v>0</v>
      </c>
      <c r="U234" s="101">
        <v>0</v>
      </c>
      <c r="V234" s="101">
        <v>0</v>
      </c>
      <c r="W234" s="101">
        <v>0</v>
      </c>
      <c r="X234" s="101">
        <v>0</v>
      </c>
      <c r="Y234" s="101">
        <v>0</v>
      </c>
      <c r="DA234" s="175" t="s">
        <v>942</v>
      </c>
    </row>
    <row r="235" spans="1:105" ht="11.45" customHeight="1" x14ac:dyDescent="0.25">
      <c r="A235" s="111" t="s">
        <v>111</v>
      </c>
      <c r="B235" s="101">
        <v>1457.6624389046663</v>
      </c>
      <c r="C235" s="101">
        <v>1455.6699410350463</v>
      </c>
      <c r="D235" s="101">
        <v>1453.459248663642</v>
      </c>
      <c r="E235" s="101">
        <v>1448.8680034536642</v>
      </c>
      <c r="F235" s="101">
        <v>1448.3658743175401</v>
      </c>
      <c r="G235" s="101">
        <v>1443.438262594467</v>
      </c>
      <c r="H235" s="101">
        <v>1436.0489518454854</v>
      </c>
      <c r="I235" s="101">
        <v>1430.724308198962</v>
      </c>
      <c r="J235" s="101">
        <v>1412.701832023339</v>
      </c>
      <c r="K235" s="101">
        <v>1392.4249712605106</v>
      </c>
      <c r="L235" s="101">
        <v>1379.4091114716523</v>
      </c>
      <c r="M235" s="101">
        <v>1376.1158684171571</v>
      </c>
      <c r="N235" s="101">
        <v>1368.3720662880021</v>
      </c>
      <c r="O235" s="101">
        <v>1361.2182297719762</v>
      </c>
      <c r="P235" s="101">
        <v>1348.0476803599231</v>
      </c>
      <c r="Q235" s="101">
        <v>1340.2449215971562</v>
      </c>
      <c r="R235" s="101">
        <v>1322.5949727878383</v>
      </c>
      <c r="S235" s="101">
        <v>1296.4535681808256</v>
      </c>
      <c r="T235" s="101">
        <v>1263.1814206259837</v>
      </c>
      <c r="U235" s="101">
        <v>1224.0954598716719</v>
      </c>
      <c r="V235" s="101">
        <v>1180.4335961722779</v>
      </c>
      <c r="W235" s="101">
        <v>1133.3312927888119</v>
      </c>
      <c r="X235" s="101">
        <v>1083.8079681486627</v>
      </c>
      <c r="Y235" s="101">
        <v>1032.7612276090586</v>
      </c>
      <c r="DA235" s="175" t="s">
        <v>943</v>
      </c>
    </row>
    <row r="236" spans="1:105" ht="11.45" customHeight="1" x14ac:dyDescent="0.25">
      <c r="A236" s="111" t="s">
        <v>112</v>
      </c>
      <c r="B236" s="101">
        <v>0</v>
      </c>
      <c r="C236" s="101">
        <v>0</v>
      </c>
      <c r="D236" s="101">
        <v>0</v>
      </c>
      <c r="E236" s="101">
        <v>1028.1553195898136</v>
      </c>
      <c r="F236" s="101">
        <v>1027.7989953827798</v>
      </c>
      <c r="G236" s="101">
        <v>1024.30223087844</v>
      </c>
      <c r="H236" s="101">
        <v>1019.0585791885979</v>
      </c>
      <c r="I236" s="101">
        <v>1015.2800702581479</v>
      </c>
      <c r="J236" s="101">
        <v>1002.4908412131432</v>
      </c>
      <c r="K236" s="101">
        <v>0</v>
      </c>
      <c r="L236" s="101">
        <v>978.86544010190369</v>
      </c>
      <c r="M236" s="101">
        <v>976.52846712913436</v>
      </c>
      <c r="N236" s="101">
        <v>971.03325891557517</v>
      </c>
      <c r="O236" s="101">
        <v>965.95670601227721</v>
      </c>
      <c r="P236" s="101">
        <v>956.61053340880744</v>
      </c>
      <c r="Q236" s="101">
        <v>951.07348799798206</v>
      </c>
      <c r="R236" s="101">
        <v>945.17143717587862</v>
      </c>
      <c r="S236" s="101">
        <v>938.95102240902963</v>
      </c>
      <c r="T236" s="101">
        <v>932.45427126149843</v>
      </c>
      <c r="U236" s="101">
        <v>925.71899247661031</v>
      </c>
      <c r="V236" s="101">
        <v>918.77914858123142</v>
      </c>
      <c r="W236" s="101">
        <v>911.66520464037308</v>
      </c>
      <c r="X236" s="101">
        <v>904.40445262710875</v>
      </c>
      <c r="Y236" s="101">
        <v>0</v>
      </c>
      <c r="DA236" s="175" t="s">
        <v>944</v>
      </c>
    </row>
    <row r="237" spans="1:105" ht="11.45" customHeight="1" x14ac:dyDescent="0.25">
      <c r="A237" s="111" t="s">
        <v>113</v>
      </c>
      <c r="B237" s="101">
        <v>0</v>
      </c>
      <c r="C237" s="101">
        <v>0</v>
      </c>
      <c r="D237" s="101">
        <v>0</v>
      </c>
      <c r="E237" s="101">
        <v>0</v>
      </c>
      <c r="F237" s="101">
        <v>0</v>
      </c>
      <c r="G237" s="101">
        <v>0</v>
      </c>
      <c r="H237" s="101">
        <v>0</v>
      </c>
      <c r="I237" s="101">
        <v>0</v>
      </c>
      <c r="J237" s="101">
        <v>0</v>
      </c>
      <c r="K237" s="101">
        <v>0</v>
      </c>
      <c r="L237" s="101">
        <v>0</v>
      </c>
      <c r="M237" s="101">
        <v>0</v>
      </c>
      <c r="N237" s="101">
        <v>0</v>
      </c>
      <c r="O237" s="101">
        <v>0</v>
      </c>
      <c r="P237" s="101">
        <v>0</v>
      </c>
      <c r="Q237" s="101">
        <v>845.56612799820584</v>
      </c>
      <c r="R237" s="101">
        <v>821.12617864079391</v>
      </c>
      <c r="S237" s="101">
        <v>805.99580038186605</v>
      </c>
      <c r="T237" s="101">
        <v>796.25467566739201</v>
      </c>
      <c r="U237" s="101">
        <v>789.67613586339155</v>
      </c>
      <c r="V237" s="101">
        <v>784.96937412239834</v>
      </c>
      <c r="W237" s="101">
        <v>781.37663494735921</v>
      </c>
      <c r="X237" s="101">
        <v>778.44966033759385</v>
      </c>
      <c r="Y237" s="101">
        <v>775.922042285261</v>
      </c>
      <c r="DA237" s="175" t="s">
        <v>945</v>
      </c>
    </row>
    <row r="238" spans="1:105" ht="11.45" customHeight="1" x14ac:dyDescent="0.25">
      <c r="A238" s="111" t="s">
        <v>115</v>
      </c>
      <c r="B238" s="101">
        <v>0</v>
      </c>
      <c r="C238" s="101">
        <v>0</v>
      </c>
      <c r="D238" s="101">
        <v>0</v>
      </c>
      <c r="E238" s="101">
        <v>0</v>
      </c>
      <c r="F238" s="101">
        <v>0</v>
      </c>
      <c r="G238" s="101">
        <v>0</v>
      </c>
      <c r="H238" s="101">
        <v>0</v>
      </c>
      <c r="I238" s="101">
        <v>0</v>
      </c>
      <c r="J238" s="101">
        <v>0</v>
      </c>
      <c r="K238" s="101">
        <v>0</v>
      </c>
      <c r="L238" s="101">
        <v>0</v>
      </c>
      <c r="M238" s="101">
        <v>0</v>
      </c>
      <c r="N238" s="101">
        <v>0</v>
      </c>
      <c r="O238" s="101">
        <v>0</v>
      </c>
      <c r="P238" s="101">
        <v>0</v>
      </c>
      <c r="Q238" s="101">
        <v>0</v>
      </c>
      <c r="R238" s="101">
        <v>0</v>
      </c>
      <c r="S238" s="101">
        <v>0</v>
      </c>
      <c r="T238" s="101">
        <v>0</v>
      </c>
      <c r="U238" s="101">
        <v>0</v>
      </c>
      <c r="V238" s="101">
        <v>0</v>
      </c>
      <c r="W238" s="101">
        <v>0</v>
      </c>
      <c r="X238" s="101">
        <v>0</v>
      </c>
      <c r="Y238" s="101">
        <v>0</v>
      </c>
      <c r="DA238" s="175" t="s">
        <v>946</v>
      </c>
    </row>
    <row r="239" spans="1:105" ht="11.45" customHeight="1" x14ac:dyDescent="0.25">
      <c r="A239" s="27" t="s">
        <v>34</v>
      </c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DA239" s="173"/>
    </row>
    <row r="240" spans="1:105" ht="11.45" customHeight="1" x14ac:dyDescent="0.25">
      <c r="A240" s="136" t="s">
        <v>153</v>
      </c>
      <c r="B240" s="152">
        <v>238.12216824134561</v>
      </c>
      <c r="C240" s="152">
        <v>237.13225021113283</v>
      </c>
      <c r="D240" s="152">
        <v>236.26943904928922</v>
      </c>
      <c r="E240" s="152">
        <v>228.45793986275956</v>
      </c>
      <c r="F240" s="152">
        <v>239.66901420639115</v>
      </c>
      <c r="G240" s="152">
        <v>254.55402858803268</v>
      </c>
      <c r="H240" s="152">
        <v>242.08618584457932</v>
      </c>
      <c r="I240" s="152">
        <v>240.54570154871669</v>
      </c>
      <c r="J240" s="152">
        <v>228.58859770230575</v>
      </c>
      <c r="K240" s="152">
        <v>220.85952332022484</v>
      </c>
      <c r="L240" s="152">
        <v>209.31384927859588</v>
      </c>
      <c r="M240" s="152">
        <v>213.67669885565445</v>
      </c>
      <c r="N240" s="152">
        <v>203.86957139085661</v>
      </c>
      <c r="O240" s="152">
        <v>203.62232633162614</v>
      </c>
      <c r="P240" s="152">
        <v>191.1282594389001</v>
      </c>
      <c r="Q240" s="152">
        <v>205.69245228680956</v>
      </c>
      <c r="R240" s="152">
        <v>206.81379485405978</v>
      </c>
      <c r="S240" s="152">
        <v>188.15663041448349</v>
      </c>
      <c r="T240" s="152">
        <v>197.02406434576378</v>
      </c>
      <c r="U240" s="152">
        <v>203.86528191209533</v>
      </c>
      <c r="V240" s="152">
        <v>224.06463908780137</v>
      </c>
      <c r="W240" s="152">
        <v>210.2687593999147</v>
      </c>
      <c r="X240" s="152">
        <v>202.05649409682459</v>
      </c>
      <c r="Y240" s="152">
        <v>210.86492691625281</v>
      </c>
      <c r="DA240" s="174" t="s">
        <v>947</v>
      </c>
    </row>
    <row r="241" spans="1:105" ht="11.45" customHeight="1" x14ac:dyDescent="0.25">
      <c r="A241" s="111" t="s">
        <v>110</v>
      </c>
      <c r="B241" s="87">
        <v>201.6250054269702</v>
      </c>
      <c r="C241" s="87">
        <v>200.52734069489858</v>
      </c>
      <c r="D241" s="87">
        <v>199.31472043771447</v>
      </c>
      <c r="E241" s="87">
        <v>196.8199489452966</v>
      </c>
      <c r="F241" s="87">
        <v>196.54738751134241</v>
      </c>
      <c r="G241" s="87">
        <v>193.89964786721552</v>
      </c>
      <c r="H241" s="87">
        <v>189.98922566170893</v>
      </c>
      <c r="I241" s="87">
        <v>187.20242406148301</v>
      </c>
      <c r="J241" s="87">
        <v>178.11333461084601</v>
      </c>
      <c r="K241" s="87">
        <v>168.30946670585965</v>
      </c>
      <c r="L241" s="87">
        <v>162.18795939837742</v>
      </c>
      <c r="M241" s="87">
        <v>160.65012405359121</v>
      </c>
      <c r="N241" s="87">
        <v>157.09405817889586</v>
      </c>
      <c r="O241" s="87">
        <v>156.51439365944324</v>
      </c>
      <c r="P241" s="87">
        <v>159.72305145956395</v>
      </c>
      <c r="Q241" s="87">
        <v>154.51222504096734</v>
      </c>
      <c r="R241" s="87">
        <v>184.38181815968994</v>
      </c>
      <c r="S241" s="87">
        <v>150.7958429993391</v>
      </c>
      <c r="T241" s="87">
        <v>156.53685973687016</v>
      </c>
      <c r="U241" s="87">
        <v>172.82003332716161</v>
      </c>
      <c r="V241" s="87">
        <v>154.71821346271699</v>
      </c>
      <c r="W241" s="87">
        <v>151.17816260639859</v>
      </c>
      <c r="X241" s="87">
        <v>148.6608720433172</v>
      </c>
      <c r="Y241" s="87">
        <v>173.289088863892</v>
      </c>
      <c r="DA241" s="171" t="s">
        <v>948</v>
      </c>
    </row>
    <row r="242" spans="1:105" ht="11.45" customHeight="1" x14ac:dyDescent="0.25">
      <c r="A242" s="111" t="s">
        <v>111</v>
      </c>
      <c r="B242" s="87">
        <v>266.11016977415835</v>
      </c>
      <c r="C242" s="87">
        <v>265.97796255920554</v>
      </c>
      <c r="D242" s="87">
        <v>265.83114268716787</v>
      </c>
      <c r="E242" s="87">
        <v>266.43677465932319</v>
      </c>
      <c r="F242" s="87">
        <v>264.67952431587247</v>
      </c>
      <c r="G242" s="87">
        <v>265.46868112807488</v>
      </c>
      <c r="H242" s="87">
        <v>267.17087401951142</v>
      </c>
      <c r="I242" s="87">
        <v>264.71164116288082</v>
      </c>
      <c r="J242" s="87">
        <v>252.76876219681833</v>
      </c>
      <c r="K242" s="87">
        <v>242.83548022927107</v>
      </c>
      <c r="L242" s="87">
        <v>233.50783023387919</v>
      </c>
      <c r="M242" s="87">
        <v>229.76433577561693</v>
      </c>
      <c r="N242" s="87">
        <v>223.87807436597106</v>
      </c>
      <c r="O242" s="87">
        <v>220.88085791279627</v>
      </c>
      <c r="P242" s="87">
        <v>207.90638152259231</v>
      </c>
      <c r="Q242" s="87">
        <v>219.69792576907554</v>
      </c>
      <c r="R242" s="87">
        <v>213.54173920398887</v>
      </c>
      <c r="S242" s="87">
        <v>202.87614141649962</v>
      </c>
      <c r="T242" s="87">
        <v>213.99796382377829</v>
      </c>
      <c r="U242" s="87">
        <v>208.1595733556415</v>
      </c>
      <c r="V242" s="87">
        <v>237.1313244085201</v>
      </c>
      <c r="W242" s="87">
        <v>222.65143990218701</v>
      </c>
      <c r="X242" s="87">
        <v>215.2702583568018</v>
      </c>
      <c r="Y242" s="87">
        <v>221.39875069035779</v>
      </c>
      <c r="DA242" s="171" t="s">
        <v>949</v>
      </c>
    </row>
    <row r="243" spans="1:105" ht="11.45" customHeight="1" x14ac:dyDescent="0.25">
      <c r="A243" s="111" t="s">
        <v>112</v>
      </c>
      <c r="B243" s="87">
        <v>0</v>
      </c>
      <c r="C243" s="87">
        <v>187.86903198202427</v>
      </c>
      <c r="D243" s="87">
        <v>187.76532825044424</v>
      </c>
      <c r="E243" s="87">
        <v>188.19310614321179</v>
      </c>
      <c r="F243" s="87">
        <v>186.9519021058635</v>
      </c>
      <c r="G243" s="87">
        <v>187.50930966310614</v>
      </c>
      <c r="H243" s="87">
        <v>188.71162480111192</v>
      </c>
      <c r="I243" s="87">
        <v>186.97458729714677</v>
      </c>
      <c r="J243" s="87">
        <v>178.53893688143532</v>
      </c>
      <c r="K243" s="87">
        <v>171.52273129172522</v>
      </c>
      <c r="L243" s="87">
        <v>164.93430359478268</v>
      </c>
      <c r="M243" s="87">
        <v>163.29993838451321</v>
      </c>
      <c r="N243" s="87">
        <v>163.85351649071893</v>
      </c>
      <c r="O243" s="87">
        <v>156.51546750244842</v>
      </c>
      <c r="P243" s="87">
        <v>149.90631160251831</v>
      </c>
      <c r="Q243" s="87">
        <v>174.75773754627636</v>
      </c>
      <c r="R243" s="87">
        <v>150.09319323081661</v>
      </c>
      <c r="S243" s="87">
        <v>146.0533721460676</v>
      </c>
      <c r="T243" s="87">
        <v>145.86808416613346</v>
      </c>
      <c r="U243" s="87">
        <v>146.3488372093023</v>
      </c>
      <c r="V243" s="87">
        <v>155.51246279283831</v>
      </c>
      <c r="W243" s="87">
        <v>153.6</v>
      </c>
      <c r="X243" s="87">
        <v>189.33653846153851</v>
      </c>
      <c r="Y243" s="87">
        <v>201.47321428571431</v>
      </c>
      <c r="DA243" s="171" t="s">
        <v>950</v>
      </c>
    </row>
    <row r="244" spans="1:105" ht="11.45" customHeight="1" x14ac:dyDescent="0.25">
      <c r="A244" s="111" t="s">
        <v>113</v>
      </c>
      <c r="B244" s="87">
        <v>0</v>
      </c>
      <c r="C244" s="87">
        <v>0</v>
      </c>
      <c r="D244" s="87">
        <v>0</v>
      </c>
      <c r="E244" s="87">
        <v>0</v>
      </c>
      <c r="F244" s="87">
        <v>0</v>
      </c>
      <c r="G244" s="87">
        <v>0</v>
      </c>
      <c r="H244" s="87">
        <v>0</v>
      </c>
      <c r="I244" s="87">
        <v>0</v>
      </c>
      <c r="J244" s="87">
        <v>0</v>
      </c>
      <c r="K244" s="87">
        <v>0</v>
      </c>
      <c r="L244" s="87">
        <v>0</v>
      </c>
      <c r="M244" s="87">
        <v>0</v>
      </c>
      <c r="N244" s="87">
        <v>0</v>
      </c>
      <c r="O244" s="87">
        <v>0</v>
      </c>
      <c r="P244" s="87">
        <v>0</v>
      </c>
      <c r="Q244" s="87">
        <v>184.1477021496782</v>
      </c>
      <c r="R244" s="87">
        <v>194.42607836680938</v>
      </c>
      <c r="S244" s="87">
        <v>169.24013359047933</v>
      </c>
      <c r="T244" s="87">
        <v>203.26862034902865</v>
      </c>
      <c r="U244" s="87">
        <v>139</v>
      </c>
      <c r="V244" s="87">
        <v>179.03612230561609</v>
      </c>
      <c r="W244" s="87">
        <v>171.4814814814815</v>
      </c>
      <c r="X244" s="87">
        <v>229.52941176470591</v>
      </c>
      <c r="Y244" s="87">
        <v>139.53125</v>
      </c>
      <c r="DA244" s="171" t="s">
        <v>951</v>
      </c>
    </row>
    <row r="245" spans="1:105" ht="11.45" customHeight="1" x14ac:dyDescent="0.25">
      <c r="A245" s="111" t="s">
        <v>115</v>
      </c>
      <c r="B245" s="87">
        <v>0</v>
      </c>
      <c r="C245" s="87">
        <v>0</v>
      </c>
      <c r="D245" s="87">
        <v>0</v>
      </c>
      <c r="E245" s="87">
        <v>0</v>
      </c>
      <c r="F245" s="87">
        <v>0</v>
      </c>
      <c r="G245" s="87">
        <v>0</v>
      </c>
      <c r="H245" s="87">
        <v>0</v>
      </c>
      <c r="I245" s="87">
        <v>0</v>
      </c>
      <c r="J245" s="87">
        <v>0</v>
      </c>
      <c r="K245" s="87">
        <v>0</v>
      </c>
      <c r="L245" s="87">
        <v>0</v>
      </c>
      <c r="M245" s="87">
        <v>0</v>
      </c>
      <c r="N245" s="87">
        <v>0</v>
      </c>
      <c r="O245" s="87">
        <v>0</v>
      </c>
      <c r="P245" s="87">
        <v>0</v>
      </c>
      <c r="Q245" s="87">
        <v>0</v>
      </c>
      <c r="R245" s="87">
        <v>0</v>
      </c>
      <c r="S245" s="87">
        <v>0</v>
      </c>
      <c r="T245" s="87">
        <v>0</v>
      </c>
      <c r="U245" s="87">
        <v>0</v>
      </c>
      <c r="V245" s="87">
        <v>0</v>
      </c>
      <c r="W245" s="87">
        <v>0</v>
      </c>
      <c r="X245" s="87">
        <v>0</v>
      </c>
      <c r="Y245" s="87">
        <v>0</v>
      </c>
      <c r="DA245" s="171" t="s">
        <v>952</v>
      </c>
    </row>
    <row r="246" spans="1:105" ht="11.45" customHeight="1" x14ac:dyDescent="0.25">
      <c r="A246" s="109" t="s">
        <v>154</v>
      </c>
      <c r="B246" s="116">
        <v>1040.7419809790824</v>
      </c>
      <c r="C246" s="116">
        <v>928.82950482275407</v>
      </c>
      <c r="D246" s="116">
        <v>919.94356044417589</v>
      </c>
      <c r="E246" s="116">
        <v>917.30218608297741</v>
      </c>
      <c r="F246" s="116">
        <v>922.35678384547987</v>
      </c>
      <c r="G246" s="116">
        <v>899.76929687402389</v>
      </c>
      <c r="H246" s="116">
        <v>897.43880347007519</v>
      </c>
      <c r="I246" s="116">
        <v>871.96623718419107</v>
      </c>
      <c r="J246" s="116">
        <v>861.78396437549259</v>
      </c>
      <c r="K246" s="116">
        <v>846.82148913928961</v>
      </c>
      <c r="L246" s="116">
        <v>840.29030421352263</v>
      </c>
      <c r="M246" s="116">
        <v>818.97630067887906</v>
      </c>
      <c r="N246" s="116">
        <v>805.15502523380178</v>
      </c>
      <c r="O246" s="116">
        <v>784.51158038712742</v>
      </c>
      <c r="P246" s="116">
        <v>762.86142438917068</v>
      </c>
      <c r="Q246" s="116">
        <v>744.40433548259216</v>
      </c>
      <c r="R246" s="116">
        <v>724.06297351148078</v>
      </c>
      <c r="S246" s="116">
        <v>709.47418939323563</v>
      </c>
      <c r="T246" s="116">
        <v>680.64120667185182</v>
      </c>
      <c r="U246" s="116">
        <v>670.72370738624841</v>
      </c>
      <c r="V246" s="116">
        <v>661.3381166169313</v>
      </c>
      <c r="W246" s="116">
        <v>651.91602141004535</v>
      </c>
      <c r="X246" s="116">
        <v>646.79450370139762</v>
      </c>
      <c r="Y246" s="116">
        <v>639.56380817657964</v>
      </c>
      <c r="DA246" s="176" t="s">
        <v>953</v>
      </c>
    </row>
    <row r="247" spans="1:105" ht="11.45" customHeight="1" x14ac:dyDescent="0.25">
      <c r="A247" s="128" t="s">
        <v>27</v>
      </c>
      <c r="B247" s="101">
        <v>0</v>
      </c>
      <c r="C247" s="101">
        <v>863.50812849477552</v>
      </c>
      <c r="D247" s="101">
        <v>858.50850499670366</v>
      </c>
      <c r="E247" s="101">
        <v>852.28304313291699</v>
      </c>
      <c r="F247" s="101">
        <v>844.8475619192667</v>
      </c>
      <c r="G247" s="101">
        <v>836.2208216948552</v>
      </c>
      <c r="H247" s="101">
        <v>826.42440713308736</v>
      </c>
      <c r="I247" s="101">
        <v>815.48259428966844</v>
      </c>
      <c r="J247" s="101">
        <v>803.42220318859233</v>
      </c>
      <c r="K247" s="101">
        <v>790.27243756399821</v>
      </c>
      <c r="L247" s="101">
        <v>776.06471352302754</v>
      </c>
      <c r="M247" s="101">
        <v>760.83247892228781</v>
      </c>
      <c r="N247" s="101">
        <v>744.61102531999268</v>
      </c>
      <c r="O247" s="101">
        <v>727.43729438761625</v>
      </c>
      <c r="P247" s="101">
        <v>709.34968062060386</v>
      </c>
      <c r="Q247" s="101">
        <v>690.38783218797494</v>
      </c>
      <c r="R247" s="101">
        <v>668.27828632886553</v>
      </c>
      <c r="S247" s="101">
        <v>652.80160422748907</v>
      </c>
      <c r="T247" s="101">
        <v>636.5510880210436</v>
      </c>
      <c r="U247" s="101">
        <v>616.68934599094382</v>
      </c>
      <c r="V247" s="101">
        <v>616.34010677263927</v>
      </c>
      <c r="W247" s="101">
        <v>602.5506681162301</v>
      </c>
      <c r="X247" s="101">
        <v>599.23099103332572</v>
      </c>
      <c r="Y247" s="101">
        <v>593.2386811229926</v>
      </c>
      <c r="DA247" s="175" t="s">
        <v>954</v>
      </c>
    </row>
    <row r="248" spans="1:105" ht="11.45" customHeight="1" x14ac:dyDescent="0.25">
      <c r="A248" s="138" t="s">
        <v>116</v>
      </c>
      <c r="B248" s="88">
        <v>973.32549638124704</v>
      </c>
      <c r="C248" s="88">
        <v>969.14492535889485</v>
      </c>
      <c r="D248" s="88">
        <v>964.5209027684374</v>
      </c>
      <c r="E248" s="88">
        <v>958.76313394738929</v>
      </c>
      <c r="F248" s="88">
        <v>951.8862494947706</v>
      </c>
      <c r="G248" s="88">
        <v>943.90760036347785</v>
      </c>
      <c r="H248" s="88">
        <v>934.84714966022614</v>
      </c>
      <c r="I248" s="88">
        <v>0</v>
      </c>
      <c r="J248" s="88">
        <v>913.57300557504323</v>
      </c>
      <c r="K248" s="88">
        <v>901.41112711943799</v>
      </c>
      <c r="L248" s="88">
        <v>888.27077026061306</v>
      </c>
      <c r="M248" s="88">
        <v>874.1828700569024</v>
      </c>
      <c r="N248" s="88">
        <v>859.18006675861636</v>
      </c>
      <c r="O248" s="88">
        <v>843.29652676318142</v>
      </c>
      <c r="P248" s="88">
        <v>826.56776014737818</v>
      </c>
      <c r="Q248" s="88">
        <v>809.03043647828326</v>
      </c>
      <c r="R248" s="88">
        <v>786.38779648376408</v>
      </c>
      <c r="S248" s="88">
        <v>770.5379484876006</v>
      </c>
      <c r="T248" s="88">
        <v>0</v>
      </c>
      <c r="U248" s="88">
        <v>733.55496982988586</v>
      </c>
      <c r="V248" s="88">
        <v>721.86280178997254</v>
      </c>
      <c r="W248" s="88">
        <v>718.06378370741038</v>
      </c>
      <c r="X248" s="88">
        <v>714.10770164996393</v>
      </c>
      <c r="Y248" s="88">
        <v>706.96662463346422</v>
      </c>
      <c r="DA248" s="178" t="s">
        <v>955</v>
      </c>
    </row>
  </sheetData>
  <mergeCells count="1">
    <mergeCell ref="B57:V57"/>
  </mergeCells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DA124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1030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DA2" s="171"/>
    </row>
    <row r="3" spans="1:105" ht="11.45" customHeight="1" x14ac:dyDescent="0.25">
      <c r="A3" s="53" t="s">
        <v>17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DA3" s="172"/>
    </row>
    <row r="4" spans="1:105" ht="11.45" customHeight="1" x14ac:dyDescent="0.25">
      <c r="A4" s="27" t="s">
        <v>18</v>
      </c>
      <c r="B4" s="28">
        <f t="shared" ref="B4" si="0">SUM(B5,B6,B9)</f>
        <v>28792</v>
      </c>
      <c r="C4" s="28">
        <f t="shared" ref="C4:V4" si="1">SUM(C5,C6,C9)</f>
        <v>27119</v>
      </c>
      <c r="D4" s="28">
        <f t="shared" si="1"/>
        <v>25369</v>
      </c>
      <c r="E4" s="28">
        <f t="shared" si="1"/>
        <v>24138</v>
      </c>
      <c r="F4" s="28">
        <f t="shared" si="1"/>
        <v>23190</v>
      </c>
      <c r="G4" s="28">
        <f t="shared" si="1"/>
        <v>22557</v>
      </c>
      <c r="H4" s="28">
        <f t="shared" si="1"/>
        <v>23002</v>
      </c>
      <c r="I4" s="28">
        <f t="shared" si="1"/>
        <v>24459</v>
      </c>
      <c r="J4" s="28">
        <f t="shared" si="1"/>
        <v>24795</v>
      </c>
      <c r="K4" s="28">
        <f t="shared" si="1"/>
        <v>22957</v>
      </c>
      <c r="L4" s="28">
        <f t="shared" si="1"/>
        <v>22261</v>
      </c>
      <c r="M4" s="28">
        <f t="shared" si="1"/>
        <v>22580.712781401457</v>
      </c>
      <c r="N4" s="28">
        <f t="shared" si="1"/>
        <v>22218.245206824664</v>
      </c>
      <c r="O4" s="28">
        <f t="shared" si="1"/>
        <v>20897.160900570823</v>
      </c>
      <c r="P4" s="28">
        <f t="shared" si="1"/>
        <v>20252.198951023754</v>
      </c>
      <c r="Q4" s="28">
        <f t="shared" si="1"/>
        <v>21587.398613107649</v>
      </c>
      <c r="R4" s="28">
        <f t="shared" si="1"/>
        <v>23512.342141739358</v>
      </c>
      <c r="S4" s="28">
        <f t="shared" si="1"/>
        <v>24630.427895019093</v>
      </c>
      <c r="T4" s="28">
        <f t="shared" si="1"/>
        <v>25395.274735129806</v>
      </c>
      <c r="U4" s="28">
        <f t="shared" si="1"/>
        <v>26483.819428667895</v>
      </c>
      <c r="V4" s="28">
        <f t="shared" si="1"/>
        <v>15167.574257075739</v>
      </c>
      <c r="W4" s="28">
        <f t="shared" ref="W4:Y4" si="2">SUM(W5,W6,W9)</f>
        <v>18791.651274458163</v>
      </c>
      <c r="X4" s="28">
        <f t="shared" si="2"/>
        <v>27725.980104692102</v>
      </c>
      <c r="Y4" s="28">
        <f t="shared" si="2"/>
        <v>29958.458263265813</v>
      </c>
      <c r="DA4" s="173" t="s">
        <v>376</v>
      </c>
    </row>
    <row r="5" spans="1:105" ht="11.45" customHeight="1" x14ac:dyDescent="0.25">
      <c r="A5" s="107" t="s">
        <v>23</v>
      </c>
      <c r="B5" s="108">
        <v>4700</v>
      </c>
      <c r="C5" s="108">
        <v>4650</v>
      </c>
      <c r="D5" s="108">
        <v>4620</v>
      </c>
      <c r="E5" s="108">
        <v>4500</v>
      </c>
      <c r="F5" s="108">
        <v>4500</v>
      </c>
      <c r="G5" s="108">
        <v>4400</v>
      </c>
      <c r="H5" s="108">
        <v>4450</v>
      </c>
      <c r="I5" s="108">
        <v>4600</v>
      </c>
      <c r="J5" s="108">
        <v>4600</v>
      </c>
      <c r="K5" s="108">
        <v>4320</v>
      </c>
      <c r="L5" s="108">
        <v>4340</v>
      </c>
      <c r="M5" s="108">
        <v>4403.7127814014557</v>
      </c>
      <c r="N5" s="108">
        <v>4392.2452068246657</v>
      </c>
      <c r="O5" s="108">
        <v>4100.1609005708251</v>
      </c>
      <c r="P5" s="108">
        <v>4237.1989510237545</v>
      </c>
      <c r="Q5" s="108">
        <v>4220.3986131076499</v>
      </c>
      <c r="R5" s="108">
        <v>4337.3421417393574</v>
      </c>
      <c r="S5" s="108">
        <v>4311.4278950190928</v>
      </c>
      <c r="T5" s="108">
        <v>4352.2747351298049</v>
      </c>
      <c r="U5" s="108">
        <v>4427.8194286678954</v>
      </c>
      <c r="V5" s="108">
        <v>2610.5742570757402</v>
      </c>
      <c r="W5" s="108">
        <v>2874.6512744581646</v>
      </c>
      <c r="X5" s="108">
        <v>3898.9801046921007</v>
      </c>
      <c r="Y5" s="108">
        <v>4167.4582632658121</v>
      </c>
      <c r="DA5" s="203" t="s">
        <v>377</v>
      </c>
    </row>
    <row r="6" spans="1:105" ht="11.45" customHeight="1" x14ac:dyDescent="0.25">
      <c r="A6" s="109" t="s">
        <v>24</v>
      </c>
      <c r="B6" s="110">
        <f t="shared" ref="B6" si="3">SUM(B7:B8)</f>
        <v>24092</v>
      </c>
      <c r="C6" s="110">
        <f t="shared" ref="C6:V6" si="4">SUM(C7:C8)</f>
        <v>22469</v>
      </c>
      <c r="D6" s="110">
        <f t="shared" si="4"/>
        <v>20749</v>
      </c>
      <c r="E6" s="110">
        <f t="shared" si="4"/>
        <v>19638</v>
      </c>
      <c r="F6" s="110">
        <f t="shared" si="4"/>
        <v>18690</v>
      </c>
      <c r="G6" s="110">
        <f t="shared" si="4"/>
        <v>18157</v>
      </c>
      <c r="H6" s="110">
        <f t="shared" si="4"/>
        <v>18552</v>
      </c>
      <c r="I6" s="110">
        <f t="shared" si="4"/>
        <v>19859</v>
      </c>
      <c r="J6" s="110">
        <f t="shared" si="4"/>
        <v>20195</v>
      </c>
      <c r="K6" s="110">
        <f t="shared" si="4"/>
        <v>18637</v>
      </c>
      <c r="L6" s="110">
        <f t="shared" si="4"/>
        <v>17921</v>
      </c>
      <c r="M6" s="110">
        <f t="shared" si="4"/>
        <v>18177</v>
      </c>
      <c r="N6" s="110">
        <f t="shared" si="4"/>
        <v>17826</v>
      </c>
      <c r="O6" s="110">
        <f t="shared" si="4"/>
        <v>16797</v>
      </c>
      <c r="P6" s="110">
        <f t="shared" si="4"/>
        <v>16015</v>
      </c>
      <c r="Q6" s="110">
        <f t="shared" si="4"/>
        <v>16900</v>
      </c>
      <c r="R6" s="110">
        <f t="shared" si="4"/>
        <v>17739.509999999998</v>
      </c>
      <c r="S6" s="110">
        <f t="shared" si="4"/>
        <v>18879</v>
      </c>
      <c r="T6" s="110">
        <f t="shared" si="4"/>
        <v>19493</v>
      </c>
      <c r="U6" s="110">
        <f t="shared" si="4"/>
        <v>20373</v>
      </c>
      <c r="V6" s="110">
        <f t="shared" si="4"/>
        <v>11799</v>
      </c>
      <c r="W6" s="110">
        <f t="shared" ref="W6:Y6" si="5">SUM(W7:W8)</f>
        <v>14792.7</v>
      </c>
      <c r="X6" s="110">
        <f t="shared" si="5"/>
        <v>22431</v>
      </c>
      <c r="Y6" s="110">
        <f t="shared" si="5"/>
        <v>24170.3</v>
      </c>
      <c r="DA6" s="176" t="s">
        <v>378</v>
      </c>
    </row>
    <row r="7" spans="1:105" ht="11.45" customHeight="1" x14ac:dyDescent="0.25">
      <c r="A7" s="111" t="s">
        <v>90</v>
      </c>
      <c r="B7" s="84">
        <v>4682.1342873511303</v>
      </c>
      <c r="C7" s="84">
        <v>4864.6654765440699</v>
      </c>
      <c r="D7" s="84">
        <v>4321.0161308357383</v>
      </c>
      <c r="E7" s="84">
        <v>4390.6413266675927</v>
      </c>
      <c r="F7" s="84">
        <v>3782.6953541118519</v>
      </c>
      <c r="G7" s="84">
        <v>4260.9905414583218</v>
      </c>
      <c r="H7" s="84">
        <v>3031.8421325378504</v>
      </c>
      <c r="I7" s="84">
        <v>4263.2242465276486</v>
      </c>
      <c r="J7" s="84">
        <v>3307.4968189621586</v>
      </c>
      <c r="K7" s="84">
        <v>3594.4590468244869</v>
      </c>
      <c r="L7" s="84">
        <v>2207.5272459429652</v>
      </c>
      <c r="M7" s="84">
        <v>2332.984734713933</v>
      </c>
      <c r="N7" s="84">
        <v>2330.2237736152661</v>
      </c>
      <c r="O7" s="84">
        <v>2203.1862692102109</v>
      </c>
      <c r="P7" s="84">
        <v>2123.0404899954169</v>
      </c>
      <c r="Q7" s="84">
        <v>2040.2665893668379</v>
      </c>
      <c r="R7" s="84">
        <v>2496.98231765637</v>
      </c>
      <c r="S7" s="84">
        <v>2015.3623082542006</v>
      </c>
      <c r="T7" s="84">
        <v>2149.0751498177501</v>
      </c>
      <c r="U7" s="84">
        <v>1960.9738404165655</v>
      </c>
      <c r="V7" s="84">
        <v>1309.6358003660373</v>
      </c>
      <c r="W7" s="84">
        <v>1225.4053387861911</v>
      </c>
      <c r="X7" s="84">
        <v>1884.7103218217053</v>
      </c>
      <c r="Y7" s="84">
        <v>1914.814465366343</v>
      </c>
      <c r="DA7" s="171" t="s">
        <v>1031</v>
      </c>
    </row>
    <row r="8" spans="1:105" ht="11.45" customHeight="1" x14ac:dyDescent="0.25">
      <c r="A8" s="111" t="s">
        <v>93</v>
      </c>
      <c r="B8" s="84">
        <v>19409.865712648869</v>
      </c>
      <c r="C8" s="84">
        <v>17604.334523455931</v>
      </c>
      <c r="D8" s="84">
        <v>16427.983869164262</v>
      </c>
      <c r="E8" s="84">
        <v>15247.358673332408</v>
      </c>
      <c r="F8" s="84">
        <v>14907.304645888147</v>
      </c>
      <c r="G8" s="84">
        <v>13896.009458541677</v>
      </c>
      <c r="H8" s="84">
        <v>15520.157867462149</v>
      </c>
      <c r="I8" s="84">
        <v>15595.775753472351</v>
      </c>
      <c r="J8" s="84">
        <v>16887.503181037842</v>
      </c>
      <c r="K8" s="84">
        <v>15042.540953175514</v>
      </c>
      <c r="L8" s="84">
        <v>15713.472754057035</v>
      </c>
      <c r="M8" s="84">
        <v>15844.015265286067</v>
      </c>
      <c r="N8" s="84">
        <v>15495.776226384734</v>
      </c>
      <c r="O8" s="84">
        <v>14593.813730789789</v>
      </c>
      <c r="P8" s="84">
        <v>13891.959510004583</v>
      </c>
      <c r="Q8" s="84">
        <v>14859.733410633162</v>
      </c>
      <c r="R8" s="84">
        <v>15242.527682343629</v>
      </c>
      <c r="S8" s="84">
        <v>16863.6376917458</v>
      </c>
      <c r="T8" s="84">
        <v>17343.924850182251</v>
      </c>
      <c r="U8" s="84">
        <v>18412.026159583434</v>
      </c>
      <c r="V8" s="84">
        <v>10489.364199633963</v>
      </c>
      <c r="W8" s="84">
        <v>13567.294661213809</v>
      </c>
      <c r="X8" s="84">
        <v>20546.289678178295</v>
      </c>
      <c r="Y8" s="84">
        <v>22255.485534633655</v>
      </c>
      <c r="DA8" s="171" t="s">
        <v>1032</v>
      </c>
    </row>
    <row r="9" spans="1:105" ht="11.45" customHeight="1" x14ac:dyDescent="0.25">
      <c r="A9" s="112" t="s">
        <v>25</v>
      </c>
      <c r="B9" s="113">
        <v>0</v>
      </c>
      <c r="C9" s="113">
        <v>0</v>
      </c>
      <c r="D9" s="113">
        <v>0</v>
      </c>
      <c r="E9" s="113">
        <v>0</v>
      </c>
      <c r="F9" s="113">
        <v>0</v>
      </c>
      <c r="G9" s="113">
        <v>0</v>
      </c>
      <c r="H9" s="113">
        <v>0</v>
      </c>
      <c r="I9" s="113">
        <v>0</v>
      </c>
      <c r="J9" s="113">
        <v>0</v>
      </c>
      <c r="K9" s="113">
        <v>0</v>
      </c>
      <c r="L9" s="113">
        <v>0</v>
      </c>
      <c r="M9" s="113">
        <v>0</v>
      </c>
      <c r="N9" s="113">
        <v>0</v>
      </c>
      <c r="O9" s="113">
        <v>0</v>
      </c>
      <c r="P9" s="113">
        <v>0</v>
      </c>
      <c r="Q9" s="113">
        <v>467</v>
      </c>
      <c r="R9" s="113">
        <v>1435.49</v>
      </c>
      <c r="S9" s="113">
        <v>1440</v>
      </c>
      <c r="T9" s="113">
        <v>1550</v>
      </c>
      <c r="U9" s="113">
        <v>1683</v>
      </c>
      <c r="V9" s="113">
        <v>758</v>
      </c>
      <c r="W9" s="113">
        <v>1124.3000000000002</v>
      </c>
      <c r="X9" s="113">
        <v>1396</v>
      </c>
      <c r="Y9" s="113">
        <v>1620.7</v>
      </c>
      <c r="DA9" s="204" t="s">
        <v>379</v>
      </c>
    </row>
    <row r="10" spans="1:105" ht="11.45" customHeight="1" x14ac:dyDescent="0.25">
      <c r="A10" s="27" t="s">
        <v>28</v>
      </c>
      <c r="B10" s="28">
        <f t="shared" ref="B10" si="6">SUM(B11:B12)</f>
        <v>54000</v>
      </c>
      <c r="C10" s="28">
        <f t="shared" ref="C10:V10" si="7">SUM(C11:C12)</f>
        <v>47700</v>
      </c>
      <c r="D10" s="28">
        <f t="shared" si="7"/>
        <v>46600</v>
      </c>
      <c r="E10" s="28">
        <f t="shared" si="7"/>
        <v>47407</v>
      </c>
      <c r="F10" s="28">
        <f t="shared" si="7"/>
        <v>52332</v>
      </c>
      <c r="G10" s="28">
        <f t="shared" si="7"/>
        <v>49972</v>
      </c>
      <c r="H10" s="28">
        <f t="shared" si="7"/>
        <v>53622</v>
      </c>
      <c r="I10" s="28">
        <f t="shared" si="7"/>
        <v>54253</v>
      </c>
      <c r="J10" s="28">
        <f t="shared" si="7"/>
        <v>52043</v>
      </c>
      <c r="K10" s="28">
        <f t="shared" si="7"/>
        <v>43445</v>
      </c>
      <c r="L10" s="28">
        <f t="shared" si="7"/>
        <v>48705</v>
      </c>
      <c r="M10" s="28">
        <f t="shared" si="7"/>
        <v>53746</v>
      </c>
      <c r="N10" s="28">
        <f t="shared" si="7"/>
        <v>48903</v>
      </c>
      <c r="O10" s="28">
        <f t="shared" si="7"/>
        <v>50881</v>
      </c>
      <c r="P10" s="28">
        <f t="shared" si="7"/>
        <v>50073</v>
      </c>
      <c r="Q10" s="28">
        <f t="shared" si="7"/>
        <v>50603</v>
      </c>
      <c r="R10" s="28">
        <f t="shared" si="7"/>
        <v>50650</v>
      </c>
      <c r="S10" s="28">
        <f t="shared" si="7"/>
        <v>54797</v>
      </c>
      <c r="T10" s="28">
        <f t="shared" si="7"/>
        <v>59388</v>
      </c>
      <c r="U10" s="28">
        <f t="shared" si="7"/>
        <v>54584</v>
      </c>
      <c r="V10" s="28">
        <f t="shared" si="7"/>
        <v>51096</v>
      </c>
      <c r="W10" s="28">
        <f t="shared" ref="W10:Y10" si="8">SUM(W11:W12)</f>
        <v>54387</v>
      </c>
      <c r="X10" s="28">
        <f t="shared" si="8"/>
        <v>59306</v>
      </c>
      <c r="Y10" s="28">
        <f t="shared" si="8"/>
        <v>61085</v>
      </c>
      <c r="DA10" s="173" t="s">
        <v>384</v>
      </c>
    </row>
    <row r="11" spans="1:105" ht="11.45" customHeight="1" x14ac:dyDescent="0.25">
      <c r="A11" s="83" t="s">
        <v>90</v>
      </c>
      <c r="B11" s="84">
        <v>7322.4506315452199</v>
      </c>
      <c r="C11" s="84">
        <v>6575.6641124354364</v>
      </c>
      <c r="D11" s="84">
        <v>6898.2986611952329</v>
      </c>
      <c r="E11" s="84">
        <v>8489.046436418701</v>
      </c>
      <c r="F11" s="84">
        <v>12057.69256296532</v>
      </c>
      <c r="G11" s="84">
        <v>11192.382899917831</v>
      </c>
      <c r="H11" s="84">
        <v>14811.645989587725</v>
      </c>
      <c r="I11" s="84">
        <v>12620.767360255371</v>
      </c>
      <c r="J11" s="84">
        <v>12137.29828136882</v>
      </c>
      <c r="K11" s="84">
        <v>11235.977649515471</v>
      </c>
      <c r="L11" s="84">
        <v>13846.621824126421</v>
      </c>
      <c r="M11" s="84">
        <v>15083.041134850166</v>
      </c>
      <c r="N11" s="84">
        <v>13093.817896003526</v>
      </c>
      <c r="O11" s="84">
        <v>13979.453466400306</v>
      </c>
      <c r="P11" s="84">
        <v>12858.772109110236</v>
      </c>
      <c r="Q11" s="84">
        <v>14154.671023759844</v>
      </c>
      <c r="R11" s="84">
        <v>14261.070301239979</v>
      </c>
      <c r="S11" s="84">
        <v>15301.875368741777</v>
      </c>
      <c r="T11" s="84">
        <v>17371.242057884174</v>
      </c>
      <c r="U11" s="84">
        <v>16561.803911360905</v>
      </c>
      <c r="V11" s="84">
        <v>16641.330269847298</v>
      </c>
      <c r="W11" s="84">
        <v>18658.742596539276</v>
      </c>
      <c r="X11" s="84">
        <v>18399.034008755356</v>
      </c>
      <c r="Y11" s="84">
        <v>20471.864379132559</v>
      </c>
      <c r="DA11" s="171" t="s">
        <v>1033</v>
      </c>
    </row>
    <row r="12" spans="1:105" ht="11.45" customHeight="1" x14ac:dyDescent="0.25">
      <c r="A12" s="85" t="s">
        <v>93</v>
      </c>
      <c r="B12" s="86">
        <v>46677.549368454784</v>
      </c>
      <c r="C12" s="86">
        <v>41124.335887564564</v>
      </c>
      <c r="D12" s="86">
        <v>39701.701338804764</v>
      </c>
      <c r="E12" s="86">
        <v>38917.953563581301</v>
      </c>
      <c r="F12" s="86">
        <v>40274.30743703468</v>
      </c>
      <c r="G12" s="86">
        <v>38779.617100082171</v>
      </c>
      <c r="H12" s="86">
        <v>38810.354010412273</v>
      </c>
      <c r="I12" s="86">
        <v>41632.23263974463</v>
      </c>
      <c r="J12" s="86">
        <v>39905.701718631179</v>
      </c>
      <c r="K12" s="86">
        <v>32209.022350484527</v>
      </c>
      <c r="L12" s="86">
        <v>34858.378175873579</v>
      </c>
      <c r="M12" s="86">
        <v>38662.958865149834</v>
      </c>
      <c r="N12" s="86">
        <v>35809.182103996471</v>
      </c>
      <c r="O12" s="86">
        <v>36901.546533599692</v>
      </c>
      <c r="P12" s="86">
        <v>37214.227890889764</v>
      </c>
      <c r="Q12" s="86">
        <v>36448.328976240155</v>
      </c>
      <c r="R12" s="86">
        <v>36388.929698760025</v>
      </c>
      <c r="S12" s="86">
        <v>39495.124631258223</v>
      </c>
      <c r="T12" s="86">
        <v>42016.75794211583</v>
      </c>
      <c r="U12" s="86">
        <v>38022.196088639095</v>
      </c>
      <c r="V12" s="86">
        <v>34454.669730152702</v>
      </c>
      <c r="W12" s="86">
        <v>35728.257403460724</v>
      </c>
      <c r="X12" s="86">
        <v>40906.965991244644</v>
      </c>
      <c r="Y12" s="86">
        <v>40613.135620867441</v>
      </c>
      <c r="DA12" s="178" t="s">
        <v>1034</v>
      </c>
    </row>
    <row r="13" spans="1:105" x14ac:dyDescent="0.25">
      <c r="A13" s="106"/>
      <c r="B13" s="106"/>
      <c r="C13" s="106"/>
      <c r="D13" s="106"/>
      <c r="E13" s="106"/>
      <c r="F13" s="106"/>
      <c r="G13" s="106"/>
      <c r="H13" s="106"/>
      <c r="I13" s="106"/>
      <c r="J13" s="106"/>
      <c r="K13" s="106"/>
      <c r="L13" s="114"/>
      <c r="M13" s="106"/>
      <c r="N13" s="106"/>
      <c r="O13" s="106"/>
      <c r="P13" s="106"/>
      <c r="Q13" s="106"/>
      <c r="R13" s="106"/>
      <c r="S13" s="106"/>
      <c r="T13" s="106"/>
      <c r="U13" s="106"/>
      <c r="V13" s="106"/>
      <c r="W13" s="106"/>
      <c r="X13" s="106"/>
      <c r="Y13" s="106"/>
      <c r="DA13" s="171"/>
    </row>
    <row r="14" spans="1:105" ht="11.45" customHeight="1" x14ac:dyDescent="0.25">
      <c r="A14" s="53" t="s">
        <v>64</v>
      </c>
      <c r="B14" s="62">
        <f t="shared" ref="B14" si="9">B15+B21</f>
        <v>279.89485509265512</v>
      </c>
      <c r="C14" s="62">
        <f t="shared" ref="C14:V14" si="10">C15+C21</f>
        <v>283.87287301802064</v>
      </c>
      <c r="D14" s="62">
        <f t="shared" si="10"/>
        <v>289.53373656693691</v>
      </c>
      <c r="E14" s="62">
        <f t="shared" si="10"/>
        <v>299.14161562981843</v>
      </c>
      <c r="F14" s="62">
        <f t="shared" si="10"/>
        <v>289.41949142980411</v>
      </c>
      <c r="G14" s="62">
        <f t="shared" si="10"/>
        <v>277.74040973600745</v>
      </c>
      <c r="H14" s="62">
        <f t="shared" si="10"/>
        <v>261.8181445464985</v>
      </c>
      <c r="I14" s="62">
        <f t="shared" si="10"/>
        <v>277.36646181913704</v>
      </c>
      <c r="J14" s="62">
        <f t="shared" si="10"/>
        <v>270.72375853755261</v>
      </c>
      <c r="K14" s="62">
        <f t="shared" si="10"/>
        <v>255.9875824116242</v>
      </c>
      <c r="L14" s="62">
        <f t="shared" si="10"/>
        <v>258.44462924428672</v>
      </c>
      <c r="M14" s="62">
        <f t="shared" si="10"/>
        <v>260.83520186536521</v>
      </c>
      <c r="N14" s="62">
        <f t="shared" si="10"/>
        <v>258.20036393714429</v>
      </c>
      <c r="O14" s="62">
        <f t="shared" si="10"/>
        <v>254.03140477256864</v>
      </c>
      <c r="P14" s="62">
        <f t="shared" si="10"/>
        <v>249.54306125163077</v>
      </c>
      <c r="Q14" s="62">
        <f t="shared" si="10"/>
        <v>257.24261462778986</v>
      </c>
      <c r="R14" s="62">
        <f t="shared" si="10"/>
        <v>272.0980152355196</v>
      </c>
      <c r="S14" s="62">
        <f t="shared" si="10"/>
        <v>280.75143082984533</v>
      </c>
      <c r="T14" s="62">
        <f t="shared" si="10"/>
        <v>299.57490589733425</v>
      </c>
      <c r="U14" s="62">
        <f t="shared" si="10"/>
        <v>289.70036742341824</v>
      </c>
      <c r="V14" s="62">
        <f t="shared" si="10"/>
        <v>270.33212305461541</v>
      </c>
      <c r="W14" s="62">
        <f t="shared" ref="W14:Y14" si="11">W15+W21</f>
        <v>294.57310382651474</v>
      </c>
      <c r="X14" s="62">
        <f t="shared" si="11"/>
        <v>304.64385997670468</v>
      </c>
      <c r="Y14" s="62">
        <f t="shared" si="11"/>
        <v>302.36051644801677</v>
      </c>
      <c r="DA14" s="172" t="s">
        <v>1035</v>
      </c>
    </row>
    <row r="15" spans="1:105" ht="11.45" customHeight="1" x14ac:dyDescent="0.25">
      <c r="A15" s="27" t="s">
        <v>33</v>
      </c>
      <c r="B15" s="29">
        <f t="shared" ref="B15" si="12">SUM(B16,B17,B20)</f>
        <v>190.96992537435918</v>
      </c>
      <c r="C15" s="29">
        <f t="shared" ref="C15:V15" si="13">SUM(C16,C17,C20)</f>
        <v>203.60230078778943</v>
      </c>
      <c r="D15" s="29">
        <f t="shared" si="13"/>
        <v>212.89339414132857</v>
      </c>
      <c r="E15" s="29">
        <f t="shared" si="13"/>
        <v>218.12013539611985</v>
      </c>
      <c r="F15" s="29">
        <f t="shared" si="13"/>
        <v>204.9222542023399</v>
      </c>
      <c r="G15" s="29">
        <f t="shared" si="13"/>
        <v>199.34471487354716</v>
      </c>
      <c r="H15" s="29">
        <f t="shared" si="13"/>
        <v>177.99349854341591</v>
      </c>
      <c r="I15" s="29">
        <f t="shared" si="13"/>
        <v>193.47809940134309</v>
      </c>
      <c r="J15" s="29">
        <f t="shared" si="13"/>
        <v>189.85524054714409</v>
      </c>
      <c r="K15" s="29">
        <f t="shared" si="13"/>
        <v>189.93488434827779</v>
      </c>
      <c r="L15" s="29">
        <f t="shared" si="13"/>
        <v>185.40402781065143</v>
      </c>
      <c r="M15" s="29">
        <f t="shared" si="13"/>
        <v>181.966710545176</v>
      </c>
      <c r="N15" s="29">
        <f t="shared" si="13"/>
        <v>188.0522490878592</v>
      </c>
      <c r="O15" s="29">
        <f t="shared" si="13"/>
        <v>184.3403287414805</v>
      </c>
      <c r="P15" s="29">
        <f t="shared" si="13"/>
        <v>182.71057739106701</v>
      </c>
      <c r="Q15" s="29">
        <f t="shared" si="13"/>
        <v>191.44065948600351</v>
      </c>
      <c r="R15" s="29">
        <f t="shared" si="13"/>
        <v>207.65622079680028</v>
      </c>
      <c r="S15" s="29">
        <f t="shared" si="13"/>
        <v>212.81346058377906</v>
      </c>
      <c r="T15" s="29">
        <f t="shared" si="13"/>
        <v>226.64782969659865</v>
      </c>
      <c r="U15" s="29">
        <f t="shared" si="13"/>
        <v>222.31381576134473</v>
      </c>
      <c r="V15" s="29">
        <f t="shared" si="13"/>
        <v>207.35122589766988</v>
      </c>
      <c r="W15" s="29">
        <f t="shared" ref="W15:Y15" si="14">SUM(W16,W17,W20)</f>
        <v>227.75729993139811</v>
      </c>
      <c r="X15" s="29">
        <f t="shared" si="14"/>
        <v>241.49981815580333</v>
      </c>
      <c r="Y15" s="29">
        <f t="shared" si="14"/>
        <v>243.09224647637711</v>
      </c>
      <c r="DA15" s="173" t="s">
        <v>1036</v>
      </c>
    </row>
    <row r="16" spans="1:105" ht="11.45" customHeight="1" x14ac:dyDescent="0.25">
      <c r="A16" s="107" t="s">
        <v>23</v>
      </c>
      <c r="B16" s="115">
        <v>57.297490034337493</v>
      </c>
      <c r="C16" s="115">
        <v>57.157085311504069</v>
      </c>
      <c r="D16" s="115">
        <v>57.932357053670849</v>
      </c>
      <c r="E16" s="115">
        <v>56.64860399939046</v>
      </c>
      <c r="F16" s="115">
        <v>55.818594776397717</v>
      </c>
      <c r="G16" s="115">
        <v>54.028728194607588</v>
      </c>
      <c r="H16" s="115">
        <v>55.155819535281481</v>
      </c>
      <c r="I16" s="115">
        <v>55.877813452192129</v>
      </c>
      <c r="J16" s="115">
        <v>55.738693140578839</v>
      </c>
      <c r="K16" s="115">
        <v>53.232196324024834</v>
      </c>
      <c r="L16" s="115">
        <v>54.337939978050642</v>
      </c>
      <c r="M16" s="115">
        <v>54.439450874790879</v>
      </c>
      <c r="N16" s="115">
        <v>55.192892282407513</v>
      </c>
      <c r="O16" s="115">
        <v>51.647005193311863</v>
      </c>
      <c r="P16" s="115">
        <v>53.637808883308928</v>
      </c>
      <c r="Q16" s="115">
        <v>53.167725804433594</v>
      </c>
      <c r="R16" s="115">
        <v>54.78320900669479</v>
      </c>
      <c r="S16" s="115">
        <v>53.945516862487409</v>
      </c>
      <c r="T16" s="115">
        <v>54.216870160387309</v>
      </c>
      <c r="U16" s="115">
        <v>54.891697800218296</v>
      </c>
      <c r="V16" s="115">
        <v>53.327897004260429</v>
      </c>
      <c r="W16" s="115">
        <v>51.481969600184051</v>
      </c>
      <c r="X16" s="115">
        <v>48.737933129712928</v>
      </c>
      <c r="Y16" s="115">
        <v>49.540307982276495</v>
      </c>
      <c r="DA16" s="203" t="s">
        <v>1037</v>
      </c>
    </row>
    <row r="17" spans="1:105" ht="11.45" customHeight="1" x14ac:dyDescent="0.25">
      <c r="A17" s="109" t="s">
        <v>24</v>
      </c>
      <c r="B17" s="116">
        <f t="shared" ref="B17" si="15">SUM(B18:B19)</f>
        <v>133.67243534002168</v>
      </c>
      <c r="C17" s="116">
        <f t="shared" ref="C17:V17" si="16">SUM(C18:C19)</f>
        <v>146.44521547628537</v>
      </c>
      <c r="D17" s="116">
        <f t="shared" si="16"/>
        <v>154.96103708765773</v>
      </c>
      <c r="E17" s="116">
        <f t="shared" si="16"/>
        <v>161.47153139672938</v>
      </c>
      <c r="F17" s="116">
        <f t="shared" si="16"/>
        <v>149.10365942594217</v>
      </c>
      <c r="G17" s="116">
        <f t="shared" si="16"/>
        <v>145.31598667893957</v>
      </c>
      <c r="H17" s="116">
        <f t="shared" si="16"/>
        <v>122.83767900813442</v>
      </c>
      <c r="I17" s="116">
        <f t="shared" si="16"/>
        <v>137.60028594915096</v>
      </c>
      <c r="J17" s="116">
        <f t="shared" si="16"/>
        <v>134.11654740656525</v>
      </c>
      <c r="K17" s="116">
        <f t="shared" si="16"/>
        <v>136.70268802425295</v>
      </c>
      <c r="L17" s="116">
        <f t="shared" si="16"/>
        <v>131.06608783260077</v>
      </c>
      <c r="M17" s="116">
        <f t="shared" si="16"/>
        <v>127.52725967038511</v>
      </c>
      <c r="N17" s="116">
        <f t="shared" si="16"/>
        <v>132.85935680545168</v>
      </c>
      <c r="O17" s="116">
        <f t="shared" si="16"/>
        <v>132.69332354816865</v>
      </c>
      <c r="P17" s="116">
        <f t="shared" si="16"/>
        <v>129.07276850775807</v>
      </c>
      <c r="Q17" s="116">
        <f t="shared" si="16"/>
        <v>136.76227735245601</v>
      </c>
      <c r="R17" s="116">
        <f t="shared" si="16"/>
        <v>148.41856887679199</v>
      </c>
      <c r="S17" s="116">
        <f t="shared" si="16"/>
        <v>154.6289317221337</v>
      </c>
      <c r="T17" s="116">
        <f t="shared" si="16"/>
        <v>168.06549457338903</v>
      </c>
      <c r="U17" s="116">
        <f t="shared" si="16"/>
        <v>162.71735085776541</v>
      </c>
      <c r="V17" s="116">
        <f t="shared" si="16"/>
        <v>149.60565365148435</v>
      </c>
      <c r="W17" s="116">
        <f t="shared" ref="W17:Y17" si="17">SUM(W18:W19)</f>
        <v>171.75873477620826</v>
      </c>
      <c r="X17" s="116">
        <f t="shared" si="17"/>
        <v>188.41697908623118</v>
      </c>
      <c r="Y17" s="116">
        <f t="shared" si="17"/>
        <v>189.23581885194594</v>
      </c>
      <c r="DA17" s="176" t="s">
        <v>1038</v>
      </c>
    </row>
    <row r="18" spans="1:105" ht="11.45" customHeight="1" x14ac:dyDescent="0.25">
      <c r="A18" s="111" t="s">
        <v>92</v>
      </c>
      <c r="B18" s="87">
        <v>37.650404498080924</v>
      </c>
      <c r="C18" s="87">
        <v>39.018018737581919</v>
      </c>
      <c r="D18" s="87">
        <v>37.354091795466637</v>
      </c>
      <c r="E18" s="87">
        <v>41.366857007291074</v>
      </c>
      <c r="F18" s="87">
        <v>34.429200241826337</v>
      </c>
      <c r="G18" s="87">
        <v>37.668196170401629</v>
      </c>
      <c r="H18" s="87">
        <v>25.503137944136853</v>
      </c>
      <c r="I18" s="87">
        <v>33.754808703256373</v>
      </c>
      <c r="J18" s="87">
        <v>27.365427170913225</v>
      </c>
      <c r="K18" s="87">
        <v>30.119849246497392</v>
      </c>
      <c r="L18" s="87">
        <v>18.738219156289389</v>
      </c>
      <c r="M18" s="87">
        <v>19.198888459351</v>
      </c>
      <c r="N18" s="87">
        <v>20.718265048812963</v>
      </c>
      <c r="O18" s="87">
        <v>19.322680119663595</v>
      </c>
      <c r="P18" s="87">
        <v>18.046841229639575</v>
      </c>
      <c r="Q18" s="87">
        <v>14.407700383497287</v>
      </c>
      <c r="R18" s="87">
        <v>16.722637427813023</v>
      </c>
      <c r="S18" s="87">
        <v>15.19873567384492</v>
      </c>
      <c r="T18" s="87">
        <v>20.12136473491719</v>
      </c>
      <c r="U18" s="87">
        <v>13.924917637878281</v>
      </c>
      <c r="V18" s="87">
        <v>13.299604551535321</v>
      </c>
      <c r="W18" s="87">
        <v>9.8052620133587105</v>
      </c>
      <c r="X18" s="87">
        <v>15.081868999693569</v>
      </c>
      <c r="Y18" s="87">
        <v>11.10868517932127</v>
      </c>
      <c r="DA18" s="171" t="s">
        <v>1039</v>
      </c>
    </row>
    <row r="19" spans="1:105" ht="11.45" customHeight="1" x14ac:dyDescent="0.25">
      <c r="A19" s="111" t="s">
        <v>93</v>
      </c>
      <c r="B19" s="87">
        <v>96.022030841940762</v>
      </c>
      <c r="C19" s="87">
        <v>107.42719673870346</v>
      </c>
      <c r="D19" s="87">
        <v>117.60694529219109</v>
      </c>
      <c r="E19" s="87">
        <v>120.1046743894383</v>
      </c>
      <c r="F19" s="87">
        <v>114.67445918411585</v>
      </c>
      <c r="G19" s="87">
        <v>107.64779050853792</v>
      </c>
      <c r="H19" s="87">
        <v>97.334541063997563</v>
      </c>
      <c r="I19" s="87">
        <v>103.84547724589459</v>
      </c>
      <c r="J19" s="87">
        <v>106.75112023565201</v>
      </c>
      <c r="K19" s="87">
        <v>106.58283877775555</v>
      </c>
      <c r="L19" s="87">
        <v>112.32786867631138</v>
      </c>
      <c r="M19" s="87">
        <v>108.32837121103411</v>
      </c>
      <c r="N19" s="87">
        <v>112.14109175663873</v>
      </c>
      <c r="O19" s="87">
        <v>113.37064342850505</v>
      </c>
      <c r="P19" s="87">
        <v>111.0259272781185</v>
      </c>
      <c r="Q19" s="87">
        <v>122.35457696895872</v>
      </c>
      <c r="R19" s="87">
        <v>131.69593144897897</v>
      </c>
      <c r="S19" s="87">
        <v>139.43019604828879</v>
      </c>
      <c r="T19" s="87">
        <v>147.94412983847184</v>
      </c>
      <c r="U19" s="87">
        <v>148.79243321988713</v>
      </c>
      <c r="V19" s="87">
        <v>136.30604909994904</v>
      </c>
      <c r="W19" s="87">
        <v>161.95347276284954</v>
      </c>
      <c r="X19" s="87">
        <v>173.33511008653761</v>
      </c>
      <c r="Y19" s="87">
        <v>178.12713367262467</v>
      </c>
      <c r="DA19" s="171" t="s">
        <v>1040</v>
      </c>
    </row>
    <row r="20" spans="1:105" ht="11.45" customHeight="1" x14ac:dyDescent="0.25">
      <c r="A20" s="112" t="s">
        <v>25</v>
      </c>
      <c r="B20" s="117">
        <v>0</v>
      </c>
      <c r="C20" s="117">
        <v>0</v>
      </c>
      <c r="D20" s="117">
        <v>0</v>
      </c>
      <c r="E20" s="117">
        <v>0</v>
      </c>
      <c r="F20" s="117">
        <v>0</v>
      </c>
      <c r="G20" s="117">
        <v>0</v>
      </c>
      <c r="H20" s="117">
        <v>0</v>
      </c>
      <c r="I20" s="117">
        <v>0</v>
      </c>
      <c r="J20" s="117">
        <v>0</v>
      </c>
      <c r="K20" s="117">
        <v>0</v>
      </c>
      <c r="L20" s="117">
        <v>0</v>
      </c>
      <c r="M20" s="117">
        <v>0</v>
      </c>
      <c r="N20" s="117">
        <v>0</v>
      </c>
      <c r="O20" s="117">
        <v>0</v>
      </c>
      <c r="P20" s="117">
        <v>0</v>
      </c>
      <c r="Q20" s="117">
        <v>1.5106563291139239</v>
      </c>
      <c r="R20" s="117">
        <v>4.45444291331349</v>
      </c>
      <c r="S20" s="117">
        <v>4.2390119991579542</v>
      </c>
      <c r="T20" s="117">
        <v>4.3654649628222879</v>
      </c>
      <c r="U20" s="117">
        <v>4.7047671033610401</v>
      </c>
      <c r="V20" s="117">
        <v>4.4176752419251173</v>
      </c>
      <c r="W20" s="117">
        <v>4.5165955550058143</v>
      </c>
      <c r="X20" s="117">
        <v>4.3449059398592285</v>
      </c>
      <c r="Y20" s="117">
        <v>4.3161196421546917</v>
      </c>
      <c r="DA20" s="204" t="s">
        <v>1041</v>
      </c>
    </row>
    <row r="21" spans="1:105" ht="11.45" customHeight="1" x14ac:dyDescent="0.25">
      <c r="A21" s="27" t="s">
        <v>34</v>
      </c>
      <c r="B21" s="29">
        <f t="shared" ref="B21" si="18">SUM(B22:B23)</f>
        <v>88.924929718295957</v>
      </c>
      <c r="C21" s="29">
        <f t="shared" ref="C21:V21" si="19">SUM(C22:C23)</f>
        <v>80.27057223023121</v>
      </c>
      <c r="D21" s="29">
        <f t="shared" si="19"/>
        <v>76.640342425608338</v>
      </c>
      <c r="E21" s="29">
        <f t="shared" si="19"/>
        <v>81.021480233698583</v>
      </c>
      <c r="F21" s="29">
        <f t="shared" si="19"/>
        <v>84.497237227464183</v>
      </c>
      <c r="G21" s="29">
        <f t="shared" si="19"/>
        <v>78.395694862460289</v>
      </c>
      <c r="H21" s="29">
        <f t="shared" si="19"/>
        <v>83.824646003082563</v>
      </c>
      <c r="I21" s="29">
        <f t="shared" si="19"/>
        <v>83.888362417793942</v>
      </c>
      <c r="J21" s="29">
        <f t="shared" si="19"/>
        <v>80.868517990408549</v>
      </c>
      <c r="K21" s="29">
        <f t="shared" si="19"/>
        <v>66.052698063346412</v>
      </c>
      <c r="L21" s="29">
        <f t="shared" si="19"/>
        <v>73.040601433635288</v>
      </c>
      <c r="M21" s="29">
        <f t="shared" si="19"/>
        <v>78.868491320189221</v>
      </c>
      <c r="N21" s="29">
        <f t="shared" si="19"/>
        <v>70.148114849285108</v>
      </c>
      <c r="O21" s="29">
        <f t="shared" si="19"/>
        <v>69.69107603108813</v>
      </c>
      <c r="P21" s="29">
        <f t="shared" si="19"/>
        <v>66.832483860563769</v>
      </c>
      <c r="Q21" s="29">
        <f t="shared" si="19"/>
        <v>65.801955141786365</v>
      </c>
      <c r="R21" s="29">
        <f t="shared" si="19"/>
        <v>64.441794438719342</v>
      </c>
      <c r="S21" s="29">
        <f t="shared" si="19"/>
        <v>67.937970246066257</v>
      </c>
      <c r="T21" s="29">
        <f t="shared" si="19"/>
        <v>72.927076200735584</v>
      </c>
      <c r="U21" s="29">
        <f t="shared" si="19"/>
        <v>67.386551662073543</v>
      </c>
      <c r="V21" s="29">
        <f t="shared" si="19"/>
        <v>62.980897156945524</v>
      </c>
      <c r="W21" s="29">
        <f t="shared" ref="W21:Y21" si="20">SUM(W22:W23)</f>
        <v>66.815803895116645</v>
      </c>
      <c r="X21" s="29">
        <f t="shared" si="20"/>
        <v>63.144041820901371</v>
      </c>
      <c r="Y21" s="29">
        <f t="shared" si="20"/>
        <v>59.268269971639654</v>
      </c>
      <c r="DA21" s="173" t="s">
        <v>1042</v>
      </c>
    </row>
    <row r="22" spans="1:105" ht="11.45" customHeight="1" x14ac:dyDescent="0.25">
      <c r="A22" s="83" t="s">
        <v>92</v>
      </c>
      <c r="B22" s="87">
        <v>11.188683493625323</v>
      </c>
      <c r="C22" s="87">
        <v>10.397200240252623</v>
      </c>
      <c r="D22" s="87">
        <v>10.668998933132151</v>
      </c>
      <c r="E22" s="87">
        <v>11.95233944124521</v>
      </c>
      <c r="F22" s="87">
        <v>16.82631138911163</v>
      </c>
      <c r="G22" s="87">
        <v>15.443272825728409</v>
      </c>
      <c r="H22" s="87">
        <v>21.420790241623752</v>
      </c>
      <c r="I22" s="87">
        <v>17.444462944090692</v>
      </c>
      <c r="J22" s="87">
        <v>17.319392361046997</v>
      </c>
      <c r="K22" s="87">
        <v>15.529373073192465</v>
      </c>
      <c r="L22" s="87">
        <v>19.750409502575863</v>
      </c>
      <c r="M22" s="87">
        <v>20.982428574373944</v>
      </c>
      <c r="N22" s="87">
        <v>18.753709112589615</v>
      </c>
      <c r="O22" s="87">
        <v>17.637865635283823</v>
      </c>
      <c r="P22" s="87">
        <v>16.076016935856675</v>
      </c>
      <c r="Q22" s="87">
        <v>16.293777708891888</v>
      </c>
      <c r="R22" s="87">
        <v>15.47121550717771</v>
      </c>
      <c r="S22" s="87">
        <v>16.906795332243647</v>
      </c>
      <c r="T22" s="87">
        <v>19.693990556241467</v>
      </c>
      <c r="U22" s="87">
        <v>17.696662249943749</v>
      </c>
      <c r="V22" s="87">
        <v>17.181732135998402</v>
      </c>
      <c r="W22" s="87">
        <v>20.674650527936148</v>
      </c>
      <c r="X22" s="87">
        <v>18.424061526553274</v>
      </c>
      <c r="Y22" s="87">
        <v>18.100710021194981</v>
      </c>
      <c r="DA22" s="171" t="s">
        <v>1043</v>
      </c>
    </row>
    <row r="23" spans="1:105" ht="11.45" customHeight="1" x14ac:dyDescent="0.25">
      <c r="A23" s="85" t="s">
        <v>93</v>
      </c>
      <c r="B23" s="88">
        <v>77.736246224670637</v>
      </c>
      <c r="C23" s="88">
        <v>69.87337198997858</v>
      </c>
      <c r="D23" s="88">
        <v>65.971343492476194</v>
      </c>
      <c r="E23" s="88">
        <v>69.069140792453368</v>
      </c>
      <c r="F23" s="88">
        <v>67.670925838352559</v>
      </c>
      <c r="G23" s="88">
        <v>62.952422036731882</v>
      </c>
      <c r="H23" s="88">
        <v>62.403855761458807</v>
      </c>
      <c r="I23" s="88">
        <v>66.443899473703254</v>
      </c>
      <c r="J23" s="88">
        <v>63.549125629361548</v>
      </c>
      <c r="K23" s="88">
        <v>50.523324990153945</v>
      </c>
      <c r="L23" s="88">
        <v>53.290191931059425</v>
      </c>
      <c r="M23" s="88">
        <v>57.886062745815273</v>
      </c>
      <c r="N23" s="88">
        <v>51.394405736695489</v>
      </c>
      <c r="O23" s="88">
        <v>52.053210395804307</v>
      </c>
      <c r="P23" s="88">
        <v>50.756466924707091</v>
      </c>
      <c r="Q23" s="88">
        <v>49.508177432894477</v>
      </c>
      <c r="R23" s="88">
        <v>48.970578931541631</v>
      </c>
      <c r="S23" s="88">
        <v>51.031174913822611</v>
      </c>
      <c r="T23" s="88">
        <v>53.233085644494118</v>
      </c>
      <c r="U23" s="88">
        <v>49.689889412129801</v>
      </c>
      <c r="V23" s="88">
        <v>45.799165020947122</v>
      </c>
      <c r="W23" s="88">
        <v>46.141153367180493</v>
      </c>
      <c r="X23" s="88">
        <v>44.719980294348098</v>
      </c>
      <c r="Y23" s="88">
        <v>41.167559950444669</v>
      </c>
      <c r="DA23" s="178" t="s">
        <v>1044</v>
      </c>
    </row>
    <row r="24" spans="1:105" x14ac:dyDescent="0.25">
      <c r="A24" s="106"/>
      <c r="B24" s="106"/>
      <c r="C24" s="106"/>
      <c r="D24" s="106"/>
      <c r="E24" s="106"/>
      <c r="F24" s="106"/>
      <c r="G24" s="106"/>
      <c r="H24" s="106"/>
      <c r="I24" s="106"/>
      <c r="J24" s="106"/>
      <c r="K24" s="106"/>
      <c r="L24" s="114"/>
      <c r="M24" s="106"/>
      <c r="N24" s="106"/>
      <c r="O24" s="106"/>
      <c r="P24" s="106"/>
      <c r="Q24" s="106"/>
      <c r="R24" s="106"/>
      <c r="S24" s="106"/>
      <c r="T24" s="106"/>
      <c r="U24" s="106"/>
      <c r="V24" s="106"/>
      <c r="W24" s="106"/>
      <c r="X24" s="106"/>
      <c r="Y24" s="106"/>
      <c r="DA24" s="171"/>
    </row>
    <row r="25" spans="1:105" ht="11.45" customHeight="1" x14ac:dyDescent="0.25">
      <c r="A25" s="53" t="s">
        <v>97</v>
      </c>
      <c r="B25" s="62">
        <f t="shared" ref="B25" si="21">B26+B32</f>
        <v>1856.660494</v>
      </c>
      <c r="C25" s="62">
        <f t="shared" ref="C25:V25" si="22">C26+C32</f>
        <v>1897.7104150000002</v>
      </c>
      <c r="D25" s="62">
        <f t="shared" si="22"/>
        <v>1942.9330859999998</v>
      </c>
      <c r="E25" s="62">
        <f t="shared" si="22"/>
        <v>1996.5715890000001</v>
      </c>
      <c r="F25" s="62">
        <f t="shared" si="22"/>
        <v>1945.1031309999998</v>
      </c>
      <c r="G25" s="62">
        <f t="shared" si="22"/>
        <v>1853.242829</v>
      </c>
      <c r="H25" s="62">
        <f t="shared" si="22"/>
        <v>1800.1980619999999</v>
      </c>
      <c r="I25" s="62">
        <f t="shared" si="22"/>
        <v>1859.0444729999999</v>
      </c>
      <c r="J25" s="62">
        <f t="shared" si="22"/>
        <v>1831.982217</v>
      </c>
      <c r="K25" s="62">
        <f t="shared" si="22"/>
        <v>1764.4787470000001</v>
      </c>
      <c r="L25" s="62">
        <f t="shared" si="22"/>
        <v>1783.7354649999997</v>
      </c>
      <c r="M25" s="62">
        <f t="shared" si="22"/>
        <v>1762.0341550000001</v>
      </c>
      <c r="N25" s="62">
        <f t="shared" si="22"/>
        <v>1743.772444</v>
      </c>
      <c r="O25" s="62">
        <f t="shared" si="22"/>
        <v>1708.129901</v>
      </c>
      <c r="P25" s="62">
        <f t="shared" si="22"/>
        <v>1690.0130239999999</v>
      </c>
      <c r="Q25" s="62">
        <f t="shared" si="22"/>
        <v>1728.5241600000002</v>
      </c>
      <c r="R25" s="62">
        <f t="shared" si="22"/>
        <v>1819.594036</v>
      </c>
      <c r="S25" s="62">
        <f t="shared" si="22"/>
        <v>1870.8619509999999</v>
      </c>
      <c r="T25" s="62">
        <f t="shared" si="22"/>
        <v>1987.8514140000002</v>
      </c>
      <c r="U25" s="62">
        <f t="shared" si="22"/>
        <v>1951.7872520000001</v>
      </c>
      <c r="V25" s="62">
        <f t="shared" si="22"/>
        <v>1828.130099</v>
      </c>
      <c r="W25" s="62">
        <f t="shared" ref="W25:Y25" si="23">W26+W32</f>
        <v>1957.6101980000003</v>
      </c>
      <c r="X25" s="62">
        <f t="shared" si="23"/>
        <v>2031.0191679999998</v>
      </c>
      <c r="Y25" s="62">
        <f t="shared" si="23"/>
        <v>2021.8035970000001</v>
      </c>
      <c r="DA25" s="172" t="s">
        <v>1045</v>
      </c>
    </row>
    <row r="26" spans="1:105" ht="11.45" customHeight="1" x14ac:dyDescent="0.25">
      <c r="A26" s="27" t="s">
        <v>33</v>
      </c>
      <c r="B26" s="29">
        <f t="shared" ref="B26" si="24">SUM(B27,B28,B31)</f>
        <v>1412.035844</v>
      </c>
      <c r="C26" s="29">
        <f t="shared" ref="C26:V26" si="25">SUM(C27,C28,C31)</f>
        <v>1495.9113040000002</v>
      </c>
      <c r="D26" s="29">
        <f t="shared" si="25"/>
        <v>1559.7313729999998</v>
      </c>
      <c r="E26" s="29">
        <f t="shared" si="25"/>
        <v>1591.464187</v>
      </c>
      <c r="F26" s="29">
        <f t="shared" si="25"/>
        <v>1522.6169439999999</v>
      </c>
      <c r="G26" s="29">
        <f t="shared" si="25"/>
        <v>1459.9435020000001</v>
      </c>
      <c r="H26" s="29">
        <f t="shared" si="25"/>
        <v>1381.0748309999999</v>
      </c>
      <c r="I26" s="29">
        <f t="shared" si="25"/>
        <v>1425.315364</v>
      </c>
      <c r="J26" s="29">
        <f t="shared" si="25"/>
        <v>1418.321318</v>
      </c>
      <c r="K26" s="29">
        <f t="shared" si="25"/>
        <v>1395.2803120000001</v>
      </c>
      <c r="L26" s="29">
        <f t="shared" si="25"/>
        <v>1418.5324569999998</v>
      </c>
      <c r="M26" s="29">
        <f t="shared" si="25"/>
        <v>1367.6916980000001</v>
      </c>
      <c r="N26" s="29">
        <f t="shared" si="25"/>
        <v>1387.4826129999999</v>
      </c>
      <c r="O26" s="29">
        <f t="shared" si="25"/>
        <v>1354.140388</v>
      </c>
      <c r="P26" s="29">
        <f t="shared" si="25"/>
        <v>1348.1015689999999</v>
      </c>
      <c r="Q26" s="29">
        <f t="shared" si="25"/>
        <v>1398.4484930000001</v>
      </c>
      <c r="R26" s="29">
        <f t="shared" si="25"/>
        <v>1497.3850629999999</v>
      </c>
      <c r="S26" s="29">
        <f t="shared" si="25"/>
        <v>1531.1720989999999</v>
      </c>
      <c r="T26" s="29">
        <f t="shared" si="25"/>
        <v>1623.216032</v>
      </c>
      <c r="U26" s="29">
        <f t="shared" si="25"/>
        <v>1610.462192</v>
      </c>
      <c r="V26" s="29">
        <f t="shared" si="25"/>
        <v>1511.8530020000001</v>
      </c>
      <c r="W26" s="29">
        <f t="shared" ref="W26:Y26" si="26">SUM(W27,W28,W31)</f>
        <v>1623.5311780000002</v>
      </c>
      <c r="X26" s="29">
        <f t="shared" si="26"/>
        <v>1709.6403539999999</v>
      </c>
      <c r="Y26" s="29">
        <f t="shared" si="26"/>
        <v>1723.7812260000001</v>
      </c>
      <c r="DA26" s="173" t="s">
        <v>1046</v>
      </c>
    </row>
    <row r="27" spans="1:105" ht="11.45" customHeight="1" x14ac:dyDescent="0.25">
      <c r="A27" s="107" t="s">
        <v>23</v>
      </c>
      <c r="B27" s="115">
        <v>520.88627399999996</v>
      </c>
      <c r="C27" s="115">
        <v>519.60986700000001</v>
      </c>
      <c r="D27" s="115">
        <v>526.65779199999997</v>
      </c>
      <c r="E27" s="115">
        <v>514.98730999999998</v>
      </c>
      <c r="F27" s="115">
        <v>507.44177100000002</v>
      </c>
      <c r="G27" s="115">
        <v>491.17025699999999</v>
      </c>
      <c r="H27" s="115">
        <v>501.41654199999999</v>
      </c>
      <c r="I27" s="115">
        <v>507.98012299999999</v>
      </c>
      <c r="J27" s="115">
        <v>506.71539300000001</v>
      </c>
      <c r="K27" s="115">
        <v>483.929058</v>
      </c>
      <c r="L27" s="115">
        <v>493.98127299999999</v>
      </c>
      <c r="M27" s="115">
        <v>494.90409899999997</v>
      </c>
      <c r="N27" s="115">
        <v>501.75356699999998</v>
      </c>
      <c r="O27" s="115">
        <v>469.51823000000002</v>
      </c>
      <c r="P27" s="115">
        <v>487.616445</v>
      </c>
      <c r="Q27" s="115">
        <v>483.342962</v>
      </c>
      <c r="R27" s="115">
        <v>498.02917300000001</v>
      </c>
      <c r="S27" s="115">
        <v>490.41379000000001</v>
      </c>
      <c r="T27" s="115">
        <v>492.88063799999998</v>
      </c>
      <c r="U27" s="115">
        <v>499.01543500000002</v>
      </c>
      <c r="V27" s="115">
        <v>484.79906399999999</v>
      </c>
      <c r="W27" s="115">
        <v>468.01790599999998</v>
      </c>
      <c r="X27" s="115">
        <v>443.07211999999998</v>
      </c>
      <c r="Y27" s="115">
        <v>450.36643700000002</v>
      </c>
      <c r="DA27" s="203" t="s">
        <v>1047</v>
      </c>
    </row>
    <row r="28" spans="1:105" ht="11.45" customHeight="1" x14ac:dyDescent="0.25">
      <c r="A28" s="109" t="s">
        <v>24</v>
      </c>
      <c r="B28" s="116">
        <f t="shared" ref="B28" si="27">SUM(B29:B30)</f>
        <v>891.14957000000004</v>
      </c>
      <c r="C28" s="116">
        <f t="shared" ref="C28:V28" si="28">SUM(C29:C30)</f>
        <v>976.30143700000008</v>
      </c>
      <c r="D28" s="116">
        <f t="shared" si="28"/>
        <v>1033.0735809999999</v>
      </c>
      <c r="E28" s="116">
        <f t="shared" si="28"/>
        <v>1076.4768770000001</v>
      </c>
      <c r="F28" s="116">
        <f t="shared" si="28"/>
        <v>1015.175173</v>
      </c>
      <c r="G28" s="116">
        <f t="shared" si="28"/>
        <v>968.77324499999997</v>
      </c>
      <c r="H28" s="116">
        <f t="shared" si="28"/>
        <v>879.65828899999997</v>
      </c>
      <c r="I28" s="116">
        <f t="shared" si="28"/>
        <v>917.335241</v>
      </c>
      <c r="J28" s="116">
        <f t="shared" si="28"/>
        <v>911.60592499999996</v>
      </c>
      <c r="K28" s="116">
        <f t="shared" si="28"/>
        <v>911.35125400000004</v>
      </c>
      <c r="L28" s="116">
        <f t="shared" si="28"/>
        <v>924.55118399999992</v>
      </c>
      <c r="M28" s="116">
        <f t="shared" si="28"/>
        <v>872.787599</v>
      </c>
      <c r="N28" s="116">
        <f t="shared" si="28"/>
        <v>885.72904599999993</v>
      </c>
      <c r="O28" s="116">
        <f t="shared" si="28"/>
        <v>884.62215800000001</v>
      </c>
      <c r="P28" s="116">
        <f t="shared" si="28"/>
        <v>860.48512400000004</v>
      </c>
      <c r="Q28" s="116">
        <f t="shared" si="28"/>
        <v>911.748516</v>
      </c>
      <c r="R28" s="116">
        <f t="shared" si="28"/>
        <v>989.45712700000001</v>
      </c>
      <c r="S28" s="116">
        <f t="shared" si="28"/>
        <v>1030.8595459999999</v>
      </c>
      <c r="T28" s="116">
        <f t="shared" si="28"/>
        <v>1120.436631</v>
      </c>
      <c r="U28" s="116">
        <f t="shared" si="28"/>
        <v>1100.991718</v>
      </c>
      <c r="V28" s="116">
        <f t="shared" si="28"/>
        <v>1016.5988990000001</v>
      </c>
      <c r="W28" s="116">
        <f t="shared" ref="W28:Y28" si="29">SUM(W29:W30)</f>
        <v>1145.0582330000002</v>
      </c>
      <c r="X28" s="116">
        <f t="shared" si="29"/>
        <v>1256.1131949999999</v>
      </c>
      <c r="Y28" s="116">
        <f t="shared" si="29"/>
        <v>1262.9597500000002</v>
      </c>
      <c r="DA28" s="176" t="s">
        <v>1048</v>
      </c>
    </row>
    <row r="29" spans="1:105" ht="11.45" customHeight="1" x14ac:dyDescent="0.25">
      <c r="A29" s="111" t="s">
        <v>92</v>
      </c>
      <c r="B29" s="87">
        <v>251.00269699999998</v>
      </c>
      <c r="C29" s="87">
        <v>260.12012499999997</v>
      </c>
      <c r="D29" s="87">
        <v>249.02727899999999</v>
      </c>
      <c r="E29" s="87">
        <v>275.77904699999999</v>
      </c>
      <c r="F29" s="87">
        <v>250.67877799999999</v>
      </c>
      <c r="G29" s="87">
        <v>251.121308</v>
      </c>
      <c r="H29" s="87">
        <v>226.021039</v>
      </c>
      <c r="I29" s="87">
        <v>225.032059</v>
      </c>
      <c r="J29" s="87">
        <v>199.93179000000001</v>
      </c>
      <c r="K29" s="87">
        <v>200.79899499999999</v>
      </c>
      <c r="L29" s="87">
        <v>175.69872599999999</v>
      </c>
      <c r="M29" s="87">
        <v>150.598457</v>
      </c>
      <c r="N29" s="87">
        <v>138.12176700000001</v>
      </c>
      <c r="O29" s="87">
        <v>128.817868</v>
      </c>
      <c r="P29" s="87">
        <v>120.312275</v>
      </c>
      <c r="Q29" s="87">
        <v>96.051335999999992</v>
      </c>
      <c r="R29" s="87">
        <v>111.48425</v>
      </c>
      <c r="S29" s="87">
        <v>101.324905</v>
      </c>
      <c r="T29" s="87">
        <v>134.14243199999999</v>
      </c>
      <c r="U29" s="87">
        <v>109.042163</v>
      </c>
      <c r="V29" s="87">
        <v>88.664030999999994</v>
      </c>
      <c r="W29" s="87">
        <v>65.368414000000001</v>
      </c>
      <c r="X29" s="87">
        <v>100.545794</v>
      </c>
      <c r="Y29" s="87">
        <v>75.445525000000004</v>
      </c>
      <c r="DA29" s="171" t="s">
        <v>1049</v>
      </c>
    </row>
    <row r="30" spans="1:105" ht="11.45" customHeight="1" x14ac:dyDescent="0.25">
      <c r="A30" s="111" t="s">
        <v>93</v>
      </c>
      <c r="B30" s="87">
        <v>640.14687300000003</v>
      </c>
      <c r="C30" s="87">
        <v>716.18131200000005</v>
      </c>
      <c r="D30" s="87">
        <v>784.04630199999997</v>
      </c>
      <c r="E30" s="87">
        <v>800.69782999999995</v>
      </c>
      <c r="F30" s="87">
        <v>764.49639500000001</v>
      </c>
      <c r="G30" s="87">
        <v>717.65193699999998</v>
      </c>
      <c r="H30" s="87">
        <v>653.63724999999999</v>
      </c>
      <c r="I30" s="87">
        <v>692.30318199999999</v>
      </c>
      <c r="J30" s="87">
        <v>711.67413499999998</v>
      </c>
      <c r="K30" s="87">
        <v>710.55225900000005</v>
      </c>
      <c r="L30" s="87">
        <v>748.85245799999996</v>
      </c>
      <c r="M30" s="87">
        <v>722.18914199999995</v>
      </c>
      <c r="N30" s="87">
        <v>747.60727899999995</v>
      </c>
      <c r="O30" s="87">
        <v>755.80429000000004</v>
      </c>
      <c r="P30" s="87">
        <v>740.17284900000004</v>
      </c>
      <c r="Q30" s="87">
        <v>815.69718</v>
      </c>
      <c r="R30" s="87">
        <v>877.97287700000004</v>
      </c>
      <c r="S30" s="87">
        <v>929.53464099999997</v>
      </c>
      <c r="T30" s="87">
        <v>986.29419900000005</v>
      </c>
      <c r="U30" s="87">
        <v>991.94955500000003</v>
      </c>
      <c r="V30" s="87">
        <v>927.93486800000005</v>
      </c>
      <c r="W30" s="87">
        <v>1079.6898190000002</v>
      </c>
      <c r="X30" s="87">
        <v>1155.567401</v>
      </c>
      <c r="Y30" s="87">
        <v>1187.5142250000001</v>
      </c>
      <c r="DA30" s="171" t="s">
        <v>1050</v>
      </c>
    </row>
    <row r="31" spans="1:105" ht="11.45" customHeight="1" x14ac:dyDescent="0.25">
      <c r="A31" s="112" t="s">
        <v>25</v>
      </c>
      <c r="B31" s="117">
        <v>0</v>
      </c>
      <c r="C31" s="117">
        <v>0</v>
      </c>
      <c r="D31" s="117">
        <v>0</v>
      </c>
      <c r="E31" s="117">
        <v>0</v>
      </c>
      <c r="F31" s="117">
        <v>0</v>
      </c>
      <c r="G31" s="117">
        <v>0</v>
      </c>
      <c r="H31" s="117">
        <v>0</v>
      </c>
      <c r="I31" s="117">
        <v>0</v>
      </c>
      <c r="J31" s="117">
        <v>0</v>
      </c>
      <c r="K31" s="117">
        <v>0</v>
      </c>
      <c r="L31" s="117">
        <v>0</v>
      </c>
      <c r="M31" s="117">
        <v>0</v>
      </c>
      <c r="N31" s="117">
        <v>0</v>
      </c>
      <c r="O31" s="117">
        <v>0</v>
      </c>
      <c r="P31" s="117">
        <v>0</v>
      </c>
      <c r="Q31" s="117">
        <v>3.3570150000000001</v>
      </c>
      <c r="R31" s="117">
        <v>9.8987629999999989</v>
      </c>
      <c r="S31" s="117">
        <v>9.8987630000000006</v>
      </c>
      <c r="T31" s="117">
        <v>9.8987630000000006</v>
      </c>
      <c r="U31" s="117">
        <v>10.455038999999999</v>
      </c>
      <c r="V31" s="117">
        <v>10.455038999999999</v>
      </c>
      <c r="W31" s="117">
        <v>10.455038999999999</v>
      </c>
      <c r="X31" s="117">
        <v>10.455038999999999</v>
      </c>
      <c r="Y31" s="117">
        <v>10.455038999999999</v>
      </c>
      <c r="DA31" s="204" t="s">
        <v>1051</v>
      </c>
    </row>
    <row r="32" spans="1:105" ht="11.45" customHeight="1" x14ac:dyDescent="0.25">
      <c r="A32" s="27" t="s">
        <v>34</v>
      </c>
      <c r="B32" s="29">
        <f t="shared" ref="B32" si="30">SUM(B33:B34)</f>
        <v>444.62465000000003</v>
      </c>
      <c r="C32" s="29">
        <f t="shared" ref="C32:V32" si="31">SUM(C33:C34)</f>
        <v>401.79911099999998</v>
      </c>
      <c r="D32" s="29">
        <f t="shared" si="31"/>
        <v>383.20171299999998</v>
      </c>
      <c r="E32" s="29">
        <f t="shared" si="31"/>
        <v>405.10740199999998</v>
      </c>
      <c r="F32" s="29">
        <f t="shared" si="31"/>
        <v>422.48618699999997</v>
      </c>
      <c r="G32" s="29">
        <f t="shared" si="31"/>
        <v>393.29932700000001</v>
      </c>
      <c r="H32" s="29">
        <f t="shared" si="31"/>
        <v>419.12323099999998</v>
      </c>
      <c r="I32" s="29">
        <f t="shared" si="31"/>
        <v>433.72910899999999</v>
      </c>
      <c r="J32" s="29">
        <f t="shared" si="31"/>
        <v>413.66089899999997</v>
      </c>
      <c r="K32" s="29">
        <f t="shared" si="31"/>
        <v>369.19843499999996</v>
      </c>
      <c r="L32" s="29">
        <f t="shared" si="31"/>
        <v>365.20300800000001</v>
      </c>
      <c r="M32" s="29">
        <f t="shared" si="31"/>
        <v>394.34245700000002</v>
      </c>
      <c r="N32" s="29">
        <f t="shared" si="31"/>
        <v>356.28983100000005</v>
      </c>
      <c r="O32" s="29">
        <f t="shared" si="31"/>
        <v>353.98951299999999</v>
      </c>
      <c r="P32" s="29">
        <f t="shared" si="31"/>
        <v>341.91145499999999</v>
      </c>
      <c r="Q32" s="29">
        <f t="shared" si="31"/>
        <v>330.07566700000001</v>
      </c>
      <c r="R32" s="29">
        <f t="shared" si="31"/>
        <v>322.20897300000001</v>
      </c>
      <c r="S32" s="29">
        <f t="shared" si="31"/>
        <v>339.68985199999997</v>
      </c>
      <c r="T32" s="29">
        <f t="shared" si="31"/>
        <v>364.63538200000005</v>
      </c>
      <c r="U32" s="29">
        <f t="shared" si="31"/>
        <v>341.32506000000001</v>
      </c>
      <c r="V32" s="29">
        <f t="shared" si="31"/>
        <v>316.27709700000003</v>
      </c>
      <c r="W32" s="29">
        <f t="shared" ref="W32:Y32" si="32">SUM(W33:W34)</f>
        <v>334.07902000000001</v>
      </c>
      <c r="X32" s="29">
        <f t="shared" si="32"/>
        <v>321.37881399999998</v>
      </c>
      <c r="Y32" s="29">
        <f t="shared" si="32"/>
        <v>298.02237099999996</v>
      </c>
      <c r="DA32" s="173" t="s">
        <v>1052</v>
      </c>
    </row>
    <row r="33" spans="1:105" ht="11.45" customHeight="1" x14ac:dyDescent="0.25">
      <c r="A33" s="83" t="s">
        <v>92</v>
      </c>
      <c r="B33" s="87">
        <v>55.943417999999994</v>
      </c>
      <c r="C33" s="87">
        <v>51.986001999999999</v>
      </c>
      <c r="D33" s="87">
        <v>53.344994999999997</v>
      </c>
      <c r="E33" s="87">
        <v>59.761697999999996</v>
      </c>
      <c r="F33" s="87">
        <v>84.131557000000001</v>
      </c>
      <c r="G33" s="87">
        <v>78.537216000000001</v>
      </c>
      <c r="H33" s="87">
        <v>107.10395199999999</v>
      </c>
      <c r="I33" s="87">
        <v>101.50961099999999</v>
      </c>
      <c r="J33" s="87">
        <v>95.915269999999992</v>
      </c>
      <c r="K33" s="87">
        <v>90.320928999999992</v>
      </c>
      <c r="L33" s="87">
        <v>98.752048000000002</v>
      </c>
      <c r="M33" s="87">
        <v>104.912143</v>
      </c>
      <c r="N33" s="87">
        <v>99.317802</v>
      </c>
      <c r="O33" s="87">
        <v>93.723461</v>
      </c>
      <c r="P33" s="87">
        <v>88.12912</v>
      </c>
      <c r="Q33" s="87">
        <v>82.534779</v>
      </c>
      <c r="R33" s="87">
        <v>77.356077999999997</v>
      </c>
      <c r="S33" s="87">
        <v>84.533976999999993</v>
      </c>
      <c r="T33" s="87">
        <v>98.469953000000004</v>
      </c>
      <c r="U33" s="87">
        <v>92.875612000000004</v>
      </c>
      <c r="V33" s="87">
        <v>87.281271000000004</v>
      </c>
      <c r="W33" s="87">
        <v>103.37325299999999</v>
      </c>
      <c r="X33" s="87">
        <v>97.778911999999991</v>
      </c>
      <c r="Y33" s="87">
        <v>92.184570999999991</v>
      </c>
      <c r="DA33" s="171" t="s">
        <v>1053</v>
      </c>
    </row>
    <row r="34" spans="1:105" ht="11.45" customHeight="1" x14ac:dyDescent="0.25">
      <c r="A34" s="85" t="s">
        <v>93</v>
      </c>
      <c r="B34" s="88">
        <v>388.68123200000002</v>
      </c>
      <c r="C34" s="88">
        <v>349.813109</v>
      </c>
      <c r="D34" s="88">
        <v>329.856718</v>
      </c>
      <c r="E34" s="88">
        <v>345.34570400000001</v>
      </c>
      <c r="F34" s="88">
        <v>338.35462999999999</v>
      </c>
      <c r="G34" s="88">
        <v>314.762111</v>
      </c>
      <c r="H34" s="88">
        <v>312.01927899999998</v>
      </c>
      <c r="I34" s="88">
        <v>332.21949799999999</v>
      </c>
      <c r="J34" s="88">
        <v>317.74562900000001</v>
      </c>
      <c r="K34" s="88">
        <v>278.87750599999998</v>
      </c>
      <c r="L34" s="88">
        <v>266.45096000000001</v>
      </c>
      <c r="M34" s="88">
        <v>289.43031400000001</v>
      </c>
      <c r="N34" s="88">
        <v>256.97202900000002</v>
      </c>
      <c r="O34" s="88">
        <v>260.266052</v>
      </c>
      <c r="P34" s="88">
        <v>253.78233499999999</v>
      </c>
      <c r="Q34" s="88">
        <v>247.540888</v>
      </c>
      <c r="R34" s="88">
        <v>244.85289499999999</v>
      </c>
      <c r="S34" s="88">
        <v>255.15587500000001</v>
      </c>
      <c r="T34" s="88">
        <v>266.16542900000002</v>
      </c>
      <c r="U34" s="88">
        <v>248.44944799999999</v>
      </c>
      <c r="V34" s="88">
        <v>228.99582599999999</v>
      </c>
      <c r="W34" s="88">
        <v>230.70576700000001</v>
      </c>
      <c r="X34" s="88">
        <v>223.59990199999999</v>
      </c>
      <c r="Y34" s="88">
        <v>205.83779999999999</v>
      </c>
      <c r="DA34" s="178" t="s">
        <v>1054</v>
      </c>
    </row>
    <row r="35" spans="1:105" x14ac:dyDescent="0.25">
      <c r="A35" s="106"/>
      <c r="B35" s="106"/>
      <c r="C35" s="106"/>
      <c r="D35" s="106"/>
      <c r="E35" s="106"/>
      <c r="F35" s="106"/>
      <c r="G35" s="106"/>
      <c r="H35" s="106"/>
      <c r="I35" s="106"/>
      <c r="J35" s="106"/>
      <c r="K35" s="106"/>
      <c r="L35" s="114"/>
      <c r="M35" s="106"/>
      <c r="N35" s="106"/>
      <c r="O35" s="106"/>
      <c r="P35" s="106"/>
      <c r="Q35" s="106"/>
      <c r="R35" s="106"/>
      <c r="S35" s="106"/>
      <c r="T35" s="106"/>
      <c r="U35" s="106"/>
      <c r="V35" s="106"/>
      <c r="W35" s="106"/>
      <c r="X35" s="106"/>
      <c r="Y35" s="106"/>
      <c r="DA35" s="171"/>
    </row>
    <row r="36" spans="1:105" ht="11.45" customHeight="1" x14ac:dyDescent="0.25">
      <c r="A36" s="53" t="s">
        <v>98</v>
      </c>
      <c r="B36" s="54"/>
      <c r="C36" s="54">
        <f t="shared" ref="C36" si="33">C37+C43</f>
        <v>130.32878400000007</v>
      </c>
      <c r="D36" s="54">
        <f t="shared" ref="D36:V36" si="34">D37+D43</f>
        <v>116.13400199999987</v>
      </c>
      <c r="E36" s="54">
        <f t="shared" si="34"/>
        <v>113.83170499999996</v>
      </c>
      <c r="F36" s="54">
        <f t="shared" si="34"/>
        <v>40.893453000000036</v>
      </c>
      <c r="G36" s="54">
        <f t="shared" si="34"/>
        <v>10.162015999999966</v>
      </c>
      <c r="H36" s="54">
        <f t="shared" si="34"/>
        <v>67.130395999999934</v>
      </c>
      <c r="I36" s="54">
        <f t="shared" si="34"/>
        <v>122.55451299999993</v>
      </c>
      <c r="J36" s="54">
        <f t="shared" si="34"/>
        <v>55.888875999999925</v>
      </c>
      <c r="K36" s="54">
        <f t="shared" si="34"/>
        <v>28.878324000000021</v>
      </c>
      <c r="L36" s="54">
        <f t="shared" si="34"/>
        <v>96.645626999999891</v>
      </c>
      <c r="M36" s="54">
        <f t="shared" si="34"/>
        <v>61.122482000000005</v>
      </c>
      <c r="N36" s="54">
        <f t="shared" si="34"/>
        <v>70.050257999999985</v>
      </c>
      <c r="O36" s="54">
        <f t="shared" si="34"/>
        <v>43.613795000000039</v>
      </c>
      <c r="P36" s="54">
        <f t="shared" si="34"/>
        <v>45.591224999999952</v>
      </c>
      <c r="Q36" s="54">
        <f t="shared" si="34"/>
        <v>117.80950599999996</v>
      </c>
      <c r="R36" s="54">
        <f t="shared" si="34"/>
        <v>154.36233800000002</v>
      </c>
      <c r="S36" s="54">
        <f t="shared" si="34"/>
        <v>112.94979099999989</v>
      </c>
      <c r="T36" s="54">
        <f t="shared" si="34"/>
        <v>177.18266500000004</v>
      </c>
      <c r="U36" s="54">
        <f t="shared" si="34"/>
        <v>50.129082000000011</v>
      </c>
      <c r="V36" s="54">
        <f t="shared" si="34"/>
        <v>3.1039579999999773</v>
      </c>
      <c r="W36" s="54">
        <f t="shared" ref="W36:Y36" si="35">W37+W43</f>
        <v>204.29824700000023</v>
      </c>
      <c r="X36" s="54">
        <f t="shared" si="35"/>
        <v>144.74252899999991</v>
      </c>
      <c r="Y36" s="54">
        <f t="shared" si="35"/>
        <v>77.023794000000237</v>
      </c>
      <c r="DA36" s="172" t="s">
        <v>1055</v>
      </c>
    </row>
    <row r="37" spans="1:105" ht="11.45" customHeight="1" x14ac:dyDescent="0.25">
      <c r="A37" s="27" t="s">
        <v>33</v>
      </c>
      <c r="B37" s="28"/>
      <c r="C37" s="28">
        <f t="shared" ref="C37" si="36">SUM(C38,C39,C42)</f>
        <v>130.32878400000007</v>
      </c>
      <c r="D37" s="28">
        <f t="shared" ref="D37:V37" si="37">SUM(D38,D39,D42)</f>
        <v>112.69556799999987</v>
      </c>
      <c r="E37" s="28">
        <f t="shared" si="37"/>
        <v>78.186137999999943</v>
      </c>
      <c r="F37" s="28">
        <f t="shared" si="37"/>
        <v>9.7747900000000527</v>
      </c>
      <c r="G37" s="28">
        <f t="shared" si="37"/>
        <v>10.162015999999966</v>
      </c>
      <c r="H37" s="28">
        <f t="shared" si="37"/>
        <v>27.566613999999959</v>
      </c>
      <c r="I37" s="28">
        <f t="shared" si="37"/>
        <v>90.693856999999923</v>
      </c>
      <c r="J37" s="28">
        <f t="shared" si="37"/>
        <v>55.888875999999925</v>
      </c>
      <c r="K37" s="28">
        <f t="shared" si="37"/>
        <v>28.878324000000021</v>
      </c>
      <c r="L37" s="28">
        <f t="shared" si="37"/>
        <v>86.135066999999879</v>
      </c>
      <c r="M37" s="28">
        <f t="shared" si="37"/>
        <v>18.243155000000002</v>
      </c>
      <c r="N37" s="28">
        <f t="shared" si="37"/>
        <v>70.050257999999985</v>
      </c>
      <c r="O37" s="28">
        <f t="shared" si="37"/>
        <v>28.659335000000056</v>
      </c>
      <c r="P37" s="28">
        <f t="shared" si="37"/>
        <v>40.414504999999963</v>
      </c>
      <c r="Q37" s="28">
        <f t="shared" si="37"/>
        <v>112.39051599999995</v>
      </c>
      <c r="R37" s="28">
        <f t="shared" si="37"/>
        <v>145.38989400000003</v>
      </c>
      <c r="S37" s="28">
        <f t="shared" si="37"/>
        <v>81.729033999999899</v>
      </c>
      <c r="T37" s="28">
        <f t="shared" si="37"/>
        <v>138.49725700000002</v>
      </c>
      <c r="U37" s="28">
        <f t="shared" si="37"/>
        <v>50.129082000000011</v>
      </c>
      <c r="V37" s="28">
        <f t="shared" si="37"/>
        <v>3.1039579999999773</v>
      </c>
      <c r="W37" s="28">
        <f t="shared" ref="W37:Y37" si="38">SUM(W38,W39,W42)</f>
        <v>172.75644600000021</v>
      </c>
      <c r="X37" s="28">
        <f t="shared" si="38"/>
        <v>140.18795699999993</v>
      </c>
      <c r="Y37" s="28">
        <f t="shared" si="38"/>
        <v>77.023794000000237</v>
      </c>
      <c r="DA37" s="173" t="s">
        <v>1056</v>
      </c>
    </row>
    <row r="38" spans="1:105" ht="11.45" customHeight="1" x14ac:dyDescent="0.25">
      <c r="A38" s="107" t="s">
        <v>23</v>
      </c>
      <c r="B38" s="108"/>
      <c r="C38" s="108">
        <v>16.043922000000066</v>
      </c>
      <c r="D38" s="108">
        <v>24.368253999999979</v>
      </c>
      <c r="E38" s="108">
        <v>5.6498470000000225</v>
      </c>
      <c r="F38" s="108">
        <v>9.7747900000000527</v>
      </c>
      <c r="G38" s="108">
        <v>1.0488149999999905</v>
      </c>
      <c r="H38" s="108">
        <v>27.566613999999959</v>
      </c>
      <c r="I38" s="108">
        <v>23.883909999999958</v>
      </c>
      <c r="J38" s="108">
        <v>16.055598999999972</v>
      </c>
      <c r="K38" s="108">
        <v>0</v>
      </c>
      <c r="L38" s="108">
        <v>27.372544000000005</v>
      </c>
      <c r="M38" s="108">
        <v>18.243155000000002</v>
      </c>
      <c r="N38" s="108">
        <v>24.169797000000017</v>
      </c>
      <c r="O38" s="108">
        <v>0</v>
      </c>
      <c r="P38" s="108">
        <v>35.418543999999997</v>
      </c>
      <c r="Q38" s="108">
        <v>13.046846000000016</v>
      </c>
      <c r="R38" s="108">
        <v>32.00654000000003</v>
      </c>
      <c r="S38" s="108">
        <v>9.7049460000000067</v>
      </c>
      <c r="T38" s="108">
        <v>19.787176999999986</v>
      </c>
      <c r="U38" s="108">
        <v>23.455126000000064</v>
      </c>
      <c r="V38" s="108">
        <v>3.1039579999999773</v>
      </c>
      <c r="W38" s="108">
        <v>0.53917100000001028</v>
      </c>
      <c r="X38" s="108">
        <v>0</v>
      </c>
      <c r="Y38" s="108">
        <v>24.61464600000005</v>
      </c>
      <c r="DA38" s="203" t="s">
        <v>1057</v>
      </c>
    </row>
    <row r="39" spans="1:105" ht="11.45" customHeight="1" x14ac:dyDescent="0.25">
      <c r="A39" s="109" t="s">
        <v>24</v>
      </c>
      <c r="B39" s="110"/>
      <c r="C39" s="110">
        <f t="shared" ref="C39" si="39">SUM(C40:C41)</f>
        <v>114.284862</v>
      </c>
      <c r="D39" s="110">
        <f t="shared" ref="D39:V39" si="40">SUM(D40:D41)</f>
        <v>88.327313999999888</v>
      </c>
      <c r="E39" s="110">
        <f t="shared" si="40"/>
        <v>72.53629099999992</v>
      </c>
      <c r="F39" s="110">
        <f t="shared" si="40"/>
        <v>0</v>
      </c>
      <c r="G39" s="110">
        <f t="shared" si="40"/>
        <v>9.1132009999999752</v>
      </c>
      <c r="H39" s="110">
        <f t="shared" si="40"/>
        <v>0</v>
      </c>
      <c r="I39" s="110">
        <f t="shared" si="40"/>
        <v>66.809946999999966</v>
      </c>
      <c r="J39" s="110">
        <f t="shared" si="40"/>
        <v>39.833276999999953</v>
      </c>
      <c r="K39" s="110">
        <f t="shared" si="40"/>
        <v>28.878324000000021</v>
      </c>
      <c r="L39" s="110">
        <f t="shared" si="40"/>
        <v>58.762522999999874</v>
      </c>
      <c r="M39" s="110">
        <f t="shared" si="40"/>
        <v>0</v>
      </c>
      <c r="N39" s="110">
        <f t="shared" si="40"/>
        <v>45.880460999999968</v>
      </c>
      <c r="O39" s="110">
        <f t="shared" si="40"/>
        <v>28.659335000000056</v>
      </c>
      <c r="P39" s="110">
        <f t="shared" si="40"/>
        <v>4.9959609999999657</v>
      </c>
      <c r="Q39" s="110">
        <f t="shared" si="40"/>
        <v>95.986654999999928</v>
      </c>
      <c r="R39" s="110">
        <f t="shared" si="40"/>
        <v>106.84160600000001</v>
      </c>
      <c r="S39" s="110">
        <f t="shared" si="40"/>
        <v>72.024087999999892</v>
      </c>
      <c r="T39" s="110">
        <f t="shared" si="40"/>
        <v>118.71008000000003</v>
      </c>
      <c r="U39" s="110">
        <f t="shared" si="40"/>
        <v>26.11767999999995</v>
      </c>
      <c r="V39" s="110">
        <f t="shared" si="40"/>
        <v>0</v>
      </c>
      <c r="W39" s="110">
        <f t="shared" ref="W39:Y39" si="41">SUM(W40:W41)</f>
        <v>172.2172750000002</v>
      </c>
      <c r="X39" s="110">
        <f t="shared" si="41"/>
        <v>140.18795699999993</v>
      </c>
      <c r="Y39" s="110">
        <f t="shared" si="41"/>
        <v>52.409148000000187</v>
      </c>
      <c r="DA39" s="176" t="s">
        <v>1058</v>
      </c>
    </row>
    <row r="40" spans="1:105" ht="11.45" customHeight="1" x14ac:dyDescent="0.25">
      <c r="A40" s="111" t="s">
        <v>92</v>
      </c>
      <c r="B40" s="84"/>
      <c r="C40" s="84">
        <v>17.788099000000017</v>
      </c>
      <c r="D40" s="84">
        <v>0</v>
      </c>
      <c r="E40" s="84">
        <v>35.422438999999969</v>
      </c>
      <c r="F40" s="84">
        <v>0</v>
      </c>
      <c r="G40" s="84">
        <v>9.1132009999999752</v>
      </c>
      <c r="H40" s="84">
        <v>0</v>
      </c>
      <c r="I40" s="84">
        <v>7.6816910000000007</v>
      </c>
      <c r="J40" s="84">
        <v>0</v>
      </c>
      <c r="K40" s="84">
        <v>9.5378759999999829</v>
      </c>
      <c r="L40" s="84">
        <v>0</v>
      </c>
      <c r="M40" s="84">
        <v>0</v>
      </c>
      <c r="N40" s="84">
        <v>0</v>
      </c>
      <c r="O40" s="84">
        <v>0</v>
      </c>
      <c r="P40" s="84">
        <v>0.16507799999999406</v>
      </c>
      <c r="Q40" s="84">
        <v>0</v>
      </c>
      <c r="R40" s="84">
        <v>24.10358500000001</v>
      </c>
      <c r="S40" s="84">
        <v>0</v>
      </c>
      <c r="T40" s="84">
        <v>41.488197999999983</v>
      </c>
      <c r="U40" s="84">
        <v>0</v>
      </c>
      <c r="V40" s="84">
        <v>0</v>
      </c>
      <c r="W40" s="84">
        <v>0</v>
      </c>
      <c r="X40" s="84">
        <v>43.848050999999998</v>
      </c>
      <c r="Y40" s="84">
        <v>0</v>
      </c>
      <c r="DA40" s="171" t="s">
        <v>1059</v>
      </c>
    </row>
    <row r="41" spans="1:105" ht="11.45" customHeight="1" x14ac:dyDescent="0.25">
      <c r="A41" s="111" t="s">
        <v>93</v>
      </c>
      <c r="B41" s="84"/>
      <c r="C41" s="84">
        <v>96.496762999999987</v>
      </c>
      <c r="D41" s="84">
        <v>88.327313999999888</v>
      </c>
      <c r="E41" s="84">
        <v>37.113851999999952</v>
      </c>
      <c r="F41" s="84">
        <v>0</v>
      </c>
      <c r="G41" s="84">
        <v>0</v>
      </c>
      <c r="H41" s="84">
        <v>0</v>
      </c>
      <c r="I41" s="84">
        <v>59.128255999999965</v>
      </c>
      <c r="J41" s="84">
        <v>39.833276999999953</v>
      </c>
      <c r="K41" s="84">
        <v>19.340448000000038</v>
      </c>
      <c r="L41" s="84">
        <v>58.762522999999874</v>
      </c>
      <c r="M41" s="84">
        <v>0</v>
      </c>
      <c r="N41" s="84">
        <v>45.880460999999968</v>
      </c>
      <c r="O41" s="84">
        <v>28.659335000000056</v>
      </c>
      <c r="P41" s="84">
        <v>4.8308829999999716</v>
      </c>
      <c r="Q41" s="84">
        <v>95.986654999999928</v>
      </c>
      <c r="R41" s="84">
        <v>82.738021000000003</v>
      </c>
      <c r="S41" s="84">
        <v>72.024087999999892</v>
      </c>
      <c r="T41" s="84">
        <v>77.221882000000051</v>
      </c>
      <c r="U41" s="84">
        <v>26.11767999999995</v>
      </c>
      <c r="V41" s="84">
        <v>0</v>
      </c>
      <c r="W41" s="84">
        <v>172.2172750000002</v>
      </c>
      <c r="X41" s="84">
        <v>96.339905999999928</v>
      </c>
      <c r="Y41" s="84">
        <v>52.409148000000187</v>
      </c>
      <c r="DA41" s="171" t="s">
        <v>1060</v>
      </c>
    </row>
    <row r="42" spans="1:105" ht="11.45" customHeight="1" x14ac:dyDescent="0.25">
      <c r="A42" s="112" t="s">
        <v>25</v>
      </c>
      <c r="B42" s="113"/>
      <c r="C42" s="113">
        <v>0</v>
      </c>
      <c r="D42" s="113">
        <v>0</v>
      </c>
      <c r="E42" s="113">
        <v>0</v>
      </c>
      <c r="F42" s="113">
        <v>0</v>
      </c>
      <c r="G42" s="113">
        <v>0</v>
      </c>
      <c r="H42" s="113">
        <v>0</v>
      </c>
      <c r="I42" s="113">
        <v>0</v>
      </c>
      <c r="J42" s="113">
        <v>0</v>
      </c>
      <c r="K42" s="113">
        <v>0</v>
      </c>
      <c r="L42" s="113">
        <v>0</v>
      </c>
      <c r="M42" s="113">
        <v>0</v>
      </c>
      <c r="N42" s="113">
        <v>0</v>
      </c>
      <c r="O42" s="113">
        <v>0</v>
      </c>
      <c r="P42" s="113">
        <v>0</v>
      </c>
      <c r="Q42" s="113">
        <v>3.3570150000000001</v>
      </c>
      <c r="R42" s="113">
        <v>6.5417479999999983</v>
      </c>
      <c r="S42" s="113">
        <v>1.7763568394002505E-15</v>
      </c>
      <c r="T42" s="113">
        <v>0</v>
      </c>
      <c r="U42" s="113">
        <v>0.55627599999999866</v>
      </c>
      <c r="V42" s="113">
        <v>0</v>
      </c>
      <c r="W42" s="113">
        <v>0</v>
      </c>
      <c r="X42" s="113">
        <v>0</v>
      </c>
      <c r="Y42" s="113">
        <v>0</v>
      </c>
      <c r="DA42" s="204" t="s">
        <v>1061</v>
      </c>
    </row>
    <row r="43" spans="1:105" ht="11.45" customHeight="1" x14ac:dyDescent="0.25">
      <c r="A43" s="27" t="s">
        <v>34</v>
      </c>
      <c r="B43" s="28"/>
      <c r="C43" s="28">
        <f t="shared" ref="C43" si="42">SUM(C44:C45)</f>
        <v>0</v>
      </c>
      <c r="D43" s="28">
        <f t="shared" ref="D43:V43" si="43">SUM(D44:D45)</f>
        <v>3.4384340000000009</v>
      </c>
      <c r="E43" s="28">
        <f t="shared" si="43"/>
        <v>35.645567000000014</v>
      </c>
      <c r="F43" s="28">
        <f t="shared" si="43"/>
        <v>31.118662999999984</v>
      </c>
      <c r="G43" s="28">
        <f t="shared" si="43"/>
        <v>0</v>
      </c>
      <c r="H43" s="28">
        <f t="shared" si="43"/>
        <v>39.563781999999975</v>
      </c>
      <c r="I43" s="28">
        <f t="shared" si="43"/>
        <v>31.860656000000006</v>
      </c>
      <c r="J43" s="28">
        <f t="shared" si="43"/>
        <v>0</v>
      </c>
      <c r="K43" s="28">
        <f t="shared" si="43"/>
        <v>0</v>
      </c>
      <c r="L43" s="28">
        <f t="shared" si="43"/>
        <v>10.510560000000012</v>
      </c>
      <c r="M43" s="28">
        <f t="shared" si="43"/>
        <v>42.879327000000004</v>
      </c>
      <c r="N43" s="28">
        <f t="shared" si="43"/>
        <v>0</v>
      </c>
      <c r="O43" s="28">
        <f t="shared" si="43"/>
        <v>14.954459999999983</v>
      </c>
      <c r="P43" s="28">
        <f t="shared" si="43"/>
        <v>5.1767199999999889</v>
      </c>
      <c r="Q43" s="28">
        <f t="shared" si="43"/>
        <v>5.418990000000008</v>
      </c>
      <c r="R43" s="28">
        <f t="shared" si="43"/>
        <v>8.9724439999999959</v>
      </c>
      <c r="S43" s="28">
        <f t="shared" si="43"/>
        <v>31.220756999999992</v>
      </c>
      <c r="T43" s="28">
        <f t="shared" si="43"/>
        <v>38.685408000000024</v>
      </c>
      <c r="U43" s="28">
        <f t="shared" si="43"/>
        <v>0</v>
      </c>
      <c r="V43" s="28">
        <f t="shared" si="43"/>
        <v>0</v>
      </c>
      <c r="W43" s="28">
        <f t="shared" ref="W43:Y43" si="44">SUM(W44:W45)</f>
        <v>31.541801000000007</v>
      </c>
      <c r="X43" s="28">
        <f t="shared" si="44"/>
        <v>4.554571999999979</v>
      </c>
      <c r="Y43" s="28">
        <f t="shared" si="44"/>
        <v>0</v>
      </c>
      <c r="DA43" s="173" t="s">
        <v>1062</v>
      </c>
    </row>
    <row r="44" spans="1:105" ht="11.45" customHeight="1" x14ac:dyDescent="0.25">
      <c r="A44" s="83" t="s">
        <v>92</v>
      </c>
      <c r="B44" s="84"/>
      <c r="C44" s="84">
        <v>0</v>
      </c>
      <c r="D44" s="84">
        <v>3.4384340000000009</v>
      </c>
      <c r="E44" s="84">
        <v>8.496144000000001</v>
      </c>
      <c r="F44" s="84">
        <v>26.449300000000008</v>
      </c>
      <c r="G44" s="84">
        <v>0</v>
      </c>
      <c r="H44" s="84">
        <v>30.646176999999994</v>
      </c>
      <c r="I44" s="84">
        <v>0</v>
      </c>
      <c r="J44" s="84">
        <v>0</v>
      </c>
      <c r="K44" s="84">
        <v>0</v>
      </c>
      <c r="L44" s="84">
        <v>10.510560000000012</v>
      </c>
      <c r="M44" s="84">
        <v>8.2395360000000011</v>
      </c>
      <c r="N44" s="84">
        <v>0</v>
      </c>
      <c r="O44" s="84">
        <v>0</v>
      </c>
      <c r="P44" s="84">
        <v>0</v>
      </c>
      <c r="Q44" s="84">
        <v>0</v>
      </c>
      <c r="R44" s="84">
        <v>0</v>
      </c>
      <c r="S44" s="84">
        <v>9.2573399999999992</v>
      </c>
      <c r="T44" s="84">
        <v>16.015417000000014</v>
      </c>
      <c r="U44" s="84">
        <v>0</v>
      </c>
      <c r="V44" s="84">
        <v>0</v>
      </c>
      <c r="W44" s="84">
        <v>18.17142299999999</v>
      </c>
      <c r="X44" s="84">
        <v>0</v>
      </c>
      <c r="Y44" s="84">
        <v>0</v>
      </c>
      <c r="DA44" s="171" t="s">
        <v>1063</v>
      </c>
    </row>
    <row r="45" spans="1:105" ht="11.45" customHeight="1" x14ac:dyDescent="0.25">
      <c r="A45" s="85" t="s">
        <v>93</v>
      </c>
      <c r="B45" s="86"/>
      <c r="C45" s="86">
        <v>0</v>
      </c>
      <c r="D45" s="86">
        <v>0</v>
      </c>
      <c r="E45" s="86">
        <v>27.149423000000013</v>
      </c>
      <c r="F45" s="86">
        <v>4.6693629999999757</v>
      </c>
      <c r="G45" s="86">
        <v>0</v>
      </c>
      <c r="H45" s="86">
        <v>8.9176049999999805</v>
      </c>
      <c r="I45" s="86">
        <v>31.860656000000006</v>
      </c>
      <c r="J45" s="86">
        <v>0</v>
      </c>
      <c r="K45" s="86">
        <v>0</v>
      </c>
      <c r="L45" s="86">
        <v>0</v>
      </c>
      <c r="M45" s="86">
        <v>34.639791000000002</v>
      </c>
      <c r="N45" s="86">
        <v>0</v>
      </c>
      <c r="O45" s="86">
        <v>14.954459999999983</v>
      </c>
      <c r="P45" s="86">
        <v>5.1767199999999889</v>
      </c>
      <c r="Q45" s="86">
        <v>5.418990000000008</v>
      </c>
      <c r="R45" s="86">
        <v>8.9724439999999959</v>
      </c>
      <c r="S45" s="86">
        <v>21.963416999999993</v>
      </c>
      <c r="T45" s="86">
        <v>22.66999100000001</v>
      </c>
      <c r="U45" s="86">
        <v>0</v>
      </c>
      <c r="V45" s="86">
        <v>0</v>
      </c>
      <c r="W45" s="86">
        <v>13.370378000000017</v>
      </c>
      <c r="X45" s="86">
        <v>4.554571999999979</v>
      </c>
      <c r="Y45" s="86">
        <v>0</v>
      </c>
      <c r="DA45" s="178" t="s">
        <v>1064</v>
      </c>
    </row>
    <row r="46" spans="1:105" x14ac:dyDescent="0.25">
      <c r="A46" s="106"/>
      <c r="B46" s="106"/>
      <c r="C46" s="106"/>
      <c r="D46" s="106"/>
      <c r="E46" s="106"/>
      <c r="F46" s="106"/>
      <c r="G46" s="106"/>
      <c r="H46" s="106"/>
      <c r="I46" s="106"/>
      <c r="J46" s="106"/>
      <c r="K46" s="106"/>
      <c r="L46" s="106"/>
      <c r="M46" s="106"/>
      <c r="N46" s="106"/>
      <c r="O46" s="106"/>
      <c r="P46" s="106"/>
      <c r="Q46" s="106"/>
      <c r="R46" s="106"/>
      <c r="S46" s="106"/>
      <c r="T46" s="106"/>
      <c r="U46" s="106"/>
      <c r="V46" s="106"/>
      <c r="W46" s="106"/>
      <c r="X46" s="106"/>
      <c r="Y46" s="106"/>
      <c r="DA46" s="171"/>
    </row>
    <row r="47" spans="1:105" ht="11.45" customHeight="1" x14ac:dyDescent="0.25">
      <c r="A47" s="68" t="s">
        <v>36</v>
      </c>
      <c r="B47" s="69"/>
      <c r="C47" s="69"/>
      <c r="D47" s="69"/>
      <c r="E47" s="69"/>
      <c r="F47" s="69"/>
      <c r="G47" s="69"/>
      <c r="H47" s="69"/>
      <c r="I47" s="69"/>
      <c r="J47" s="69"/>
      <c r="K47" s="69"/>
      <c r="L47" s="69"/>
      <c r="M47" s="69"/>
      <c r="N47" s="69"/>
      <c r="O47" s="69"/>
      <c r="P47" s="69"/>
      <c r="Q47" s="69"/>
      <c r="R47" s="69"/>
      <c r="S47" s="69"/>
      <c r="T47" s="69"/>
      <c r="U47" s="69"/>
      <c r="V47" s="69"/>
      <c r="W47" s="69"/>
      <c r="X47" s="69"/>
      <c r="Y47" s="69"/>
      <c r="DA47" s="179"/>
    </row>
    <row r="48" spans="1:105" x14ac:dyDescent="0.25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DA48" s="208"/>
    </row>
    <row r="49" spans="1:105" ht="11.45" customHeight="1" x14ac:dyDescent="0.25">
      <c r="A49" s="53" t="s">
        <v>99</v>
      </c>
      <c r="B49" s="62"/>
      <c r="C49" s="62"/>
      <c r="D49" s="62"/>
      <c r="E49" s="62"/>
      <c r="F49" s="62"/>
      <c r="G49" s="62"/>
      <c r="H49" s="62"/>
      <c r="I49" s="62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DA49" s="172"/>
    </row>
    <row r="50" spans="1:105" ht="11.45" customHeight="1" x14ac:dyDescent="0.25">
      <c r="A50" s="27" t="s">
        <v>100</v>
      </c>
      <c r="B50" s="29">
        <f t="shared" ref="B50:J50" si="45">IF(B4=0,0,B4/B15)</f>
        <v>150.76719511493192</v>
      </c>
      <c r="C50" s="29">
        <f t="shared" si="45"/>
        <v>133.19594078784792</v>
      </c>
      <c r="D50" s="29">
        <f t="shared" si="45"/>
        <v>119.16292707118416</v>
      </c>
      <c r="E50" s="29">
        <f t="shared" si="45"/>
        <v>110.66378606525197</v>
      </c>
      <c r="F50" s="29">
        <f t="shared" si="45"/>
        <v>113.16486874628185</v>
      </c>
      <c r="G50" s="29">
        <f t="shared" si="45"/>
        <v>113.15574638790331</v>
      </c>
      <c r="H50" s="29">
        <f t="shared" si="45"/>
        <v>129.2294392111709</v>
      </c>
      <c r="I50" s="29">
        <f t="shared" si="45"/>
        <v>126.41740887304897</v>
      </c>
      <c r="J50" s="29">
        <f t="shared" si="45"/>
        <v>130.59950269765139</v>
      </c>
      <c r="K50" s="29">
        <f t="shared" ref="K50:V50" si="46">IF(K4=0,0,K4/K15)</f>
        <v>120.8677388504602</v>
      </c>
      <c r="L50" s="29">
        <f t="shared" si="46"/>
        <v>120.0675101985088</v>
      </c>
      <c r="M50" s="29">
        <f t="shared" si="46"/>
        <v>124.09254810261271</v>
      </c>
      <c r="N50" s="29">
        <f t="shared" si="46"/>
        <v>118.14931921630014</v>
      </c>
      <c r="O50" s="29">
        <f t="shared" si="46"/>
        <v>113.36185111114276</v>
      </c>
      <c r="P50" s="29">
        <f t="shared" si="46"/>
        <v>110.84305703701375</v>
      </c>
      <c r="Q50" s="29">
        <f t="shared" si="46"/>
        <v>112.76287216658869</v>
      </c>
      <c r="R50" s="29">
        <f t="shared" si="46"/>
        <v>113.2272467038062</v>
      </c>
      <c r="S50" s="29">
        <f t="shared" si="46"/>
        <v>115.7371710767456</v>
      </c>
      <c r="T50" s="29">
        <f t="shared" si="46"/>
        <v>112.04728838182614</v>
      </c>
      <c r="U50" s="29">
        <f t="shared" si="46"/>
        <v>119.12808629535846</v>
      </c>
      <c r="V50" s="29">
        <f t="shared" si="46"/>
        <v>73.149190179184686</v>
      </c>
      <c r="W50" s="29">
        <f t="shared" ref="W50:Y50" si="47">IF(W4=0,0,W4/W15)</f>
        <v>82.507350061307903</v>
      </c>
      <c r="X50" s="29">
        <f t="shared" si="47"/>
        <v>114.80745748141607</v>
      </c>
      <c r="Y50" s="29">
        <f t="shared" si="47"/>
        <v>123.23905306530241</v>
      </c>
      <c r="DA50" s="173" t="s">
        <v>1065</v>
      </c>
    </row>
    <row r="51" spans="1:105" ht="11.45" customHeight="1" x14ac:dyDescent="0.25">
      <c r="A51" s="107" t="s">
        <v>23</v>
      </c>
      <c r="B51" s="115">
        <f t="shared" ref="B51:J51" si="48">IF(B5=0,0,B5/B16)</f>
        <v>82.028025960358178</v>
      </c>
      <c r="C51" s="115">
        <f t="shared" si="48"/>
        <v>81.354743242376102</v>
      </c>
      <c r="D51" s="115">
        <f t="shared" si="48"/>
        <v>79.74817934163886</v>
      </c>
      <c r="E51" s="115">
        <f t="shared" si="48"/>
        <v>79.437085511382065</v>
      </c>
      <c r="F51" s="115">
        <f t="shared" si="48"/>
        <v>80.618296071881332</v>
      </c>
      <c r="G51" s="115">
        <f t="shared" si="48"/>
        <v>81.438156088951729</v>
      </c>
      <c r="H51" s="115">
        <f t="shared" si="48"/>
        <v>80.680516353373591</v>
      </c>
      <c r="I51" s="115">
        <f t="shared" si="48"/>
        <v>82.322476772210536</v>
      </c>
      <c r="J51" s="115">
        <f t="shared" si="48"/>
        <v>82.5279485544865</v>
      </c>
      <c r="K51" s="115">
        <f t="shared" ref="K51:V51" si="49">IF(K5=0,0,K5/K16)</f>
        <v>81.153893664355365</v>
      </c>
      <c r="L51" s="115">
        <f t="shared" si="49"/>
        <v>79.87052880092817</v>
      </c>
      <c r="M51" s="115">
        <f t="shared" si="49"/>
        <v>80.891939772314458</v>
      </c>
      <c r="N51" s="115">
        <f t="shared" si="49"/>
        <v>79.579906491413823</v>
      </c>
      <c r="O51" s="115">
        <f t="shared" si="49"/>
        <v>79.388163654875072</v>
      </c>
      <c r="P51" s="115">
        <f t="shared" si="49"/>
        <v>78.996495927750146</v>
      </c>
      <c r="Q51" s="115">
        <f t="shared" si="49"/>
        <v>79.378956862505405</v>
      </c>
      <c r="R51" s="115">
        <f t="shared" si="49"/>
        <v>79.172838181299525</v>
      </c>
      <c r="S51" s="115">
        <f t="shared" si="49"/>
        <v>79.921894269904939</v>
      </c>
      <c r="T51" s="115">
        <f t="shared" si="49"/>
        <v>80.275285575406102</v>
      </c>
      <c r="U51" s="115">
        <f t="shared" si="49"/>
        <v>80.664647043405651</v>
      </c>
      <c r="V51" s="115">
        <f t="shared" si="49"/>
        <v>48.953257182955824</v>
      </c>
      <c r="W51" s="115">
        <f t="shared" ref="W51:Y51" si="50">IF(W5=0,0,W5/W16)</f>
        <v>55.83802051054176</v>
      </c>
      <c r="X51" s="115">
        <f t="shared" si="50"/>
        <v>79.998880837133811</v>
      </c>
      <c r="Y51" s="115">
        <f t="shared" si="50"/>
        <v>84.122574788125235</v>
      </c>
      <c r="DA51" s="203" t="s">
        <v>1066</v>
      </c>
    </row>
    <row r="52" spans="1:105" ht="11.45" customHeight="1" x14ac:dyDescent="0.25">
      <c r="A52" s="109" t="s">
        <v>24</v>
      </c>
      <c r="B52" s="116">
        <f t="shared" ref="B52:J52" si="51">IF(B6=0,0,B6/B17)</f>
        <v>180.23162321175147</v>
      </c>
      <c r="C52" s="116">
        <f t="shared" si="51"/>
        <v>153.42938946092454</v>
      </c>
      <c r="D52" s="116">
        <f t="shared" si="51"/>
        <v>133.89817459896574</v>
      </c>
      <c r="E52" s="116">
        <f t="shared" si="51"/>
        <v>121.61896174595746</v>
      </c>
      <c r="F52" s="116">
        <f t="shared" si="51"/>
        <v>125.3490361803164</v>
      </c>
      <c r="G52" s="116">
        <f t="shared" si="51"/>
        <v>124.9483997938643</v>
      </c>
      <c r="H52" s="116">
        <f t="shared" si="51"/>
        <v>151.02857811870143</v>
      </c>
      <c r="I52" s="116">
        <f t="shared" si="51"/>
        <v>144.32382798491224</v>
      </c>
      <c r="J52" s="116">
        <f t="shared" si="51"/>
        <v>150.57798899922633</v>
      </c>
      <c r="K52" s="116">
        <f t="shared" ref="K52:V52" si="52">IF(K6=0,0,K6/K17)</f>
        <v>136.33235943900047</v>
      </c>
      <c r="L52" s="116">
        <f t="shared" si="52"/>
        <v>136.73254688801669</v>
      </c>
      <c r="M52" s="116">
        <f t="shared" si="52"/>
        <v>142.5342318731023</v>
      </c>
      <c r="N52" s="116">
        <f t="shared" si="52"/>
        <v>134.17195768983686</v>
      </c>
      <c r="O52" s="116">
        <f t="shared" si="52"/>
        <v>126.58511785562871</v>
      </c>
      <c r="P52" s="116">
        <f t="shared" si="52"/>
        <v>124.07729519675871</v>
      </c>
      <c r="Q52" s="116">
        <f t="shared" si="52"/>
        <v>123.57208674177218</v>
      </c>
      <c r="R52" s="116">
        <f t="shared" si="52"/>
        <v>119.52352144512493</v>
      </c>
      <c r="S52" s="116">
        <f t="shared" si="52"/>
        <v>122.09228757995517</v>
      </c>
      <c r="T52" s="116">
        <f t="shared" si="52"/>
        <v>115.98454548615275</v>
      </c>
      <c r="U52" s="116">
        <f t="shared" si="52"/>
        <v>125.20484074134454</v>
      </c>
      <c r="V52" s="116">
        <f t="shared" si="52"/>
        <v>78.867340317809791</v>
      </c>
      <c r="W52" s="116">
        <f t="shared" ref="W52:Y52" si="53">IF(W6=0,0,W6/W17)</f>
        <v>86.12487754566915</v>
      </c>
      <c r="X52" s="116">
        <f t="shared" si="53"/>
        <v>119.04978048572893</v>
      </c>
      <c r="Y52" s="116">
        <f t="shared" si="53"/>
        <v>127.72581928007153</v>
      </c>
      <c r="DA52" s="176" t="s">
        <v>1067</v>
      </c>
    </row>
    <row r="53" spans="1:105" ht="11.45" customHeight="1" x14ac:dyDescent="0.25">
      <c r="A53" s="111" t="s">
        <v>92</v>
      </c>
      <c r="B53" s="87">
        <f t="shared" ref="B53:J53" si="54">IF(B7=0,0,B7/B18)</f>
        <v>124.3581403644623</v>
      </c>
      <c r="C53" s="87">
        <f t="shared" si="54"/>
        <v>124.67740889822409</v>
      </c>
      <c r="D53" s="87">
        <f t="shared" si="54"/>
        <v>115.67718349292446</v>
      </c>
      <c r="E53" s="87">
        <f t="shared" si="54"/>
        <v>106.13910855963083</v>
      </c>
      <c r="F53" s="87">
        <f t="shared" si="54"/>
        <v>109.86881273868343</v>
      </c>
      <c r="G53" s="87">
        <f t="shared" si="54"/>
        <v>113.11904934822606</v>
      </c>
      <c r="H53" s="87">
        <f t="shared" si="54"/>
        <v>118.8811407905539</v>
      </c>
      <c r="I53" s="87">
        <f t="shared" si="54"/>
        <v>126.29976025064451</v>
      </c>
      <c r="J53" s="87">
        <f t="shared" si="54"/>
        <v>120.86406684993042</v>
      </c>
      <c r="K53" s="87">
        <f t="shared" ref="K53:V53" si="55">IF(K7=0,0,K7/K18)</f>
        <v>119.33854706269764</v>
      </c>
      <c r="L53" s="87">
        <f t="shared" si="55"/>
        <v>117.80880709797974</v>
      </c>
      <c r="M53" s="87">
        <f t="shared" si="55"/>
        <v>121.51665653214579</v>
      </c>
      <c r="N53" s="87">
        <f t="shared" si="55"/>
        <v>112.47195496945216</v>
      </c>
      <c r="O53" s="87">
        <f t="shared" si="55"/>
        <v>114.02073912966935</v>
      </c>
      <c r="P53" s="87">
        <f t="shared" si="55"/>
        <v>117.64055897541785</v>
      </c>
      <c r="Q53" s="87">
        <f t="shared" si="55"/>
        <v>141.60945432372941</v>
      </c>
      <c r="R53" s="87">
        <f t="shared" si="55"/>
        <v>149.3174942311073</v>
      </c>
      <c r="S53" s="87">
        <f t="shared" si="55"/>
        <v>132.60065517965296</v>
      </c>
      <c r="T53" s="87">
        <f t="shared" si="55"/>
        <v>106.80563560822479</v>
      </c>
      <c r="U53" s="87">
        <f t="shared" si="55"/>
        <v>140.82480711285243</v>
      </c>
      <c r="V53" s="87">
        <f t="shared" si="55"/>
        <v>98.47178502873993</v>
      </c>
      <c r="W53" s="87">
        <f t="shared" ref="W53:Y53" si="56">IF(W7=0,0,W7/W18)</f>
        <v>124.97425740553349</v>
      </c>
      <c r="X53" s="87">
        <f t="shared" si="56"/>
        <v>124.96530250063826</v>
      </c>
      <c r="Y53" s="87">
        <f t="shared" si="56"/>
        <v>172.37093629503113</v>
      </c>
      <c r="DA53" s="171" t="s">
        <v>1068</v>
      </c>
    </row>
    <row r="54" spans="1:105" ht="11.45" customHeight="1" x14ac:dyDescent="0.25">
      <c r="A54" s="111" t="s">
        <v>93</v>
      </c>
      <c r="B54" s="87">
        <f t="shared" ref="B54:J54" si="57">IF(B8=0,0,B8/B19)</f>
        <v>202.13971254783101</v>
      </c>
      <c r="C54" s="87">
        <f t="shared" si="57"/>
        <v>163.87223215248909</v>
      </c>
      <c r="D54" s="87">
        <f t="shared" si="57"/>
        <v>139.68549075353846</v>
      </c>
      <c r="E54" s="87">
        <f t="shared" si="57"/>
        <v>126.95058498633441</v>
      </c>
      <c r="F54" s="87">
        <f t="shared" si="57"/>
        <v>129.99672945440875</v>
      </c>
      <c r="G54" s="87">
        <f t="shared" si="57"/>
        <v>129.08773503752997</v>
      </c>
      <c r="H54" s="87">
        <f t="shared" si="57"/>
        <v>159.4516982132543</v>
      </c>
      <c r="I54" s="87">
        <f t="shared" si="57"/>
        <v>150.18252279339313</v>
      </c>
      <c r="J54" s="87">
        <f t="shared" si="57"/>
        <v>158.1950910094325</v>
      </c>
      <c r="K54" s="87">
        <f t="shared" ref="K54:V54" si="58">IF(K8=0,0,K8/K19)</f>
        <v>141.13473731490606</v>
      </c>
      <c r="L54" s="87">
        <f t="shared" si="58"/>
        <v>139.88935194112537</v>
      </c>
      <c r="M54" s="87">
        <f t="shared" si="58"/>
        <v>146.25914788675627</v>
      </c>
      <c r="N54" s="87">
        <f t="shared" si="58"/>
        <v>138.18107157376937</v>
      </c>
      <c r="O54" s="87">
        <f t="shared" si="58"/>
        <v>128.726567032259</v>
      </c>
      <c r="P54" s="87">
        <f t="shared" si="58"/>
        <v>125.12356213162178</v>
      </c>
      <c r="Q54" s="87">
        <f t="shared" si="58"/>
        <v>121.44812052599444</v>
      </c>
      <c r="R54" s="87">
        <f t="shared" si="58"/>
        <v>115.74030810700343</v>
      </c>
      <c r="S54" s="87">
        <f t="shared" si="58"/>
        <v>120.94681187929639</v>
      </c>
      <c r="T54" s="87">
        <f t="shared" si="58"/>
        <v>117.23293698180977</v>
      </c>
      <c r="U54" s="87">
        <f t="shared" si="58"/>
        <v>123.74302752596253</v>
      </c>
      <c r="V54" s="87">
        <f t="shared" si="58"/>
        <v>76.954502524993842</v>
      </c>
      <c r="W54" s="87">
        <f t="shared" ref="W54:Y54" si="59">IF(W8=0,0,W8/W19)</f>
        <v>83.772792455525575</v>
      </c>
      <c r="X54" s="87">
        <f t="shared" si="59"/>
        <v>118.53507156121199</v>
      </c>
      <c r="Y54" s="87">
        <f t="shared" si="59"/>
        <v>124.94158007132393</v>
      </c>
      <c r="DA54" s="171" t="s">
        <v>1069</v>
      </c>
    </row>
    <row r="55" spans="1:105" ht="11.45" customHeight="1" x14ac:dyDescent="0.25">
      <c r="A55" s="112" t="s">
        <v>25</v>
      </c>
      <c r="B55" s="117">
        <f t="shared" ref="B55:J55" si="60">IF(B9=0,0,B9/B20)</f>
        <v>0</v>
      </c>
      <c r="C55" s="117">
        <f t="shared" si="60"/>
        <v>0</v>
      </c>
      <c r="D55" s="117">
        <f t="shared" si="60"/>
        <v>0</v>
      </c>
      <c r="E55" s="117">
        <f t="shared" si="60"/>
        <v>0</v>
      </c>
      <c r="F55" s="117">
        <f t="shared" si="60"/>
        <v>0</v>
      </c>
      <c r="G55" s="117">
        <f t="shared" si="60"/>
        <v>0</v>
      </c>
      <c r="H55" s="117">
        <f t="shared" si="60"/>
        <v>0</v>
      </c>
      <c r="I55" s="117">
        <f t="shared" si="60"/>
        <v>0</v>
      </c>
      <c r="J55" s="117">
        <f t="shared" si="60"/>
        <v>0</v>
      </c>
      <c r="K55" s="117">
        <f t="shared" ref="K55:V55" si="61">IF(K9=0,0,K9/K20)</f>
        <v>0</v>
      </c>
      <c r="L55" s="117">
        <f t="shared" si="61"/>
        <v>0</v>
      </c>
      <c r="M55" s="117">
        <f t="shared" si="61"/>
        <v>0</v>
      </c>
      <c r="N55" s="117">
        <f t="shared" si="61"/>
        <v>0</v>
      </c>
      <c r="O55" s="117">
        <f t="shared" si="61"/>
        <v>0</v>
      </c>
      <c r="P55" s="117">
        <f t="shared" si="61"/>
        <v>0</v>
      </c>
      <c r="Q55" s="117">
        <f t="shared" si="61"/>
        <v>309.13715515554691</v>
      </c>
      <c r="R55" s="117">
        <f t="shared" si="61"/>
        <v>322.26027540045266</v>
      </c>
      <c r="S55" s="117">
        <f t="shared" si="61"/>
        <v>339.70179850541695</v>
      </c>
      <c r="T55" s="117">
        <f t="shared" si="61"/>
        <v>355.05954421815352</v>
      </c>
      <c r="U55" s="117">
        <f t="shared" si="61"/>
        <v>357.7222767940375</v>
      </c>
      <c r="V55" s="117">
        <f t="shared" si="61"/>
        <v>171.58345928336772</v>
      </c>
      <c r="W55" s="117">
        <f t="shared" ref="W55:Y55" si="62">IF(W9=0,0,W9/W20)</f>
        <v>248.92642839227008</v>
      </c>
      <c r="X55" s="117">
        <f t="shared" si="62"/>
        <v>321.29579312486322</v>
      </c>
      <c r="Y55" s="117">
        <f t="shared" si="62"/>
        <v>375.49932216218986</v>
      </c>
      <c r="DA55" s="204" t="s">
        <v>1070</v>
      </c>
    </row>
    <row r="56" spans="1:105" ht="11.45" customHeight="1" x14ac:dyDescent="0.25">
      <c r="A56" s="27" t="s">
        <v>101</v>
      </c>
      <c r="B56" s="29">
        <f t="shared" ref="B56:J56" si="63">IF(B10=0,0,B10/B21)</f>
        <v>607.25378328738464</v>
      </c>
      <c r="C56" s="29">
        <f t="shared" si="63"/>
        <v>594.24018883517317</v>
      </c>
      <c r="D56" s="29">
        <f t="shared" si="63"/>
        <v>608.03486160350496</v>
      </c>
      <c r="E56" s="29">
        <f t="shared" si="63"/>
        <v>585.11643903887114</v>
      </c>
      <c r="F56" s="29">
        <f t="shared" si="63"/>
        <v>619.33385891805824</v>
      </c>
      <c r="G56" s="29">
        <f t="shared" si="63"/>
        <v>637.43296220120692</v>
      </c>
      <c r="H56" s="29">
        <f t="shared" si="63"/>
        <v>639.69253145462858</v>
      </c>
      <c r="I56" s="29">
        <f t="shared" si="63"/>
        <v>646.72856205966593</v>
      </c>
      <c r="J56" s="29">
        <f t="shared" si="63"/>
        <v>643.55080683156064</v>
      </c>
      <c r="K56" s="29">
        <f t="shared" ref="K56:V56" si="64">IF(K10=0,0,K10/K21)</f>
        <v>657.73240569726636</v>
      </c>
      <c r="L56" s="29">
        <f t="shared" si="64"/>
        <v>666.82090568837089</v>
      </c>
      <c r="M56" s="29">
        <f t="shared" si="64"/>
        <v>681.46352364980237</v>
      </c>
      <c r="N56" s="29">
        <f t="shared" si="64"/>
        <v>697.13919048386776</v>
      </c>
      <c r="O56" s="29">
        <f t="shared" si="64"/>
        <v>730.09347677890298</v>
      </c>
      <c r="P56" s="29">
        <f t="shared" si="64"/>
        <v>749.2314681056896</v>
      </c>
      <c r="Q56" s="29">
        <f t="shared" si="64"/>
        <v>769.01970300067057</v>
      </c>
      <c r="R56" s="29">
        <f t="shared" si="64"/>
        <v>785.98059599605665</v>
      </c>
      <c r="S56" s="29">
        <f t="shared" si="64"/>
        <v>806.57399391723595</v>
      </c>
      <c r="T56" s="29">
        <f t="shared" si="64"/>
        <v>814.34774426622323</v>
      </c>
      <c r="U56" s="29">
        <f t="shared" si="64"/>
        <v>810.01325418348915</v>
      </c>
      <c r="V56" s="29">
        <f t="shared" si="64"/>
        <v>811.29361928063838</v>
      </c>
      <c r="W56" s="29">
        <f t="shared" ref="W56:Y56" si="65">IF(W10=0,0,W10/W21)</f>
        <v>813.98407007679475</v>
      </c>
      <c r="X56" s="29">
        <f t="shared" si="65"/>
        <v>939.21767263826086</v>
      </c>
      <c r="Y56" s="29">
        <f t="shared" si="65"/>
        <v>1030.6526583149748</v>
      </c>
      <c r="DA56" s="173" t="s">
        <v>1071</v>
      </c>
    </row>
    <row r="57" spans="1:105" ht="11.45" customHeight="1" x14ac:dyDescent="0.25">
      <c r="A57" s="83" t="s">
        <v>92</v>
      </c>
      <c r="B57" s="87">
        <f t="shared" ref="B57:J57" si="66">IF(B11=0,0,B11/B22)</f>
        <v>654.45149429038156</v>
      </c>
      <c r="C57" s="87">
        <f t="shared" si="66"/>
        <v>632.4456546463191</v>
      </c>
      <c r="D57" s="87">
        <f t="shared" si="66"/>
        <v>646.57412606658352</v>
      </c>
      <c r="E57" s="87">
        <f t="shared" si="66"/>
        <v>710.24141157877807</v>
      </c>
      <c r="F57" s="87">
        <f t="shared" si="66"/>
        <v>716.5974933025368</v>
      </c>
      <c r="G57" s="87">
        <f t="shared" si="66"/>
        <v>724.74164163384989</v>
      </c>
      <c r="H57" s="87">
        <f t="shared" si="66"/>
        <v>691.46123100568502</v>
      </c>
      <c r="I57" s="87">
        <f t="shared" si="66"/>
        <v>723.48271200465092</v>
      </c>
      <c r="J57" s="87">
        <f t="shared" si="66"/>
        <v>700.79238511085339</v>
      </c>
      <c r="K57" s="87">
        <f t="shared" ref="K57:V57" si="67">IF(K11=0,0,K11/K22)</f>
        <v>723.53066647046717</v>
      </c>
      <c r="L57" s="87">
        <f t="shared" si="67"/>
        <v>701.08023949177027</v>
      </c>
      <c r="M57" s="87">
        <f t="shared" si="67"/>
        <v>718.84153359021741</v>
      </c>
      <c r="N57" s="87">
        <f t="shared" si="67"/>
        <v>698.19883722167106</v>
      </c>
      <c r="O57" s="87">
        <f t="shared" si="67"/>
        <v>792.58192320248691</v>
      </c>
      <c r="P57" s="87">
        <f t="shared" si="67"/>
        <v>799.87301334756933</v>
      </c>
      <c r="Q57" s="87">
        <f t="shared" si="67"/>
        <v>868.71634538350895</v>
      </c>
      <c r="R57" s="87">
        <f t="shared" si="67"/>
        <v>921.78085778869172</v>
      </c>
      <c r="S57" s="87">
        <f t="shared" si="67"/>
        <v>905.07249115146851</v>
      </c>
      <c r="T57" s="87">
        <f t="shared" si="67"/>
        <v>882.05800689687237</v>
      </c>
      <c r="U57" s="87">
        <f t="shared" si="67"/>
        <v>935.87161677414895</v>
      </c>
      <c r="V57" s="87">
        <f t="shared" si="67"/>
        <v>968.54788202530074</v>
      </c>
      <c r="W57" s="87">
        <f t="shared" ref="W57:Y57" si="68">IF(W11=0,0,W11/W22)</f>
        <v>902.49373605261565</v>
      </c>
      <c r="X57" s="87">
        <f t="shared" si="68"/>
        <v>998.64158520303204</v>
      </c>
      <c r="Y57" s="87">
        <f t="shared" si="68"/>
        <v>1130.9978644573102</v>
      </c>
      <c r="DA57" s="171" t="s">
        <v>1072</v>
      </c>
    </row>
    <row r="58" spans="1:105" ht="11.45" customHeight="1" x14ac:dyDescent="0.25">
      <c r="A58" s="85" t="s">
        <v>93</v>
      </c>
      <c r="B58" s="88">
        <f t="shared" ref="B58:J58" si="69">IF(B12=0,0,B12/B23)</f>
        <v>600.46055264295796</v>
      </c>
      <c r="C58" s="88">
        <f t="shared" si="69"/>
        <v>588.55519229074446</v>
      </c>
      <c r="D58" s="88">
        <f t="shared" si="69"/>
        <v>601.80222558803291</v>
      </c>
      <c r="E58" s="88">
        <f t="shared" si="69"/>
        <v>563.46369908562053</v>
      </c>
      <c r="F58" s="88">
        <f t="shared" si="69"/>
        <v>595.14934867655052</v>
      </c>
      <c r="G58" s="88">
        <f t="shared" si="69"/>
        <v>616.01469562926093</v>
      </c>
      <c r="H58" s="88">
        <f t="shared" si="69"/>
        <v>621.92237221312701</v>
      </c>
      <c r="I58" s="88">
        <f t="shared" si="69"/>
        <v>626.57720226401784</v>
      </c>
      <c r="J58" s="88">
        <f t="shared" si="69"/>
        <v>627.95044500492043</v>
      </c>
      <c r="K58" s="88">
        <f t="shared" ref="K58:V58" si="70">IF(K12=0,0,K12/K23)</f>
        <v>637.50796996756378</v>
      </c>
      <c r="L58" s="88">
        <f t="shared" si="70"/>
        <v>654.12371231406416</v>
      </c>
      <c r="M58" s="88">
        <f t="shared" si="70"/>
        <v>667.91481457157624</v>
      </c>
      <c r="N58" s="88">
        <f t="shared" si="70"/>
        <v>696.75252764774734</v>
      </c>
      <c r="O58" s="88">
        <f t="shared" si="70"/>
        <v>708.9197045293887</v>
      </c>
      <c r="P58" s="88">
        <f t="shared" si="70"/>
        <v>733.19185013594256</v>
      </c>
      <c r="Q58" s="88">
        <f t="shared" si="70"/>
        <v>736.2082562147192</v>
      </c>
      <c r="R58" s="88">
        <f t="shared" si="70"/>
        <v>743.07738427250149</v>
      </c>
      <c r="S58" s="88">
        <f t="shared" si="70"/>
        <v>773.94111928550433</v>
      </c>
      <c r="T58" s="88">
        <f t="shared" si="70"/>
        <v>789.29781043909134</v>
      </c>
      <c r="U58" s="88">
        <f t="shared" si="70"/>
        <v>765.18979089048833</v>
      </c>
      <c r="V58" s="88">
        <f t="shared" si="70"/>
        <v>752.29908043944033</v>
      </c>
      <c r="W58" s="88">
        <f t="shared" ref="W58:Y58" si="71">IF(W12=0,0,W12/W23)</f>
        <v>774.3251912049883</v>
      </c>
      <c r="X58" s="88">
        <f t="shared" si="71"/>
        <v>914.73577854895973</v>
      </c>
      <c r="Y58" s="88">
        <f t="shared" si="71"/>
        <v>986.53249475449559</v>
      </c>
      <c r="DA58" s="178" t="s">
        <v>1073</v>
      </c>
    </row>
    <row r="59" spans="1:105" x14ac:dyDescent="0.25">
      <c r="A59" s="106"/>
      <c r="B59" s="106"/>
      <c r="C59" s="106"/>
      <c r="D59" s="106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X59" s="106"/>
      <c r="Y59" s="106"/>
      <c r="DA59" s="171"/>
    </row>
    <row r="60" spans="1:105" ht="11.45" customHeight="1" x14ac:dyDescent="0.25">
      <c r="A60" s="53" t="s">
        <v>102</v>
      </c>
      <c r="B60" s="62"/>
      <c r="C60" s="62"/>
      <c r="D60" s="62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DA60" s="172"/>
    </row>
    <row r="61" spans="1:105" ht="11.45" customHeight="1" x14ac:dyDescent="0.25">
      <c r="A61" s="27" t="s">
        <v>103</v>
      </c>
      <c r="B61" s="29">
        <f t="shared" ref="B61" si="72">IF(B26=0,0,(B62*B27+B64*B29+B65*B30+B66*B31)/(B27+B29+B30+B31))</f>
        <v>349.51122104801186</v>
      </c>
      <c r="C61" s="29">
        <f t="shared" ref="C61" si="73">IF(C26=0,0,(C62*C27+C64*C29+C65*C30+C66*C31)/(C27+C29+C30+C31))</f>
        <v>347.78827143617866</v>
      </c>
      <c r="D61" s="29">
        <f t="shared" ref="D61" si="74">IF(D26=0,0,(D62*D27+D64*D29+D65*D30+D66*D31)/(D27+D29+D30+D31))</f>
        <v>347.0127434052709</v>
      </c>
      <c r="E61" s="29">
        <f t="shared" ref="E61" si="75">IF(E26=0,0,(E62*E27+E64*E29+E65*E30+E66*E31)/(E27+E29+E30+E31))</f>
        <v>345.88747213825928</v>
      </c>
      <c r="F61" s="29">
        <f t="shared" ref="F61" si="76">IF(F26=0,0,(F62*F27+F64*F29+F65*F30+F66*F31)/(F27+F29+F30+F31))</f>
        <v>346.66155912685025</v>
      </c>
      <c r="G61" s="29">
        <f t="shared" ref="G61" si="77">IF(G26=0,0,(G62*G27+G64*G29+G65*G30+G66*G31)/(G27+G29+G30+G31))</f>
        <v>346.91448025637362</v>
      </c>
      <c r="H61" s="29">
        <f t="shared" ref="H61" si="78">IF(H26=0,0,(H62*H27+H64*H29+H65*H30+H66*H31)/(H27+H29+H30+H31))</f>
        <v>349.04500354333078</v>
      </c>
      <c r="I61" s="29">
        <f t="shared" ref="I61" si="79">IF(I26=0,0,(I62*I27+I64*I29+I65*I30+I66*I31)/(I27+I29+I30+I31))</f>
        <v>348.51187243639367</v>
      </c>
      <c r="J61" s="29">
        <f t="shared" ref="J61" si="80">IF(J26=0,0,(J62*J27+J64*J29+J65*J30+J66*J31)/(J27+J29+J30+J31))</f>
        <v>348.58113385559363</v>
      </c>
      <c r="K61" s="29">
        <f t="shared" ref="K61" si="81">IF(K26=0,0,(K62*K27+K64*K29+K65*K30+K66*K31)/(K27+K29+K30+K31))</f>
        <v>347.74662862153252</v>
      </c>
      <c r="L61" s="29">
        <f t="shared" ref="L61" si="82">IF(L26=0,0,(L62*L27+L64*L29+L65*L30+L66*L31)/(L27+L29+L30+L31))</f>
        <v>347.85872233306259</v>
      </c>
      <c r="M61" s="29">
        <f t="shared" ref="M61" si="83">IF(M26=0,0,(M62*M27+M64*M29+M65*M30+M66*M31)/(M27+M29+M30+M31))</f>
        <v>348.94828416221043</v>
      </c>
      <c r="N61" s="29">
        <f t="shared" ref="N61" si="84">IF(N26=0,0,(N62*N27+N64*N29+N65*N30+N66*N31)/(N27+N29+N30+N31))</f>
        <v>348.93029792510993</v>
      </c>
      <c r="O61" s="29">
        <f t="shared" ref="O61" si="85">IF(O26=0,0,(O62*O27+O64*O29+O65*O30+O66*O31)/(O27+O29+O30+O31))</f>
        <v>347.73823063905252</v>
      </c>
      <c r="P61" s="29">
        <f t="shared" ref="P61" si="86">IF(P26=0,0,(P62*P27+P64*P29+P65*P30+P66*P31)/(P27+P29+P30+P31))</f>
        <v>348.93648112058537</v>
      </c>
      <c r="Q61" s="29">
        <f t="shared" ref="Q61" si="87">IF(Q26=0,0,(Q62*Q27+Q64*Q29+Q65*Q30+Q66*Q31)/(Q27+Q29+Q30+Q31))</f>
        <v>348.22636711869234</v>
      </c>
      <c r="R61" s="29">
        <f t="shared" ref="R61" si="88">IF(R26=0,0,(R62*R27+R64*R29+R65*R30+R66*R31)/(R27+R29+R30+R31))</f>
        <v>348.19450921689878</v>
      </c>
      <c r="S61" s="29">
        <f t="shared" ref="S61" si="89">IF(S26=0,0,(S62*S27+S64*S29+S65*S30+S66*S31)/(S27+S29+S30+S31))</f>
        <v>347.17448048274548</v>
      </c>
      <c r="T61" s="29">
        <f t="shared" ref="T61" si="90">IF(T26=0,0,(T62*T27+T64*T29+T65*T30+T66*T31)/(T27+T29+T30+T31))</f>
        <v>345.75513877132528</v>
      </c>
      <c r="U61" s="29">
        <f t="shared" ref="U61" si="91">IF(U26=0,0,(U62*U27+U64*U29+U65*U30+U66*U31)/(U27+U29+U30+U31))</f>
        <v>346.3467496292518</v>
      </c>
      <c r="V61" s="29">
        <f t="shared" ref="V61" si="92">IF(V26=0,0,(V62*V27+V64*V29+V65*V30+V66*V31)/(V27+V29+V30+V31))</f>
        <v>347.31292951455879</v>
      </c>
      <c r="W61" s="29">
        <f t="shared" ref="W61:Y61" si="93">IF(W26=0,0,(W62*W27+W64*W29+W65*W30+W66*W31)/(W27+W29+W30+W31))</f>
        <v>344.60725262400842</v>
      </c>
      <c r="X61" s="29">
        <f t="shared" si="93"/>
        <v>342.20056333555641</v>
      </c>
      <c r="Y61" s="29">
        <f t="shared" si="93"/>
        <v>342.35696951487745</v>
      </c>
      <c r="DA61" s="173" t="s">
        <v>1074</v>
      </c>
    </row>
    <row r="62" spans="1:105" ht="11.45" customHeight="1" x14ac:dyDescent="0.25">
      <c r="A62" s="107" t="s">
        <v>23</v>
      </c>
      <c r="B62" s="115">
        <v>400</v>
      </c>
      <c r="C62" s="115">
        <v>400</v>
      </c>
      <c r="D62" s="115">
        <v>400</v>
      </c>
      <c r="E62" s="115">
        <v>400</v>
      </c>
      <c r="F62" s="115">
        <v>400</v>
      </c>
      <c r="G62" s="115">
        <v>400</v>
      </c>
      <c r="H62" s="115">
        <v>400</v>
      </c>
      <c r="I62" s="115">
        <v>400</v>
      </c>
      <c r="J62" s="115">
        <v>400</v>
      </c>
      <c r="K62" s="115">
        <v>400</v>
      </c>
      <c r="L62" s="115">
        <v>400</v>
      </c>
      <c r="M62" s="115">
        <v>400</v>
      </c>
      <c r="N62" s="115">
        <v>400</v>
      </c>
      <c r="O62" s="115">
        <v>400</v>
      </c>
      <c r="P62" s="115">
        <v>400</v>
      </c>
      <c r="Q62" s="115">
        <v>400</v>
      </c>
      <c r="R62" s="115">
        <v>400</v>
      </c>
      <c r="S62" s="115">
        <v>400</v>
      </c>
      <c r="T62" s="115">
        <v>400</v>
      </c>
      <c r="U62" s="115">
        <v>400</v>
      </c>
      <c r="V62" s="115">
        <v>400</v>
      </c>
      <c r="W62" s="115">
        <v>400</v>
      </c>
      <c r="X62" s="115">
        <v>400</v>
      </c>
      <c r="Y62" s="115">
        <v>400</v>
      </c>
      <c r="DA62" s="203" t="s">
        <v>1075</v>
      </c>
    </row>
    <row r="63" spans="1:105" ht="11.45" customHeight="1" x14ac:dyDescent="0.25">
      <c r="A63" s="109" t="s">
        <v>24</v>
      </c>
      <c r="B63" s="116">
        <f t="shared" ref="B63" si="94">IF(B28=0,0,(B64*B29+B65*B30)/(B29+B30))</f>
        <v>319.99999999999994</v>
      </c>
      <c r="C63" s="116">
        <f t="shared" ref="C63" si="95">IF(C28=0,0,(C64*C29+C65*C30)/(C29+C30))</f>
        <v>320</v>
      </c>
      <c r="D63" s="116">
        <f t="shared" ref="D63" si="96">IF(D28=0,0,(D64*D29+D65*D30)/(D29+D30))</f>
        <v>320</v>
      </c>
      <c r="E63" s="116">
        <f t="shared" ref="E63" si="97">IF(E28=0,0,(E64*E29+E65*E30)/(E29+E30))</f>
        <v>319.99999999999994</v>
      </c>
      <c r="F63" s="116">
        <f t="shared" ref="F63" si="98">IF(F28=0,0,(F64*F29+F65*F30)/(F29+F30))</f>
        <v>320</v>
      </c>
      <c r="G63" s="116">
        <f t="shared" ref="G63" si="99">IF(G28=0,0,(G64*G29+G65*G30)/(G29+G30))</f>
        <v>320</v>
      </c>
      <c r="H63" s="116">
        <f t="shared" ref="H63" si="100">IF(H28=0,0,(H64*H29+H65*H30)/(H29+H30))</f>
        <v>320</v>
      </c>
      <c r="I63" s="116">
        <f t="shared" ref="I63" si="101">IF(I28=0,0,(I64*I29+I65*I30)/(I29+I30))</f>
        <v>320</v>
      </c>
      <c r="J63" s="116">
        <f t="shared" ref="J63" si="102">IF(J28=0,0,(J64*J29+J65*J30)/(J29+J30))</f>
        <v>320</v>
      </c>
      <c r="K63" s="116">
        <f t="shared" ref="K63" si="103">IF(K28=0,0,(K64*K29+K65*K30)/(K29+K30))</f>
        <v>320</v>
      </c>
      <c r="L63" s="116">
        <f t="shared" ref="L63" si="104">IF(L28=0,0,(L64*L29+L65*L30)/(L29+L30))</f>
        <v>320</v>
      </c>
      <c r="M63" s="116">
        <f t="shared" ref="M63" si="105">IF(M28=0,0,(M64*M29+M65*M30)/(M29+M30))</f>
        <v>320</v>
      </c>
      <c r="N63" s="116">
        <f t="shared" ref="N63" si="106">IF(N28=0,0,(N64*N29+N65*N30)/(N29+N30))</f>
        <v>320.00000000000006</v>
      </c>
      <c r="O63" s="116">
        <f t="shared" ref="O63" si="107">IF(O28=0,0,(O64*O29+O65*O30)/(O29+O30))</f>
        <v>320.00000000000006</v>
      </c>
      <c r="P63" s="116">
        <f t="shared" ref="P63" si="108">IF(P28=0,0,(P64*P29+P65*P30)/(P29+P30))</f>
        <v>320</v>
      </c>
      <c r="Q63" s="116">
        <f t="shared" ref="Q63" si="109">IF(Q28=0,0,(Q64*Q29+Q65*Q30)/(Q29+Q30))</f>
        <v>320</v>
      </c>
      <c r="R63" s="116">
        <f t="shared" ref="R63" si="110">IF(R28=0,0,(R64*R29+R65*R30)/(R29+R30))</f>
        <v>320</v>
      </c>
      <c r="S63" s="116">
        <f t="shared" ref="S63" si="111">IF(S28=0,0,(S64*S29+S65*S30)/(S29+S30))</f>
        <v>320.00000000000006</v>
      </c>
      <c r="T63" s="116">
        <f t="shared" ref="T63" si="112">IF(T28=0,0,(T64*T29+T65*T30)/(T29+T30))</f>
        <v>320</v>
      </c>
      <c r="U63" s="116">
        <f t="shared" ref="U63" si="113">IF(U28=0,0,(U64*U29+U65*U30)/(U29+U30))</f>
        <v>320</v>
      </c>
      <c r="V63" s="116">
        <f t="shared" ref="V63" si="114">IF(V28=0,0,(V64*V29+V65*V30)/(V29+V30))</f>
        <v>320.00000000000006</v>
      </c>
      <c r="W63" s="116">
        <f t="shared" ref="W63:Y63" si="115">IF(W28=0,0,(W64*W29+W65*W30)/(W29+W30))</f>
        <v>320</v>
      </c>
      <c r="X63" s="116">
        <f t="shared" si="115"/>
        <v>320.00000000000006</v>
      </c>
      <c r="Y63" s="116">
        <f t="shared" si="115"/>
        <v>319.99999999999994</v>
      </c>
      <c r="DA63" s="176" t="s">
        <v>1076</v>
      </c>
    </row>
    <row r="64" spans="1:105" ht="11.45" customHeight="1" x14ac:dyDescent="0.25">
      <c r="A64" s="111" t="s">
        <v>92</v>
      </c>
      <c r="B64" s="87">
        <v>320</v>
      </c>
      <c r="C64" s="87">
        <v>320</v>
      </c>
      <c r="D64" s="87">
        <v>320</v>
      </c>
      <c r="E64" s="87">
        <v>320</v>
      </c>
      <c r="F64" s="87">
        <v>320</v>
      </c>
      <c r="G64" s="87">
        <v>320</v>
      </c>
      <c r="H64" s="87">
        <v>320</v>
      </c>
      <c r="I64" s="87">
        <v>320</v>
      </c>
      <c r="J64" s="87">
        <v>320</v>
      </c>
      <c r="K64" s="87">
        <v>320</v>
      </c>
      <c r="L64" s="87">
        <v>320</v>
      </c>
      <c r="M64" s="87">
        <v>320</v>
      </c>
      <c r="N64" s="87">
        <v>320</v>
      </c>
      <c r="O64" s="87">
        <v>320</v>
      </c>
      <c r="P64" s="87">
        <v>320</v>
      </c>
      <c r="Q64" s="87">
        <v>320</v>
      </c>
      <c r="R64" s="87">
        <v>320</v>
      </c>
      <c r="S64" s="87">
        <v>320</v>
      </c>
      <c r="T64" s="87">
        <v>320</v>
      </c>
      <c r="U64" s="87">
        <v>320</v>
      </c>
      <c r="V64" s="87">
        <v>320</v>
      </c>
      <c r="W64" s="87">
        <v>320</v>
      </c>
      <c r="X64" s="87">
        <v>320</v>
      </c>
      <c r="Y64" s="87">
        <v>320</v>
      </c>
      <c r="DA64" s="171" t="s">
        <v>1077</v>
      </c>
    </row>
    <row r="65" spans="1:105" ht="11.45" customHeight="1" x14ac:dyDescent="0.25">
      <c r="A65" s="111" t="s">
        <v>93</v>
      </c>
      <c r="B65" s="87">
        <v>320</v>
      </c>
      <c r="C65" s="87">
        <v>320</v>
      </c>
      <c r="D65" s="87">
        <v>320</v>
      </c>
      <c r="E65" s="87">
        <v>320</v>
      </c>
      <c r="F65" s="87">
        <v>320</v>
      </c>
      <c r="G65" s="87">
        <v>320</v>
      </c>
      <c r="H65" s="87">
        <v>320</v>
      </c>
      <c r="I65" s="87">
        <v>320</v>
      </c>
      <c r="J65" s="87">
        <v>320</v>
      </c>
      <c r="K65" s="87">
        <v>320</v>
      </c>
      <c r="L65" s="87">
        <v>320</v>
      </c>
      <c r="M65" s="87">
        <v>320</v>
      </c>
      <c r="N65" s="87">
        <v>320</v>
      </c>
      <c r="O65" s="87">
        <v>320</v>
      </c>
      <c r="P65" s="87">
        <v>320</v>
      </c>
      <c r="Q65" s="87">
        <v>320</v>
      </c>
      <c r="R65" s="87">
        <v>320</v>
      </c>
      <c r="S65" s="87">
        <v>320</v>
      </c>
      <c r="T65" s="87">
        <v>320</v>
      </c>
      <c r="U65" s="87">
        <v>320</v>
      </c>
      <c r="V65" s="87">
        <v>320</v>
      </c>
      <c r="W65" s="87">
        <v>320</v>
      </c>
      <c r="X65" s="87">
        <v>320</v>
      </c>
      <c r="Y65" s="87">
        <v>320</v>
      </c>
      <c r="DA65" s="171" t="s">
        <v>1078</v>
      </c>
    </row>
    <row r="66" spans="1:105" ht="11.45" customHeight="1" x14ac:dyDescent="0.25">
      <c r="A66" s="112" t="s">
        <v>25</v>
      </c>
      <c r="B66" s="117">
        <v>0</v>
      </c>
      <c r="C66" s="117">
        <v>0</v>
      </c>
      <c r="D66" s="117">
        <v>0</v>
      </c>
      <c r="E66" s="117">
        <v>0</v>
      </c>
      <c r="F66" s="117">
        <v>0</v>
      </c>
      <c r="G66" s="117">
        <v>0</v>
      </c>
      <c r="H66" s="117">
        <v>0</v>
      </c>
      <c r="I66" s="117">
        <v>0</v>
      </c>
      <c r="J66" s="117">
        <v>0</v>
      </c>
      <c r="K66" s="117">
        <v>0</v>
      </c>
      <c r="L66" s="117">
        <v>0</v>
      </c>
      <c r="M66" s="117">
        <v>0</v>
      </c>
      <c r="N66" s="117">
        <v>0</v>
      </c>
      <c r="O66" s="117">
        <v>0</v>
      </c>
      <c r="P66" s="117">
        <v>0</v>
      </c>
      <c r="Q66" s="117">
        <v>560</v>
      </c>
      <c r="R66" s="117">
        <v>560</v>
      </c>
      <c r="S66" s="117">
        <v>560</v>
      </c>
      <c r="T66" s="117">
        <v>560</v>
      </c>
      <c r="U66" s="117">
        <v>560</v>
      </c>
      <c r="V66" s="117">
        <v>560</v>
      </c>
      <c r="W66" s="117">
        <v>560</v>
      </c>
      <c r="X66" s="117">
        <v>560</v>
      </c>
      <c r="Y66" s="117">
        <v>560</v>
      </c>
      <c r="DA66" s="204" t="s">
        <v>1079</v>
      </c>
    </row>
    <row r="67" spans="1:105" ht="11.45" customHeight="1" x14ac:dyDescent="0.25">
      <c r="A67" s="27" t="s">
        <v>80</v>
      </c>
      <c r="B67" s="29">
        <f t="shared" ref="B67" si="116">IF(B32=0,0,(B68*B33+B69*B34)/(B33+B34))</f>
        <v>2100</v>
      </c>
      <c r="C67" s="29">
        <f t="shared" ref="C67" si="117">IF(C32=0,0,(C68*C33+C69*C34)/(C33+C34))</f>
        <v>2100</v>
      </c>
      <c r="D67" s="29">
        <f t="shared" ref="D67" si="118">IF(D32=0,0,(D68*D33+D69*D34)/(D33+D34))</f>
        <v>2100</v>
      </c>
      <c r="E67" s="29">
        <f t="shared" ref="E67" si="119">IF(E32=0,0,(E68*E33+E69*E34)/(E33+E34))</f>
        <v>2100</v>
      </c>
      <c r="F67" s="29">
        <f t="shared" ref="F67" si="120">IF(F32=0,0,(F68*F33+F69*F34)/(F33+F34))</f>
        <v>2100.0000000000005</v>
      </c>
      <c r="G67" s="29">
        <f t="shared" ref="G67" si="121">IF(G32=0,0,(G68*G33+G69*G34)/(G33+G34))</f>
        <v>2100</v>
      </c>
      <c r="H67" s="29">
        <f t="shared" ref="H67" si="122">IF(H32=0,0,(H68*H33+H69*H34)/(H33+H34))</f>
        <v>2100</v>
      </c>
      <c r="I67" s="29">
        <f t="shared" ref="I67" si="123">IF(I32=0,0,(I68*I33+I69*I34)/(I33+I34))</f>
        <v>2100</v>
      </c>
      <c r="J67" s="29">
        <f t="shared" ref="J67" si="124">IF(J32=0,0,(J68*J33+J69*J34)/(J33+J34))</f>
        <v>2100</v>
      </c>
      <c r="K67" s="29">
        <f t="shared" ref="K67" si="125">IF(K32=0,0,(K68*K33+K69*K34)/(K33+K34))</f>
        <v>2100.0000000000005</v>
      </c>
      <c r="L67" s="29">
        <f t="shared" ref="L67" si="126">IF(L32=0,0,(L68*L33+L69*L34)/(L33+L34))</f>
        <v>2100</v>
      </c>
      <c r="M67" s="29">
        <f t="shared" ref="M67" si="127">IF(M32=0,0,(M68*M33+M69*M34)/(M33+M34))</f>
        <v>2099.9999999999995</v>
      </c>
      <c r="N67" s="29">
        <f t="shared" ref="N67" si="128">IF(N32=0,0,(N68*N33+N69*N34)/(N33+N34))</f>
        <v>2099.9999999999995</v>
      </c>
      <c r="O67" s="29">
        <f t="shared" ref="O67" si="129">IF(O32=0,0,(O68*O33+O69*O34)/(O33+O34))</f>
        <v>2100</v>
      </c>
      <c r="P67" s="29">
        <f t="shared" ref="P67" si="130">IF(P32=0,0,(P68*P33+P69*P34)/(P33+P34))</f>
        <v>2100</v>
      </c>
      <c r="Q67" s="29">
        <f t="shared" ref="Q67" si="131">IF(Q32=0,0,(Q68*Q33+Q69*Q34)/(Q33+Q34))</f>
        <v>2100</v>
      </c>
      <c r="R67" s="29">
        <f t="shared" ref="R67" si="132">IF(R32=0,0,(R68*R33+R69*R34)/(R33+R34))</f>
        <v>2099.9999999999995</v>
      </c>
      <c r="S67" s="29">
        <f t="shared" ref="S67" si="133">IF(S32=0,0,(S68*S33+S69*S34)/(S33+S34))</f>
        <v>2100.0000000000005</v>
      </c>
      <c r="T67" s="29">
        <f t="shared" ref="T67" si="134">IF(T32=0,0,(T68*T33+T69*T34)/(T33+T34))</f>
        <v>2100</v>
      </c>
      <c r="U67" s="29">
        <f t="shared" ref="U67" si="135">IF(U32=0,0,(U68*U33+U69*U34)/(U33+U34))</f>
        <v>2100</v>
      </c>
      <c r="V67" s="29">
        <f t="shared" ref="V67" si="136">IF(V32=0,0,(V68*V33+V69*V34)/(V33+V34))</f>
        <v>2099.9999999999995</v>
      </c>
      <c r="W67" s="29">
        <f t="shared" ref="W67:Y67" si="137">IF(W32=0,0,(W68*W33+W69*W34)/(W33+W34))</f>
        <v>2100</v>
      </c>
      <c r="X67" s="29">
        <f t="shared" si="137"/>
        <v>2099.9999999999995</v>
      </c>
      <c r="Y67" s="29">
        <f t="shared" si="137"/>
        <v>2100</v>
      </c>
      <c r="DA67" s="173" t="s">
        <v>1080</v>
      </c>
    </row>
    <row r="68" spans="1:105" ht="11.45" customHeight="1" x14ac:dyDescent="0.25">
      <c r="A68" s="83" t="s">
        <v>92</v>
      </c>
      <c r="B68" s="87">
        <v>2100</v>
      </c>
      <c r="C68" s="87">
        <v>2100</v>
      </c>
      <c r="D68" s="87">
        <v>2100</v>
      </c>
      <c r="E68" s="87">
        <v>2100</v>
      </c>
      <c r="F68" s="87">
        <v>2100</v>
      </c>
      <c r="G68" s="87">
        <v>2100</v>
      </c>
      <c r="H68" s="87">
        <v>2100</v>
      </c>
      <c r="I68" s="87">
        <v>2100</v>
      </c>
      <c r="J68" s="87">
        <v>2100</v>
      </c>
      <c r="K68" s="87">
        <v>2100</v>
      </c>
      <c r="L68" s="87">
        <v>2100</v>
      </c>
      <c r="M68" s="87">
        <v>2100</v>
      </c>
      <c r="N68" s="87">
        <v>2100</v>
      </c>
      <c r="O68" s="87">
        <v>2100</v>
      </c>
      <c r="P68" s="87">
        <v>2100</v>
      </c>
      <c r="Q68" s="87">
        <v>2100</v>
      </c>
      <c r="R68" s="87">
        <v>2100</v>
      </c>
      <c r="S68" s="87">
        <v>2100</v>
      </c>
      <c r="T68" s="87">
        <v>2100</v>
      </c>
      <c r="U68" s="87">
        <v>2100</v>
      </c>
      <c r="V68" s="87">
        <v>2100</v>
      </c>
      <c r="W68" s="87">
        <v>2100</v>
      </c>
      <c r="X68" s="87">
        <v>2100</v>
      </c>
      <c r="Y68" s="87">
        <v>2100</v>
      </c>
      <c r="DA68" s="171" t="s">
        <v>1081</v>
      </c>
    </row>
    <row r="69" spans="1:105" ht="11.45" customHeight="1" x14ac:dyDescent="0.25">
      <c r="A69" s="85" t="s">
        <v>93</v>
      </c>
      <c r="B69" s="88">
        <v>2100</v>
      </c>
      <c r="C69" s="88">
        <v>2100</v>
      </c>
      <c r="D69" s="88">
        <v>2100</v>
      </c>
      <c r="E69" s="88">
        <v>2100</v>
      </c>
      <c r="F69" s="88">
        <v>2100</v>
      </c>
      <c r="G69" s="88">
        <v>2100</v>
      </c>
      <c r="H69" s="88">
        <v>2100</v>
      </c>
      <c r="I69" s="88">
        <v>2100</v>
      </c>
      <c r="J69" s="88">
        <v>2100</v>
      </c>
      <c r="K69" s="88">
        <v>2100</v>
      </c>
      <c r="L69" s="88">
        <v>2100</v>
      </c>
      <c r="M69" s="88">
        <v>2100</v>
      </c>
      <c r="N69" s="88">
        <v>2100</v>
      </c>
      <c r="O69" s="88">
        <v>2100</v>
      </c>
      <c r="P69" s="88">
        <v>2100</v>
      </c>
      <c r="Q69" s="88">
        <v>2100</v>
      </c>
      <c r="R69" s="88">
        <v>2100</v>
      </c>
      <c r="S69" s="88">
        <v>2100</v>
      </c>
      <c r="T69" s="88">
        <v>2100</v>
      </c>
      <c r="U69" s="88">
        <v>2100</v>
      </c>
      <c r="V69" s="88">
        <v>2100</v>
      </c>
      <c r="W69" s="88">
        <v>2100</v>
      </c>
      <c r="X69" s="88">
        <v>2100</v>
      </c>
      <c r="Y69" s="88">
        <v>2100</v>
      </c>
      <c r="DA69" s="178" t="s">
        <v>1082</v>
      </c>
    </row>
    <row r="70" spans="1:105" x14ac:dyDescent="0.25">
      <c r="A70" s="106"/>
      <c r="B70" s="106"/>
      <c r="C70" s="106"/>
      <c r="D70" s="106"/>
      <c r="E70" s="106"/>
      <c r="F70" s="106"/>
      <c r="G70" s="106"/>
      <c r="H70" s="106"/>
      <c r="I70" s="106"/>
      <c r="J70" s="106"/>
      <c r="K70" s="106"/>
      <c r="L70" s="114"/>
      <c r="M70" s="106"/>
      <c r="N70" s="106"/>
      <c r="O70" s="106"/>
      <c r="P70" s="106"/>
      <c r="Q70" s="106"/>
      <c r="R70" s="106"/>
      <c r="S70" s="106"/>
      <c r="T70" s="106"/>
      <c r="U70" s="106"/>
      <c r="V70" s="106"/>
      <c r="W70" s="106"/>
      <c r="X70" s="106"/>
      <c r="Y70" s="106"/>
      <c r="DA70" s="171"/>
    </row>
    <row r="71" spans="1:105" ht="11.45" customHeight="1" x14ac:dyDescent="0.25">
      <c r="A71" s="53" t="s">
        <v>104</v>
      </c>
      <c r="B71" s="135"/>
      <c r="C71" s="135"/>
      <c r="D71" s="135"/>
      <c r="E71" s="135"/>
      <c r="F71" s="135"/>
      <c r="G71" s="135"/>
      <c r="H71" s="135"/>
      <c r="I71" s="135"/>
      <c r="J71" s="135"/>
      <c r="K71" s="135"/>
      <c r="L71" s="135"/>
      <c r="M71" s="135"/>
      <c r="N71" s="135"/>
      <c r="O71" s="135"/>
      <c r="P71" s="135"/>
      <c r="Q71" s="135"/>
      <c r="R71" s="135"/>
      <c r="S71" s="135"/>
      <c r="T71" s="135"/>
      <c r="U71" s="135"/>
      <c r="V71" s="135"/>
      <c r="W71" s="135"/>
      <c r="X71" s="135"/>
      <c r="Y71" s="135"/>
      <c r="DA71" s="172"/>
    </row>
    <row r="72" spans="1:105" ht="11.45" customHeight="1" x14ac:dyDescent="0.25">
      <c r="A72" s="27" t="s">
        <v>33</v>
      </c>
      <c r="B72" s="30">
        <f>IF(B50=0,0,B50/B61)</f>
        <v>0.43136582185503353</v>
      </c>
      <c r="C72" s="30">
        <f t="shared" ref="C72:J72" si="138">IF(C50=0,0,C50/C61)</f>
        <v>0.38297996720194233</v>
      </c>
      <c r="D72" s="30">
        <f t="shared" si="138"/>
        <v>0.34339640066767113</v>
      </c>
      <c r="E72" s="30">
        <f t="shared" si="138"/>
        <v>0.31994158499333297</v>
      </c>
      <c r="F72" s="30">
        <f t="shared" si="138"/>
        <v>0.32644193094646706</v>
      </c>
      <c r="G72" s="30">
        <f t="shared" si="138"/>
        <v>0.32617763981566861</v>
      </c>
      <c r="H72" s="30">
        <f t="shared" si="138"/>
        <v>0.37023718402870143</v>
      </c>
      <c r="I72" s="30">
        <f t="shared" si="138"/>
        <v>0.362734870376966</v>
      </c>
      <c r="J72" s="30">
        <f t="shared" si="138"/>
        <v>0.37466027278388142</v>
      </c>
      <c r="K72" s="30">
        <f t="shared" ref="K72:V72" si="139">IF(K50=0,0,K50/K61)</f>
        <v>0.34757414997689512</v>
      </c>
      <c r="L72" s="30">
        <f t="shared" si="139"/>
        <v>0.345161706434224</v>
      </c>
      <c r="M72" s="30">
        <f t="shared" si="139"/>
        <v>0.35561873703017738</v>
      </c>
      <c r="N72" s="30">
        <f t="shared" si="139"/>
        <v>0.33860435714200504</v>
      </c>
      <c r="O72" s="30">
        <f t="shared" si="139"/>
        <v>0.32599766468821423</v>
      </c>
      <c r="P72" s="30">
        <f t="shared" si="139"/>
        <v>0.31765969749293321</v>
      </c>
      <c r="Q72" s="30">
        <f t="shared" si="139"/>
        <v>0.32382060295897602</v>
      </c>
      <c r="R72" s="30">
        <f t="shared" si="139"/>
        <v>0.32518389493980854</v>
      </c>
      <c r="S72" s="30">
        <f t="shared" si="139"/>
        <v>0.33336888965978512</v>
      </c>
      <c r="T72" s="30">
        <f t="shared" si="139"/>
        <v>0.3240654319122982</v>
      </c>
      <c r="U72" s="30">
        <f t="shared" si="139"/>
        <v>0.3439561261160371</v>
      </c>
      <c r="V72" s="30">
        <f t="shared" si="139"/>
        <v>0.21061464737700872</v>
      </c>
      <c r="W72" s="30">
        <f t="shared" ref="W72:Y72" si="140">IF(W50=0,0,W50/W61)</f>
        <v>0.23942429949763541</v>
      </c>
      <c r="X72" s="30">
        <f t="shared" si="140"/>
        <v>0.33549757008680814</v>
      </c>
      <c r="Y72" s="30">
        <f t="shared" si="140"/>
        <v>0.35997237982312186</v>
      </c>
      <c r="DA72" s="173"/>
    </row>
    <row r="73" spans="1:105" ht="11.45" customHeight="1" x14ac:dyDescent="0.25">
      <c r="A73" s="107" t="s">
        <v>23</v>
      </c>
      <c r="B73" s="118">
        <f t="shared" ref="B73:J80" si="141">IF(B51=0,0,B51/B62)</f>
        <v>0.20507006490089544</v>
      </c>
      <c r="C73" s="118">
        <f t="shared" si="141"/>
        <v>0.20338685810594026</v>
      </c>
      <c r="D73" s="118">
        <f t="shared" si="141"/>
        <v>0.19937044835409715</v>
      </c>
      <c r="E73" s="118">
        <f t="shared" si="141"/>
        <v>0.19859271377845517</v>
      </c>
      <c r="F73" s="118">
        <f t="shared" si="141"/>
        <v>0.20154574017970334</v>
      </c>
      <c r="G73" s="118">
        <f t="shared" si="141"/>
        <v>0.20359539022237932</v>
      </c>
      <c r="H73" s="118">
        <f t="shared" si="141"/>
        <v>0.20170129088343397</v>
      </c>
      <c r="I73" s="118">
        <f t="shared" si="141"/>
        <v>0.20580619193052635</v>
      </c>
      <c r="J73" s="118">
        <f t="shared" si="141"/>
        <v>0.20631987138621624</v>
      </c>
      <c r="K73" s="118">
        <f t="shared" ref="K73:V73" si="142">IF(K51=0,0,K51/K62)</f>
        <v>0.20288473416088842</v>
      </c>
      <c r="L73" s="118">
        <f t="shared" si="142"/>
        <v>0.19967632200232044</v>
      </c>
      <c r="M73" s="118">
        <f t="shared" si="142"/>
        <v>0.20222984943078615</v>
      </c>
      <c r="N73" s="118">
        <f t="shared" si="142"/>
        <v>0.19894976622853455</v>
      </c>
      <c r="O73" s="118">
        <f t="shared" si="142"/>
        <v>0.19847040913718769</v>
      </c>
      <c r="P73" s="118">
        <f t="shared" si="142"/>
        <v>0.19749123981937536</v>
      </c>
      <c r="Q73" s="118">
        <f t="shared" si="142"/>
        <v>0.1984473921562635</v>
      </c>
      <c r="R73" s="118">
        <f t="shared" si="142"/>
        <v>0.1979320954532488</v>
      </c>
      <c r="S73" s="118">
        <f t="shared" si="142"/>
        <v>0.19980473567476234</v>
      </c>
      <c r="T73" s="118">
        <f t="shared" si="142"/>
        <v>0.20068821393851524</v>
      </c>
      <c r="U73" s="118">
        <f t="shared" si="142"/>
        <v>0.20166161760851412</v>
      </c>
      <c r="V73" s="118">
        <f t="shared" si="142"/>
        <v>0.12238314295738956</v>
      </c>
      <c r="W73" s="118">
        <f t="shared" ref="W73:Y73" si="143">IF(W51=0,0,W51/W62)</f>
        <v>0.13959505127635441</v>
      </c>
      <c r="X73" s="118">
        <f t="shared" si="143"/>
        <v>0.19999720209283453</v>
      </c>
      <c r="Y73" s="118">
        <f t="shared" si="143"/>
        <v>0.21030643697031309</v>
      </c>
      <c r="DA73" s="203"/>
    </row>
    <row r="74" spans="1:105" ht="11.45" customHeight="1" x14ac:dyDescent="0.25">
      <c r="A74" s="109" t="s">
        <v>24</v>
      </c>
      <c r="B74" s="119">
        <f t="shared" si="141"/>
        <v>0.56322382253672343</v>
      </c>
      <c r="C74" s="119">
        <f t="shared" si="141"/>
        <v>0.4794668420653892</v>
      </c>
      <c r="D74" s="119">
        <f t="shared" si="141"/>
        <v>0.41843179562176791</v>
      </c>
      <c r="E74" s="119">
        <f t="shared" si="141"/>
        <v>0.38005925545611713</v>
      </c>
      <c r="F74" s="119">
        <f t="shared" si="141"/>
        <v>0.39171573806348875</v>
      </c>
      <c r="G74" s="119">
        <f t="shared" si="141"/>
        <v>0.39046374935582595</v>
      </c>
      <c r="H74" s="119">
        <f t="shared" si="141"/>
        <v>0.47196430662094196</v>
      </c>
      <c r="I74" s="119">
        <f t="shared" si="141"/>
        <v>0.45101196245285075</v>
      </c>
      <c r="J74" s="119">
        <f t="shared" si="141"/>
        <v>0.47055621562258232</v>
      </c>
      <c r="K74" s="119">
        <f t="shared" ref="K74:V74" si="144">IF(K52=0,0,K52/K63)</f>
        <v>0.42603862324687647</v>
      </c>
      <c r="L74" s="119">
        <f t="shared" si="144"/>
        <v>0.42728920902505213</v>
      </c>
      <c r="M74" s="119">
        <f t="shared" si="144"/>
        <v>0.44541947460344467</v>
      </c>
      <c r="N74" s="119">
        <f t="shared" si="144"/>
        <v>0.41928736778074011</v>
      </c>
      <c r="O74" s="119">
        <f t="shared" si="144"/>
        <v>0.39557849329883965</v>
      </c>
      <c r="P74" s="119">
        <f t="shared" si="144"/>
        <v>0.387741547489871</v>
      </c>
      <c r="Q74" s="119">
        <f t="shared" si="144"/>
        <v>0.38616277106803809</v>
      </c>
      <c r="R74" s="119">
        <f t="shared" si="144"/>
        <v>0.37351100451601538</v>
      </c>
      <c r="S74" s="119">
        <f t="shared" si="144"/>
        <v>0.38153839868735984</v>
      </c>
      <c r="T74" s="119">
        <f t="shared" si="144"/>
        <v>0.36245170464422738</v>
      </c>
      <c r="U74" s="119">
        <f t="shared" si="144"/>
        <v>0.39126512731670171</v>
      </c>
      <c r="V74" s="119">
        <f t="shared" si="144"/>
        <v>0.24646043849315555</v>
      </c>
      <c r="W74" s="119">
        <f t="shared" ref="W74:Y74" si="145">IF(W52=0,0,W52/W63)</f>
        <v>0.26914024233021611</v>
      </c>
      <c r="X74" s="119">
        <f t="shared" si="145"/>
        <v>0.37203056401790285</v>
      </c>
      <c r="Y74" s="119">
        <f t="shared" si="145"/>
        <v>0.39914318525022363</v>
      </c>
      <c r="DA74" s="176"/>
    </row>
    <row r="75" spans="1:105" ht="11.45" customHeight="1" x14ac:dyDescent="0.25">
      <c r="A75" s="111" t="s">
        <v>92</v>
      </c>
      <c r="B75" s="120">
        <f t="shared" si="141"/>
        <v>0.38861918863894468</v>
      </c>
      <c r="C75" s="120">
        <f t="shared" si="141"/>
        <v>0.38961690280695027</v>
      </c>
      <c r="D75" s="120">
        <f t="shared" si="141"/>
        <v>0.3614911984153889</v>
      </c>
      <c r="E75" s="120">
        <f t="shared" si="141"/>
        <v>0.33168471424884632</v>
      </c>
      <c r="F75" s="120">
        <f t="shared" si="141"/>
        <v>0.34334003980838573</v>
      </c>
      <c r="G75" s="120">
        <f t="shared" si="141"/>
        <v>0.35349702921320642</v>
      </c>
      <c r="H75" s="120">
        <f t="shared" si="141"/>
        <v>0.37150356497048093</v>
      </c>
      <c r="I75" s="120">
        <f t="shared" si="141"/>
        <v>0.3946867507832641</v>
      </c>
      <c r="J75" s="120">
        <f t="shared" si="141"/>
        <v>0.37770020890603256</v>
      </c>
      <c r="K75" s="120">
        <f t="shared" ref="K75:V75" si="146">IF(K53=0,0,K53/K64)</f>
        <v>0.37293295957093014</v>
      </c>
      <c r="L75" s="120">
        <f t="shared" si="146"/>
        <v>0.36815252218118666</v>
      </c>
      <c r="M75" s="120">
        <f t="shared" si="146"/>
        <v>0.37973955166295559</v>
      </c>
      <c r="N75" s="120">
        <f t="shared" si="146"/>
        <v>0.35147485927953798</v>
      </c>
      <c r="O75" s="120">
        <f t="shared" si="146"/>
        <v>0.35631480978021673</v>
      </c>
      <c r="P75" s="120">
        <f t="shared" si="146"/>
        <v>0.36762674679818075</v>
      </c>
      <c r="Q75" s="120">
        <f t="shared" si="146"/>
        <v>0.4425295447616544</v>
      </c>
      <c r="R75" s="120">
        <f t="shared" si="146"/>
        <v>0.46661716947221032</v>
      </c>
      <c r="S75" s="120">
        <f t="shared" si="146"/>
        <v>0.41437704743641551</v>
      </c>
      <c r="T75" s="120">
        <f t="shared" si="146"/>
        <v>0.33376761127570248</v>
      </c>
      <c r="U75" s="120">
        <f t="shared" si="146"/>
        <v>0.44007752222766383</v>
      </c>
      <c r="V75" s="120">
        <f t="shared" si="146"/>
        <v>0.30772432821481227</v>
      </c>
      <c r="W75" s="120">
        <f t="shared" ref="W75:Y75" si="147">IF(W53=0,0,W53/W64)</f>
        <v>0.39054455439229219</v>
      </c>
      <c r="X75" s="120">
        <f t="shared" si="147"/>
        <v>0.39051657031449455</v>
      </c>
      <c r="Y75" s="120">
        <f t="shared" si="147"/>
        <v>0.53865917592197232</v>
      </c>
      <c r="DA75" s="171"/>
    </row>
    <row r="76" spans="1:105" ht="11.45" customHeight="1" x14ac:dyDescent="0.25">
      <c r="A76" s="111" t="s">
        <v>93</v>
      </c>
      <c r="B76" s="120">
        <f t="shared" si="141"/>
        <v>0.63168660171197188</v>
      </c>
      <c r="C76" s="120">
        <f t="shared" si="141"/>
        <v>0.51210072547652841</v>
      </c>
      <c r="D76" s="120">
        <f t="shared" si="141"/>
        <v>0.43651715860480766</v>
      </c>
      <c r="E76" s="120">
        <f t="shared" si="141"/>
        <v>0.39672057808229499</v>
      </c>
      <c r="F76" s="120">
        <f t="shared" si="141"/>
        <v>0.40623977954502732</v>
      </c>
      <c r="G76" s="120">
        <f t="shared" si="141"/>
        <v>0.40339917199228115</v>
      </c>
      <c r="H76" s="120">
        <f t="shared" si="141"/>
        <v>0.49828655691641971</v>
      </c>
      <c r="I76" s="120">
        <f t="shared" si="141"/>
        <v>0.46932038372935353</v>
      </c>
      <c r="J76" s="120">
        <f t="shared" si="141"/>
        <v>0.49435965940447657</v>
      </c>
      <c r="K76" s="120">
        <f t="shared" ref="K76:V76" si="148">IF(K54=0,0,K54/K65)</f>
        <v>0.44104605410908143</v>
      </c>
      <c r="L76" s="120">
        <f t="shared" si="148"/>
        <v>0.43715422481601679</v>
      </c>
      <c r="M76" s="120">
        <f t="shared" si="148"/>
        <v>0.45705983714611331</v>
      </c>
      <c r="N76" s="120">
        <f t="shared" si="148"/>
        <v>0.4318158486680293</v>
      </c>
      <c r="O76" s="120">
        <f t="shared" si="148"/>
        <v>0.40227052197580937</v>
      </c>
      <c r="P76" s="120">
        <f t="shared" si="148"/>
        <v>0.39101113166131807</v>
      </c>
      <c r="Q76" s="120">
        <f t="shared" si="148"/>
        <v>0.37952537664373265</v>
      </c>
      <c r="R76" s="120">
        <f t="shared" si="148"/>
        <v>0.36168846283438572</v>
      </c>
      <c r="S76" s="120">
        <f t="shared" si="148"/>
        <v>0.37795878712280123</v>
      </c>
      <c r="T76" s="120">
        <f t="shared" si="148"/>
        <v>0.36635292806815556</v>
      </c>
      <c r="U76" s="120">
        <f t="shared" si="148"/>
        <v>0.38669696101863293</v>
      </c>
      <c r="V76" s="120">
        <f t="shared" si="148"/>
        <v>0.24048282039060576</v>
      </c>
      <c r="W76" s="120">
        <f t="shared" ref="W76:Y76" si="149">IF(W54=0,0,W54/W65)</f>
        <v>0.26178997642351742</v>
      </c>
      <c r="X76" s="120">
        <f t="shared" si="149"/>
        <v>0.3704220986287875</v>
      </c>
      <c r="Y76" s="120">
        <f t="shared" si="149"/>
        <v>0.39044243772288728</v>
      </c>
      <c r="DA76" s="171"/>
    </row>
    <row r="77" spans="1:105" ht="11.45" customHeight="1" x14ac:dyDescent="0.25">
      <c r="A77" s="112" t="s">
        <v>25</v>
      </c>
      <c r="B77" s="121">
        <f t="shared" si="141"/>
        <v>0</v>
      </c>
      <c r="C77" s="121">
        <f t="shared" si="141"/>
        <v>0</v>
      </c>
      <c r="D77" s="121">
        <f t="shared" si="141"/>
        <v>0</v>
      </c>
      <c r="E77" s="121">
        <f t="shared" si="141"/>
        <v>0</v>
      </c>
      <c r="F77" s="121">
        <f t="shared" si="141"/>
        <v>0</v>
      </c>
      <c r="G77" s="121">
        <f t="shared" si="141"/>
        <v>0</v>
      </c>
      <c r="H77" s="121">
        <f t="shared" si="141"/>
        <v>0</v>
      </c>
      <c r="I77" s="121">
        <f t="shared" si="141"/>
        <v>0</v>
      </c>
      <c r="J77" s="121">
        <f t="shared" si="141"/>
        <v>0</v>
      </c>
      <c r="K77" s="121">
        <f t="shared" ref="K77:V77" si="150">IF(K55=0,0,K55/K66)</f>
        <v>0</v>
      </c>
      <c r="L77" s="121">
        <f t="shared" si="150"/>
        <v>0</v>
      </c>
      <c r="M77" s="121">
        <f t="shared" si="150"/>
        <v>0</v>
      </c>
      <c r="N77" s="121">
        <f t="shared" si="150"/>
        <v>0</v>
      </c>
      <c r="O77" s="121">
        <f t="shared" si="150"/>
        <v>0</v>
      </c>
      <c r="P77" s="121">
        <f t="shared" si="150"/>
        <v>0</v>
      </c>
      <c r="Q77" s="121">
        <f t="shared" si="150"/>
        <v>0.5520306342063338</v>
      </c>
      <c r="R77" s="121">
        <f t="shared" si="150"/>
        <v>0.57546477750080827</v>
      </c>
      <c r="S77" s="121">
        <f t="shared" si="150"/>
        <v>0.60661035447395883</v>
      </c>
      <c r="T77" s="121">
        <f t="shared" si="150"/>
        <v>0.6340349003895599</v>
      </c>
      <c r="U77" s="121">
        <f t="shared" si="150"/>
        <v>0.63878977998935271</v>
      </c>
      <c r="V77" s="121">
        <f t="shared" si="150"/>
        <v>0.30639903443458522</v>
      </c>
      <c r="W77" s="121">
        <f t="shared" ref="W77:Y77" si="151">IF(W55=0,0,W55/W66)</f>
        <v>0.44451147927191087</v>
      </c>
      <c r="X77" s="121">
        <f t="shared" si="151"/>
        <v>0.5737424877229701</v>
      </c>
      <c r="Y77" s="121">
        <f t="shared" si="151"/>
        <v>0.67053450386105329</v>
      </c>
      <c r="DA77" s="204"/>
    </row>
    <row r="78" spans="1:105" ht="11.45" customHeight="1" x14ac:dyDescent="0.25">
      <c r="A78" s="27" t="s">
        <v>34</v>
      </c>
      <c r="B78" s="30">
        <f t="shared" si="141"/>
        <v>0.28916846823208792</v>
      </c>
      <c r="C78" s="30">
        <f t="shared" si="141"/>
        <v>0.28297151849293961</v>
      </c>
      <c r="D78" s="30">
        <f t="shared" si="141"/>
        <v>0.28954041028738331</v>
      </c>
      <c r="E78" s="30">
        <f t="shared" si="141"/>
        <v>0.27862687573279576</v>
      </c>
      <c r="F78" s="30">
        <f t="shared" si="141"/>
        <v>0.29492088519907528</v>
      </c>
      <c r="G78" s="30">
        <f t="shared" si="141"/>
        <v>0.30353950581009853</v>
      </c>
      <c r="H78" s="30">
        <f t="shared" si="141"/>
        <v>0.30461549116887077</v>
      </c>
      <c r="I78" s="30">
        <f t="shared" si="141"/>
        <v>0.30796598193317426</v>
      </c>
      <c r="J78" s="30">
        <f t="shared" si="141"/>
        <v>0.306452765157886</v>
      </c>
      <c r="K78" s="30">
        <f t="shared" ref="K78:V78" si="152">IF(K56=0,0,K56/K67)</f>
        <v>0.31320590747488869</v>
      </c>
      <c r="L78" s="30">
        <f t="shared" si="152"/>
        <v>0.31753376461350996</v>
      </c>
      <c r="M78" s="30">
        <f t="shared" si="152"/>
        <v>0.32450643983323929</v>
      </c>
      <c r="N78" s="30">
        <f t="shared" si="152"/>
        <v>0.33197104308755615</v>
      </c>
      <c r="O78" s="30">
        <f t="shared" si="152"/>
        <v>0.34766356037090618</v>
      </c>
      <c r="P78" s="30">
        <f t="shared" si="152"/>
        <v>0.35677688957413789</v>
      </c>
      <c r="Q78" s="30">
        <f t="shared" si="152"/>
        <v>0.36619985857174792</v>
      </c>
      <c r="R78" s="30">
        <f t="shared" si="152"/>
        <v>0.37427647428383659</v>
      </c>
      <c r="S78" s="30">
        <f t="shared" si="152"/>
        <v>0.38408285424630273</v>
      </c>
      <c r="T78" s="30">
        <f t="shared" si="152"/>
        <v>0.38778464012677294</v>
      </c>
      <c r="U78" s="30">
        <f t="shared" si="152"/>
        <v>0.38572059723023294</v>
      </c>
      <c r="V78" s="30">
        <f t="shared" si="152"/>
        <v>0.38633029489554216</v>
      </c>
      <c r="W78" s="30">
        <f t="shared" ref="W78:Y78" si="153">IF(W56=0,0,W56/W67)</f>
        <v>0.38761146194133084</v>
      </c>
      <c r="X78" s="30">
        <f t="shared" si="153"/>
        <v>0.44724651078012434</v>
      </c>
      <c r="Y78" s="30">
        <f t="shared" si="153"/>
        <v>0.49078698014998801</v>
      </c>
      <c r="DA78" s="173"/>
    </row>
    <row r="79" spans="1:105" ht="11.45" customHeight="1" x14ac:dyDescent="0.25">
      <c r="A79" s="83" t="s">
        <v>92</v>
      </c>
      <c r="B79" s="120">
        <f t="shared" si="141"/>
        <v>0.3116435687097055</v>
      </c>
      <c r="C79" s="120">
        <f t="shared" si="141"/>
        <v>0.30116459745062812</v>
      </c>
      <c r="D79" s="120">
        <f t="shared" si="141"/>
        <v>0.30789244098408741</v>
      </c>
      <c r="E79" s="120">
        <f t="shared" si="141"/>
        <v>0.33821019598989432</v>
      </c>
      <c r="F79" s="120">
        <f t="shared" si="141"/>
        <v>0.34123690157263659</v>
      </c>
      <c r="G79" s="120">
        <f t="shared" si="141"/>
        <v>0.34511506744469045</v>
      </c>
      <c r="H79" s="120">
        <f t="shared" si="141"/>
        <v>0.32926725285985003</v>
      </c>
      <c r="I79" s="120">
        <f t="shared" si="141"/>
        <v>0.34451557714507186</v>
      </c>
      <c r="J79" s="120">
        <f t="shared" si="141"/>
        <v>0.33371065957659685</v>
      </c>
      <c r="K79" s="120">
        <f t="shared" ref="K79:V79" si="154">IF(K57=0,0,K57/K68)</f>
        <v>0.34453841260498436</v>
      </c>
      <c r="L79" s="120">
        <f t="shared" si="154"/>
        <v>0.33384773309131915</v>
      </c>
      <c r="M79" s="120">
        <f t="shared" si="154"/>
        <v>0.34230549218581779</v>
      </c>
      <c r="N79" s="120">
        <f t="shared" si="154"/>
        <v>0.3324756367722243</v>
      </c>
      <c r="O79" s="120">
        <f t="shared" si="154"/>
        <v>0.37741996342975564</v>
      </c>
      <c r="P79" s="120">
        <f t="shared" si="154"/>
        <v>0.38089191111789017</v>
      </c>
      <c r="Q79" s="120">
        <f t="shared" si="154"/>
        <v>0.41367445018262333</v>
      </c>
      <c r="R79" s="120">
        <f t="shared" si="154"/>
        <v>0.4389432656136627</v>
      </c>
      <c r="S79" s="120">
        <f t="shared" si="154"/>
        <v>0.43098690054831834</v>
      </c>
      <c r="T79" s="120">
        <f t="shared" si="154"/>
        <v>0.42002762233184399</v>
      </c>
      <c r="U79" s="120">
        <f t="shared" si="154"/>
        <v>0.44565315084483281</v>
      </c>
      <c r="V79" s="120">
        <f t="shared" si="154"/>
        <v>0.46121327715490512</v>
      </c>
      <c r="W79" s="120">
        <f t="shared" ref="W79:Y79" si="155">IF(W57=0,0,W57/W68)</f>
        <v>0.42975892192981696</v>
      </c>
      <c r="X79" s="120">
        <f t="shared" si="155"/>
        <v>0.47554361200144385</v>
      </c>
      <c r="Y79" s="120">
        <f t="shared" si="155"/>
        <v>0.53857041164633823</v>
      </c>
      <c r="DA79" s="171"/>
    </row>
    <row r="80" spans="1:105" ht="11.45" customHeight="1" x14ac:dyDescent="0.25">
      <c r="A80" s="85" t="s">
        <v>93</v>
      </c>
      <c r="B80" s="122">
        <f t="shared" si="141"/>
        <v>0.28593359649664662</v>
      </c>
      <c r="C80" s="122">
        <f t="shared" si="141"/>
        <v>0.28026437728130688</v>
      </c>
      <c r="D80" s="122">
        <f t="shared" si="141"/>
        <v>0.28657248837525379</v>
      </c>
      <c r="E80" s="122">
        <f t="shared" si="141"/>
        <v>0.26831604718362884</v>
      </c>
      <c r="F80" s="122">
        <f t="shared" si="141"/>
        <v>0.28340445175073836</v>
      </c>
      <c r="G80" s="122">
        <f t="shared" si="141"/>
        <v>0.29334033125202902</v>
      </c>
      <c r="H80" s="122">
        <f t="shared" si="141"/>
        <v>0.29615351057767952</v>
      </c>
      <c r="I80" s="122">
        <f t="shared" si="141"/>
        <v>0.29837009631619898</v>
      </c>
      <c r="J80" s="122">
        <f t="shared" si="141"/>
        <v>0.2990240214309145</v>
      </c>
      <c r="K80" s="122">
        <f t="shared" ref="K80:V80" si="156">IF(K58=0,0,K58/K69)</f>
        <v>0.30357522379407798</v>
      </c>
      <c r="L80" s="122">
        <f t="shared" si="156"/>
        <v>0.31148748205431626</v>
      </c>
      <c r="M80" s="122">
        <f t="shared" si="156"/>
        <v>0.31805467360551248</v>
      </c>
      <c r="N80" s="122">
        <f t="shared" si="156"/>
        <v>0.33178691792749876</v>
      </c>
      <c r="O80" s="122">
        <f t="shared" si="156"/>
        <v>0.33758081168066129</v>
      </c>
      <c r="P80" s="122">
        <f t="shared" si="156"/>
        <v>0.34913897625521073</v>
      </c>
      <c r="Q80" s="122">
        <f t="shared" si="156"/>
        <v>0.35057536010224721</v>
      </c>
      <c r="R80" s="122">
        <f t="shared" si="156"/>
        <v>0.35384637346309594</v>
      </c>
      <c r="S80" s="122">
        <f t="shared" si="156"/>
        <v>0.36854339013595444</v>
      </c>
      <c r="T80" s="122">
        <f t="shared" si="156"/>
        <v>0.3758561002090911</v>
      </c>
      <c r="U80" s="122">
        <f t="shared" si="156"/>
        <v>0.36437609090023254</v>
      </c>
      <c r="V80" s="122">
        <f t="shared" si="156"/>
        <v>0.35823765735211444</v>
      </c>
      <c r="W80" s="122">
        <f t="shared" ref="W80:Y80" si="157">IF(W58=0,0,W58/W69)</f>
        <v>0.36872628152618492</v>
      </c>
      <c r="X80" s="122">
        <f t="shared" si="157"/>
        <v>0.43558846597569512</v>
      </c>
      <c r="Y80" s="122">
        <f t="shared" si="157"/>
        <v>0.46977737845452172</v>
      </c>
      <c r="DA80" s="178"/>
    </row>
    <row r="81" spans="1:105" x14ac:dyDescent="0.25">
      <c r="A81" s="106"/>
      <c r="B81" s="106"/>
      <c r="C81" s="106"/>
      <c r="D81" s="106"/>
      <c r="E81" s="106"/>
      <c r="F81" s="106"/>
      <c r="G81" s="106"/>
      <c r="H81" s="106"/>
      <c r="I81" s="106"/>
      <c r="J81" s="106"/>
      <c r="K81" s="106"/>
      <c r="L81" s="106"/>
      <c r="M81" s="106"/>
      <c r="N81" s="106"/>
      <c r="O81" s="106"/>
      <c r="P81" s="106"/>
      <c r="Q81" s="106"/>
      <c r="R81" s="106"/>
      <c r="S81" s="106"/>
      <c r="T81" s="106"/>
      <c r="U81" s="106"/>
      <c r="V81" s="106"/>
      <c r="W81" s="106"/>
      <c r="X81" s="106"/>
      <c r="Y81" s="106"/>
      <c r="DA81" s="171"/>
    </row>
    <row r="82" spans="1:105" ht="11.45" customHeight="1" x14ac:dyDescent="0.25">
      <c r="A82" s="53" t="s">
        <v>105</v>
      </c>
      <c r="B82" s="54">
        <f t="shared" ref="B82:J82" si="158">IF(B14=0,0,B14/B25*1000000)</f>
        <v>150751.76964079635</v>
      </c>
      <c r="C82" s="54">
        <f t="shared" si="158"/>
        <v>149587.03434107496</v>
      </c>
      <c r="D82" s="54">
        <f t="shared" si="158"/>
        <v>149018.89244318366</v>
      </c>
      <c r="E82" s="54">
        <f t="shared" si="158"/>
        <v>149827.64318490881</v>
      </c>
      <c r="F82" s="54">
        <f t="shared" si="158"/>
        <v>148793.90548356695</v>
      </c>
      <c r="G82" s="54">
        <f t="shared" si="158"/>
        <v>149867.25181927439</v>
      </c>
      <c r="H82" s="54">
        <f t="shared" si="158"/>
        <v>145438.52150114052</v>
      </c>
      <c r="I82" s="54">
        <f t="shared" si="158"/>
        <v>149198.40049417529</v>
      </c>
      <c r="J82" s="54">
        <f t="shared" si="158"/>
        <v>147776.41181522046</v>
      </c>
      <c r="K82" s="54">
        <f t="shared" ref="K82:V82" si="159">IF(K14=0,0,K14/K25*1000000)</f>
        <v>145078.30306647735</v>
      </c>
      <c r="L82" s="54">
        <f t="shared" si="159"/>
        <v>144889.55022503113</v>
      </c>
      <c r="M82" s="54">
        <f t="shared" si="159"/>
        <v>148030.72978194637</v>
      </c>
      <c r="N82" s="54">
        <f t="shared" si="159"/>
        <v>148069.98747202609</v>
      </c>
      <c r="O82" s="54">
        <f t="shared" si="159"/>
        <v>148719.0199198841</v>
      </c>
      <c r="P82" s="54">
        <f t="shared" si="159"/>
        <v>147657.47820155899</v>
      </c>
      <c r="Q82" s="54">
        <f t="shared" si="159"/>
        <v>148822.11112848422</v>
      </c>
      <c r="R82" s="54">
        <f t="shared" si="159"/>
        <v>149537.75944093036</v>
      </c>
      <c r="S82" s="54">
        <f t="shared" si="159"/>
        <v>150065.28444270304</v>
      </c>
      <c r="T82" s="54">
        <f t="shared" si="159"/>
        <v>150702.86631460182</v>
      </c>
      <c r="U82" s="54">
        <f t="shared" si="159"/>
        <v>148428.25063364962</v>
      </c>
      <c r="V82" s="54">
        <f t="shared" si="159"/>
        <v>147873.56939338669</v>
      </c>
      <c r="W82" s="54">
        <f t="shared" ref="W82:Y82" si="160">IF(W14=0,0,W14/W25*1000000)</f>
        <v>150475.87314750731</v>
      </c>
      <c r="X82" s="54">
        <f t="shared" si="160"/>
        <v>149995.56123180062</v>
      </c>
      <c r="Y82" s="54">
        <f t="shared" si="160"/>
        <v>149549.89539867593</v>
      </c>
      <c r="DA82" s="172" t="s">
        <v>1083</v>
      </c>
    </row>
    <row r="83" spans="1:105" ht="11.45" customHeight="1" x14ac:dyDescent="0.25">
      <c r="A83" s="27" t="s">
        <v>33</v>
      </c>
      <c r="B83" s="28">
        <f t="shared" ref="B83:J91" si="161">IF(B15=0,0,B15/B26*1000000)</f>
        <v>135244.38928786793</v>
      </c>
      <c r="C83" s="28">
        <f t="shared" si="161"/>
        <v>136105.86419352936</v>
      </c>
      <c r="D83" s="28">
        <f t="shared" si="161"/>
        <v>136493.62821486863</v>
      </c>
      <c r="E83" s="28">
        <f t="shared" si="161"/>
        <v>137056.26377134418</v>
      </c>
      <c r="F83" s="28">
        <f t="shared" si="161"/>
        <v>134585.56008446726</v>
      </c>
      <c r="G83" s="28">
        <f t="shared" si="161"/>
        <v>136542.75977149914</v>
      </c>
      <c r="H83" s="28">
        <f t="shared" si="161"/>
        <v>128880.41585301755</v>
      </c>
      <c r="I83" s="28">
        <f t="shared" si="161"/>
        <v>135744.06358629774</v>
      </c>
      <c r="J83" s="28">
        <f t="shared" si="161"/>
        <v>133859.11791473482</v>
      </c>
      <c r="K83" s="28">
        <f t="shared" ref="K83:V83" si="162">IF(K15=0,0,K15/K26*1000000)</f>
        <v>136126.68559482819</v>
      </c>
      <c r="L83" s="28">
        <f t="shared" si="162"/>
        <v>130701.29407032064</v>
      </c>
      <c r="M83" s="28">
        <f t="shared" si="162"/>
        <v>133046.58558011954</v>
      </c>
      <c r="N83" s="28">
        <f t="shared" si="162"/>
        <v>135534.85090617076</v>
      </c>
      <c r="O83" s="28">
        <f t="shared" si="162"/>
        <v>136130.88448956335</v>
      </c>
      <c r="P83" s="28">
        <f t="shared" si="162"/>
        <v>135531.75932181338</v>
      </c>
      <c r="Q83" s="28">
        <f t="shared" si="162"/>
        <v>136895.03792543578</v>
      </c>
      <c r="R83" s="28">
        <f t="shared" si="162"/>
        <v>138679.23884639438</v>
      </c>
      <c r="S83" s="28">
        <f t="shared" si="162"/>
        <v>138987.29001316469</v>
      </c>
      <c r="T83" s="28">
        <f t="shared" si="162"/>
        <v>139628.87578022556</v>
      </c>
      <c r="U83" s="28">
        <f t="shared" si="162"/>
        <v>138043.48643867124</v>
      </c>
      <c r="V83" s="28">
        <f t="shared" si="162"/>
        <v>137150.3880492145</v>
      </c>
      <c r="W83" s="28">
        <f t="shared" ref="W83:Y83" si="163">IF(W15=0,0,W15/W26*1000000)</f>
        <v>140285.14082000469</v>
      </c>
      <c r="X83" s="28">
        <f t="shared" si="163"/>
        <v>141257.67304847049</v>
      </c>
      <c r="Y83" s="28">
        <f t="shared" si="163"/>
        <v>141022.67898604964</v>
      </c>
      <c r="DA83" s="173" t="s">
        <v>1084</v>
      </c>
    </row>
    <row r="84" spans="1:105" ht="11.45" customHeight="1" x14ac:dyDescent="0.25">
      <c r="A84" s="107" t="s">
        <v>23</v>
      </c>
      <c r="B84" s="108">
        <f t="shared" si="161"/>
        <v>109999.99979714862</v>
      </c>
      <c r="C84" s="108">
        <f t="shared" si="161"/>
        <v>109999.99988742336</v>
      </c>
      <c r="D84" s="108">
        <f t="shared" si="161"/>
        <v>109999.99987405645</v>
      </c>
      <c r="E84" s="108">
        <f t="shared" si="161"/>
        <v>109999.99980463686</v>
      </c>
      <c r="F84" s="108">
        <f t="shared" si="161"/>
        <v>109999.999933781</v>
      </c>
      <c r="G84" s="108">
        <f t="shared" si="161"/>
        <v>109999.99984650452</v>
      </c>
      <c r="H84" s="108">
        <f t="shared" si="161"/>
        <v>109999.99983104164</v>
      </c>
      <c r="I84" s="108">
        <f t="shared" si="161"/>
        <v>109999.99984682891</v>
      </c>
      <c r="J84" s="108">
        <f t="shared" si="161"/>
        <v>109999.99982352783</v>
      </c>
      <c r="K84" s="108">
        <f t="shared" ref="K84:V84" si="164">IF(K16=0,0,K16/K27*1000000)</f>
        <v>109999.99988433188</v>
      </c>
      <c r="L84" s="108">
        <f t="shared" si="164"/>
        <v>109999.99989483538</v>
      </c>
      <c r="M84" s="108">
        <f t="shared" si="164"/>
        <v>109999.99996926855</v>
      </c>
      <c r="N84" s="108">
        <f t="shared" si="164"/>
        <v>109999.99982542728</v>
      </c>
      <c r="O84" s="108">
        <f t="shared" si="164"/>
        <v>109999.99977277104</v>
      </c>
      <c r="P84" s="108">
        <f t="shared" si="164"/>
        <v>109999.99986323048</v>
      </c>
      <c r="Q84" s="108">
        <f t="shared" si="164"/>
        <v>109999.99996779428</v>
      </c>
      <c r="R84" s="108">
        <f t="shared" si="164"/>
        <v>109999.99995320513</v>
      </c>
      <c r="S84" s="108">
        <f t="shared" si="164"/>
        <v>109999.99992350828</v>
      </c>
      <c r="T84" s="108">
        <f t="shared" si="164"/>
        <v>109999.99996020804</v>
      </c>
      <c r="U84" s="108">
        <f t="shared" si="164"/>
        <v>109999.99990024015</v>
      </c>
      <c r="V84" s="108">
        <f t="shared" si="164"/>
        <v>109999.99992627962</v>
      </c>
      <c r="W84" s="108">
        <f t="shared" ref="W84:Y84" si="165">IF(W16=0,0,W16/W27*1000000)</f>
        <v>109999.99987219305</v>
      </c>
      <c r="X84" s="108">
        <f t="shared" si="165"/>
        <v>109999.99984136428</v>
      </c>
      <c r="Y84" s="108">
        <f t="shared" si="165"/>
        <v>109999.99980521749</v>
      </c>
      <c r="DA84" s="203" t="s">
        <v>1085</v>
      </c>
    </row>
    <row r="85" spans="1:105" ht="11.45" customHeight="1" x14ac:dyDescent="0.25">
      <c r="A85" s="109" t="s">
        <v>24</v>
      </c>
      <c r="B85" s="110">
        <f t="shared" si="161"/>
        <v>149999.99982048097</v>
      </c>
      <c r="C85" s="110">
        <f t="shared" si="161"/>
        <v>149999.99992449602</v>
      </c>
      <c r="D85" s="110">
        <f t="shared" si="161"/>
        <v>149999.99993965362</v>
      </c>
      <c r="E85" s="110">
        <f t="shared" si="161"/>
        <v>149999.99985761827</v>
      </c>
      <c r="F85" s="110">
        <f t="shared" si="161"/>
        <v>146874.80879316397</v>
      </c>
      <c r="G85" s="110">
        <f t="shared" si="161"/>
        <v>149999.99992664906</v>
      </c>
      <c r="H85" s="110">
        <f t="shared" si="161"/>
        <v>139642.49589210024</v>
      </c>
      <c r="I85" s="110">
        <f t="shared" si="161"/>
        <v>149999.99978105162</v>
      </c>
      <c r="J85" s="110">
        <f t="shared" si="161"/>
        <v>147121.18880377535</v>
      </c>
      <c r="K85" s="110">
        <f t="shared" ref="K85:V85" si="166">IF(K17=0,0,K17/K28*1000000)</f>
        <v>149999.9999168849</v>
      </c>
      <c r="L85" s="110">
        <f t="shared" si="166"/>
        <v>141761.85169711575</v>
      </c>
      <c r="M85" s="110">
        <f t="shared" si="166"/>
        <v>146114.88501497958</v>
      </c>
      <c r="N85" s="110">
        <f t="shared" si="166"/>
        <v>149999.9998932537</v>
      </c>
      <c r="O85" s="110">
        <f t="shared" si="166"/>
        <v>149999.99982836586</v>
      </c>
      <c r="P85" s="110">
        <f t="shared" si="166"/>
        <v>149999.99989280241</v>
      </c>
      <c r="Q85" s="110">
        <f t="shared" si="166"/>
        <v>149999.99994785403</v>
      </c>
      <c r="R85" s="110">
        <f t="shared" si="166"/>
        <v>149999.99982494643</v>
      </c>
      <c r="S85" s="110">
        <f t="shared" si="166"/>
        <v>149999.99982745826</v>
      </c>
      <c r="T85" s="110">
        <f t="shared" si="166"/>
        <v>149999.99993162398</v>
      </c>
      <c r="U85" s="110">
        <f t="shared" si="166"/>
        <v>147791.62113348924</v>
      </c>
      <c r="V85" s="110">
        <f t="shared" si="166"/>
        <v>147162.91134944887</v>
      </c>
      <c r="W85" s="110">
        <f t="shared" ref="W85:Y85" si="167">IF(W17=0,0,W17/W28*1000000)</f>
        <v>149999.99984822451</v>
      </c>
      <c r="X85" s="110">
        <f t="shared" si="167"/>
        <v>149999.99986962255</v>
      </c>
      <c r="Y85" s="110">
        <f t="shared" si="167"/>
        <v>149835.19375969496</v>
      </c>
      <c r="DA85" s="176" t="s">
        <v>1086</v>
      </c>
    </row>
    <row r="86" spans="1:105" ht="11.45" customHeight="1" x14ac:dyDescent="0.25">
      <c r="A86" s="111" t="s">
        <v>92</v>
      </c>
      <c r="B86" s="84">
        <f t="shared" si="161"/>
        <v>149999.99979315331</v>
      </c>
      <c r="C86" s="84">
        <f t="shared" si="161"/>
        <v>149999.9999522602</v>
      </c>
      <c r="D86" s="84">
        <f t="shared" si="161"/>
        <v>149999.99978101449</v>
      </c>
      <c r="E86" s="84">
        <f t="shared" si="161"/>
        <v>149999.99984513354</v>
      </c>
      <c r="F86" s="84">
        <f t="shared" si="161"/>
        <v>137343.89690469264</v>
      </c>
      <c r="G86" s="84">
        <f t="shared" si="161"/>
        <v>149999.99988213516</v>
      </c>
      <c r="H86" s="84">
        <f t="shared" si="161"/>
        <v>112835.23895373674</v>
      </c>
      <c r="I86" s="84">
        <f t="shared" si="161"/>
        <v>149999.99934789902</v>
      </c>
      <c r="J86" s="84">
        <f t="shared" si="161"/>
        <v>136873.81666974133</v>
      </c>
      <c r="K86" s="84">
        <f t="shared" ref="K86:V86" si="168">IF(K18=0,0,K18/K29*1000000)</f>
        <v>149999.99998255665</v>
      </c>
      <c r="L86" s="84">
        <f t="shared" si="168"/>
        <v>106649.71558353468</v>
      </c>
      <c r="M86" s="84">
        <f t="shared" si="168"/>
        <v>127483.96525305037</v>
      </c>
      <c r="N86" s="84">
        <f t="shared" si="168"/>
        <v>149999.99999140587</v>
      </c>
      <c r="O86" s="84">
        <f t="shared" si="168"/>
        <v>149999.99937635666</v>
      </c>
      <c r="P86" s="84">
        <f t="shared" si="168"/>
        <v>149999.99983077016</v>
      </c>
      <c r="Q86" s="84">
        <f t="shared" si="168"/>
        <v>149999.99982818862</v>
      </c>
      <c r="R86" s="84">
        <f t="shared" si="168"/>
        <v>149999.99935249169</v>
      </c>
      <c r="S86" s="84">
        <f t="shared" si="168"/>
        <v>149999.99924840708</v>
      </c>
      <c r="T86" s="84">
        <f t="shared" si="168"/>
        <v>149999.99951482311</v>
      </c>
      <c r="U86" s="84">
        <f t="shared" si="168"/>
        <v>127702.14066533402</v>
      </c>
      <c r="V86" s="84">
        <f t="shared" si="168"/>
        <v>149999.99888946311</v>
      </c>
      <c r="W86" s="84">
        <f t="shared" ref="W86:Y86" si="169">IF(W18=0,0,W18/W29*1000000)</f>
        <v>149999.99867456951</v>
      </c>
      <c r="X86" s="84">
        <f t="shared" si="169"/>
        <v>149999.99900238065</v>
      </c>
      <c r="Y86" s="84">
        <f t="shared" si="169"/>
        <v>147241.1409334254</v>
      </c>
      <c r="DA86" s="171" t="s">
        <v>1087</v>
      </c>
    </row>
    <row r="87" spans="1:105" ht="11.45" customHeight="1" x14ac:dyDescent="0.25">
      <c r="A87" s="111" t="s">
        <v>93</v>
      </c>
      <c r="B87" s="84">
        <f t="shared" si="161"/>
        <v>149999.99983119615</v>
      </c>
      <c r="C87" s="84">
        <f t="shared" si="161"/>
        <v>149999.99991441195</v>
      </c>
      <c r="D87" s="84">
        <f t="shared" si="161"/>
        <v>149999.99999004023</v>
      </c>
      <c r="E87" s="84">
        <f t="shared" si="161"/>
        <v>149999.99986191833</v>
      </c>
      <c r="F87" s="84">
        <f t="shared" si="161"/>
        <v>149999.99991382018</v>
      </c>
      <c r="G87" s="84">
        <f t="shared" si="161"/>
        <v>149999.99994222537</v>
      </c>
      <c r="H87" s="84">
        <f t="shared" si="161"/>
        <v>148912.16965373006</v>
      </c>
      <c r="I87" s="84">
        <f t="shared" si="161"/>
        <v>149999.99992184722</v>
      </c>
      <c r="J87" s="84">
        <f t="shared" si="161"/>
        <v>149999.99997983911</v>
      </c>
      <c r="K87" s="84">
        <f t="shared" ref="K87:V87" si="170">IF(K19=0,0,K19/K30*1000000)</f>
        <v>149999.99989832632</v>
      </c>
      <c r="L87" s="84">
        <f t="shared" si="170"/>
        <v>149999.99996836678</v>
      </c>
      <c r="M87" s="84">
        <f t="shared" si="170"/>
        <v>149999.99987681085</v>
      </c>
      <c r="N87" s="84">
        <f t="shared" si="170"/>
        <v>149999.99987511992</v>
      </c>
      <c r="O87" s="84">
        <f t="shared" si="170"/>
        <v>149999.99990540548</v>
      </c>
      <c r="P87" s="84">
        <f t="shared" si="170"/>
        <v>149999.99990288552</v>
      </c>
      <c r="Q87" s="84">
        <f t="shared" si="170"/>
        <v>149999.99996194511</v>
      </c>
      <c r="R87" s="84">
        <f t="shared" si="170"/>
        <v>149999.99988493833</v>
      </c>
      <c r="S87" s="84">
        <f t="shared" si="170"/>
        <v>149999.99989057836</v>
      </c>
      <c r="T87" s="84">
        <f t="shared" si="170"/>
        <v>149999.99998831161</v>
      </c>
      <c r="U87" s="84">
        <f t="shared" si="170"/>
        <v>149999.99996964273</v>
      </c>
      <c r="V87" s="84">
        <f t="shared" si="170"/>
        <v>146891.82808027536</v>
      </c>
      <c r="W87" s="84">
        <f t="shared" ref="W87:Y87" si="171">IF(W19=0,0,W19/W30*1000000)</f>
        <v>149999.99991928192</v>
      </c>
      <c r="X87" s="84">
        <f t="shared" si="171"/>
        <v>149999.99994508119</v>
      </c>
      <c r="Y87" s="84">
        <f t="shared" si="171"/>
        <v>149999.99993484258</v>
      </c>
      <c r="DA87" s="171" t="s">
        <v>1088</v>
      </c>
    </row>
    <row r="88" spans="1:105" ht="11.45" customHeight="1" x14ac:dyDescent="0.25">
      <c r="A88" s="112" t="s">
        <v>25</v>
      </c>
      <c r="B88" s="113">
        <f t="shared" si="161"/>
        <v>0</v>
      </c>
      <c r="C88" s="113">
        <f t="shared" si="161"/>
        <v>0</v>
      </c>
      <c r="D88" s="113">
        <f t="shared" si="161"/>
        <v>0</v>
      </c>
      <c r="E88" s="113">
        <f t="shared" si="161"/>
        <v>0</v>
      </c>
      <c r="F88" s="113">
        <f t="shared" si="161"/>
        <v>0</v>
      </c>
      <c r="G88" s="113">
        <f t="shared" si="161"/>
        <v>0</v>
      </c>
      <c r="H88" s="113">
        <f t="shared" si="161"/>
        <v>0</v>
      </c>
      <c r="I88" s="113">
        <f t="shared" si="161"/>
        <v>0</v>
      </c>
      <c r="J88" s="113">
        <f t="shared" si="161"/>
        <v>0</v>
      </c>
      <c r="K88" s="113">
        <f t="shared" ref="K88:V88" si="172">IF(K20=0,0,K20/K31*1000000)</f>
        <v>0</v>
      </c>
      <c r="L88" s="113">
        <f t="shared" si="172"/>
        <v>0</v>
      </c>
      <c r="M88" s="113">
        <f t="shared" si="172"/>
        <v>0</v>
      </c>
      <c r="N88" s="113">
        <f t="shared" si="172"/>
        <v>0</v>
      </c>
      <c r="O88" s="113">
        <f t="shared" si="172"/>
        <v>0</v>
      </c>
      <c r="P88" s="113">
        <f t="shared" si="172"/>
        <v>0</v>
      </c>
      <c r="Q88" s="113">
        <f t="shared" si="172"/>
        <v>449999.87462490454</v>
      </c>
      <c r="R88" s="113">
        <f t="shared" si="172"/>
        <v>449999.95588473941</v>
      </c>
      <c r="S88" s="113">
        <f t="shared" si="172"/>
        <v>428236.53815713682</v>
      </c>
      <c r="T88" s="113">
        <f t="shared" si="172"/>
        <v>441011.16097256675</v>
      </c>
      <c r="U88" s="113">
        <f t="shared" si="172"/>
        <v>449999.95728002937</v>
      </c>
      <c r="V88" s="113">
        <f t="shared" si="172"/>
        <v>422540.29295587685</v>
      </c>
      <c r="W88" s="113">
        <f t="shared" ref="W88:Y88" si="173">IF(W20=0,0,W20/W31*1000000)</f>
        <v>432001.78928130394</v>
      </c>
      <c r="X88" s="113">
        <f t="shared" si="173"/>
        <v>415580.07960173354</v>
      </c>
      <c r="Y88" s="113">
        <f t="shared" si="173"/>
        <v>412826.73762906977</v>
      </c>
      <c r="DA88" s="204" t="s">
        <v>1089</v>
      </c>
    </row>
    <row r="89" spans="1:105" ht="11.45" customHeight="1" x14ac:dyDescent="0.25">
      <c r="A89" s="27" t="s">
        <v>34</v>
      </c>
      <c r="B89" s="28">
        <f t="shared" si="161"/>
        <v>199999.99936642279</v>
      </c>
      <c r="C89" s="28">
        <f t="shared" si="161"/>
        <v>199777.87414823624</v>
      </c>
      <c r="D89" s="28">
        <f t="shared" si="161"/>
        <v>199999.99954490899</v>
      </c>
      <c r="E89" s="28">
        <f t="shared" si="161"/>
        <v>199999.99958948808</v>
      </c>
      <c r="F89" s="28">
        <f t="shared" si="161"/>
        <v>199999.99959161784</v>
      </c>
      <c r="G89" s="28">
        <f t="shared" si="161"/>
        <v>199328.3219181819</v>
      </c>
      <c r="H89" s="28">
        <f t="shared" si="161"/>
        <v>199999.99953016816</v>
      </c>
      <c r="I89" s="28">
        <f t="shared" si="161"/>
        <v>193411.8800815694</v>
      </c>
      <c r="J89" s="28">
        <f t="shared" si="161"/>
        <v>195494.71121370973</v>
      </c>
      <c r="K89" s="28">
        <f t="shared" ref="K89:V89" si="174">IF(K21=0,0,K21/K32*1000000)</f>
        <v>178908.39126483951</v>
      </c>
      <c r="L89" s="28">
        <f t="shared" si="174"/>
        <v>199999.99954445963</v>
      </c>
      <c r="M89" s="28">
        <f t="shared" si="174"/>
        <v>199999.99979761045</v>
      </c>
      <c r="N89" s="28">
        <f t="shared" si="174"/>
        <v>196884.97606681651</v>
      </c>
      <c r="O89" s="28">
        <f t="shared" si="174"/>
        <v>196873.27864734831</v>
      </c>
      <c r="P89" s="28">
        <f t="shared" si="174"/>
        <v>195467.2266261561</v>
      </c>
      <c r="Q89" s="28">
        <f t="shared" si="174"/>
        <v>199354.15336685925</v>
      </c>
      <c r="R89" s="28">
        <f t="shared" si="174"/>
        <v>199999.99949945323</v>
      </c>
      <c r="S89" s="28">
        <f t="shared" si="174"/>
        <v>199999.99954684032</v>
      </c>
      <c r="T89" s="28">
        <f t="shared" si="174"/>
        <v>199999.99945352419</v>
      </c>
      <c r="U89" s="28">
        <f t="shared" si="174"/>
        <v>197426.32334723254</v>
      </c>
      <c r="V89" s="28">
        <f t="shared" si="174"/>
        <v>199132.01984696829</v>
      </c>
      <c r="W89" s="28">
        <f t="shared" ref="W89:Y89" si="175">IF(W21=0,0,W21/W32*1000000)</f>
        <v>199999.99968605227</v>
      </c>
      <c r="X89" s="28">
        <f t="shared" si="175"/>
        <v>196478.54516290978</v>
      </c>
      <c r="Y89" s="28">
        <f t="shared" si="175"/>
        <v>198871.88257971301</v>
      </c>
      <c r="DA89" s="173" t="s">
        <v>1090</v>
      </c>
    </row>
    <row r="90" spans="1:105" ht="11.45" customHeight="1" x14ac:dyDescent="0.25">
      <c r="A90" s="83" t="s">
        <v>92</v>
      </c>
      <c r="B90" s="84">
        <f t="shared" si="161"/>
        <v>199999.99809853098</v>
      </c>
      <c r="C90" s="84">
        <f t="shared" si="161"/>
        <v>199999.99692710786</v>
      </c>
      <c r="D90" s="84">
        <f t="shared" si="161"/>
        <v>199999.99874650192</v>
      </c>
      <c r="E90" s="84">
        <f t="shared" si="161"/>
        <v>199999.99734353615</v>
      </c>
      <c r="F90" s="84">
        <f t="shared" si="161"/>
        <v>199999.99987057922</v>
      </c>
      <c r="G90" s="84">
        <f t="shared" si="161"/>
        <v>196636.36696427345</v>
      </c>
      <c r="H90" s="84">
        <f t="shared" si="161"/>
        <v>199999.99852128475</v>
      </c>
      <c r="I90" s="84">
        <f t="shared" si="161"/>
        <v>171850.35753994461</v>
      </c>
      <c r="J90" s="84">
        <f t="shared" si="161"/>
        <v>180569.70867148682</v>
      </c>
      <c r="K90" s="84">
        <f t="shared" ref="K90:V90" si="176">IF(K22=0,0,K22/K33*1000000)</f>
        <v>171935.48876354523</v>
      </c>
      <c r="L90" s="84">
        <f t="shared" si="176"/>
        <v>199999.99901344691</v>
      </c>
      <c r="M90" s="84">
        <f t="shared" si="176"/>
        <v>199999.99975573795</v>
      </c>
      <c r="N90" s="84">
        <f t="shared" si="176"/>
        <v>188825.25322690501</v>
      </c>
      <c r="O90" s="84">
        <f t="shared" si="176"/>
        <v>188190.50691356589</v>
      </c>
      <c r="P90" s="84">
        <f t="shared" si="176"/>
        <v>182414.35902068095</v>
      </c>
      <c r="Q90" s="84">
        <f t="shared" si="176"/>
        <v>197417.1119897454</v>
      </c>
      <c r="R90" s="84">
        <f t="shared" si="176"/>
        <v>199999.9988000647</v>
      </c>
      <c r="S90" s="84">
        <f t="shared" si="176"/>
        <v>199999.99919847198</v>
      </c>
      <c r="T90" s="84">
        <f t="shared" si="176"/>
        <v>199999.99955561536</v>
      </c>
      <c r="U90" s="84">
        <f t="shared" si="176"/>
        <v>190541.5411953759</v>
      </c>
      <c r="V90" s="84">
        <f t="shared" si="176"/>
        <v>196854.74259418613</v>
      </c>
      <c r="W90" s="84">
        <f t="shared" ref="W90:Y90" si="177">IF(W22=0,0,W22/W33*1000000)</f>
        <v>199999.9993028772</v>
      </c>
      <c r="X90" s="84">
        <f t="shared" si="177"/>
        <v>188425.71623780468</v>
      </c>
      <c r="Y90" s="84">
        <f t="shared" si="177"/>
        <v>196352.92354069732</v>
      </c>
      <c r="DA90" s="171" t="s">
        <v>1091</v>
      </c>
    </row>
    <row r="91" spans="1:105" ht="11.45" customHeight="1" x14ac:dyDescent="0.25">
      <c r="A91" s="85" t="s">
        <v>93</v>
      </c>
      <c r="B91" s="86">
        <f t="shared" si="161"/>
        <v>199999.99954891216</v>
      </c>
      <c r="C91" s="86">
        <f t="shared" si="161"/>
        <v>199744.86430689646</v>
      </c>
      <c r="D91" s="86">
        <f t="shared" si="161"/>
        <v>199999.99967402878</v>
      </c>
      <c r="E91" s="86">
        <f t="shared" si="161"/>
        <v>199999.99997814759</v>
      </c>
      <c r="F91" s="86">
        <f t="shared" si="161"/>
        <v>199999.99952225439</v>
      </c>
      <c r="G91" s="86">
        <f t="shared" si="161"/>
        <v>199999.99948129678</v>
      </c>
      <c r="H91" s="86">
        <f t="shared" si="161"/>
        <v>199999.99987647819</v>
      </c>
      <c r="I91" s="86">
        <f t="shared" si="161"/>
        <v>199999.99961983948</v>
      </c>
      <c r="J91" s="86">
        <f t="shared" si="161"/>
        <v>199999.99946297149</v>
      </c>
      <c r="K91" s="86">
        <f t="shared" ref="K91:V91" si="178">IF(K23=0,0,K23/K34*1000000)</f>
        <v>181166.72697924211</v>
      </c>
      <c r="L91" s="86">
        <f t="shared" si="178"/>
        <v>199999.99974126354</v>
      </c>
      <c r="M91" s="86">
        <f t="shared" si="178"/>
        <v>199999.99981278836</v>
      </c>
      <c r="N91" s="86">
        <f t="shared" si="178"/>
        <v>199999.99975365211</v>
      </c>
      <c r="O91" s="86">
        <f t="shared" si="178"/>
        <v>199999.99998387921</v>
      </c>
      <c r="P91" s="86">
        <f t="shared" si="178"/>
        <v>199999.99970331701</v>
      </c>
      <c r="Q91" s="86">
        <f t="shared" si="178"/>
        <v>199999.9993249377</v>
      </c>
      <c r="R91" s="86">
        <f t="shared" si="178"/>
        <v>199999.99972041021</v>
      </c>
      <c r="S91" s="86">
        <f t="shared" si="178"/>
        <v>199999.9996622559</v>
      </c>
      <c r="T91" s="86">
        <f t="shared" si="178"/>
        <v>199999.99941575475</v>
      </c>
      <c r="U91" s="86">
        <f t="shared" si="178"/>
        <v>199999.99924382928</v>
      </c>
      <c r="V91" s="86">
        <f t="shared" si="178"/>
        <v>199999.99921809544</v>
      </c>
      <c r="W91" s="86">
        <f t="shared" ref="W91:Y91" si="179">IF(W23=0,0,W23/W34*1000000)</f>
        <v>199999.99985774301</v>
      </c>
      <c r="X91" s="86">
        <f t="shared" si="179"/>
        <v>199999.99952749579</v>
      </c>
      <c r="Y91" s="86">
        <f t="shared" si="179"/>
        <v>199999.99975925058</v>
      </c>
      <c r="DA91" s="178" t="s">
        <v>1092</v>
      </c>
    </row>
    <row r="92" spans="1:105" x14ac:dyDescent="0.25">
      <c r="A92" s="106"/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X92" s="106"/>
      <c r="Y92" s="106"/>
      <c r="DA92" s="171"/>
    </row>
    <row r="93" spans="1:105" ht="11.45" customHeight="1" x14ac:dyDescent="0.25">
      <c r="A93" s="53" t="s">
        <v>106</v>
      </c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DA93" s="172"/>
    </row>
    <row r="94" spans="1:105" ht="11.45" customHeight="1" x14ac:dyDescent="0.25">
      <c r="A94" s="27" t="s">
        <v>107</v>
      </c>
      <c r="B94" s="28">
        <f t="shared" ref="B94:J102" si="180">IF(B4=0,0,B4/B26*1000000)</f>
        <v>20390417.227963798</v>
      </c>
      <c r="C94" s="28">
        <f t="shared" si="180"/>
        <v>18128748.628000204</v>
      </c>
      <c r="D94" s="28">
        <f t="shared" si="180"/>
        <v>16264980.264649715</v>
      </c>
      <c r="E94" s="28">
        <f t="shared" si="180"/>
        <v>15167165.052894777</v>
      </c>
      <c r="F94" s="28">
        <f t="shared" si="180"/>
        <v>15230357.242103567</v>
      </c>
      <c r="G94" s="28">
        <f t="shared" si="180"/>
        <v>15450597.895808162</v>
      </c>
      <c r="H94" s="28">
        <f t="shared" si="180"/>
        <v>16655143.865987957</v>
      </c>
      <c r="I94" s="28">
        <f t="shared" si="180"/>
        <v>17160412.788478158</v>
      </c>
      <c r="J94" s="28">
        <f t="shared" si="180"/>
        <v>17481934.231210645</v>
      </c>
      <c r="K94" s="28">
        <f t="shared" ref="K94:V94" si="181">IF(K4=0,0,K4/K26*1000000)</f>
        <v>16453324.685054393</v>
      </c>
      <c r="L94" s="28">
        <f t="shared" si="181"/>
        <v>15692978.958746521</v>
      </c>
      <c r="M94" s="28">
        <f t="shared" si="181"/>
        <v>16510089.820989361</v>
      </c>
      <c r="N94" s="28">
        <f t="shared" si="181"/>
        <v>16013350.364646815</v>
      </c>
      <c r="O94" s="28">
        <f t="shared" si="181"/>
        <v>15432049.059134053</v>
      </c>
      <c r="P94" s="28">
        <f t="shared" si="181"/>
        <v>15022754.528834581</v>
      </c>
      <c r="Q94" s="28">
        <f t="shared" si="181"/>
        <v>15436677.661826225</v>
      </c>
      <c r="R94" s="28">
        <f t="shared" si="181"/>
        <v>15702268.38955676</v>
      </c>
      <c r="S94" s="28">
        <f t="shared" si="181"/>
        <v>16085995.761746893</v>
      </c>
      <c r="T94" s="28">
        <f t="shared" si="181"/>
        <v>15645036.910977112</v>
      </c>
      <c r="U94" s="28">
        <f t="shared" si="181"/>
        <v>16444856.364978172</v>
      </c>
      <c r="V94" s="28">
        <f t="shared" si="181"/>
        <v>10032439.818560971</v>
      </c>
      <c r="W94" s="28">
        <f t="shared" ref="W94:Y94" si="182">IF(W4=0,0,W4/W26*1000000)</f>
        <v>11574555.222036002</v>
      </c>
      <c r="X94" s="28">
        <f t="shared" si="182"/>
        <v>16217434.292436047</v>
      </c>
      <c r="Y94" s="28">
        <f t="shared" si="182"/>
        <v>17379501.41897288</v>
      </c>
      <c r="DA94" s="173" t="s">
        <v>1093</v>
      </c>
    </row>
    <row r="95" spans="1:105" ht="11.45" customHeight="1" x14ac:dyDescent="0.25">
      <c r="A95" s="107" t="s">
        <v>23</v>
      </c>
      <c r="B95" s="108">
        <f t="shared" si="180"/>
        <v>9023082.838999901</v>
      </c>
      <c r="C95" s="108">
        <f t="shared" si="180"/>
        <v>8949021.7475027274</v>
      </c>
      <c r="D95" s="108">
        <f t="shared" si="180"/>
        <v>8772299.7175365072</v>
      </c>
      <c r="E95" s="108">
        <f t="shared" si="180"/>
        <v>8738079.3907329496</v>
      </c>
      <c r="F95" s="108">
        <f t="shared" si="180"/>
        <v>8868012.5625684839</v>
      </c>
      <c r="G95" s="108">
        <f t="shared" si="180"/>
        <v>8958197.1572843008</v>
      </c>
      <c r="H95" s="108">
        <f t="shared" si="180"/>
        <v>8874856.7852394469</v>
      </c>
      <c r="I95" s="108">
        <f t="shared" si="180"/>
        <v>9055472.4323337357</v>
      </c>
      <c r="J95" s="108">
        <f t="shared" si="180"/>
        <v>9078074.3264296297</v>
      </c>
      <c r="K95" s="108">
        <f t="shared" ref="K95:V95" si="183">IF(K5=0,0,K5/K27*1000000)</f>
        <v>8926928.2936921716</v>
      </c>
      <c r="L95" s="108">
        <f t="shared" si="183"/>
        <v>8785758.1597025432</v>
      </c>
      <c r="M95" s="108">
        <f t="shared" si="183"/>
        <v>8898113.3724686634</v>
      </c>
      <c r="N95" s="108">
        <f t="shared" si="183"/>
        <v>8753789.7001630403</v>
      </c>
      <c r="O95" s="108">
        <f t="shared" si="183"/>
        <v>8732697.9839969687</v>
      </c>
      <c r="P95" s="108">
        <f t="shared" si="183"/>
        <v>8689614.5412482023</v>
      </c>
      <c r="Q95" s="108">
        <f t="shared" si="183"/>
        <v>8731685.2523191385</v>
      </c>
      <c r="R95" s="108">
        <f t="shared" si="183"/>
        <v>8709012.1962380651</v>
      </c>
      <c r="S95" s="108">
        <f t="shared" si="183"/>
        <v>8791408.3635761812</v>
      </c>
      <c r="T95" s="108">
        <f t="shared" si="183"/>
        <v>8830281.4101003595</v>
      </c>
      <c r="U95" s="108">
        <f t="shared" si="183"/>
        <v>8873111.1667275298</v>
      </c>
      <c r="V95" s="108">
        <f t="shared" si="183"/>
        <v>5384858.2865162883</v>
      </c>
      <c r="W95" s="108">
        <f t="shared" ref="W95:Y95" si="184">IF(W5=0,0,W5/W27*1000000)</f>
        <v>6142182.2490231059</v>
      </c>
      <c r="X95" s="108">
        <f t="shared" si="184"/>
        <v>8799876.8793940376</v>
      </c>
      <c r="Y95" s="108">
        <f t="shared" si="184"/>
        <v>9253483.2103081699</v>
      </c>
      <c r="DA95" s="203" t="s">
        <v>1094</v>
      </c>
    </row>
    <row r="96" spans="1:105" ht="11.45" customHeight="1" x14ac:dyDescent="0.25">
      <c r="A96" s="109" t="s">
        <v>24</v>
      </c>
      <c r="B96" s="110">
        <f t="shared" si="180"/>
        <v>27034743.449407712</v>
      </c>
      <c r="C96" s="110">
        <f t="shared" si="180"/>
        <v>23014408.40755415</v>
      </c>
      <c r="D96" s="110">
        <f t="shared" si="180"/>
        <v>20084726.181764591</v>
      </c>
      <c r="E96" s="110">
        <f t="shared" si="180"/>
        <v>18242844.244577304</v>
      </c>
      <c r="F96" s="110">
        <f t="shared" si="180"/>
        <v>18410615.721391365</v>
      </c>
      <c r="G96" s="110">
        <f t="shared" si="180"/>
        <v>18742259.959914561</v>
      </c>
      <c r="H96" s="110">
        <f t="shared" si="180"/>
        <v>21090007.599530507</v>
      </c>
      <c r="I96" s="110">
        <f t="shared" si="180"/>
        <v>21648574.166137371</v>
      </c>
      <c r="J96" s="110">
        <f t="shared" si="180"/>
        <v>22153212.749247983</v>
      </c>
      <c r="K96" s="110">
        <f t="shared" ref="K96:V96" si="185">IF(K6=0,0,K6/K28*1000000)</f>
        <v>20449853.904518794</v>
      </c>
      <c r="L96" s="110">
        <f t="shared" si="185"/>
        <v>19383459.03410795</v>
      </c>
      <c r="M96" s="110">
        <f t="shared" si="185"/>
        <v>20826372.900836781</v>
      </c>
      <c r="N96" s="110">
        <f t="shared" si="185"/>
        <v>20125793.639153168</v>
      </c>
      <c r="O96" s="110">
        <f t="shared" si="185"/>
        <v>18987767.65661798</v>
      </c>
      <c r="P96" s="110">
        <f t="shared" si="185"/>
        <v>18611594.266213018</v>
      </c>
      <c r="Q96" s="110">
        <f t="shared" si="185"/>
        <v>18535813.004822046</v>
      </c>
      <c r="R96" s="110">
        <f t="shared" si="185"/>
        <v>17928528.195845719</v>
      </c>
      <c r="S96" s="110">
        <f t="shared" si="185"/>
        <v>18313843.115927264</v>
      </c>
      <c r="T96" s="110">
        <f t="shared" si="185"/>
        <v>17397681.814992357</v>
      </c>
      <c r="U96" s="110">
        <f t="shared" si="185"/>
        <v>18504226.386923648</v>
      </c>
      <c r="V96" s="110">
        <f t="shared" si="185"/>
        <v>11606347.411556659</v>
      </c>
      <c r="W96" s="110">
        <f t="shared" ref="W96:Y96" si="186">IF(W6=0,0,W6/W28*1000000)</f>
        <v>12918731.618778728</v>
      </c>
      <c r="X96" s="110">
        <f t="shared" si="186"/>
        <v>17857467.057337936</v>
      </c>
      <c r="Y96" s="110">
        <f t="shared" si="186"/>
        <v>19137822.879945301</v>
      </c>
      <c r="DA96" s="176" t="s">
        <v>1095</v>
      </c>
    </row>
    <row r="97" spans="1:105" ht="11.45" customHeight="1" x14ac:dyDescent="0.25">
      <c r="A97" s="111" t="s">
        <v>92</v>
      </c>
      <c r="B97" s="84">
        <f t="shared" si="180"/>
        <v>18653721.028946277</v>
      </c>
      <c r="C97" s="84">
        <f t="shared" si="180"/>
        <v>18701611.328781538</v>
      </c>
      <c r="D97" s="84">
        <f t="shared" si="180"/>
        <v>17351577.498607043</v>
      </c>
      <c r="E97" s="84">
        <f t="shared" si="180"/>
        <v>15920866.267507236</v>
      </c>
      <c r="F97" s="84">
        <f t="shared" si="180"/>
        <v>15089810.88982272</v>
      </c>
      <c r="G97" s="84">
        <f t="shared" si="180"/>
        <v>16967857.388901152</v>
      </c>
      <c r="H97" s="84">
        <f t="shared" si="180"/>
        <v>13413981.92819497</v>
      </c>
      <c r="I97" s="84">
        <f t="shared" si="180"/>
        <v>18944963.95523648</v>
      </c>
      <c r="J97" s="84">
        <f t="shared" si="180"/>
        <v>16543126.127976738</v>
      </c>
      <c r="K97" s="84">
        <f t="shared" ref="K97:V97" si="187">IF(K7=0,0,K7/K29*1000000)</f>
        <v>17900782.057322983</v>
      </c>
      <c r="L97" s="84">
        <f t="shared" si="187"/>
        <v>12564275.770235041</v>
      </c>
      <c r="M97" s="84">
        <f t="shared" si="187"/>
        <v>15491425.219010931</v>
      </c>
      <c r="N97" s="84">
        <f t="shared" si="187"/>
        <v>16870793.244451225</v>
      </c>
      <c r="O97" s="84">
        <f t="shared" si="187"/>
        <v>17103110.798342127</v>
      </c>
      <c r="P97" s="84">
        <f t="shared" si="187"/>
        <v>17646083.826404385</v>
      </c>
      <c r="Q97" s="84">
        <f t="shared" si="187"/>
        <v>21241418.124229297</v>
      </c>
      <c r="R97" s="84">
        <f t="shared" si="187"/>
        <v>22397624.037981778</v>
      </c>
      <c r="S97" s="84">
        <f t="shared" si="187"/>
        <v>19890098.17728623</v>
      </c>
      <c r="T97" s="84">
        <f t="shared" si="187"/>
        <v>16020845.289414095</v>
      </c>
      <c r="U97" s="84">
        <f t="shared" si="187"/>
        <v>17983629.327094011</v>
      </c>
      <c r="V97" s="84">
        <f t="shared" si="187"/>
        <v>14770767.644954439</v>
      </c>
      <c r="W97" s="84">
        <f t="shared" ref="W97:Y97" si="188">IF(W7=0,0,W7/W29*1000000)</f>
        <v>18746138.44518533</v>
      </c>
      <c r="X97" s="84">
        <f t="shared" si="188"/>
        <v>18744795.250427932</v>
      </c>
      <c r="Y97" s="84">
        <f t="shared" si="188"/>
        <v>25380093.32384317</v>
      </c>
      <c r="DA97" s="171" t="s">
        <v>1096</v>
      </c>
    </row>
    <row r="98" spans="1:105" ht="11.45" customHeight="1" x14ac:dyDescent="0.25">
      <c r="A98" s="111" t="s">
        <v>93</v>
      </c>
      <c r="B98" s="84">
        <f t="shared" si="180"/>
        <v>30320956.848052692</v>
      </c>
      <c r="C98" s="84">
        <f t="shared" si="180"/>
        <v>24580834.80884786</v>
      </c>
      <c r="D98" s="84">
        <f t="shared" si="180"/>
        <v>20952823.611639537</v>
      </c>
      <c r="E98" s="84">
        <f t="shared" si="180"/>
        <v>19042587.730420612</v>
      </c>
      <c r="F98" s="84">
        <f t="shared" si="180"/>
        <v>19499509.406958222</v>
      </c>
      <c r="G98" s="84">
        <f t="shared" si="180"/>
        <v>19363160.248171501</v>
      </c>
      <c r="H98" s="84">
        <f t="shared" si="180"/>
        <v>23744298.335907489</v>
      </c>
      <c r="I98" s="84">
        <f t="shared" si="180"/>
        <v>22527378.407271791</v>
      </c>
      <c r="J98" s="84">
        <f t="shared" si="180"/>
        <v>23729263.648225524</v>
      </c>
      <c r="K98" s="84">
        <f t="shared" ref="K98:V98" si="189">IF(K8=0,0,K8/K30*1000000)</f>
        <v>21170210.582886223</v>
      </c>
      <c r="L98" s="84">
        <f t="shared" si="189"/>
        <v>20983402.786743652</v>
      </c>
      <c r="M98" s="84">
        <f t="shared" si="189"/>
        <v>21938872.164995898</v>
      </c>
      <c r="N98" s="84">
        <f t="shared" si="189"/>
        <v>20727160.71880934</v>
      </c>
      <c r="O98" s="84">
        <f t="shared" si="189"/>
        <v>19308985.042662021</v>
      </c>
      <c r="P98" s="84">
        <f t="shared" si="189"/>
        <v>18768534.307591956</v>
      </c>
      <c r="Q98" s="84">
        <f t="shared" si="189"/>
        <v>18217218.074277468</v>
      </c>
      <c r="R98" s="84">
        <f t="shared" si="189"/>
        <v>17361046.202733241</v>
      </c>
      <c r="S98" s="84">
        <f t="shared" si="189"/>
        <v>18142021.768660262</v>
      </c>
      <c r="T98" s="84">
        <f t="shared" si="189"/>
        <v>17584940.545901205</v>
      </c>
      <c r="U98" s="84">
        <f t="shared" si="189"/>
        <v>18561454.125137877</v>
      </c>
      <c r="V98" s="84">
        <f t="shared" si="189"/>
        <v>11303987.554904513</v>
      </c>
      <c r="W98" s="84">
        <f t="shared" ref="W98:Y98" si="190">IF(W8=0,0,W8/W30*1000000)</f>
        <v>12565918.861566858</v>
      </c>
      <c r="X98" s="84">
        <f t="shared" si="190"/>
        <v>17780260.727671996</v>
      </c>
      <c r="Y98" s="84">
        <f t="shared" si="190"/>
        <v>18741237.002557717</v>
      </c>
      <c r="DA98" s="171" t="s">
        <v>1097</v>
      </c>
    </row>
    <row r="99" spans="1:105" ht="11.45" customHeight="1" x14ac:dyDescent="0.25">
      <c r="A99" s="112" t="s">
        <v>25</v>
      </c>
      <c r="B99" s="113">
        <f t="shared" si="180"/>
        <v>0</v>
      </c>
      <c r="C99" s="113">
        <f t="shared" si="180"/>
        <v>0</v>
      </c>
      <c r="D99" s="113">
        <f t="shared" si="180"/>
        <v>0</v>
      </c>
      <c r="E99" s="113">
        <f t="shared" si="180"/>
        <v>0</v>
      </c>
      <c r="F99" s="113">
        <f t="shared" si="180"/>
        <v>0</v>
      </c>
      <c r="G99" s="113">
        <f t="shared" si="180"/>
        <v>0</v>
      </c>
      <c r="H99" s="113">
        <f t="shared" si="180"/>
        <v>0</v>
      </c>
      <c r="I99" s="113">
        <f t="shared" si="180"/>
        <v>0</v>
      </c>
      <c r="J99" s="113">
        <f t="shared" si="180"/>
        <v>0</v>
      </c>
      <c r="K99" s="113">
        <f t="shared" ref="K99:V99" si="191">IF(K9=0,0,K9/K31*1000000)</f>
        <v>0</v>
      </c>
      <c r="L99" s="113">
        <f t="shared" si="191"/>
        <v>0</v>
      </c>
      <c r="M99" s="113">
        <f t="shared" si="191"/>
        <v>0</v>
      </c>
      <c r="N99" s="113">
        <f t="shared" si="191"/>
        <v>0</v>
      </c>
      <c r="O99" s="113">
        <f t="shared" si="191"/>
        <v>0</v>
      </c>
      <c r="P99" s="113">
        <f t="shared" si="191"/>
        <v>0</v>
      </c>
      <c r="Q99" s="113">
        <f t="shared" si="191"/>
        <v>139111681.06189576</v>
      </c>
      <c r="R99" s="113">
        <f t="shared" si="191"/>
        <v>145017109.71360767</v>
      </c>
      <c r="S99" s="113">
        <f t="shared" si="191"/>
        <v>145472722.19771299</v>
      </c>
      <c r="T99" s="113">
        <f t="shared" si="191"/>
        <v>156585221.81003827</v>
      </c>
      <c r="U99" s="113">
        <f t="shared" si="191"/>
        <v>160975009.27543169</v>
      </c>
      <c r="V99" s="113">
        <f t="shared" si="191"/>
        <v>72500925.151976958</v>
      </c>
      <c r="W99" s="113">
        <f t="shared" ref="W99:Y99" si="192">IF(W9=0,0,W9/W31*1000000)</f>
        <v>107536662.46486504</v>
      </c>
      <c r="X99" s="113">
        <f t="shared" si="192"/>
        <v>133524131.28253278</v>
      </c>
      <c r="Y99" s="113">
        <f t="shared" si="192"/>
        <v>155016160.15014389</v>
      </c>
      <c r="DA99" s="204" t="s">
        <v>1098</v>
      </c>
    </row>
    <row r="100" spans="1:105" ht="11.45" customHeight="1" x14ac:dyDescent="0.25">
      <c r="A100" s="27" t="s">
        <v>108</v>
      </c>
      <c r="B100" s="28">
        <f t="shared" si="180"/>
        <v>121450756.27273476</v>
      </c>
      <c r="C100" s="28">
        <f t="shared" si="180"/>
        <v>118716041.65893736</v>
      </c>
      <c r="D100" s="28">
        <f t="shared" si="180"/>
        <v>121606972.04398979</v>
      </c>
      <c r="E100" s="28">
        <f t="shared" si="180"/>
        <v>117023287.56757696</v>
      </c>
      <c r="F100" s="28">
        <f t="shared" si="180"/>
        <v>123866771.53068677</v>
      </c>
      <c r="G100" s="28">
        <f t="shared" si="180"/>
        <v>127058442.69090244</v>
      </c>
      <c r="H100" s="28">
        <f t="shared" si="180"/>
        <v>127938505.9903778</v>
      </c>
      <c r="I100" s="28">
        <f t="shared" si="180"/>
        <v>125084987.09040992</v>
      </c>
      <c r="J100" s="28">
        <f t="shared" si="180"/>
        <v>125810779.13288586</v>
      </c>
      <c r="K100" s="28">
        <f t="shared" ref="K100:V100" si="193">IF(K10=0,0,K10/K32*1000000)</f>
        <v>117673846.58605069</v>
      </c>
      <c r="L100" s="28">
        <f t="shared" si="193"/>
        <v>133364180.83391033</v>
      </c>
      <c r="M100" s="28">
        <f t="shared" si="193"/>
        <v>136292704.59203941</v>
      </c>
      <c r="N100" s="28">
        <f t="shared" si="193"/>
        <v>137256232.83365613</v>
      </c>
      <c r="O100" s="28">
        <f t="shared" si="193"/>
        <v>143735896.49250427</v>
      </c>
      <c r="P100" s="28">
        <f t="shared" si="193"/>
        <v>146450197.17166248</v>
      </c>
      <c r="Q100" s="28">
        <f t="shared" si="193"/>
        <v>153307271.81413224</v>
      </c>
      <c r="R100" s="28">
        <f t="shared" si="193"/>
        <v>157196118.80579129</v>
      </c>
      <c r="S100" s="28">
        <f t="shared" si="193"/>
        <v>161314798.41794038</v>
      </c>
      <c r="T100" s="28">
        <f t="shared" si="193"/>
        <v>162869548.4082233</v>
      </c>
      <c r="U100" s="28">
        <f t="shared" si="193"/>
        <v>159917938.63597357</v>
      </c>
      <c r="V100" s="28">
        <f t="shared" si="193"/>
        <v>161554537.09631082</v>
      </c>
      <c r="W100" s="28">
        <f t="shared" ref="W100:Y100" si="194">IF(W10=0,0,W10/W32*1000000)</f>
        <v>162796813.75981048</v>
      </c>
      <c r="X100" s="28">
        <f t="shared" si="194"/>
        <v>184536121.91125953</v>
      </c>
      <c r="Y100" s="28">
        <f t="shared" si="194"/>
        <v>204967834.44488469</v>
      </c>
      <c r="DA100" s="173" t="s">
        <v>1099</v>
      </c>
    </row>
    <row r="101" spans="1:105" ht="11.45" customHeight="1" x14ac:dyDescent="0.25">
      <c r="A101" s="83" t="s">
        <v>92</v>
      </c>
      <c r="B101" s="84">
        <f t="shared" si="180"/>
        <v>130890297.61365709</v>
      </c>
      <c r="C101" s="84">
        <f t="shared" si="180"/>
        <v>126489128.98582654</v>
      </c>
      <c r="D101" s="84">
        <f t="shared" si="180"/>
        <v>129314824.40283731</v>
      </c>
      <c r="E101" s="84">
        <f t="shared" si="180"/>
        <v>142048280.42902499</v>
      </c>
      <c r="F101" s="84">
        <f t="shared" si="180"/>
        <v>143319498.56776476</v>
      </c>
      <c r="G101" s="84">
        <f t="shared" si="180"/>
        <v>142510563.39860368</v>
      </c>
      <c r="H101" s="84">
        <f t="shared" si="180"/>
        <v>138292245.17866275</v>
      </c>
      <c r="I101" s="84">
        <f t="shared" si="180"/>
        <v>124330762.73196803</v>
      </c>
      <c r="J101" s="84">
        <f t="shared" si="180"/>
        <v>126541876.81866318</v>
      </c>
      <c r="K101" s="84">
        <f t="shared" ref="K101:V101" si="195">IF(K11=0,0,K11/K33*1000000)</f>
        <v>124400598.77501339</v>
      </c>
      <c r="L101" s="84">
        <f t="shared" si="195"/>
        <v>140216047.20670119</v>
      </c>
      <c r="M101" s="84">
        <f t="shared" si="195"/>
        <v>143768306.54245776</v>
      </c>
      <c r="N101" s="84">
        <f t="shared" si="195"/>
        <v>131837572.24111269</v>
      </c>
      <c r="O101" s="84">
        <f t="shared" si="195"/>
        <v>149156393.89800495</v>
      </c>
      <c r="P101" s="84">
        <f t="shared" si="195"/>
        <v>145908323.02773744</v>
      </c>
      <c r="Q101" s="84">
        <f t="shared" si="195"/>
        <v>171499472.04389852</v>
      </c>
      <c r="R101" s="84">
        <f t="shared" si="195"/>
        <v>184356170.45166093</v>
      </c>
      <c r="S101" s="84">
        <f t="shared" si="195"/>
        <v>181014497.50485274</v>
      </c>
      <c r="T101" s="84">
        <f t="shared" si="195"/>
        <v>176411600.98740146</v>
      </c>
      <c r="U101" s="84">
        <f t="shared" si="195"/>
        <v>178322420.22115454</v>
      </c>
      <c r="V101" s="84">
        <f t="shared" si="195"/>
        <v>190663244.00623471</v>
      </c>
      <c r="W101" s="84">
        <f t="shared" ref="W101:Y101" si="196">IF(W11=0,0,W11/W33*1000000)</f>
        <v>180498746.58137417</v>
      </c>
      <c r="X101" s="84">
        <f t="shared" si="196"/>
        <v>188169755.95673797</v>
      </c>
      <c r="Y101" s="84">
        <f t="shared" si="196"/>
        <v>222074737.2044782</v>
      </c>
      <c r="DA101" s="171" t="s">
        <v>1100</v>
      </c>
    </row>
    <row r="102" spans="1:105" ht="11.45" customHeight="1" x14ac:dyDescent="0.25">
      <c r="A102" s="85" t="s">
        <v>93</v>
      </c>
      <c r="B102" s="86">
        <f t="shared" si="180"/>
        <v>120092110.25773115</v>
      </c>
      <c r="C102" s="86">
        <f t="shared" si="180"/>
        <v>117560877.02123412</v>
      </c>
      <c r="D102" s="86">
        <f t="shared" si="180"/>
        <v>120360444.92143635</v>
      </c>
      <c r="E102" s="86">
        <f t="shared" si="180"/>
        <v>112692739.80481108</v>
      </c>
      <c r="F102" s="86">
        <f t="shared" si="180"/>
        <v>119029869.45098011</v>
      </c>
      <c r="G102" s="86">
        <f t="shared" si="180"/>
        <v>123202938.80632339</v>
      </c>
      <c r="H102" s="86">
        <f t="shared" si="180"/>
        <v>124384474.3658044</v>
      </c>
      <c r="I102" s="86">
        <f t="shared" si="180"/>
        <v>125315440.21460365</v>
      </c>
      <c r="J102" s="86">
        <f t="shared" si="180"/>
        <v>125590088.66375682</v>
      </c>
      <c r="K102" s="86">
        <f t="shared" ref="K102:V102" si="197">IF(K12=0,0,K12/K34*1000000)</f>
        <v>115495232.3422045</v>
      </c>
      <c r="L102" s="86">
        <f t="shared" si="197"/>
        <v>130824742.29356717</v>
      </c>
      <c r="M102" s="86">
        <f t="shared" si="197"/>
        <v>133582962.78927381</v>
      </c>
      <c r="N102" s="86">
        <f t="shared" si="197"/>
        <v>139350505.35790598</v>
      </c>
      <c r="O102" s="86">
        <f t="shared" si="197"/>
        <v>141783940.89444938</v>
      </c>
      <c r="P102" s="86">
        <f t="shared" si="197"/>
        <v>146638369.80966294</v>
      </c>
      <c r="Q102" s="86">
        <f t="shared" si="197"/>
        <v>147241650.7459574</v>
      </c>
      <c r="R102" s="86">
        <f t="shared" si="197"/>
        <v>148615476.64674345</v>
      </c>
      <c r="S102" s="86">
        <f t="shared" si="197"/>
        <v>154788223.59570682</v>
      </c>
      <c r="T102" s="86">
        <f t="shared" si="197"/>
        <v>157859561.62667477</v>
      </c>
      <c r="U102" s="86">
        <f t="shared" si="197"/>
        <v>153037957.59948358</v>
      </c>
      <c r="V102" s="86">
        <f t="shared" si="197"/>
        <v>150459815.49966201</v>
      </c>
      <c r="W102" s="86">
        <f t="shared" ref="W102:Y102" si="198">IF(W12=0,0,W12/W34*1000000)</f>
        <v>154865038.13084447</v>
      </c>
      <c r="X102" s="86">
        <f t="shared" si="198"/>
        <v>182947155.27757543</v>
      </c>
      <c r="Y102" s="86">
        <f t="shared" si="198"/>
        <v>197306498.71339202</v>
      </c>
      <c r="DA102" s="178" t="s">
        <v>1101</v>
      </c>
    </row>
    <row r="103" spans="1:105" x14ac:dyDescent="0.25">
      <c r="A103" s="106"/>
      <c r="B103" s="106"/>
      <c r="C103" s="106"/>
      <c r="D103" s="106"/>
      <c r="E103" s="106"/>
      <c r="F103" s="106"/>
      <c r="G103" s="106"/>
      <c r="H103" s="106"/>
      <c r="I103" s="106"/>
      <c r="J103" s="106"/>
      <c r="K103" s="106"/>
      <c r="L103" s="106"/>
      <c r="M103" s="106"/>
      <c r="N103" s="106"/>
      <c r="O103" s="106"/>
      <c r="P103" s="106"/>
      <c r="Q103" s="106"/>
      <c r="R103" s="106"/>
      <c r="S103" s="106"/>
      <c r="T103" s="106"/>
      <c r="U103" s="106"/>
      <c r="V103" s="106"/>
      <c r="W103" s="106"/>
      <c r="X103" s="106"/>
      <c r="Y103" s="106"/>
      <c r="DA103" s="171"/>
    </row>
    <row r="104" spans="1:105" ht="11.45" customHeight="1" x14ac:dyDescent="0.25">
      <c r="A104" s="53" t="s">
        <v>37</v>
      </c>
      <c r="B104" s="65"/>
      <c r="C104" s="65"/>
      <c r="D104" s="65"/>
      <c r="E104" s="65"/>
      <c r="F104" s="65"/>
      <c r="G104" s="65"/>
      <c r="H104" s="65"/>
      <c r="I104" s="65"/>
      <c r="J104" s="65"/>
      <c r="K104" s="65"/>
      <c r="L104" s="65"/>
      <c r="M104" s="65"/>
      <c r="N104" s="65"/>
      <c r="O104" s="65"/>
      <c r="P104" s="65"/>
      <c r="Q104" s="65"/>
      <c r="R104" s="65"/>
      <c r="S104" s="65"/>
      <c r="T104" s="65"/>
      <c r="U104" s="65"/>
      <c r="V104" s="65"/>
      <c r="W104" s="65"/>
      <c r="X104" s="65"/>
      <c r="Y104" s="65"/>
      <c r="DA104" s="172"/>
    </row>
    <row r="105" spans="1:105" ht="11.45" customHeight="1" x14ac:dyDescent="0.25">
      <c r="A105" s="27" t="s">
        <v>38</v>
      </c>
      <c r="B105" s="31">
        <f t="shared" ref="B105:J110" si="199">IF(B4=0,0,B4/B$4)</f>
        <v>1</v>
      </c>
      <c r="C105" s="31">
        <f t="shared" si="199"/>
        <v>1</v>
      </c>
      <c r="D105" s="31">
        <f t="shared" si="199"/>
        <v>1</v>
      </c>
      <c r="E105" s="31">
        <f t="shared" si="199"/>
        <v>1</v>
      </c>
      <c r="F105" s="31">
        <f t="shared" si="199"/>
        <v>1</v>
      </c>
      <c r="G105" s="31">
        <f t="shared" si="199"/>
        <v>1</v>
      </c>
      <c r="H105" s="31">
        <f t="shared" si="199"/>
        <v>1</v>
      </c>
      <c r="I105" s="31">
        <f t="shared" si="199"/>
        <v>1</v>
      </c>
      <c r="J105" s="31">
        <f t="shared" si="199"/>
        <v>1</v>
      </c>
      <c r="K105" s="31">
        <f t="shared" ref="K105:V105" si="200">IF(K4=0,0,K4/K$4)</f>
        <v>1</v>
      </c>
      <c r="L105" s="31">
        <f t="shared" si="200"/>
        <v>1</v>
      </c>
      <c r="M105" s="31">
        <f t="shared" si="200"/>
        <v>1</v>
      </c>
      <c r="N105" s="31">
        <f t="shared" si="200"/>
        <v>1</v>
      </c>
      <c r="O105" s="31">
        <f t="shared" si="200"/>
        <v>1</v>
      </c>
      <c r="P105" s="31">
        <f t="shared" si="200"/>
        <v>1</v>
      </c>
      <c r="Q105" s="31">
        <f t="shared" si="200"/>
        <v>1</v>
      </c>
      <c r="R105" s="31">
        <f t="shared" si="200"/>
        <v>1</v>
      </c>
      <c r="S105" s="31">
        <f t="shared" si="200"/>
        <v>1</v>
      </c>
      <c r="T105" s="31">
        <f t="shared" si="200"/>
        <v>1</v>
      </c>
      <c r="U105" s="31">
        <f t="shared" si="200"/>
        <v>1</v>
      </c>
      <c r="V105" s="31">
        <f t="shared" si="200"/>
        <v>1</v>
      </c>
      <c r="W105" s="31">
        <f t="shared" ref="W105:Y105" si="201">IF(W4=0,0,W4/W$4)</f>
        <v>1</v>
      </c>
      <c r="X105" s="31">
        <f t="shared" si="201"/>
        <v>1</v>
      </c>
      <c r="Y105" s="31">
        <f t="shared" si="201"/>
        <v>1</v>
      </c>
      <c r="DA105" s="173"/>
    </row>
    <row r="106" spans="1:105" ht="11.45" customHeight="1" x14ac:dyDescent="0.25">
      <c r="A106" s="107" t="s">
        <v>23</v>
      </c>
      <c r="B106" s="123">
        <f t="shared" si="199"/>
        <v>0.16323978883023063</v>
      </c>
      <c r="C106" s="123">
        <f t="shared" si="199"/>
        <v>0.17146649950219403</v>
      </c>
      <c r="D106" s="123">
        <f t="shared" si="199"/>
        <v>0.18211202648902203</v>
      </c>
      <c r="E106" s="123">
        <f t="shared" si="199"/>
        <v>0.18642803877703207</v>
      </c>
      <c r="F106" s="123">
        <f t="shared" si="199"/>
        <v>0.19404915912031048</v>
      </c>
      <c r="G106" s="123">
        <f t="shared" si="199"/>
        <v>0.19506140000886643</v>
      </c>
      <c r="H106" s="123">
        <f t="shared" si="199"/>
        <v>0.19346143813581429</v>
      </c>
      <c r="I106" s="123">
        <f t="shared" si="199"/>
        <v>0.18806983114599943</v>
      </c>
      <c r="J106" s="123">
        <f t="shared" si="199"/>
        <v>0.18552127445049404</v>
      </c>
      <c r="K106" s="123">
        <f t="shared" ref="K106:V106" si="202">IF(K5=0,0,K5/K$4)</f>
        <v>0.18817789780894717</v>
      </c>
      <c r="L106" s="123">
        <f t="shared" si="202"/>
        <v>0.19495979515745024</v>
      </c>
      <c r="M106" s="123">
        <f t="shared" si="202"/>
        <v>0.19502098202270043</v>
      </c>
      <c r="N106" s="123">
        <f t="shared" si="202"/>
        <v>0.19768641339305781</v>
      </c>
      <c r="O106" s="123">
        <f t="shared" si="202"/>
        <v>0.19620660050805397</v>
      </c>
      <c r="P106" s="123">
        <f t="shared" si="202"/>
        <v>0.20922167322524565</v>
      </c>
      <c r="Q106" s="123">
        <f t="shared" si="202"/>
        <v>0.19550288058076004</v>
      </c>
      <c r="R106" s="123">
        <f t="shared" si="202"/>
        <v>0.18447086707026358</v>
      </c>
      <c r="S106" s="123">
        <f t="shared" si="202"/>
        <v>0.17504478255089409</v>
      </c>
      <c r="T106" s="123">
        <f t="shared" si="202"/>
        <v>0.17138128177480252</v>
      </c>
      <c r="U106" s="123">
        <f t="shared" si="202"/>
        <v>0.16718960951209783</v>
      </c>
      <c r="V106" s="123">
        <f t="shared" si="202"/>
        <v>0.1721154756079665</v>
      </c>
      <c r="W106" s="123">
        <f t="shared" ref="W106:Y106" si="203">IF(W5=0,0,W5/W$4)</f>
        <v>0.15297491595990956</v>
      </c>
      <c r="X106" s="123">
        <f t="shared" si="203"/>
        <v>0.14062551044073898</v>
      </c>
      <c r="Y106" s="123">
        <f t="shared" si="203"/>
        <v>0.13910790156968217</v>
      </c>
      <c r="DA106" s="203"/>
    </row>
    <row r="107" spans="1:105" ht="11.45" customHeight="1" x14ac:dyDescent="0.25">
      <c r="A107" s="109" t="s">
        <v>24</v>
      </c>
      <c r="B107" s="124">
        <f t="shared" si="199"/>
        <v>0.8367602111697694</v>
      </c>
      <c r="C107" s="124">
        <f t="shared" si="199"/>
        <v>0.82853350049780594</v>
      </c>
      <c r="D107" s="124">
        <f t="shared" si="199"/>
        <v>0.81788797351097797</v>
      </c>
      <c r="E107" s="124">
        <f t="shared" si="199"/>
        <v>0.81357196122296793</v>
      </c>
      <c r="F107" s="124">
        <f t="shared" si="199"/>
        <v>0.80595084087968949</v>
      </c>
      <c r="G107" s="124">
        <f t="shared" si="199"/>
        <v>0.8049385999911336</v>
      </c>
      <c r="H107" s="124">
        <f t="shared" si="199"/>
        <v>0.80653856186418571</v>
      </c>
      <c r="I107" s="124">
        <f t="shared" si="199"/>
        <v>0.8119301688540006</v>
      </c>
      <c r="J107" s="124">
        <f t="shared" si="199"/>
        <v>0.81447872554950596</v>
      </c>
      <c r="K107" s="124">
        <f t="shared" ref="K107:V107" si="204">IF(K6=0,0,K6/K$4)</f>
        <v>0.81182210219105289</v>
      </c>
      <c r="L107" s="124">
        <f t="shared" si="204"/>
        <v>0.80504020484254979</v>
      </c>
      <c r="M107" s="124">
        <f t="shared" si="204"/>
        <v>0.80497901797729954</v>
      </c>
      <c r="N107" s="124">
        <f t="shared" si="204"/>
        <v>0.8023135866069423</v>
      </c>
      <c r="O107" s="124">
        <f t="shared" si="204"/>
        <v>0.80379339949194606</v>
      </c>
      <c r="P107" s="124">
        <f t="shared" si="204"/>
        <v>0.79077832677475435</v>
      </c>
      <c r="Q107" s="124">
        <f t="shared" si="204"/>
        <v>0.78286412841510655</v>
      </c>
      <c r="R107" s="124">
        <f t="shared" si="204"/>
        <v>0.75447651676132399</v>
      </c>
      <c r="S107" s="124">
        <f t="shared" si="204"/>
        <v>0.76649094690790254</v>
      </c>
      <c r="T107" s="124">
        <f t="shared" si="204"/>
        <v>0.76758374159405851</v>
      </c>
      <c r="U107" s="124">
        <f t="shared" si="204"/>
        <v>0.76926215476106419</v>
      </c>
      <c r="V107" s="124">
        <f t="shared" si="204"/>
        <v>0.77790949297615708</v>
      </c>
      <c r="W107" s="124">
        <f t="shared" ref="W107:Y107" si="205">IF(W6=0,0,W6/W$4)</f>
        <v>0.78719532328201591</v>
      </c>
      <c r="X107" s="124">
        <f t="shared" si="205"/>
        <v>0.80902460130540066</v>
      </c>
      <c r="Y107" s="124">
        <f t="shared" si="205"/>
        <v>0.80679385392928971</v>
      </c>
      <c r="DA107" s="176"/>
    </row>
    <row r="108" spans="1:105" ht="11.45" customHeight="1" x14ac:dyDescent="0.25">
      <c r="A108" s="111" t="s">
        <v>92</v>
      </c>
      <c r="B108" s="125">
        <f t="shared" si="199"/>
        <v>0.16261927922169805</v>
      </c>
      <c r="C108" s="125">
        <f t="shared" si="199"/>
        <v>0.1793821850563837</v>
      </c>
      <c r="D108" s="125">
        <f t="shared" si="199"/>
        <v>0.17032662425936135</v>
      </c>
      <c r="E108" s="125">
        <f t="shared" si="199"/>
        <v>0.18189747811200566</v>
      </c>
      <c r="F108" s="125">
        <f t="shared" si="199"/>
        <v>0.16311752281637998</v>
      </c>
      <c r="G108" s="125">
        <f t="shared" si="199"/>
        <v>0.18889881373668138</v>
      </c>
      <c r="H108" s="125">
        <f t="shared" si="199"/>
        <v>0.1318077616093318</v>
      </c>
      <c r="I108" s="125">
        <f t="shared" si="199"/>
        <v>0.17430084003956206</v>
      </c>
      <c r="J108" s="125">
        <f t="shared" si="199"/>
        <v>0.1333937011075684</v>
      </c>
      <c r="K108" s="125">
        <f t="shared" ref="K108:V108" si="206">IF(K7=0,0,K7/K$4)</f>
        <v>0.15657355259069072</v>
      </c>
      <c r="L108" s="125">
        <f t="shared" si="206"/>
        <v>9.9165681952426449E-2</v>
      </c>
      <c r="M108" s="125">
        <f t="shared" si="206"/>
        <v>0.10331758599912265</v>
      </c>
      <c r="N108" s="125">
        <f t="shared" si="206"/>
        <v>0.10487883952687241</v>
      </c>
      <c r="O108" s="125">
        <f t="shared" si="206"/>
        <v>0.10542993278814392</v>
      </c>
      <c r="P108" s="125">
        <f t="shared" si="206"/>
        <v>0.10483012215757917</v>
      </c>
      <c r="Q108" s="125">
        <f t="shared" si="206"/>
        <v>9.4511924569179395E-2</v>
      </c>
      <c r="R108" s="125">
        <f t="shared" si="206"/>
        <v>0.10619879136684136</v>
      </c>
      <c r="S108" s="125">
        <f t="shared" si="206"/>
        <v>8.1824088352998481E-2</v>
      </c>
      <c r="T108" s="125">
        <f t="shared" si="206"/>
        <v>8.4625000998508212E-2</v>
      </c>
      <c r="U108" s="125">
        <f t="shared" si="206"/>
        <v>7.4044223330335557E-2</v>
      </c>
      <c r="V108" s="125">
        <f t="shared" si="206"/>
        <v>8.6344446262070315E-2</v>
      </c>
      <c r="W108" s="125">
        <f t="shared" ref="W108:Y108" si="207">IF(W7=0,0,W7/W$4)</f>
        <v>6.5210093614911674E-2</v>
      </c>
      <c r="X108" s="125">
        <f t="shared" si="207"/>
        <v>6.7976328148008497E-2</v>
      </c>
      <c r="Y108" s="125">
        <f t="shared" si="207"/>
        <v>6.3915654421850959E-2</v>
      </c>
      <c r="DA108" s="171"/>
    </row>
    <row r="109" spans="1:105" ht="11.45" customHeight="1" x14ac:dyDescent="0.25">
      <c r="A109" s="111" t="s">
        <v>93</v>
      </c>
      <c r="B109" s="125">
        <f t="shared" si="199"/>
        <v>0.67414093194807134</v>
      </c>
      <c r="C109" s="125">
        <f t="shared" si="199"/>
        <v>0.64915131544142224</v>
      </c>
      <c r="D109" s="125">
        <f t="shared" si="199"/>
        <v>0.64756134925161657</v>
      </c>
      <c r="E109" s="125">
        <f t="shared" si="199"/>
        <v>0.6316744831109623</v>
      </c>
      <c r="F109" s="125">
        <f t="shared" si="199"/>
        <v>0.64283331806330946</v>
      </c>
      <c r="G109" s="125">
        <f t="shared" si="199"/>
        <v>0.6160397862544521</v>
      </c>
      <c r="H109" s="125">
        <f t="shared" si="199"/>
        <v>0.67473080025485388</v>
      </c>
      <c r="I109" s="125">
        <f t="shared" si="199"/>
        <v>0.63762932881443846</v>
      </c>
      <c r="J109" s="125">
        <f t="shared" si="199"/>
        <v>0.68108502444193753</v>
      </c>
      <c r="K109" s="125">
        <f t="shared" ref="K109:V109" si="208">IF(K8=0,0,K8/K$4)</f>
        <v>0.65524854960036216</v>
      </c>
      <c r="L109" s="125">
        <f t="shared" si="208"/>
        <v>0.70587452289012331</v>
      </c>
      <c r="M109" s="125">
        <f t="shared" si="208"/>
        <v>0.70166143197817687</v>
      </c>
      <c r="N109" s="125">
        <f t="shared" si="208"/>
        <v>0.69743474708006992</v>
      </c>
      <c r="O109" s="125">
        <f t="shared" si="208"/>
        <v>0.69836346670380212</v>
      </c>
      <c r="P109" s="125">
        <f t="shared" si="208"/>
        <v>0.68594820461717521</v>
      </c>
      <c r="Q109" s="125">
        <f t="shared" si="208"/>
        <v>0.68835220384592721</v>
      </c>
      <c r="R109" s="125">
        <f t="shared" si="208"/>
        <v>0.64827772539448258</v>
      </c>
      <c r="S109" s="125">
        <f t="shared" si="208"/>
        <v>0.68466685855490406</v>
      </c>
      <c r="T109" s="125">
        <f t="shared" si="208"/>
        <v>0.6829587405955504</v>
      </c>
      <c r="U109" s="125">
        <f t="shared" si="208"/>
        <v>0.69521793143072863</v>
      </c>
      <c r="V109" s="125">
        <f t="shared" si="208"/>
        <v>0.6915650467140867</v>
      </c>
      <c r="W109" s="125">
        <f t="shared" ref="W109:Y109" si="209">IF(W8=0,0,W8/W$4)</f>
        <v>0.72198522966710421</v>
      </c>
      <c r="X109" s="125">
        <f t="shared" si="209"/>
        <v>0.74104827315739219</v>
      </c>
      <c r="Y109" s="125">
        <f t="shared" si="209"/>
        <v>0.74287819950743872</v>
      </c>
      <c r="DA109" s="171"/>
    </row>
    <row r="110" spans="1:105" ht="11.45" customHeight="1" x14ac:dyDescent="0.25">
      <c r="A110" s="112" t="s">
        <v>25</v>
      </c>
      <c r="B110" s="126">
        <f t="shared" si="199"/>
        <v>0</v>
      </c>
      <c r="C110" s="126">
        <f t="shared" si="199"/>
        <v>0</v>
      </c>
      <c r="D110" s="126">
        <f t="shared" si="199"/>
        <v>0</v>
      </c>
      <c r="E110" s="126">
        <f t="shared" si="199"/>
        <v>0</v>
      </c>
      <c r="F110" s="126">
        <f t="shared" si="199"/>
        <v>0</v>
      </c>
      <c r="G110" s="126">
        <f t="shared" si="199"/>
        <v>0</v>
      </c>
      <c r="H110" s="126">
        <f t="shared" si="199"/>
        <v>0</v>
      </c>
      <c r="I110" s="126">
        <f t="shared" si="199"/>
        <v>0</v>
      </c>
      <c r="J110" s="126">
        <f t="shared" si="199"/>
        <v>0</v>
      </c>
      <c r="K110" s="126">
        <f t="shared" ref="K110:V110" si="210">IF(K9=0,0,K9/K$4)</f>
        <v>0</v>
      </c>
      <c r="L110" s="126">
        <f t="shared" si="210"/>
        <v>0</v>
      </c>
      <c r="M110" s="126">
        <f t="shared" si="210"/>
        <v>0</v>
      </c>
      <c r="N110" s="126">
        <f t="shared" si="210"/>
        <v>0</v>
      </c>
      <c r="O110" s="126">
        <f t="shared" si="210"/>
        <v>0</v>
      </c>
      <c r="P110" s="126">
        <f t="shared" si="210"/>
        <v>0</v>
      </c>
      <c r="Q110" s="126">
        <f t="shared" si="210"/>
        <v>2.1632991004133417E-2</v>
      </c>
      <c r="R110" s="126">
        <f t="shared" si="210"/>
        <v>6.1052616168412378E-2</v>
      </c>
      <c r="S110" s="126">
        <f t="shared" si="210"/>
        <v>5.8464270541203435E-2</v>
      </c>
      <c r="T110" s="126">
        <f t="shared" si="210"/>
        <v>6.103497663113891E-2</v>
      </c>
      <c r="U110" s="126">
        <f t="shared" si="210"/>
        <v>6.3548235726838015E-2</v>
      </c>
      <c r="V110" s="126">
        <f t="shared" si="210"/>
        <v>4.9975031415876517E-2</v>
      </c>
      <c r="W110" s="126">
        <f t="shared" ref="W110:Y110" si="211">IF(W9=0,0,W9/W$4)</f>
        <v>5.9829760758074634E-2</v>
      </c>
      <c r="X110" s="126">
        <f t="shared" si="211"/>
        <v>5.0349888253860255E-2</v>
      </c>
      <c r="Y110" s="126">
        <f t="shared" si="211"/>
        <v>5.4098244501028112E-2</v>
      </c>
      <c r="DA110" s="204"/>
    </row>
    <row r="111" spans="1:105" ht="11.45" customHeight="1" x14ac:dyDescent="0.25">
      <c r="A111" s="27" t="s">
        <v>39</v>
      </c>
      <c r="B111" s="31">
        <f t="shared" ref="B111:J113" si="212">IF(B10=0,0,B10/B$10)</f>
        <v>1</v>
      </c>
      <c r="C111" s="31">
        <f t="shared" si="212"/>
        <v>1</v>
      </c>
      <c r="D111" s="31">
        <f t="shared" si="212"/>
        <v>1</v>
      </c>
      <c r="E111" s="31">
        <f t="shared" si="212"/>
        <v>1</v>
      </c>
      <c r="F111" s="31">
        <f t="shared" si="212"/>
        <v>1</v>
      </c>
      <c r="G111" s="31">
        <f t="shared" si="212"/>
        <v>1</v>
      </c>
      <c r="H111" s="31">
        <f t="shared" si="212"/>
        <v>1</v>
      </c>
      <c r="I111" s="31">
        <f t="shared" si="212"/>
        <v>1</v>
      </c>
      <c r="J111" s="31">
        <f t="shared" si="212"/>
        <v>1</v>
      </c>
      <c r="K111" s="31">
        <f t="shared" ref="K111:V111" si="213">IF(K10=0,0,K10/K$10)</f>
        <v>1</v>
      </c>
      <c r="L111" s="31">
        <f t="shared" si="213"/>
        <v>1</v>
      </c>
      <c r="M111" s="31">
        <f t="shared" si="213"/>
        <v>1</v>
      </c>
      <c r="N111" s="31">
        <f t="shared" si="213"/>
        <v>1</v>
      </c>
      <c r="O111" s="31">
        <f t="shared" si="213"/>
        <v>1</v>
      </c>
      <c r="P111" s="31">
        <f t="shared" si="213"/>
        <v>1</v>
      </c>
      <c r="Q111" s="31">
        <f t="shared" si="213"/>
        <v>1</v>
      </c>
      <c r="R111" s="31">
        <f t="shared" si="213"/>
        <v>1</v>
      </c>
      <c r="S111" s="31">
        <f t="shared" si="213"/>
        <v>1</v>
      </c>
      <c r="T111" s="31">
        <f t="shared" si="213"/>
        <v>1</v>
      </c>
      <c r="U111" s="31">
        <f t="shared" si="213"/>
        <v>1</v>
      </c>
      <c r="V111" s="31">
        <f t="shared" si="213"/>
        <v>1</v>
      </c>
      <c r="W111" s="31">
        <f t="shared" ref="W111:Y111" si="214">IF(W10=0,0,W10/W$10)</f>
        <v>1</v>
      </c>
      <c r="X111" s="31">
        <f t="shared" si="214"/>
        <v>1</v>
      </c>
      <c r="Y111" s="31">
        <f t="shared" si="214"/>
        <v>1</v>
      </c>
      <c r="DA111" s="173"/>
    </row>
    <row r="112" spans="1:105" ht="11.45" customHeight="1" x14ac:dyDescent="0.25">
      <c r="A112" s="83" t="s">
        <v>92</v>
      </c>
      <c r="B112" s="125">
        <f t="shared" si="212"/>
        <v>0.13560093762120778</v>
      </c>
      <c r="C112" s="125">
        <f t="shared" si="212"/>
        <v>0.13785459355210558</v>
      </c>
      <c r="D112" s="125">
        <f t="shared" si="212"/>
        <v>0.14803216011148568</v>
      </c>
      <c r="E112" s="125">
        <f t="shared" si="212"/>
        <v>0.17906736212835025</v>
      </c>
      <c r="F112" s="125">
        <f t="shared" si="212"/>
        <v>0.23040763897740044</v>
      </c>
      <c r="G112" s="125">
        <f t="shared" si="212"/>
        <v>0.22397308292479451</v>
      </c>
      <c r="H112" s="125">
        <f t="shared" si="212"/>
        <v>0.27622330367363629</v>
      </c>
      <c r="I112" s="125">
        <f t="shared" si="212"/>
        <v>0.23262800877841541</v>
      </c>
      <c r="J112" s="125">
        <f t="shared" si="212"/>
        <v>0.23321673003802279</v>
      </c>
      <c r="K112" s="125">
        <f t="shared" ref="K112:V112" si="215">IF(K11=0,0,K11/K$10)</f>
        <v>0.25862533431961032</v>
      </c>
      <c r="L112" s="125">
        <f t="shared" si="215"/>
        <v>0.28429569498257717</v>
      </c>
      <c r="M112" s="125">
        <f t="shared" si="215"/>
        <v>0.28063560329792292</v>
      </c>
      <c r="N112" s="125">
        <f t="shared" si="215"/>
        <v>0.2677508107069817</v>
      </c>
      <c r="O112" s="125">
        <f t="shared" si="215"/>
        <v>0.27474800940233696</v>
      </c>
      <c r="P112" s="125">
        <f t="shared" si="215"/>
        <v>0.25680051343259314</v>
      </c>
      <c r="Q112" s="125">
        <f t="shared" si="215"/>
        <v>0.27971999730766639</v>
      </c>
      <c r="R112" s="125">
        <f t="shared" si="215"/>
        <v>0.28156111157433322</v>
      </c>
      <c r="S112" s="125">
        <f t="shared" si="215"/>
        <v>0.27924658957135934</v>
      </c>
      <c r="T112" s="125">
        <f t="shared" si="215"/>
        <v>0.29250424425614896</v>
      </c>
      <c r="U112" s="125">
        <f t="shared" si="215"/>
        <v>0.30341865585814348</v>
      </c>
      <c r="V112" s="125">
        <f t="shared" si="215"/>
        <v>0.32568753463768785</v>
      </c>
      <c r="W112" s="125">
        <f t="shared" ref="W112:Y112" si="216">IF(W11=0,0,W11/W$10)</f>
        <v>0.34307357634249502</v>
      </c>
      <c r="X112" s="125">
        <f t="shared" si="216"/>
        <v>0.31023899788816234</v>
      </c>
      <c r="Y112" s="125">
        <f t="shared" si="216"/>
        <v>0.33513733943083507</v>
      </c>
      <c r="DA112" s="171"/>
    </row>
    <row r="113" spans="1:105" ht="11.45" customHeight="1" x14ac:dyDescent="0.25">
      <c r="A113" s="85" t="s">
        <v>93</v>
      </c>
      <c r="B113" s="127">
        <f t="shared" si="212"/>
        <v>0.86439906237879227</v>
      </c>
      <c r="C113" s="127">
        <f t="shared" si="212"/>
        <v>0.86214540644789439</v>
      </c>
      <c r="D113" s="127">
        <f t="shared" si="212"/>
        <v>0.85196783988851421</v>
      </c>
      <c r="E113" s="127">
        <f t="shared" si="212"/>
        <v>0.82093263787164983</v>
      </c>
      <c r="F113" s="127">
        <f t="shared" si="212"/>
        <v>0.76959236102259954</v>
      </c>
      <c r="G113" s="127">
        <f t="shared" si="212"/>
        <v>0.77602691707520555</v>
      </c>
      <c r="H113" s="127">
        <f t="shared" si="212"/>
        <v>0.72377669632636366</v>
      </c>
      <c r="I113" s="127">
        <f t="shared" si="212"/>
        <v>0.76737199122158462</v>
      </c>
      <c r="J113" s="127">
        <f t="shared" si="212"/>
        <v>0.76678326996197721</v>
      </c>
      <c r="K113" s="127">
        <f t="shared" ref="K113:V113" si="217">IF(K12=0,0,K12/K$10)</f>
        <v>0.74137466568038968</v>
      </c>
      <c r="L113" s="127">
        <f t="shared" si="217"/>
        <v>0.71570430501742277</v>
      </c>
      <c r="M113" s="127">
        <f t="shared" si="217"/>
        <v>0.71936439670207708</v>
      </c>
      <c r="N113" s="127">
        <f t="shared" si="217"/>
        <v>0.73224918929301819</v>
      </c>
      <c r="O113" s="127">
        <f t="shared" si="217"/>
        <v>0.72525199059766299</v>
      </c>
      <c r="P113" s="127">
        <f t="shared" si="217"/>
        <v>0.74319948656740686</v>
      </c>
      <c r="Q113" s="127">
        <f t="shared" si="217"/>
        <v>0.7202800026923335</v>
      </c>
      <c r="R113" s="127">
        <f t="shared" si="217"/>
        <v>0.71843888842566683</v>
      </c>
      <c r="S113" s="127">
        <f t="shared" si="217"/>
        <v>0.72075341042864072</v>
      </c>
      <c r="T113" s="127">
        <f t="shared" si="217"/>
        <v>0.70749575574385115</v>
      </c>
      <c r="U113" s="127">
        <f t="shared" si="217"/>
        <v>0.69658134414185646</v>
      </c>
      <c r="V113" s="127">
        <f t="shared" si="217"/>
        <v>0.67431246536231215</v>
      </c>
      <c r="W113" s="127">
        <f t="shared" ref="W113:Y113" si="218">IF(W12=0,0,W12/W$10)</f>
        <v>0.65692642365750498</v>
      </c>
      <c r="X113" s="127">
        <f t="shared" si="218"/>
        <v>0.68976100211183766</v>
      </c>
      <c r="Y113" s="127">
        <f t="shared" si="218"/>
        <v>0.66486266056916499</v>
      </c>
      <c r="DA113" s="178"/>
    </row>
    <row r="114" spans="1:105" ht="11.45" customHeight="1" x14ac:dyDescent="0.25">
      <c r="A114" s="106"/>
      <c r="B114" s="106"/>
      <c r="C114" s="106"/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X114" s="106"/>
      <c r="Y114" s="106"/>
      <c r="DA114" s="171"/>
    </row>
    <row r="115" spans="1:105" ht="11.45" customHeight="1" x14ac:dyDescent="0.25">
      <c r="A115" s="53" t="s">
        <v>66</v>
      </c>
      <c r="B115" s="65"/>
      <c r="C115" s="65"/>
      <c r="D115" s="65"/>
      <c r="E115" s="65"/>
      <c r="F115" s="65"/>
      <c r="G115" s="65"/>
      <c r="H115" s="65"/>
      <c r="I115" s="65"/>
      <c r="J115" s="65"/>
      <c r="K115" s="65"/>
      <c r="L115" s="65"/>
      <c r="M115" s="65"/>
      <c r="N115" s="65"/>
      <c r="O115" s="65"/>
      <c r="P115" s="65"/>
      <c r="Q115" s="65"/>
      <c r="R115" s="65"/>
      <c r="S115" s="65"/>
      <c r="T115" s="65"/>
      <c r="U115" s="65"/>
      <c r="V115" s="65"/>
      <c r="W115" s="65"/>
      <c r="X115" s="65"/>
      <c r="Y115" s="65"/>
      <c r="DA115" s="172"/>
    </row>
    <row r="116" spans="1:105" ht="11.45" customHeight="1" x14ac:dyDescent="0.25">
      <c r="A116" s="27" t="s">
        <v>33</v>
      </c>
      <c r="B116" s="31">
        <f t="shared" ref="B116:J121" si="219">IF(B15=0,0,B15/B$15)</f>
        <v>1</v>
      </c>
      <c r="C116" s="31">
        <f t="shared" si="219"/>
        <v>1</v>
      </c>
      <c r="D116" s="31">
        <f t="shared" si="219"/>
        <v>1</v>
      </c>
      <c r="E116" s="31">
        <f t="shared" si="219"/>
        <v>1</v>
      </c>
      <c r="F116" s="31">
        <f t="shared" si="219"/>
        <v>1</v>
      </c>
      <c r="G116" s="31">
        <f t="shared" si="219"/>
        <v>1</v>
      </c>
      <c r="H116" s="31">
        <f t="shared" si="219"/>
        <v>1</v>
      </c>
      <c r="I116" s="31">
        <f t="shared" si="219"/>
        <v>1</v>
      </c>
      <c r="J116" s="31">
        <f t="shared" si="219"/>
        <v>1</v>
      </c>
      <c r="K116" s="31">
        <f t="shared" ref="K116:V116" si="220">IF(K15=0,0,K15/K$15)</f>
        <v>1</v>
      </c>
      <c r="L116" s="31">
        <f t="shared" si="220"/>
        <v>1</v>
      </c>
      <c r="M116" s="31">
        <f t="shared" si="220"/>
        <v>1</v>
      </c>
      <c r="N116" s="31">
        <f t="shared" si="220"/>
        <v>1</v>
      </c>
      <c r="O116" s="31">
        <f t="shared" si="220"/>
        <v>1</v>
      </c>
      <c r="P116" s="31">
        <f t="shared" si="220"/>
        <v>1</v>
      </c>
      <c r="Q116" s="31">
        <f t="shared" si="220"/>
        <v>1</v>
      </c>
      <c r="R116" s="31">
        <f t="shared" si="220"/>
        <v>1</v>
      </c>
      <c r="S116" s="31">
        <f t="shared" si="220"/>
        <v>1</v>
      </c>
      <c r="T116" s="31">
        <f t="shared" si="220"/>
        <v>1</v>
      </c>
      <c r="U116" s="31">
        <f t="shared" si="220"/>
        <v>1</v>
      </c>
      <c r="V116" s="31">
        <f t="shared" si="220"/>
        <v>1</v>
      </c>
      <c r="W116" s="31">
        <f t="shared" ref="W116:Y116" si="221">IF(W15=0,0,W15/W$15)</f>
        <v>1</v>
      </c>
      <c r="X116" s="31">
        <f t="shared" si="221"/>
        <v>1</v>
      </c>
      <c r="Y116" s="31">
        <f t="shared" si="221"/>
        <v>1</v>
      </c>
      <c r="DA116" s="173"/>
    </row>
    <row r="117" spans="1:105" ht="11.45" customHeight="1" x14ac:dyDescent="0.25">
      <c r="A117" s="107" t="s">
        <v>23</v>
      </c>
      <c r="B117" s="123">
        <f t="shared" si="219"/>
        <v>0.30003410182004825</v>
      </c>
      <c r="C117" s="123">
        <f t="shared" si="219"/>
        <v>0.280729073740074</v>
      </c>
      <c r="D117" s="123">
        <f t="shared" si="219"/>
        <v>0.27211909175168042</v>
      </c>
      <c r="E117" s="123">
        <f t="shared" si="219"/>
        <v>0.25971285913844239</v>
      </c>
      <c r="F117" s="123">
        <f t="shared" si="219"/>
        <v>0.27238913115450375</v>
      </c>
      <c r="G117" s="123">
        <f t="shared" si="219"/>
        <v>0.27103165603803597</v>
      </c>
      <c r="H117" s="123">
        <f t="shared" si="219"/>
        <v>0.30987547290570255</v>
      </c>
      <c r="I117" s="123">
        <f t="shared" si="219"/>
        <v>0.28880691729497232</v>
      </c>
      <c r="J117" s="123">
        <f t="shared" si="219"/>
        <v>0.29358522303595846</v>
      </c>
      <c r="K117" s="123">
        <f t="shared" ref="K117:V117" si="222">IF(K16=0,0,K16/K$15)</f>
        <v>0.28026550523712424</v>
      </c>
      <c r="L117" s="123">
        <f t="shared" si="222"/>
        <v>0.29307853027629283</v>
      </c>
      <c r="M117" s="123">
        <f t="shared" si="222"/>
        <v>0.29917258333510105</v>
      </c>
      <c r="N117" s="123">
        <f t="shared" si="222"/>
        <v>0.2934976452029619</v>
      </c>
      <c r="O117" s="123">
        <f t="shared" si="222"/>
        <v>0.28017203585299988</v>
      </c>
      <c r="P117" s="123">
        <f t="shared" si="222"/>
        <v>0.29356707011277478</v>
      </c>
      <c r="Q117" s="123">
        <f t="shared" si="222"/>
        <v>0.27772431387973129</v>
      </c>
      <c r="R117" s="123">
        <f t="shared" si="222"/>
        <v>0.2638168449588722</v>
      </c>
      <c r="S117" s="123">
        <f t="shared" si="222"/>
        <v>0.25348733446891381</v>
      </c>
      <c r="T117" s="123">
        <f t="shared" si="222"/>
        <v>0.23921195377411969</v>
      </c>
      <c r="U117" s="123">
        <f t="shared" si="222"/>
        <v>0.24691087061878725</v>
      </c>
      <c r="V117" s="123">
        <f t="shared" si="222"/>
        <v>0.25718631164774658</v>
      </c>
      <c r="W117" s="123">
        <f t="shared" ref="W117:Y117" si="223">IF(W16=0,0,W16/W$15)</f>
        <v>0.226038724623495</v>
      </c>
      <c r="X117" s="123">
        <f t="shared" si="223"/>
        <v>0.20181353966183821</v>
      </c>
      <c r="Y117" s="123">
        <f t="shared" si="223"/>
        <v>0.20379221756499197</v>
      </c>
      <c r="DA117" s="203"/>
    </row>
    <row r="118" spans="1:105" ht="11.45" customHeight="1" x14ac:dyDescent="0.25">
      <c r="A118" s="109" t="s">
        <v>24</v>
      </c>
      <c r="B118" s="124">
        <f t="shared" si="219"/>
        <v>0.6999658981799517</v>
      </c>
      <c r="C118" s="124">
        <f t="shared" si="219"/>
        <v>0.71927092625992606</v>
      </c>
      <c r="D118" s="124">
        <f t="shared" si="219"/>
        <v>0.72788090824831964</v>
      </c>
      <c r="E118" s="124">
        <f t="shared" si="219"/>
        <v>0.74028714086155756</v>
      </c>
      <c r="F118" s="124">
        <f t="shared" si="219"/>
        <v>0.72761086884549619</v>
      </c>
      <c r="G118" s="124">
        <f t="shared" si="219"/>
        <v>0.72896834396196397</v>
      </c>
      <c r="H118" s="124">
        <f t="shared" si="219"/>
        <v>0.69012452709429739</v>
      </c>
      <c r="I118" s="124">
        <f t="shared" si="219"/>
        <v>0.71119308270502768</v>
      </c>
      <c r="J118" s="124">
        <f t="shared" si="219"/>
        <v>0.70641477696404154</v>
      </c>
      <c r="K118" s="124">
        <f t="shared" ref="K118:V118" si="224">IF(K17=0,0,K17/K$15)</f>
        <v>0.71973449476287576</v>
      </c>
      <c r="L118" s="124">
        <f t="shared" si="224"/>
        <v>0.70692146972370706</v>
      </c>
      <c r="M118" s="124">
        <f t="shared" si="224"/>
        <v>0.70082741666489889</v>
      </c>
      <c r="N118" s="124">
        <f t="shared" si="224"/>
        <v>0.70650235479703816</v>
      </c>
      <c r="O118" s="124">
        <f t="shared" si="224"/>
        <v>0.71982796414700012</v>
      </c>
      <c r="P118" s="124">
        <f t="shared" si="224"/>
        <v>0.70643292988722517</v>
      </c>
      <c r="Q118" s="124">
        <f t="shared" si="224"/>
        <v>0.71438469612279454</v>
      </c>
      <c r="R118" s="124">
        <f t="shared" si="224"/>
        <v>0.71473211015443339</v>
      </c>
      <c r="S118" s="124">
        <f t="shared" si="224"/>
        <v>0.72659375632520362</v>
      </c>
      <c r="T118" s="124">
        <f t="shared" si="224"/>
        <v>0.7415270413061944</v>
      </c>
      <c r="U118" s="124">
        <f t="shared" si="224"/>
        <v>0.73192640007782295</v>
      </c>
      <c r="V118" s="124">
        <f t="shared" si="224"/>
        <v>0.72150841165181434</v>
      </c>
      <c r="W118" s="124">
        <f t="shared" ref="W118:Y118" si="225">IF(W17=0,0,W17/W$15)</f>
        <v>0.7541305364435873</v>
      </c>
      <c r="X118" s="124">
        <f t="shared" si="225"/>
        <v>0.78019511784755957</v>
      </c>
      <c r="Y118" s="124">
        <f t="shared" si="225"/>
        <v>0.77845271330089594</v>
      </c>
      <c r="DA118" s="176"/>
    </row>
    <row r="119" spans="1:105" ht="11.45" customHeight="1" x14ac:dyDescent="0.25">
      <c r="A119" s="111" t="s">
        <v>92</v>
      </c>
      <c r="B119" s="125">
        <f t="shared" si="219"/>
        <v>0.19715358019999574</v>
      </c>
      <c r="C119" s="125">
        <f t="shared" si="219"/>
        <v>0.19163839792876217</v>
      </c>
      <c r="D119" s="125">
        <f t="shared" si="219"/>
        <v>0.17545913975456301</v>
      </c>
      <c r="E119" s="125">
        <f t="shared" si="219"/>
        <v>0.18965171157704569</v>
      </c>
      <c r="F119" s="125">
        <f t="shared" si="219"/>
        <v>0.16801103606751758</v>
      </c>
      <c r="G119" s="125">
        <f t="shared" si="219"/>
        <v>0.18896009454926441</v>
      </c>
      <c r="H119" s="125">
        <f t="shared" si="219"/>
        <v>0.14328128922032601</v>
      </c>
      <c r="I119" s="125">
        <f t="shared" si="219"/>
        <v>0.17446320181819014</v>
      </c>
      <c r="J119" s="125">
        <f t="shared" si="219"/>
        <v>0.14413838191692135</v>
      </c>
      <c r="K119" s="125">
        <f t="shared" ref="K119:V119" si="226">IF(K18=0,0,K18/K$15)</f>
        <v>0.15857986988460501</v>
      </c>
      <c r="L119" s="125">
        <f t="shared" si="226"/>
        <v>0.10106694756074162</v>
      </c>
      <c r="M119" s="125">
        <f t="shared" si="226"/>
        <v>0.1055076964453044</v>
      </c>
      <c r="N119" s="125">
        <f t="shared" si="226"/>
        <v>0.11017291816134174</v>
      </c>
      <c r="O119" s="125">
        <f t="shared" si="226"/>
        <v>0.10482068818897348</v>
      </c>
      <c r="P119" s="125">
        <f t="shared" si="226"/>
        <v>9.8772832352298792E-2</v>
      </c>
      <c r="Q119" s="125">
        <f t="shared" si="226"/>
        <v>7.5259354110983168E-2</v>
      </c>
      <c r="R119" s="125">
        <f t="shared" si="226"/>
        <v>8.0530394724734861E-2</v>
      </c>
      <c r="S119" s="125">
        <f t="shared" si="226"/>
        <v>7.1418112520479304E-2</v>
      </c>
      <c r="T119" s="125">
        <f t="shared" si="226"/>
        <v>8.8778104612131453E-2</v>
      </c>
      <c r="U119" s="125">
        <f t="shared" si="226"/>
        <v>6.263631250352325E-2</v>
      </c>
      <c r="V119" s="125">
        <f t="shared" si="226"/>
        <v>6.414046743132748E-2</v>
      </c>
      <c r="W119" s="125">
        <f t="shared" ref="W119:Y119" si="227">IF(W18=0,0,W18/W$15)</f>
        <v>4.3051362201396465E-2</v>
      </c>
      <c r="X119" s="125">
        <f t="shared" si="227"/>
        <v>6.2450850335479417E-2</v>
      </c>
      <c r="Y119" s="125">
        <f t="shared" si="227"/>
        <v>4.5697406397537138E-2</v>
      </c>
      <c r="DA119" s="171"/>
    </row>
    <row r="120" spans="1:105" ht="11.45" customHeight="1" x14ac:dyDescent="0.25">
      <c r="A120" s="111" t="s">
        <v>93</v>
      </c>
      <c r="B120" s="125">
        <f t="shared" si="219"/>
        <v>0.50281231797995607</v>
      </c>
      <c r="C120" s="125">
        <f t="shared" si="219"/>
        <v>0.52763252833116392</v>
      </c>
      <c r="D120" s="125">
        <f t="shared" si="219"/>
        <v>0.55242176849375657</v>
      </c>
      <c r="E120" s="125">
        <f t="shared" si="219"/>
        <v>0.55063542928451181</v>
      </c>
      <c r="F120" s="125">
        <f t="shared" si="219"/>
        <v>0.55959983277797865</v>
      </c>
      <c r="G120" s="125">
        <f t="shared" si="219"/>
        <v>0.54000824941269954</v>
      </c>
      <c r="H120" s="125">
        <f t="shared" si="219"/>
        <v>0.54684323787397138</v>
      </c>
      <c r="I120" s="125">
        <f t="shared" si="219"/>
        <v>0.53672988088683748</v>
      </c>
      <c r="J120" s="125">
        <f t="shared" si="219"/>
        <v>0.56227639504712013</v>
      </c>
      <c r="K120" s="125">
        <f t="shared" ref="K120:V120" si="228">IF(K19=0,0,K19/K$15)</f>
        <v>0.56115462487827072</v>
      </c>
      <c r="L120" s="125">
        <f t="shared" si="228"/>
        <v>0.60585452216296543</v>
      </c>
      <c r="M120" s="125">
        <f t="shared" si="228"/>
        <v>0.59531972021959445</v>
      </c>
      <c r="N120" s="125">
        <f t="shared" si="228"/>
        <v>0.59632943663569637</v>
      </c>
      <c r="O120" s="125">
        <f t="shared" si="228"/>
        <v>0.61500727595802662</v>
      </c>
      <c r="P120" s="125">
        <f t="shared" si="228"/>
        <v>0.60766009753492645</v>
      </c>
      <c r="Q120" s="125">
        <f t="shared" si="228"/>
        <v>0.63912534201181137</v>
      </c>
      <c r="R120" s="125">
        <f t="shared" si="228"/>
        <v>0.6342017154296985</v>
      </c>
      <c r="S120" s="125">
        <f t="shared" si="228"/>
        <v>0.65517564380472437</v>
      </c>
      <c r="T120" s="125">
        <f t="shared" si="228"/>
        <v>0.65274893669406298</v>
      </c>
      <c r="U120" s="125">
        <f t="shared" si="228"/>
        <v>0.66929008757429964</v>
      </c>
      <c r="V120" s="125">
        <f t="shared" si="228"/>
        <v>0.65736794422048694</v>
      </c>
      <c r="W120" s="125">
        <f t="shared" ref="W120:Y120" si="229">IF(W19=0,0,W19/W$15)</f>
        <v>0.7110791742421908</v>
      </c>
      <c r="X120" s="125">
        <f t="shared" si="229"/>
        <v>0.71774426751208009</v>
      </c>
      <c r="Y120" s="125">
        <f t="shared" si="229"/>
        <v>0.73275530690335888</v>
      </c>
      <c r="DA120" s="171"/>
    </row>
    <row r="121" spans="1:105" ht="11.45" customHeight="1" x14ac:dyDescent="0.25">
      <c r="A121" s="112" t="s">
        <v>25</v>
      </c>
      <c r="B121" s="126">
        <f t="shared" si="219"/>
        <v>0</v>
      </c>
      <c r="C121" s="126">
        <f t="shared" si="219"/>
        <v>0</v>
      </c>
      <c r="D121" s="126">
        <f t="shared" si="219"/>
        <v>0</v>
      </c>
      <c r="E121" s="126">
        <f t="shared" si="219"/>
        <v>0</v>
      </c>
      <c r="F121" s="126">
        <f t="shared" si="219"/>
        <v>0</v>
      </c>
      <c r="G121" s="126">
        <f t="shared" si="219"/>
        <v>0</v>
      </c>
      <c r="H121" s="126">
        <f t="shared" si="219"/>
        <v>0</v>
      </c>
      <c r="I121" s="126">
        <f t="shared" si="219"/>
        <v>0</v>
      </c>
      <c r="J121" s="126">
        <f t="shared" si="219"/>
        <v>0</v>
      </c>
      <c r="K121" s="126">
        <f t="shared" ref="K121:V121" si="230">IF(K20=0,0,K20/K$15)</f>
        <v>0</v>
      </c>
      <c r="L121" s="126">
        <f t="shared" si="230"/>
        <v>0</v>
      </c>
      <c r="M121" s="126">
        <f t="shared" si="230"/>
        <v>0</v>
      </c>
      <c r="N121" s="126">
        <f t="shared" si="230"/>
        <v>0</v>
      </c>
      <c r="O121" s="126">
        <f t="shared" si="230"/>
        <v>0</v>
      </c>
      <c r="P121" s="126">
        <f t="shared" si="230"/>
        <v>0</v>
      </c>
      <c r="Q121" s="126">
        <f t="shared" si="230"/>
        <v>7.890989997474231E-3</v>
      </c>
      <c r="R121" s="126">
        <f t="shared" si="230"/>
        <v>2.1451044886694418E-2</v>
      </c>
      <c r="S121" s="126">
        <f t="shared" si="230"/>
        <v>1.9918909205882525E-2</v>
      </c>
      <c r="T121" s="126">
        <f t="shared" si="230"/>
        <v>1.9261004919685763E-2</v>
      </c>
      <c r="U121" s="126">
        <f t="shared" si="230"/>
        <v>2.1162729303389929E-2</v>
      </c>
      <c r="V121" s="126">
        <f t="shared" si="230"/>
        <v>2.1305276700439132E-2</v>
      </c>
      <c r="W121" s="126">
        <f t="shared" ref="W121:Y121" si="231">IF(W20=0,0,W20/W$15)</f>
        <v>1.9830738932917806E-2</v>
      </c>
      <c r="X121" s="126">
        <f t="shared" si="231"/>
        <v>1.7991342490602281E-2</v>
      </c>
      <c r="Y121" s="126">
        <f t="shared" si="231"/>
        <v>1.7755069134112091E-2</v>
      </c>
      <c r="DA121" s="204"/>
    </row>
    <row r="122" spans="1:105" ht="11.45" customHeight="1" x14ac:dyDescent="0.25">
      <c r="A122" s="27" t="s">
        <v>34</v>
      </c>
      <c r="B122" s="31">
        <f t="shared" ref="B122:J124" si="232">IF(B21=0,0,B21/B$21)</f>
        <v>1</v>
      </c>
      <c r="C122" s="31">
        <f t="shared" si="232"/>
        <v>1</v>
      </c>
      <c r="D122" s="31">
        <f t="shared" si="232"/>
        <v>1</v>
      </c>
      <c r="E122" s="31">
        <f t="shared" si="232"/>
        <v>1</v>
      </c>
      <c r="F122" s="31">
        <f t="shared" si="232"/>
        <v>1</v>
      </c>
      <c r="G122" s="31">
        <f t="shared" si="232"/>
        <v>1</v>
      </c>
      <c r="H122" s="31">
        <f t="shared" si="232"/>
        <v>1</v>
      </c>
      <c r="I122" s="31">
        <f t="shared" si="232"/>
        <v>1</v>
      </c>
      <c r="J122" s="31">
        <f t="shared" si="232"/>
        <v>1</v>
      </c>
      <c r="K122" s="31">
        <f t="shared" ref="K122:V122" si="233">IF(K21=0,0,K21/K$21)</f>
        <v>1</v>
      </c>
      <c r="L122" s="31">
        <f t="shared" si="233"/>
        <v>1</v>
      </c>
      <c r="M122" s="31">
        <f t="shared" si="233"/>
        <v>1</v>
      </c>
      <c r="N122" s="31">
        <f t="shared" si="233"/>
        <v>1</v>
      </c>
      <c r="O122" s="31">
        <f t="shared" si="233"/>
        <v>1</v>
      </c>
      <c r="P122" s="31">
        <f t="shared" si="233"/>
        <v>1</v>
      </c>
      <c r="Q122" s="31">
        <f t="shared" si="233"/>
        <v>1</v>
      </c>
      <c r="R122" s="31">
        <f t="shared" si="233"/>
        <v>1</v>
      </c>
      <c r="S122" s="31">
        <f t="shared" si="233"/>
        <v>1</v>
      </c>
      <c r="T122" s="31">
        <f t="shared" si="233"/>
        <v>1</v>
      </c>
      <c r="U122" s="31">
        <f t="shared" si="233"/>
        <v>1</v>
      </c>
      <c r="V122" s="31">
        <f t="shared" si="233"/>
        <v>1</v>
      </c>
      <c r="W122" s="31">
        <f t="shared" ref="W122:Y122" si="234">IF(W21=0,0,W21/W$21)</f>
        <v>1</v>
      </c>
      <c r="X122" s="31">
        <f t="shared" si="234"/>
        <v>1</v>
      </c>
      <c r="Y122" s="31">
        <f t="shared" si="234"/>
        <v>1</v>
      </c>
      <c r="DA122" s="173"/>
    </row>
    <row r="123" spans="1:105" ht="11.45" customHeight="1" x14ac:dyDescent="0.25">
      <c r="A123" s="83" t="s">
        <v>92</v>
      </c>
      <c r="B123" s="125">
        <f t="shared" si="232"/>
        <v>0.12582167373164979</v>
      </c>
      <c r="C123" s="125">
        <f t="shared" si="232"/>
        <v>0.12952692314727099</v>
      </c>
      <c r="D123" s="125">
        <f t="shared" si="232"/>
        <v>0.13920865428658691</v>
      </c>
      <c r="E123" s="125">
        <f t="shared" si="232"/>
        <v>0.14752062547820466</v>
      </c>
      <c r="F123" s="125">
        <f t="shared" si="232"/>
        <v>0.19913445624045287</v>
      </c>
      <c r="G123" s="125">
        <f t="shared" si="232"/>
        <v>0.19699133801699878</v>
      </c>
      <c r="H123" s="125">
        <f t="shared" si="232"/>
        <v>0.25554286552950101</v>
      </c>
      <c r="I123" s="125">
        <f t="shared" si="232"/>
        <v>0.2079485454396052</v>
      </c>
      <c r="J123" s="125">
        <f t="shared" si="232"/>
        <v>0.21416730257256814</v>
      </c>
      <c r="K123" s="125">
        <f t="shared" ref="K123:V123" si="235">IF(K22=0,0,K22/K$21)</f>
        <v>0.2351058098837894</v>
      </c>
      <c r="L123" s="125">
        <f t="shared" si="235"/>
        <v>0.27040316091210026</v>
      </c>
      <c r="M123" s="125">
        <f t="shared" si="235"/>
        <v>0.26604323505048127</v>
      </c>
      <c r="N123" s="125">
        <f t="shared" si="235"/>
        <v>0.26734444899741644</v>
      </c>
      <c r="O123" s="125">
        <f t="shared" si="235"/>
        <v>0.2530864299959415</v>
      </c>
      <c r="P123" s="125">
        <f t="shared" si="235"/>
        <v>0.24054196413523907</v>
      </c>
      <c r="Q123" s="125">
        <f t="shared" si="235"/>
        <v>0.24761844346088149</v>
      </c>
      <c r="R123" s="125">
        <f t="shared" si="235"/>
        <v>0.24008045775152956</v>
      </c>
      <c r="S123" s="125">
        <f t="shared" si="235"/>
        <v>0.24885635044745222</v>
      </c>
      <c r="T123" s="125">
        <f t="shared" si="235"/>
        <v>0.27005046112136361</v>
      </c>
      <c r="U123" s="125">
        <f t="shared" si="235"/>
        <v>0.26261415391438964</v>
      </c>
      <c r="V123" s="125">
        <f t="shared" si="235"/>
        <v>0.27280862787937599</v>
      </c>
      <c r="W123" s="125">
        <f t="shared" ref="W123:Y123" si="236">IF(W22=0,0,W22/W$21)</f>
        <v>0.3094275504099292</v>
      </c>
      <c r="X123" s="125">
        <f t="shared" si="236"/>
        <v>0.29177830552580669</v>
      </c>
      <c r="Y123" s="125">
        <f t="shared" si="236"/>
        <v>0.30540304331232071</v>
      </c>
      <c r="DA123" s="171"/>
    </row>
    <row r="124" spans="1:105" ht="11.45" customHeight="1" x14ac:dyDescent="0.25">
      <c r="A124" s="85" t="s">
        <v>93</v>
      </c>
      <c r="B124" s="127">
        <f t="shared" si="232"/>
        <v>0.87417832626835024</v>
      </c>
      <c r="C124" s="127">
        <f t="shared" si="232"/>
        <v>0.8704730768527289</v>
      </c>
      <c r="D124" s="127">
        <f t="shared" si="232"/>
        <v>0.8607913457134132</v>
      </c>
      <c r="E124" s="127">
        <f t="shared" si="232"/>
        <v>0.85247937452179523</v>
      </c>
      <c r="F124" s="127">
        <f t="shared" si="232"/>
        <v>0.80086554375954722</v>
      </c>
      <c r="G124" s="127">
        <f t="shared" si="232"/>
        <v>0.80300866198300125</v>
      </c>
      <c r="H124" s="127">
        <f t="shared" si="232"/>
        <v>0.74445713447049899</v>
      </c>
      <c r="I124" s="127">
        <f t="shared" si="232"/>
        <v>0.79205145456039483</v>
      </c>
      <c r="J124" s="127">
        <f t="shared" si="232"/>
        <v>0.78583269742743178</v>
      </c>
      <c r="K124" s="127">
        <f t="shared" ref="K124:V124" si="237">IF(K23=0,0,K23/K$21)</f>
        <v>0.76489419011621063</v>
      </c>
      <c r="L124" s="127">
        <f t="shared" si="237"/>
        <v>0.72959683908789974</v>
      </c>
      <c r="M124" s="127">
        <f t="shared" si="237"/>
        <v>0.73395676494951867</v>
      </c>
      <c r="N124" s="127">
        <f t="shared" si="237"/>
        <v>0.7326555510025835</v>
      </c>
      <c r="O124" s="127">
        <f t="shared" si="237"/>
        <v>0.74691357000405845</v>
      </c>
      <c r="P124" s="127">
        <f t="shared" si="237"/>
        <v>0.75945803586476091</v>
      </c>
      <c r="Q124" s="127">
        <f t="shared" si="237"/>
        <v>0.75238155653911853</v>
      </c>
      <c r="R124" s="127">
        <f t="shared" si="237"/>
        <v>0.75991954224847047</v>
      </c>
      <c r="S124" s="127">
        <f t="shared" si="237"/>
        <v>0.75114364955254775</v>
      </c>
      <c r="T124" s="127">
        <f t="shared" si="237"/>
        <v>0.72994953887863634</v>
      </c>
      <c r="U124" s="127">
        <f t="shared" si="237"/>
        <v>0.73738584608561053</v>
      </c>
      <c r="V124" s="127">
        <f t="shared" si="237"/>
        <v>0.72719137212062401</v>
      </c>
      <c r="W124" s="127">
        <f t="shared" ref="W124:Y124" si="238">IF(W23=0,0,W23/W$21)</f>
        <v>0.6905724495900708</v>
      </c>
      <c r="X124" s="127">
        <f t="shared" si="238"/>
        <v>0.70822169447419336</v>
      </c>
      <c r="Y124" s="127">
        <f t="shared" si="238"/>
        <v>0.69459695668767929</v>
      </c>
      <c r="DA124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6:Y6 B17:Y17 B28:Y28 C39:Y39" formulaRange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DA65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1102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DA2" s="171"/>
    </row>
    <row r="3" spans="1:105" ht="11.45" customHeight="1" x14ac:dyDescent="0.25">
      <c r="A3" s="53" t="s">
        <v>32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X3" s="132"/>
      <c r="Y3" s="132"/>
      <c r="DA3" s="172"/>
    </row>
    <row r="4" spans="1:105" ht="11.45" customHeight="1" x14ac:dyDescent="0.25">
      <c r="A4" s="133" t="s">
        <v>45</v>
      </c>
      <c r="B4" s="146">
        <f>SUM(B5,B8)</f>
        <v>539.96844368013763</v>
      </c>
      <c r="C4" s="146">
        <f t="shared" ref="C4:V4" si="0">SUM(C5,C8)</f>
        <v>532.24901117798788</v>
      </c>
      <c r="D4" s="146">
        <f t="shared" si="0"/>
        <v>526.35425623387789</v>
      </c>
      <c r="E4" s="146">
        <f t="shared" si="0"/>
        <v>540.93344797936368</v>
      </c>
      <c r="F4" s="146">
        <f t="shared" si="0"/>
        <v>498.6290627687016</v>
      </c>
      <c r="G4" s="146">
        <f t="shared" si="0"/>
        <v>467.43095442820288</v>
      </c>
      <c r="H4" s="146">
        <f t="shared" si="0"/>
        <v>415.73035253654336</v>
      </c>
      <c r="I4" s="146">
        <f t="shared" si="0"/>
        <v>426.6600171969045</v>
      </c>
      <c r="J4" s="146">
        <f t="shared" si="0"/>
        <v>400.60670679277735</v>
      </c>
      <c r="K4" s="146">
        <f t="shared" si="0"/>
        <v>369.93404987102321</v>
      </c>
      <c r="L4" s="146">
        <f t="shared" si="0"/>
        <v>369.65460017196909</v>
      </c>
      <c r="M4" s="146">
        <f t="shared" si="0"/>
        <v>373.5334479793637</v>
      </c>
      <c r="N4" s="146">
        <f t="shared" si="0"/>
        <v>357.60722269991402</v>
      </c>
      <c r="O4" s="146">
        <f t="shared" si="0"/>
        <v>347.69991401547719</v>
      </c>
      <c r="P4" s="146">
        <f t="shared" si="0"/>
        <v>324.20223559759239</v>
      </c>
      <c r="Q4" s="146">
        <f t="shared" si="0"/>
        <v>324.80171969045568</v>
      </c>
      <c r="R4" s="146">
        <f t="shared" si="0"/>
        <v>338.55924333619953</v>
      </c>
      <c r="S4" s="146">
        <f t="shared" si="0"/>
        <v>349.86130696474629</v>
      </c>
      <c r="T4" s="146">
        <f t="shared" si="0"/>
        <v>379.16199484092874</v>
      </c>
      <c r="U4" s="146">
        <f t="shared" si="0"/>
        <v>356.92175408426482</v>
      </c>
      <c r="V4" s="146">
        <f t="shared" si="0"/>
        <v>331.96835769561477</v>
      </c>
      <c r="W4" s="146">
        <f t="shared" ref="W4:Y4" si="1">SUM(W5,W8)</f>
        <v>367.12588134135854</v>
      </c>
      <c r="X4" s="146">
        <f t="shared" si="1"/>
        <v>375.95588993981085</v>
      </c>
      <c r="Y4" s="146">
        <f t="shared" si="1"/>
        <v>368.37222699914008</v>
      </c>
      <c r="DA4" s="206" t="s">
        <v>1103</v>
      </c>
    </row>
    <row r="5" spans="1:105" ht="11.45" customHeight="1" x14ac:dyDescent="0.25">
      <c r="A5" s="92" t="s">
        <v>150</v>
      </c>
      <c r="B5" s="101">
        <f>SUM(B6:B7)</f>
        <v>169.4611349957008</v>
      </c>
      <c r="C5" s="101">
        <f t="shared" ref="C5:V5" si="2">SUM(C6:C7)</f>
        <v>165.35305245055889</v>
      </c>
      <c r="D5" s="101">
        <f t="shared" si="2"/>
        <v>157.13671539122959</v>
      </c>
      <c r="E5" s="101">
        <f t="shared" si="2"/>
        <v>165.35305245055889</v>
      </c>
      <c r="F5" s="101">
        <f t="shared" si="2"/>
        <v>165.35305245055889</v>
      </c>
      <c r="G5" s="101">
        <f t="shared" si="2"/>
        <v>162.27188306104901</v>
      </c>
      <c r="H5" s="101">
        <f t="shared" si="2"/>
        <v>148.92037833190031</v>
      </c>
      <c r="I5" s="101">
        <f t="shared" si="2"/>
        <v>146.86638005159071</v>
      </c>
      <c r="J5" s="101">
        <f t="shared" si="2"/>
        <v>128.3797076526225</v>
      </c>
      <c r="K5" s="101">
        <f t="shared" si="2"/>
        <v>124.1042992261393</v>
      </c>
      <c r="L5" s="101">
        <f t="shared" si="2"/>
        <v>114.7964746345658</v>
      </c>
      <c r="M5" s="101">
        <f t="shared" si="2"/>
        <v>118.9332760103181</v>
      </c>
      <c r="N5" s="101">
        <f t="shared" si="2"/>
        <v>110.6596732588134</v>
      </c>
      <c r="O5" s="101">
        <f t="shared" si="2"/>
        <v>102.3860705073087</v>
      </c>
      <c r="P5" s="101">
        <f t="shared" si="2"/>
        <v>92.044024075666371</v>
      </c>
      <c r="Q5" s="101">
        <f t="shared" si="2"/>
        <v>84.217024935511603</v>
      </c>
      <c r="R5" s="101">
        <f t="shared" si="2"/>
        <v>84.217024935511603</v>
      </c>
      <c r="S5" s="101">
        <f t="shared" si="2"/>
        <v>86.332760103181414</v>
      </c>
      <c r="T5" s="101">
        <f t="shared" si="2"/>
        <v>103.9012897678418</v>
      </c>
      <c r="U5" s="101">
        <f t="shared" si="2"/>
        <v>86.362510748065333</v>
      </c>
      <c r="V5" s="101">
        <f t="shared" si="2"/>
        <v>83.259845227858975</v>
      </c>
      <c r="W5" s="101">
        <f t="shared" ref="W5:Y5" si="3">SUM(W6:W7)</f>
        <v>90.229320722269989</v>
      </c>
      <c r="X5" s="101">
        <f t="shared" si="3"/>
        <v>90.229320722269989</v>
      </c>
      <c r="Y5" s="101">
        <f t="shared" si="3"/>
        <v>82.746345657781603</v>
      </c>
      <c r="DA5" s="175"/>
    </row>
    <row r="6" spans="1:105" ht="11.45" customHeight="1" x14ac:dyDescent="0.25">
      <c r="A6" s="164" t="s">
        <v>175</v>
      </c>
      <c r="B6" s="165">
        <v>169.4611349957008</v>
      </c>
      <c r="C6" s="165">
        <v>165.35305245055889</v>
      </c>
      <c r="D6" s="165">
        <v>157.13671539122959</v>
      </c>
      <c r="E6" s="165">
        <v>165.35305245055889</v>
      </c>
      <c r="F6" s="165">
        <v>165.35305245055889</v>
      </c>
      <c r="G6" s="165">
        <v>162.27188306104901</v>
      </c>
      <c r="H6" s="165">
        <v>148.92037833190031</v>
      </c>
      <c r="I6" s="165">
        <v>146.86638005159071</v>
      </c>
      <c r="J6" s="165">
        <v>128.3797076526225</v>
      </c>
      <c r="K6" s="165">
        <v>124.1042992261393</v>
      </c>
      <c r="L6" s="165">
        <v>114.7964746345658</v>
      </c>
      <c r="M6" s="165">
        <v>118.9332760103181</v>
      </c>
      <c r="N6" s="165">
        <v>110.6596732588134</v>
      </c>
      <c r="O6" s="165">
        <v>102.3860705073087</v>
      </c>
      <c r="P6" s="165">
        <v>92.044024075666371</v>
      </c>
      <c r="Q6" s="165">
        <v>84.217024935511603</v>
      </c>
      <c r="R6" s="165">
        <v>84.217024935511603</v>
      </c>
      <c r="S6" s="165">
        <v>86.332760103181414</v>
      </c>
      <c r="T6" s="165">
        <v>103.9012897678418</v>
      </c>
      <c r="U6" s="165">
        <v>86.362510748065333</v>
      </c>
      <c r="V6" s="165">
        <v>83.259845227858975</v>
      </c>
      <c r="W6" s="165">
        <v>90.229320722269989</v>
      </c>
      <c r="X6" s="165">
        <v>90.229320722269989</v>
      </c>
      <c r="Y6" s="165">
        <v>82.746345657781603</v>
      </c>
      <c r="DA6" s="207" t="s">
        <v>1104</v>
      </c>
    </row>
    <row r="7" spans="1:105" ht="11.45" customHeight="1" x14ac:dyDescent="0.25">
      <c r="A7" s="166" t="s">
        <v>176</v>
      </c>
      <c r="B7" s="167">
        <v>0</v>
      </c>
      <c r="C7" s="167">
        <v>0</v>
      </c>
      <c r="D7" s="167">
        <v>0</v>
      </c>
      <c r="E7" s="167">
        <v>0</v>
      </c>
      <c r="F7" s="167">
        <v>0</v>
      </c>
      <c r="G7" s="167">
        <v>0</v>
      </c>
      <c r="H7" s="167">
        <v>0</v>
      </c>
      <c r="I7" s="167">
        <v>0</v>
      </c>
      <c r="J7" s="167">
        <v>0</v>
      </c>
      <c r="K7" s="167">
        <v>0</v>
      </c>
      <c r="L7" s="167">
        <v>0</v>
      </c>
      <c r="M7" s="167">
        <v>0</v>
      </c>
      <c r="N7" s="167">
        <v>0</v>
      </c>
      <c r="O7" s="167">
        <v>0</v>
      </c>
      <c r="P7" s="167">
        <v>0</v>
      </c>
      <c r="Q7" s="167">
        <v>0</v>
      </c>
      <c r="R7" s="167">
        <v>0</v>
      </c>
      <c r="S7" s="167">
        <v>0</v>
      </c>
      <c r="T7" s="167">
        <v>0</v>
      </c>
      <c r="U7" s="167">
        <v>0</v>
      </c>
      <c r="V7" s="167">
        <v>0</v>
      </c>
      <c r="W7" s="167">
        <v>0</v>
      </c>
      <c r="X7" s="167">
        <v>0</v>
      </c>
      <c r="Y7" s="167">
        <v>0</v>
      </c>
      <c r="DA7" s="177" t="s">
        <v>1105</v>
      </c>
    </row>
    <row r="8" spans="1:105" ht="11.45" customHeight="1" x14ac:dyDescent="0.25">
      <c r="A8" s="85" t="s">
        <v>91</v>
      </c>
      <c r="B8" s="88">
        <v>370.50730868443679</v>
      </c>
      <c r="C8" s="88">
        <v>366.89595872742899</v>
      </c>
      <c r="D8" s="88">
        <v>369.2175408426483</v>
      </c>
      <c r="E8" s="88">
        <v>375.58039552880479</v>
      </c>
      <c r="F8" s="88">
        <v>333.27601031814271</v>
      </c>
      <c r="G8" s="88">
        <v>305.1590713671539</v>
      </c>
      <c r="H8" s="88">
        <v>266.80997420464308</v>
      </c>
      <c r="I8" s="88">
        <v>279.79363714531382</v>
      </c>
      <c r="J8" s="88">
        <v>272.22699914015482</v>
      </c>
      <c r="K8" s="88">
        <v>245.82975064488389</v>
      </c>
      <c r="L8" s="88">
        <v>254.85812553740331</v>
      </c>
      <c r="M8" s="88">
        <v>254.60017196904559</v>
      </c>
      <c r="N8" s="88">
        <v>246.94754944110059</v>
      </c>
      <c r="O8" s="88">
        <v>245.3138435081685</v>
      </c>
      <c r="P8" s="88">
        <v>232.15821152192601</v>
      </c>
      <c r="Q8" s="88">
        <v>240.58469475494411</v>
      </c>
      <c r="R8" s="88">
        <v>254.3422184006879</v>
      </c>
      <c r="S8" s="88">
        <v>263.52854686156491</v>
      </c>
      <c r="T8" s="88">
        <v>275.26070507308691</v>
      </c>
      <c r="U8" s="88">
        <v>270.55924333619947</v>
      </c>
      <c r="V8" s="88">
        <v>248.70851246775581</v>
      </c>
      <c r="W8" s="88">
        <v>276.89656061908852</v>
      </c>
      <c r="X8" s="88">
        <v>285.72656921754083</v>
      </c>
      <c r="Y8" s="88">
        <v>285.62588134135848</v>
      </c>
      <c r="DA8" s="178" t="s">
        <v>1106</v>
      </c>
    </row>
    <row r="9" spans="1:105" x14ac:dyDescent="0.25">
      <c r="A9" s="106"/>
      <c r="B9" s="106"/>
      <c r="C9" s="106"/>
      <c r="D9" s="106"/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6"/>
      <c r="P9" s="106"/>
      <c r="Q9" s="106"/>
      <c r="R9" s="106"/>
      <c r="S9" s="106"/>
      <c r="T9" s="106"/>
      <c r="U9" s="106"/>
      <c r="V9" s="106"/>
      <c r="W9" s="106"/>
      <c r="X9" s="106"/>
      <c r="Y9" s="106"/>
      <c r="DA9" s="171"/>
    </row>
    <row r="10" spans="1:105" ht="11.45" customHeight="1" x14ac:dyDescent="0.25">
      <c r="A10" s="53" t="s">
        <v>61</v>
      </c>
      <c r="B10" s="62">
        <f t="shared" ref="B10" si="4">SUM(B11,B17)</f>
        <v>539.96844368013751</v>
      </c>
      <c r="C10" s="62">
        <f t="shared" ref="C10:V10" si="5">SUM(C11,C17)</f>
        <v>532.24901117798788</v>
      </c>
      <c r="D10" s="62">
        <f t="shared" si="5"/>
        <v>526.35425623387778</v>
      </c>
      <c r="E10" s="62">
        <f t="shared" si="5"/>
        <v>540.93344797936368</v>
      </c>
      <c r="F10" s="62">
        <f t="shared" si="5"/>
        <v>498.62906276870166</v>
      </c>
      <c r="G10" s="62">
        <f t="shared" si="5"/>
        <v>467.43095442820294</v>
      </c>
      <c r="H10" s="62">
        <f t="shared" si="5"/>
        <v>415.73035253654342</v>
      </c>
      <c r="I10" s="62">
        <f t="shared" si="5"/>
        <v>426.6600171969045</v>
      </c>
      <c r="J10" s="62">
        <f t="shared" si="5"/>
        <v>400.60670679277735</v>
      </c>
      <c r="K10" s="62">
        <f t="shared" si="5"/>
        <v>369.93404987102315</v>
      </c>
      <c r="L10" s="62">
        <f t="shared" si="5"/>
        <v>369.65460017196909</v>
      </c>
      <c r="M10" s="62">
        <f t="shared" si="5"/>
        <v>373.5334479793637</v>
      </c>
      <c r="N10" s="62">
        <f t="shared" si="5"/>
        <v>357.60722269991402</v>
      </c>
      <c r="O10" s="62">
        <f t="shared" si="5"/>
        <v>347.69991401547719</v>
      </c>
      <c r="P10" s="62">
        <f t="shared" si="5"/>
        <v>324.20223559759233</v>
      </c>
      <c r="Q10" s="62">
        <f t="shared" si="5"/>
        <v>324.80171969045568</v>
      </c>
      <c r="R10" s="62">
        <f t="shared" si="5"/>
        <v>338.55924333619953</v>
      </c>
      <c r="S10" s="62">
        <f t="shared" si="5"/>
        <v>349.86130696474629</v>
      </c>
      <c r="T10" s="62">
        <f t="shared" si="5"/>
        <v>379.16199484092874</v>
      </c>
      <c r="U10" s="62">
        <f t="shared" si="5"/>
        <v>356.92175408426476</v>
      </c>
      <c r="V10" s="62">
        <f t="shared" si="5"/>
        <v>331.96835769561483</v>
      </c>
      <c r="W10" s="62">
        <f t="shared" ref="W10:Y10" si="6">SUM(W11,W17)</f>
        <v>367.12588134135854</v>
      </c>
      <c r="X10" s="62">
        <f t="shared" si="6"/>
        <v>375.95588993981073</v>
      </c>
      <c r="Y10" s="62">
        <f t="shared" si="6"/>
        <v>368.37222699914014</v>
      </c>
      <c r="DA10" s="172" t="s">
        <v>1107</v>
      </c>
    </row>
    <row r="11" spans="1:105" ht="11.45" customHeight="1" x14ac:dyDescent="0.25">
      <c r="A11" s="27" t="s">
        <v>33</v>
      </c>
      <c r="B11" s="29">
        <f t="shared" ref="B11" si="7">SUM(B12,B13,B16)</f>
        <v>295.70111819442013</v>
      </c>
      <c r="C11" s="29">
        <f t="shared" ref="C11:V11" si="8">SUM(C12,C13,C16)</f>
        <v>313.22694803404238</v>
      </c>
      <c r="D11" s="29">
        <f t="shared" si="8"/>
        <v>320.06899072503683</v>
      </c>
      <c r="E11" s="29">
        <f t="shared" si="8"/>
        <v>325.75222366815814</v>
      </c>
      <c r="F11" s="29">
        <f t="shared" si="8"/>
        <v>280.77794460486041</v>
      </c>
      <c r="G11" s="29">
        <f t="shared" si="8"/>
        <v>271.39382675873213</v>
      </c>
      <c r="H11" s="29">
        <f t="shared" si="8"/>
        <v>210.14737326420567</v>
      </c>
      <c r="I11" s="29">
        <f t="shared" si="8"/>
        <v>233.4721652318637</v>
      </c>
      <c r="J11" s="29">
        <f t="shared" si="8"/>
        <v>217.66134110594967</v>
      </c>
      <c r="K11" s="29">
        <f t="shared" si="8"/>
        <v>219.25724320888219</v>
      </c>
      <c r="L11" s="29">
        <f t="shared" si="8"/>
        <v>199.92714913175965</v>
      </c>
      <c r="M11" s="29">
        <f t="shared" si="8"/>
        <v>192.89795835352919</v>
      </c>
      <c r="N11" s="29">
        <f t="shared" si="8"/>
        <v>199.06980930052987</v>
      </c>
      <c r="O11" s="29">
        <f t="shared" si="8"/>
        <v>194.21975279990357</v>
      </c>
      <c r="P11" s="29">
        <f t="shared" si="8"/>
        <v>182.91591010614755</v>
      </c>
      <c r="Q11" s="29">
        <f t="shared" si="8"/>
        <v>187.47646503387233</v>
      </c>
      <c r="R11" s="29">
        <f t="shared" si="8"/>
        <v>206.43769369368096</v>
      </c>
      <c r="S11" s="29">
        <f t="shared" si="8"/>
        <v>210.3531538817177</v>
      </c>
      <c r="T11" s="29">
        <f t="shared" si="8"/>
        <v>226.96235771147118</v>
      </c>
      <c r="U11" s="29">
        <f t="shared" si="8"/>
        <v>217.92319340215559</v>
      </c>
      <c r="V11" s="29">
        <f t="shared" si="8"/>
        <v>201.09376668992846</v>
      </c>
      <c r="W11" s="29">
        <f t="shared" ref="W11:Y11" si="9">SUM(W12,W13,W16)</f>
        <v>223.39930816072351</v>
      </c>
      <c r="X11" s="29">
        <f t="shared" si="9"/>
        <v>242.72018809110688</v>
      </c>
      <c r="Y11" s="29">
        <f t="shared" si="9"/>
        <v>241.75488720243908</v>
      </c>
      <c r="DA11" s="173" t="s">
        <v>395</v>
      </c>
    </row>
    <row r="12" spans="1:105" ht="11.45" customHeight="1" x14ac:dyDescent="0.25">
      <c r="A12" s="107" t="s">
        <v>23</v>
      </c>
      <c r="B12" s="115">
        <v>26.138689780706617</v>
      </c>
      <c r="C12" s="115">
        <v>25.717648389043536</v>
      </c>
      <c r="D12" s="115">
        <v>25.690758301809783</v>
      </c>
      <c r="E12" s="115">
        <v>24.760796985483115</v>
      </c>
      <c r="F12" s="115">
        <v>23.665752229499226</v>
      </c>
      <c r="G12" s="115">
        <v>22.249511814670125</v>
      </c>
      <c r="H12" s="115">
        <v>22.083772875898521</v>
      </c>
      <c r="I12" s="115">
        <v>21.937915558700229</v>
      </c>
      <c r="J12" s="115">
        <v>21.750667161924348</v>
      </c>
      <c r="K12" s="115">
        <v>20.578361621189352</v>
      </c>
      <c r="L12" s="115">
        <v>20.744407463083938</v>
      </c>
      <c r="M12" s="115">
        <v>20.559435944536986</v>
      </c>
      <c r="N12" s="115">
        <v>20.740339315476117</v>
      </c>
      <c r="O12" s="115">
        <v>19.259071367095146</v>
      </c>
      <c r="P12" s="115">
        <v>19.473278847894285</v>
      </c>
      <c r="Q12" s="115">
        <v>18.992302521675299</v>
      </c>
      <c r="R12" s="115">
        <v>19.332949386670947</v>
      </c>
      <c r="S12" s="115">
        <v>18.864566832566016</v>
      </c>
      <c r="T12" s="115">
        <v>18.83026997204518</v>
      </c>
      <c r="U12" s="115">
        <v>18.967135026251263</v>
      </c>
      <c r="V12" s="115">
        <v>18.356051022155153</v>
      </c>
      <c r="W12" s="115">
        <v>17.6696215273933</v>
      </c>
      <c r="X12" s="115">
        <v>16.691665478573466</v>
      </c>
      <c r="Y12" s="115">
        <v>16.93895522724716</v>
      </c>
      <c r="DA12" s="203" t="s">
        <v>396</v>
      </c>
    </row>
    <row r="13" spans="1:105" ht="11.45" customHeight="1" x14ac:dyDescent="0.25">
      <c r="A13" s="109" t="s">
        <v>24</v>
      </c>
      <c r="B13" s="116">
        <f t="shared" ref="B13" si="10">SUM(B14:B15)</f>
        <v>269.56242841371352</v>
      </c>
      <c r="C13" s="116">
        <f t="shared" ref="C13:V13" si="11">SUM(C14:C15)</f>
        <v>287.50929964499886</v>
      </c>
      <c r="D13" s="116">
        <f t="shared" si="11"/>
        <v>294.37823242322702</v>
      </c>
      <c r="E13" s="116">
        <f t="shared" si="11"/>
        <v>300.99142668267501</v>
      </c>
      <c r="F13" s="116">
        <f t="shared" si="11"/>
        <v>257.11219237536119</v>
      </c>
      <c r="G13" s="116">
        <f t="shared" si="11"/>
        <v>249.14431494406199</v>
      </c>
      <c r="H13" s="116">
        <f t="shared" si="11"/>
        <v>188.06360038830715</v>
      </c>
      <c r="I13" s="116">
        <f t="shared" si="11"/>
        <v>211.53424967316346</v>
      </c>
      <c r="J13" s="116">
        <f t="shared" si="11"/>
        <v>195.91067394402532</v>
      </c>
      <c r="K13" s="116">
        <f t="shared" si="11"/>
        <v>198.67888158769284</v>
      </c>
      <c r="L13" s="116">
        <f t="shared" si="11"/>
        <v>179.1827416686757</v>
      </c>
      <c r="M13" s="116">
        <f t="shared" si="11"/>
        <v>172.33852240899222</v>
      </c>
      <c r="N13" s="116">
        <f t="shared" si="11"/>
        <v>178.32946998505375</v>
      </c>
      <c r="O13" s="116">
        <f t="shared" si="11"/>
        <v>174.96068143280843</v>
      </c>
      <c r="P13" s="116">
        <f t="shared" si="11"/>
        <v>163.44263125825327</v>
      </c>
      <c r="Q13" s="116">
        <f t="shared" si="11"/>
        <v>165.42344720558458</v>
      </c>
      <c r="R13" s="116">
        <f t="shared" si="11"/>
        <v>178.16973311473959</v>
      </c>
      <c r="S13" s="116">
        <f t="shared" si="11"/>
        <v>183.04941810637146</v>
      </c>
      <c r="T13" s="116">
        <f t="shared" si="11"/>
        <v>199.49006228887251</v>
      </c>
      <c r="U13" s="116">
        <f t="shared" si="11"/>
        <v>189.68166179116974</v>
      </c>
      <c r="V13" s="116">
        <f t="shared" si="11"/>
        <v>174.05684684064303</v>
      </c>
      <c r="W13" s="116">
        <f t="shared" ref="W13:Y13" si="12">SUM(W14:W15)</f>
        <v>196.87553375981085</v>
      </c>
      <c r="X13" s="116">
        <f t="shared" si="12"/>
        <v>217.52613310487615</v>
      </c>
      <c r="Y13" s="116">
        <f t="shared" si="12"/>
        <v>216.38117263840908</v>
      </c>
      <c r="DA13" s="176" t="s">
        <v>397</v>
      </c>
    </row>
    <row r="14" spans="1:105" ht="11.45" customHeight="1" x14ac:dyDescent="0.25">
      <c r="A14" s="111" t="s">
        <v>95</v>
      </c>
      <c r="B14" s="87">
        <v>105.32486147538674</v>
      </c>
      <c r="C14" s="87">
        <v>106.14457273260236</v>
      </c>
      <c r="D14" s="87">
        <v>99.187159635627282</v>
      </c>
      <c r="E14" s="87">
        <v>104.66934494820056</v>
      </c>
      <c r="F14" s="87">
        <v>85.055242828695484</v>
      </c>
      <c r="G14" s="87">
        <v>91.294060972807301</v>
      </c>
      <c r="H14" s="87">
        <v>56.488695475628361</v>
      </c>
      <c r="I14" s="87">
        <v>73.408898396568446</v>
      </c>
      <c r="J14" s="87">
        <v>57.257301172409996</v>
      </c>
      <c r="K14" s="87">
        <v>61.514196037555109</v>
      </c>
      <c r="L14" s="87">
        <v>36.667016444064203</v>
      </c>
      <c r="M14" s="87">
        <v>36.578342711307997</v>
      </c>
      <c r="N14" s="87">
        <v>38.772036451924173</v>
      </c>
      <c r="O14" s="87">
        <v>35.595210158418809</v>
      </c>
      <c r="P14" s="87">
        <v>32.102271199374464</v>
      </c>
      <c r="Q14" s="87">
        <v>24.269173983619876</v>
      </c>
      <c r="R14" s="87">
        <v>27.580973797993039</v>
      </c>
      <c r="S14" s="87">
        <v>24.674346297319705</v>
      </c>
      <c r="T14" s="87">
        <v>32.280901575799042</v>
      </c>
      <c r="U14" s="87">
        <v>22.142078125947542</v>
      </c>
      <c r="V14" s="87">
        <v>21.007173034593478</v>
      </c>
      <c r="W14" s="87">
        <v>15.410454370284009</v>
      </c>
      <c r="X14" s="87">
        <v>23.614672216177755</v>
      </c>
      <c r="Y14" s="87">
        <v>17.344720434339195</v>
      </c>
      <c r="DA14" s="171" t="s">
        <v>1108</v>
      </c>
    </row>
    <row r="15" spans="1:105" ht="11.45" customHeight="1" x14ac:dyDescent="0.25">
      <c r="A15" s="111" t="s">
        <v>93</v>
      </c>
      <c r="B15" s="87">
        <v>164.23756693832681</v>
      </c>
      <c r="C15" s="87">
        <v>181.36472691239652</v>
      </c>
      <c r="D15" s="87">
        <v>195.19107278759975</v>
      </c>
      <c r="E15" s="87">
        <v>196.32208173447444</v>
      </c>
      <c r="F15" s="87">
        <v>172.05694954666569</v>
      </c>
      <c r="G15" s="87">
        <v>157.85025397125469</v>
      </c>
      <c r="H15" s="87">
        <v>131.57490491267879</v>
      </c>
      <c r="I15" s="87">
        <v>138.12535127659501</v>
      </c>
      <c r="J15" s="87">
        <v>138.65337277161532</v>
      </c>
      <c r="K15" s="87">
        <v>137.16468555013773</v>
      </c>
      <c r="L15" s="87">
        <v>142.51572522461151</v>
      </c>
      <c r="M15" s="87">
        <v>135.76017969768421</v>
      </c>
      <c r="N15" s="87">
        <v>139.55743353312957</v>
      </c>
      <c r="O15" s="87">
        <v>139.36547127438962</v>
      </c>
      <c r="P15" s="87">
        <v>131.34036005887882</v>
      </c>
      <c r="Q15" s="87">
        <v>141.1542732219647</v>
      </c>
      <c r="R15" s="87">
        <v>150.58875931674655</v>
      </c>
      <c r="S15" s="87">
        <v>158.37507180905175</v>
      </c>
      <c r="T15" s="87">
        <v>167.20916071307346</v>
      </c>
      <c r="U15" s="87">
        <v>167.53958366522221</v>
      </c>
      <c r="V15" s="87">
        <v>153.04967380604955</v>
      </c>
      <c r="W15" s="87">
        <v>181.46507938952684</v>
      </c>
      <c r="X15" s="87">
        <v>193.9114608886984</v>
      </c>
      <c r="Y15" s="87">
        <v>199.03645220406989</v>
      </c>
      <c r="DA15" s="171" t="s">
        <v>1109</v>
      </c>
    </row>
    <row r="16" spans="1:105" ht="11.45" customHeight="1" x14ac:dyDescent="0.25">
      <c r="A16" s="112" t="s">
        <v>25</v>
      </c>
      <c r="B16" s="117">
        <v>0</v>
      </c>
      <c r="C16" s="117">
        <v>0</v>
      </c>
      <c r="D16" s="117">
        <v>0</v>
      </c>
      <c r="E16" s="117">
        <v>0</v>
      </c>
      <c r="F16" s="117">
        <v>0</v>
      </c>
      <c r="G16" s="117">
        <v>0</v>
      </c>
      <c r="H16" s="117">
        <v>0</v>
      </c>
      <c r="I16" s="117">
        <v>0</v>
      </c>
      <c r="J16" s="117">
        <v>0</v>
      </c>
      <c r="K16" s="117">
        <v>0</v>
      </c>
      <c r="L16" s="117">
        <v>0</v>
      </c>
      <c r="M16" s="117">
        <v>0</v>
      </c>
      <c r="N16" s="117">
        <v>0</v>
      </c>
      <c r="O16" s="117">
        <v>0</v>
      </c>
      <c r="P16" s="117">
        <v>0</v>
      </c>
      <c r="Q16" s="117">
        <v>3.0607153066124546</v>
      </c>
      <c r="R16" s="117">
        <v>8.9350111922704301</v>
      </c>
      <c r="S16" s="117">
        <v>8.4391689427802081</v>
      </c>
      <c r="T16" s="117">
        <v>8.6420254505534846</v>
      </c>
      <c r="U16" s="117">
        <v>9.2743965847345677</v>
      </c>
      <c r="V16" s="117">
        <v>8.6808688271302561</v>
      </c>
      <c r="W16" s="117">
        <v>8.8541528735193573</v>
      </c>
      <c r="X16" s="117">
        <v>8.50238950765727</v>
      </c>
      <c r="Y16" s="117">
        <v>8.4347593367828466</v>
      </c>
      <c r="DA16" s="204" t="s">
        <v>398</v>
      </c>
    </row>
    <row r="17" spans="1:105" ht="11.45" customHeight="1" x14ac:dyDescent="0.25">
      <c r="A17" s="27" t="s">
        <v>34</v>
      </c>
      <c r="B17" s="29">
        <f t="shared" ref="B17:W17" si="13">SUM(B18:B19)</f>
        <v>244.26732548571738</v>
      </c>
      <c r="C17" s="29">
        <f t="shared" si="13"/>
        <v>219.0220631439455</v>
      </c>
      <c r="D17" s="29">
        <f t="shared" si="13"/>
        <v>206.28526550884101</v>
      </c>
      <c r="E17" s="29">
        <f t="shared" si="13"/>
        <v>215.18122431120554</v>
      </c>
      <c r="F17" s="29">
        <f t="shared" si="13"/>
        <v>217.85111816384125</v>
      </c>
      <c r="G17" s="29">
        <f t="shared" si="13"/>
        <v>196.03712766947081</v>
      </c>
      <c r="H17" s="29">
        <f t="shared" si="13"/>
        <v>205.58297927233775</v>
      </c>
      <c r="I17" s="29">
        <f t="shared" si="13"/>
        <v>193.18785196504081</v>
      </c>
      <c r="J17" s="29">
        <f t="shared" si="13"/>
        <v>182.94536568682767</v>
      </c>
      <c r="K17" s="29">
        <f t="shared" si="13"/>
        <v>150.67680666214099</v>
      </c>
      <c r="L17" s="29">
        <f t="shared" si="13"/>
        <v>169.72745104020944</v>
      </c>
      <c r="M17" s="29">
        <f t="shared" si="13"/>
        <v>180.63548962583451</v>
      </c>
      <c r="N17" s="29">
        <f t="shared" si="13"/>
        <v>158.53741339938412</v>
      </c>
      <c r="O17" s="29">
        <f t="shared" si="13"/>
        <v>153.48016121557362</v>
      </c>
      <c r="P17" s="29">
        <f t="shared" si="13"/>
        <v>141.28632549144481</v>
      </c>
      <c r="Q17" s="29">
        <f t="shared" si="13"/>
        <v>137.32525465658338</v>
      </c>
      <c r="R17" s="29">
        <f t="shared" si="13"/>
        <v>132.12154964251857</v>
      </c>
      <c r="S17" s="29">
        <f t="shared" si="13"/>
        <v>139.50815308302859</v>
      </c>
      <c r="T17" s="29">
        <f t="shared" si="13"/>
        <v>152.19963712945759</v>
      </c>
      <c r="U17" s="29">
        <f t="shared" si="13"/>
        <v>138.9985606821092</v>
      </c>
      <c r="V17" s="29">
        <f t="shared" si="13"/>
        <v>130.87459100568634</v>
      </c>
      <c r="W17" s="29">
        <f t="shared" si="13"/>
        <v>143.726573180635</v>
      </c>
      <c r="X17" s="29">
        <f t="shared" ref="X17:Y17" si="14">SUM(X18:X19)</f>
        <v>133.23570184870385</v>
      </c>
      <c r="Y17" s="29">
        <f t="shared" si="14"/>
        <v>126.61733979670103</v>
      </c>
      <c r="DA17" s="173" t="s">
        <v>402</v>
      </c>
    </row>
    <row r="18" spans="1:105" ht="11.45" customHeight="1" x14ac:dyDescent="0.25">
      <c r="A18" s="83" t="s">
        <v>95</v>
      </c>
      <c r="B18" s="87">
        <v>64.136273520314049</v>
      </c>
      <c r="C18" s="87">
        <v>59.208479717956536</v>
      </c>
      <c r="D18" s="87">
        <v>57.949555755602304</v>
      </c>
      <c r="E18" s="87">
        <v>60.68370750235831</v>
      </c>
      <c r="F18" s="87">
        <v>80.297809621863408</v>
      </c>
      <c r="G18" s="87">
        <v>70.977822088241709</v>
      </c>
      <c r="H18" s="87">
        <v>92.431682856271934</v>
      </c>
      <c r="I18" s="87">
        <v>73.457481655022264</v>
      </c>
      <c r="J18" s="87">
        <v>71.122406480212504</v>
      </c>
      <c r="K18" s="87">
        <v>62.590103188584195</v>
      </c>
      <c r="L18" s="87">
        <v>78.12945819050158</v>
      </c>
      <c r="M18" s="87">
        <v>82.354933299010099</v>
      </c>
      <c r="N18" s="87">
        <v>71.887636806889219</v>
      </c>
      <c r="O18" s="87">
        <v>66.790860348889893</v>
      </c>
      <c r="P18" s="87">
        <v>59.941752876291908</v>
      </c>
      <c r="Q18" s="87">
        <v>59.947850951891731</v>
      </c>
      <c r="R18" s="87">
        <v>56.636051137518564</v>
      </c>
      <c r="S18" s="87">
        <v>61.658413805861706</v>
      </c>
      <c r="T18" s="87">
        <v>71.620388192042768</v>
      </c>
      <c r="U18" s="87">
        <v>64.220432622117784</v>
      </c>
      <c r="V18" s="87">
        <v>62.252672193265497</v>
      </c>
      <c r="W18" s="87">
        <v>74.818866351985974</v>
      </c>
      <c r="X18" s="87">
        <v>66.614648506092237</v>
      </c>
      <c r="Y18" s="87">
        <v>65.401625223442409</v>
      </c>
      <c r="DA18" s="171" t="s">
        <v>1110</v>
      </c>
    </row>
    <row r="19" spans="1:105" ht="11.45" customHeight="1" x14ac:dyDescent="0.25">
      <c r="A19" s="85" t="s">
        <v>93</v>
      </c>
      <c r="B19" s="88">
        <v>180.13105196540332</v>
      </c>
      <c r="C19" s="88">
        <v>159.81358342598895</v>
      </c>
      <c r="D19" s="88">
        <v>148.33570975323872</v>
      </c>
      <c r="E19" s="88">
        <v>154.49751680884722</v>
      </c>
      <c r="F19" s="88">
        <v>137.55330854197783</v>
      </c>
      <c r="G19" s="88">
        <v>125.0593055812291</v>
      </c>
      <c r="H19" s="88">
        <v>113.1512964160658</v>
      </c>
      <c r="I19" s="88">
        <v>119.73037031001856</v>
      </c>
      <c r="J19" s="88">
        <v>111.82295920661517</v>
      </c>
      <c r="K19" s="88">
        <v>88.086703473556796</v>
      </c>
      <c r="L19" s="88">
        <v>91.597992849707865</v>
      </c>
      <c r="M19" s="88">
        <v>98.28055632682441</v>
      </c>
      <c r="N19" s="88">
        <v>86.649776592494902</v>
      </c>
      <c r="O19" s="88">
        <v>86.689300866683723</v>
      </c>
      <c r="P19" s="88">
        <v>81.344572615152899</v>
      </c>
      <c r="Q19" s="88">
        <v>77.377403704691645</v>
      </c>
      <c r="R19" s="88">
        <v>75.48549850500001</v>
      </c>
      <c r="S19" s="88">
        <v>77.84973927716689</v>
      </c>
      <c r="T19" s="88">
        <v>80.579248937414803</v>
      </c>
      <c r="U19" s="88">
        <v>74.778128059991403</v>
      </c>
      <c r="V19" s="88">
        <v>68.621918812420859</v>
      </c>
      <c r="W19" s="88">
        <v>68.90770682864904</v>
      </c>
      <c r="X19" s="88">
        <v>66.621053342611631</v>
      </c>
      <c r="Y19" s="88">
        <v>61.215714573258616</v>
      </c>
      <c r="DA19" s="178" t="s">
        <v>1111</v>
      </c>
    </row>
    <row r="20" spans="1:105" x14ac:dyDescent="0.25">
      <c r="A20" s="106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X20" s="106"/>
      <c r="Y20" s="106"/>
      <c r="DA20" s="171"/>
    </row>
    <row r="21" spans="1:105" ht="11.45" customHeight="1" x14ac:dyDescent="0.25">
      <c r="A21" s="68" t="s">
        <v>36</v>
      </c>
      <c r="B21" s="69"/>
      <c r="C21" s="69"/>
      <c r="D21" s="69"/>
      <c r="E21" s="69"/>
      <c r="F21" s="69"/>
      <c r="G21" s="69"/>
      <c r="H21" s="69"/>
      <c r="I21" s="69"/>
      <c r="J21" s="69"/>
      <c r="K21" s="69"/>
      <c r="L21" s="69"/>
      <c r="M21" s="69"/>
      <c r="N21" s="69"/>
      <c r="O21" s="69"/>
      <c r="P21" s="69"/>
      <c r="Q21" s="69"/>
      <c r="R21" s="69"/>
      <c r="S21" s="69"/>
      <c r="T21" s="69"/>
      <c r="U21" s="69"/>
      <c r="V21" s="69"/>
      <c r="W21" s="69"/>
      <c r="X21" s="69"/>
      <c r="Y21" s="69"/>
      <c r="DA21" s="179"/>
    </row>
    <row r="22" spans="1:105" x14ac:dyDescent="0.25">
      <c r="A22" s="106"/>
      <c r="B22" s="106"/>
      <c r="C22" s="106"/>
      <c r="D22" s="106"/>
      <c r="E22" s="106"/>
      <c r="F22" s="106"/>
      <c r="G22" s="106"/>
      <c r="H22" s="106"/>
      <c r="I22" s="106"/>
      <c r="J22" s="106"/>
      <c r="K22" s="106"/>
      <c r="L22" s="106"/>
      <c r="M22" s="106"/>
      <c r="N22" s="106"/>
      <c r="O22" s="106"/>
      <c r="P22" s="106"/>
      <c r="Q22" s="106"/>
      <c r="R22" s="106"/>
      <c r="S22" s="106"/>
      <c r="T22" s="106"/>
      <c r="U22" s="106"/>
      <c r="V22" s="106"/>
      <c r="W22" s="106"/>
      <c r="X22" s="106"/>
      <c r="Y22" s="106"/>
      <c r="DA22" s="171"/>
    </row>
    <row r="23" spans="1:105" ht="11.45" customHeight="1" x14ac:dyDescent="0.25">
      <c r="A23" s="53" t="s">
        <v>62</v>
      </c>
      <c r="B23" s="62">
        <f>IF(B10=0,0,B10/TrRail_act!B14*100)</f>
        <v>192.91831695205289</v>
      </c>
      <c r="C23" s="62">
        <f>IF(C10=0,0,C10/TrRail_act!C14*100)</f>
        <v>187.49555232922873</v>
      </c>
      <c r="D23" s="62">
        <f>IF(D10=0,0,D10/TrRail_act!D14*100)</f>
        <v>181.7937565670143</v>
      </c>
      <c r="E23" s="62">
        <f>IF(E10=0,0,E10/TrRail_act!E14*100)</f>
        <v>180.82855066503271</v>
      </c>
      <c r="F23" s="62">
        <f>IF(F10=0,0,F10/TrRail_act!F14*100)</f>
        <v>172.28593012355537</v>
      </c>
      <c r="G23" s="62">
        <f>IF(G10=0,0,G10/TrRail_act!G14*100)</f>
        <v>168.29778384517275</v>
      </c>
      <c r="H23" s="62">
        <f>IF(H10=0,0,H10/TrRail_act!H14*100)</f>
        <v>158.78592114257015</v>
      </c>
      <c r="I23" s="62">
        <f>IF(I10=0,0,I10/TrRail_act!I14*100)</f>
        <v>153.82538119374996</v>
      </c>
      <c r="J23" s="62">
        <f>IF(J10=0,0,J10/TrRail_act!J14*100)</f>
        <v>147.9761912869603</v>
      </c>
      <c r="K23" s="62">
        <f>IF(K10=0,0,K10/TrRail_act!K14*100)</f>
        <v>144.51249798366186</v>
      </c>
      <c r="L23" s="62">
        <f>IF(L10=0,0,L10/TrRail_act!L14*100)</f>
        <v>143.03048248782321</v>
      </c>
      <c r="M23" s="62">
        <f>IF(M10=0,0,M10/TrRail_act!M14*100)</f>
        <v>143.20668579548925</v>
      </c>
      <c r="N23" s="62">
        <f>IF(N10=0,0,N10/TrRail_act!N14*100)</f>
        <v>138.49989103306186</v>
      </c>
      <c r="O23" s="62">
        <f>IF(O10=0,0,O10/TrRail_act!O14*100)</f>
        <v>136.87280685896644</v>
      </c>
      <c r="P23" s="62">
        <f>IF(P10=0,0,P10/TrRail_act!P14*100)</f>
        <v>129.91835315776535</v>
      </c>
      <c r="Q23" s="62">
        <f>IF(Q10=0,0,Q10/TrRail_act!Q14*100)</f>
        <v>126.26279676111155</v>
      </c>
      <c r="R23" s="62">
        <f>IF(R10=0,0,R10/TrRail_act!R14*100)</f>
        <v>124.42547331451614</v>
      </c>
      <c r="S23" s="62">
        <f>IF(S10=0,0,S10/TrRail_act!S14*100)</f>
        <v>124.61603701559987</v>
      </c>
      <c r="T23" s="62">
        <f>IF(T10=0,0,T10/TrRail_act!T14*100)</f>
        <v>126.56667410282667</v>
      </c>
      <c r="U23" s="62">
        <f>IF(U10=0,0,U10/TrRail_act!U14*100)</f>
        <v>123.20376299785549</v>
      </c>
      <c r="V23" s="62">
        <f>IF(V10=0,0,V10/TrRail_act!V14*100)</f>
        <v>122.80018887305783</v>
      </c>
      <c r="W23" s="62">
        <f>IF(W10=0,0,W10/TrRail_act!W14*100)</f>
        <v>124.62980379823571</v>
      </c>
      <c r="X23" s="62">
        <f>IF(X10=0,0,X10/TrRail_act!X14*100)</f>
        <v>123.40832668301903</v>
      </c>
      <c r="Y23" s="62">
        <f>IF(Y10=0,0,Y10/TrRail_act!Y14*100)</f>
        <v>121.83211992312906</v>
      </c>
      <c r="DA23" s="172" t="s">
        <v>1112</v>
      </c>
    </row>
    <row r="24" spans="1:105" ht="11.45" customHeight="1" x14ac:dyDescent="0.25">
      <c r="A24" s="27" t="s">
        <v>33</v>
      </c>
      <c r="B24" s="29">
        <f>IF(B11=0,0,B11/TrRail_act!B15*100)</f>
        <v>154.84172055613257</v>
      </c>
      <c r="C24" s="29">
        <f>IF(C11=0,0,C11/TrRail_act!C15*100)</f>
        <v>153.84253852834036</v>
      </c>
      <c r="D24" s="29">
        <f>IF(D11=0,0,D11/TrRail_act!D15*100)</f>
        <v>150.34237770316165</v>
      </c>
      <c r="E24" s="29">
        <f>IF(E11=0,0,E11/TrRail_act!E15*100)</f>
        <v>149.34532434457353</v>
      </c>
      <c r="F24" s="29">
        <f>IF(F11=0,0,F11/TrRail_act!F15*100)</f>
        <v>137.01681435127136</v>
      </c>
      <c r="G24" s="29">
        <f>IF(G11=0,0,G11/TrRail_act!G15*100)</f>
        <v>136.14297571465025</v>
      </c>
      <c r="H24" s="29">
        <f>IF(H11=0,0,H11/TrRail_act!H15*100)</f>
        <v>118.06463437368014</v>
      </c>
      <c r="I24" s="29">
        <f>IF(I11=0,0,I11/TrRail_act!I15*100)</f>
        <v>120.67110745571186</v>
      </c>
      <c r="J24" s="29">
        <f>IF(J11=0,0,J11/TrRail_act!J15*100)</f>
        <v>114.64594839661584</v>
      </c>
      <c r="K24" s="29">
        <f>IF(K11=0,0,K11/TrRail_act!K15*100)</f>
        <v>115.43811130915628</v>
      </c>
      <c r="L24" s="29">
        <f>IF(L11=0,0,L11/TrRail_act!L15*100)</f>
        <v>107.83322859411682</v>
      </c>
      <c r="M24" s="29">
        <f>IF(M11=0,0,M11/TrRail_act!M15*100)</f>
        <v>106.00727890041148</v>
      </c>
      <c r="N24" s="29">
        <f>IF(N11=0,0,N11/TrRail_act!N15*100)</f>
        <v>105.8587760934054</v>
      </c>
      <c r="O24" s="29">
        <f>IF(O11=0,0,O11/TrRail_act!O15*100)</f>
        <v>105.3593395031198</v>
      </c>
      <c r="P24" s="29">
        <f>IF(P11=0,0,P11/TrRail_act!P15*100)</f>
        <v>100.11238140561565</v>
      </c>
      <c r="Q24" s="29">
        <f>IF(Q11=0,0,Q11/TrRail_act!Q15*100)</f>
        <v>97.929282910550668</v>
      </c>
      <c r="R24" s="29">
        <f>IF(R11=0,0,R11/TrRail_act!R15*100)</f>
        <v>99.413199807622561</v>
      </c>
      <c r="S24" s="29">
        <f>IF(S11=0,0,S11/TrRail_act!S15*100)</f>
        <v>98.84391396328391</v>
      </c>
      <c r="T24" s="29">
        <f>IF(T11=0,0,T11/TrRail_act!T15*100)</f>
        <v>100.13877389220693</v>
      </c>
      <c r="U24" s="29">
        <f>IF(U11=0,0,U11/TrRail_act!U15*100)</f>
        <v>98.025033961945724</v>
      </c>
      <c r="V24" s="29">
        <f>IF(V11=0,0,V11/TrRail_act!V15*100)</f>
        <v>96.982193290321064</v>
      </c>
      <c r="W24" s="29">
        <f>IF(W11=0,0,W11/TrRail_act!W15*100)</f>
        <v>98.086563296988828</v>
      </c>
      <c r="X24" s="29">
        <f>IF(X11=0,0,X11/TrRail_act!X15*100)</f>
        <v>100.50532954625922</v>
      </c>
      <c r="Y24" s="29">
        <f>IF(Y11=0,0,Y11/TrRail_act!Y15*100)</f>
        <v>99.449855232602829</v>
      </c>
      <c r="DA24" s="173" t="s">
        <v>1113</v>
      </c>
    </row>
    <row r="25" spans="1:105" ht="11.45" customHeight="1" x14ac:dyDescent="0.25">
      <c r="A25" s="107" t="s">
        <v>23</v>
      </c>
      <c r="B25" s="115">
        <f>IF(B12=0,0,B12/TrRail_act!B16*100)</f>
        <v>45.619257955352161</v>
      </c>
      <c r="C25" s="115">
        <f>IF(C12=0,0,C12/TrRail_act!C16*100)</f>
        <v>44.994681322329981</v>
      </c>
      <c r="D25" s="115">
        <f>IF(D12=0,0,D12/TrRail_act!D16*100)</f>
        <v>44.346129880420435</v>
      </c>
      <c r="E25" s="115">
        <f>IF(E12=0,0,E12/TrRail_act!E16*100)</f>
        <v>43.709456610350969</v>
      </c>
      <c r="F25" s="115">
        <f>IF(F12=0,0,F12/TrRail_act!F16*100)</f>
        <v>42.397613777812317</v>
      </c>
      <c r="G25" s="115">
        <f>IF(G12=0,0,G12/TrRail_act!G16*100)</f>
        <v>41.180891274229118</v>
      </c>
      <c r="H25" s="115">
        <f>IF(H12=0,0,H12/TrRail_act!H16*100)</f>
        <v>40.038880868721769</v>
      </c>
      <c r="I25" s="115">
        <f>IF(I12=0,0,I12/TrRail_act!I16*100)</f>
        <v>39.260511826343816</v>
      </c>
      <c r="J25" s="115">
        <f>IF(J12=0,0,J12/TrRail_act!J16*100)</f>
        <v>39.022563925327205</v>
      </c>
      <c r="K25" s="115">
        <f>IF(K12=0,0,K12/TrRail_act!K16*100)</f>
        <v>38.657735435015098</v>
      </c>
      <c r="L25" s="115">
        <f>IF(L12=0,0,L12/TrRail_act!L16*100)</f>
        <v>38.176654233604488</v>
      </c>
      <c r="M25" s="115">
        <f>IF(M12=0,0,M12/TrRail_act!M16*100)</f>
        <v>37.765693103376591</v>
      </c>
      <c r="N25" s="115">
        <f>IF(N12=0,0,N12/TrRail_act!N16*100)</f>
        <v>37.577917115401846</v>
      </c>
      <c r="O25" s="115">
        <f>IF(O12=0,0,O12/TrRail_act!O16*100)</f>
        <v>37.289812439287651</v>
      </c>
      <c r="P25" s="115">
        <f>IF(P12=0,0,P12/TrRail_act!P16*100)</f>
        <v>36.30513485414577</v>
      </c>
      <c r="Q25" s="115">
        <f>IF(Q12=0,0,Q12/TrRail_act!Q16*100)</f>
        <v>35.721487489486627</v>
      </c>
      <c r="R25" s="115">
        <f>IF(R12=0,0,R12/TrRail_act!R16*100)</f>
        <v>35.289917726996165</v>
      </c>
      <c r="S25" s="115">
        <f>IF(S12=0,0,S12/TrRail_act!S16*100)</f>
        <v>34.969665562114663</v>
      </c>
      <c r="T25" s="115">
        <f>IF(T12=0,0,T12/TrRail_act!T16*100)</f>
        <v>34.731385113785521</v>
      </c>
      <c r="U25" s="115">
        <f>IF(U12=0,0,U12/TrRail_act!U16*100)</f>
        <v>34.553740886797335</v>
      </c>
      <c r="V25" s="115">
        <f>IF(V12=0,0,V12/TrRail_act!V16*100)</f>
        <v>34.42110424997383</v>
      </c>
      <c r="W25" s="115">
        <f>IF(W12=0,0,W12/TrRail_act!W16*100)</f>
        <v>34.321960998419399</v>
      </c>
      <c r="X25" s="115">
        <f>IF(X12=0,0,X12/TrRail_act!X16*100)</f>
        <v>34.24779100531336</v>
      </c>
      <c r="Y25" s="115">
        <f>IF(Y12=0,0,Y12/TrRail_act!Y16*100)</f>
        <v>34.192268714411767</v>
      </c>
      <c r="DA25" s="203" t="s">
        <v>1114</v>
      </c>
    </row>
    <row r="26" spans="1:105" ht="11.45" customHeight="1" x14ac:dyDescent="0.25">
      <c r="A26" s="109" t="s">
        <v>24</v>
      </c>
      <c r="B26" s="116">
        <f>IF(B13=0,0,B13/TrRail_act!B17*100)</f>
        <v>201.65894915285216</v>
      </c>
      <c r="C26" s="116">
        <f>IF(C13=0,0,C13/TrRail_act!C17*100)</f>
        <v>196.32549872655741</v>
      </c>
      <c r="D26" s="116">
        <f>IF(D13=0,0,D13/TrRail_act!D17*100)</f>
        <v>189.96919351843545</v>
      </c>
      <c r="E26" s="116">
        <f>IF(E13=0,0,E13/TrRail_act!E17*100)</f>
        <v>186.40525922996952</v>
      </c>
      <c r="F26" s="116">
        <f>IF(F13=0,0,F13/TrRail_act!F17*100)</f>
        <v>172.43855272584068</v>
      </c>
      <c r="G26" s="116">
        <f>IF(G13=0,0,G13/TrRail_act!G17*100)</f>
        <v>171.45003838739385</v>
      </c>
      <c r="H26" s="116">
        <f>IF(H13=0,0,H13/TrRail_act!H17*100)</f>
        <v>153.09927858198412</v>
      </c>
      <c r="I26" s="116">
        <f>IF(I13=0,0,I13/TrRail_act!I17*100)</f>
        <v>153.73096662846629</v>
      </c>
      <c r="J26" s="116">
        <f>IF(J13=0,0,J13/TrRail_act!J17*100)</f>
        <v>146.07494580824195</v>
      </c>
      <c r="K26" s="116">
        <f>IF(K13=0,0,K13/TrRail_act!K17*100)</f>
        <v>145.336484936159</v>
      </c>
      <c r="L26" s="116">
        <f>IF(L13=0,0,L13/TrRail_act!L17*100)</f>
        <v>136.71174949353039</v>
      </c>
      <c r="M26" s="116">
        <f>IF(M13=0,0,M13/TrRail_act!M17*100)</f>
        <v>135.13857574798448</v>
      </c>
      <c r="N26" s="116">
        <f>IF(N13=0,0,N13/TrRail_act!N17*100)</f>
        <v>134.22424605455885</v>
      </c>
      <c r="O26" s="116">
        <f>IF(O13=0,0,O13/TrRail_act!O17*100)</f>
        <v>131.85341715349864</v>
      </c>
      <c r="P26" s="116">
        <f>IF(P13=0,0,P13/TrRail_act!P17*100)</f>
        <v>126.62828352397923</v>
      </c>
      <c r="Q26" s="116">
        <f>IF(Q13=0,0,Q13/TrRail_act!Q17*100)</f>
        <v>120.95692643320398</v>
      </c>
      <c r="R26" s="116">
        <f>IF(R13=0,0,R13/TrRail_act!R17*100)</f>
        <v>120.04544610765326</v>
      </c>
      <c r="S26" s="116">
        <f>IF(S13=0,0,S13/TrRail_act!S17*100)</f>
        <v>118.37979870113118</v>
      </c>
      <c r="T26" s="116">
        <f>IF(T13=0,0,T13/TrRail_act!T17*100)</f>
        <v>118.69781051443688</v>
      </c>
      <c r="U26" s="116">
        <f>IF(U13=0,0,U13/TrRail_act!U17*100)</f>
        <v>116.57125733135516</v>
      </c>
      <c r="V26" s="116">
        <f>IF(V13=0,0,V13/TrRail_act!V17*100)</f>
        <v>116.34376281401721</v>
      </c>
      <c r="W26" s="116">
        <f>IF(W13=0,0,W13/TrRail_act!W17*100)</f>
        <v>114.62330228289603</v>
      </c>
      <c r="X26" s="116">
        <f>IF(X13=0,0,X13/TrRail_act!X17*100)</f>
        <v>115.44932636104033</v>
      </c>
      <c r="Y26" s="116">
        <f>IF(Y13=0,0,Y13/TrRail_act!Y17*100)</f>
        <v>114.34472287072728</v>
      </c>
      <c r="DA26" s="176" t="s">
        <v>1115</v>
      </c>
    </row>
    <row r="27" spans="1:105" ht="11.45" customHeight="1" x14ac:dyDescent="0.25">
      <c r="A27" s="111" t="s">
        <v>92</v>
      </c>
      <c r="B27" s="87">
        <f>IF(B14=0,0,B14/TrRail_act!B18*100)</f>
        <v>279.74430256321745</v>
      </c>
      <c r="C27" s="87">
        <f>IF(C14=0,0,C14/TrRail_act!C18*100)</f>
        <v>272.03988353812684</v>
      </c>
      <c r="D27" s="87">
        <f>IF(D14=0,0,D14/TrRail_act!D18*100)</f>
        <v>265.5322479227425</v>
      </c>
      <c r="E27" s="87">
        <f>IF(E14=0,0,E14/TrRail_act!E18*100)</f>
        <v>253.02706688533809</v>
      </c>
      <c r="F27" s="87">
        <f>IF(F14=0,0,F14/TrRail_act!F18*100)</f>
        <v>247.04391107338611</v>
      </c>
      <c r="G27" s="87">
        <f>IF(G14=0,0,G14/TrRail_act!G18*100)</f>
        <v>242.36377170761108</v>
      </c>
      <c r="H27" s="87">
        <f>IF(H14=0,0,H14/TrRail_act!H18*100)</f>
        <v>221.49703930302059</v>
      </c>
      <c r="I27" s="87">
        <f>IF(I14=0,0,I14/TrRail_act!I18*100)</f>
        <v>217.4768609768083</v>
      </c>
      <c r="J27" s="87">
        <f>IF(J14=0,0,J14/TrRail_act!J18*100)</f>
        <v>209.23225796843732</v>
      </c>
      <c r="K27" s="87">
        <f>IF(K14=0,0,K14/TrRail_act!K18*100)</f>
        <v>204.2314207290016</v>
      </c>
      <c r="L27" s="87">
        <f>IF(L14=0,0,L14/TrRail_act!L18*100)</f>
        <v>195.68036929356279</v>
      </c>
      <c r="M27" s="87">
        <f>IF(M14=0,0,M14/TrRail_act!M18*100)</f>
        <v>190.5232315337098</v>
      </c>
      <c r="N27" s="87">
        <f>IF(N14=0,0,N14/TrRail_act!N18*100)</f>
        <v>187.13939782397748</v>
      </c>
      <c r="O27" s="87">
        <f>IF(O14=0,0,O14/TrRail_act!O18*100)</f>
        <v>184.21466348343461</v>
      </c>
      <c r="P27" s="87">
        <f>IF(P14=0,0,P14/TrRail_act!P18*100)</f>
        <v>177.88304773608073</v>
      </c>
      <c r="Q27" s="87">
        <f>IF(Q14=0,0,Q14/TrRail_act!Q18*100)</f>
        <v>168.44585421430619</v>
      </c>
      <c r="R27" s="87">
        <f>IF(R14=0,0,R14/TrRail_act!R18*100)</f>
        <v>164.93196074514225</v>
      </c>
      <c r="S27" s="87">
        <f>IF(S14=0,0,S14/TrRail_act!S18*100)</f>
        <v>162.34472936970079</v>
      </c>
      <c r="T27" s="87">
        <f>IF(T14=0,0,T14/TrRail_act!T18*100)</f>
        <v>160.43097474288638</v>
      </c>
      <c r="U27" s="87">
        <f>IF(U14=0,0,U14/TrRail_act!U18*100)</f>
        <v>159.01047820718958</v>
      </c>
      <c r="V27" s="87">
        <f>IF(V14=0,0,V14/TrRail_act!V18*100)</f>
        <v>157.95336585529068</v>
      </c>
      <c r="W27" s="87">
        <f>IF(W14=0,0,W14/TrRail_act!W18*100)</f>
        <v>157.165146115308</v>
      </c>
      <c r="X27" s="87">
        <f>IF(X14=0,0,X14/TrRail_act!X18*100)</f>
        <v>156.57656366500433</v>
      </c>
      <c r="Y27" s="87">
        <f>IF(Y14=0,0,Y14/TrRail_act!Y18*100)</f>
        <v>156.13657381006939</v>
      </c>
      <c r="DA27" s="171" t="s">
        <v>1116</v>
      </c>
    </row>
    <row r="28" spans="1:105" ht="11.45" customHeight="1" x14ac:dyDescent="0.25">
      <c r="A28" s="111" t="s">
        <v>93</v>
      </c>
      <c r="B28" s="87">
        <f>IF(B15=0,0,B15/TrRail_act!B19*100)</f>
        <v>171.04154692236594</v>
      </c>
      <c r="C28" s="87">
        <f>IF(C15=0,0,C15/TrRail_act!C19*100)</f>
        <v>168.82570933460383</v>
      </c>
      <c r="D28" s="87">
        <f>IF(D15=0,0,D15/TrRail_act!D19*100)</f>
        <v>165.96900149277164</v>
      </c>
      <c r="E28" s="87">
        <f>IF(E15=0,0,E15/TrRail_act!E19*100)</f>
        <v>163.45915155466963</v>
      </c>
      <c r="F28" s="87">
        <f>IF(F15=0,0,F15/TrRail_act!F19*100)</f>
        <v>150.03946891994428</v>
      </c>
      <c r="G28" s="87">
        <f>IF(G15=0,0,G15/TrRail_act!G19*100)</f>
        <v>146.63585125672881</v>
      </c>
      <c r="H28" s="87">
        <f>IF(H15=0,0,H15/TrRail_act!H19*100)</f>
        <v>135.17801951330736</v>
      </c>
      <c r="I28" s="87">
        <f>IF(I15=0,0,I15/TrRail_act!I19*100)</f>
        <v>133.01046414330543</v>
      </c>
      <c r="J28" s="87">
        <f>IF(J15=0,0,J15/TrRail_act!J19*100)</f>
        <v>129.88470047484225</v>
      </c>
      <c r="K28" s="87">
        <f>IF(K15=0,0,K15/TrRail_act!K19*100)</f>
        <v>128.69303081347911</v>
      </c>
      <c r="L28" s="87">
        <f>IF(L15=0,0,L15/TrRail_act!L19*100)</f>
        <v>126.87477017416818</v>
      </c>
      <c r="M28" s="87">
        <f>IF(M15=0,0,M15/TrRail_act!M19*100)</f>
        <v>125.32282926437645</v>
      </c>
      <c r="N28" s="87">
        <f>IF(N15=0,0,N15/TrRail_act!N19*100)</f>
        <v>124.44807817279681</v>
      </c>
      <c r="O28" s="87">
        <f>IF(O15=0,0,O15/TrRail_act!O19*100)</f>
        <v>122.92906440305924</v>
      </c>
      <c r="P28" s="87">
        <f>IF(P15=0,0,P15/TrRail_act!P19*100)</f>
        <v>118.29701699304248</v>
      </c>
      <c r="Q28" s="87">
        <f>IF(Q15=0,0,Q15/TrRail_act!Q19*100)</f>
        <v>115.36493093983353</v>
      </c>
      <c r="R28" s="87">
        <f>IF(R15=0,0,R15/TrRail_act!R19*100)</f>
        <v>114.34579463457986</v>
      </c>
      <c r="S28" s="87">
        <f>IF(S15=0,0,S15/TrRail_act!S19*100)</f>
        <v>113.58735503333996</v>
      </c>
      <c r="T28" s="87">
        <f>IF(T15=0,0,T15/TrRail_act!T19*100)</f>
        <v>113.02182850758294</v>
      </c>
      <c r="U28" s="87">
        <f>IF(U15=0,0,U15/TrRail_act!U19*100)</f>
        <v>112.59953213993774</v>
      </c>
      <c r="V28" s="87">
        <f>IF(V15=0,0,V15/TrRail_act!V19*100)</f>
        <v>112.28384566691017</v>
      </c>
      <c r="W28" s="87">
        <f>IF(W15=0,0,W15/TrRail_act!W19*100)</f>
        <v>112.04766177212413</v>
      </c>
      <c r="X28" s="87">
        <f>IF(X15=0,0,X15/TrRail_act!X19*100)</f>
        <v>111.87084993449281</v>
      </c>
      <c r="Y28" s="87">
        <f>IF(Y15=0,0,Y15/TrRail_act!Y19*100)</f>
        <v>111.73842418071686</v>
      </c>
      <c r="DA28" s="171" t="s">
        <v>1117</v>
      </c>
    </row>
    <row r="29" spans="1:105" ht="11.45" customHeight="1" x14ac:dyDescent="0.25">
      <c r="A29" s="112" t="s">
        <v>25</v>
      </c>
      <c r="B29" s="117">
        <f>IF(B16=0,0,B16/TrRail_act!B20*100)</f>
        <v>0</v>
      </c>
      <c r="C29" s="117">
        <f>IF(C16=0,0,C16/TrRail_act!C20*100)</f>
        <v>0</v>
      </c>
      <c r="D29" s="117">
        <f>IF(D16=0,0,D16/TrRail_act!D20*100)</f>
        <v>0</v>
      </c>
      <c r="E29" s="117">
        <f>IF(E16=0,0,E16/TrRail_act!E20*100)</f>
        <v>0</v>
      </c>
      <c r="F29" s="117">
        <f>IF(F16=0,0,F16/TrRail_act!F20*100)</f>
        <v>0</v>
      </c>
      <c r="G29" s="117">
        <f>IF(G16=0,0,G16/TrRail_act!G20*100)</f>
        <v>0</v>
      </c>
      <c r="H29" s="117">
        <f>IF(H16=0,0,H16/TrRail_act!H20*100)</f>
        <v>0</v>
      </c>
      <c r="I29" s="117">
        <f>IF(I16=0,0,I16/TrRail_act!I20*100)</f>
        <v>0</v>
      </c>
      <c r="J29" s="117">
        <f>IF(J16=0,0,J16/TrRail_act!J20*100)</f>
        <v>0</v>
      </c>
      <c r="K29" s="117">
        <f>IF(K16=0,0,K16/TrRail_act!K20*100)</f>
        <v>0</v>
      </c>
      <c r="L29" s="117">
        <f>IF(L16=0,0,L16/TrRail_act!L20*100)</f>
        <v>0</v>
      </c>
      <c r="M29" s="117">
        <f>IF(M16=0,0,M16/TrRail_act!M20*100)</f>
        <v>0</v>
      </c>
      <c r="N29" s="117">
        <f>IF(N16=0,0,N16/TrRail_act!N20*100)</f>
        <v>0</v>
      </c>
      <c r="O29" s="117">
        <f>IF(O16=0,0,O16/TrRail_act!O20*100)</f>
        <v>0</v>
      </c>
      <c r="P29" s="117">
        <f>IF(P16=0,0,P16/TrRail_act!P20*100)</f>
        <v>0</v>
      </c>
      <c r="Q29" s="117">
        <f>IF(Q16=0,0,Q16/TrRail_act!Q20*100)</f>
        <v>202.60831319640508</v>
      </c>
      <c r="R29" s="117">
        <f>IF(R16=0,0,R16/TrRail_act!R20*100)</f>
        <v>200.58650130110246</v>
      </c>
      <c r="S29" s="117">
        <f>IF(S16=0,0,S16/TrRail_act!S20*100)</f>
        <v>199.0833935939927</v>
      </c>
      <c r="T29" s="117">
        <f>IF(T16=0,0,T16/TrRail_act!T20*100)</f>
        <v>197.9634591996905</v>
      </c>
      <c r="U29" s="117">
        <f>IF(U16=0,0,U16/TrRail_act!U20*100)</f>
        <v>197.12764481177035</v>
      </c>
      <c r="V29" s="117">
        <f>IF(V16=0,0,V16/TrRail_act!V20*100)</f>
        <v>196.5031006522639</v>
      </c>
      <c r="W29" s="117">
        <f>IF(W16=0,0,W16/TrRail_act!W20*100)</f>
        <v>196.03599139414109</v>
      </c>
      <c r="X29" s="117">
        <f>IF(X16=0,0,X16/TrRail_act!X20*100)</f>
        <v>195.68638827501846</v>
      </c>
      <c r="Y29" s="117">
        <f>IF(Y16=0,0,Y16/TrRail_act!Y20*100)</f>
        <v>195.42459514797065</v>
      </c>
      <c r="DA29" s="204" t="s">
        <v>1118</v>
      </c>
    </row>
    <row r="30" spans="1:105" ht="11.45" customHeight="1" x14ac:dyDescent="0.25">
      <c r="A30" s="27" t="s">
        <v>34</v>
      </c>
      <c r="B30" s="29">
        <f>IF(B17=0,0,B17/TrRail_act!B21*100)</f>
        <v>274.68936580498678</v>
      </c>
      <c r="C30" s="29">
        <f>IF(C17=0,0,C17/TrRail_act!C21*100)</f>
        <v>272.85474247741593</v>
      </c>
      <c r="D30" s="29">
        <f>IF(D17=0,0,D17/TrRail_act!D21*100)</f>
        <v>269.16015636161035</v>
      </c>
      <c r="E30" s="29">
        <f>IF(E17=0,0,E17/TrRail_act!E21*100)</f>
        <v>265.58540240259276</v>
      </c>
      <c r="F30" s="29">
        <f>IF(F17=0,0,F17/TrRail_act!F21*100)</f>
        <v>257.82040373390214</v>
      </c>
      <c r="G30" s="29">
        <f>IF(G17=0,0,G17/TrRail_act!G21*100)</f>
        <v>250.06108819292194</v>
      </c>
      <c r="H30" s="29">
        <f>IF(H17=0,0,H17/TrRail_act!H21*100)</f>
        <v>245.25362059361115</v>
      </c>
      <c r="I30" s="29">
        <f>IF(I17=0,0,I17/TrRail_act!I21*100)</f>
        <v>230.29159992764724</v>
      </c>
      <c r="J30" s="29">
        <f>IF(J17=0,0,J17/TrRail_act!J21*100)</f>
        <v>226.22569354928203</v>
      </c>
      <c r="K30" s="29">
        <f>IF(K17=0,0,K17/TrRail_act!K21*100)</f>
        <v>228.1160513952627</v>
      </c>
      <c r="L30" s="29">
        <f>IF(L17=0,0,L17/TrRail_act!L21*100)</f>
        <v>232.37411481944582</v>
      </c>
      <c r="M30" s="29">
        <f>IF(M17=0,0,M17/TrRail_act!M21*100)</f>
        <v>229.03378345668239</v>
      </c>
      <c r="N30" s="29">
        <f>IF(N17=0,0,N17/TrRail_act!N21*100)</f>
        <v>226.00381170613852</v>
      </c>
      <c r="O30" s="29">
        <f>IF(O17=0,0,O17/TrRail_act!O21*100)</f>
        <v>220.2292889653597</v>
      </c>
      <c r="P30" s="29">
        <f>IF(P17=0,0,P17/TrRail_act!P21*100)</f>
        <v>211.40367278016799</v>
      </c>
      <c r="Q30" s="29">
        <f>IF(Q17=0,0,Q17/TrRail_act!Q21*100)</f>
        <v>208.69479388672056</v>
      </c>
      <c r="R30" s="29">
        <f>IF(R17=0,0,R17/TrRail_act!R21*100)</f>
        <v>205.02462849348339</v>
      </c>
      <c r="S30" s="29">
        <f>IF(S17=0,0,S17/TrRail_act!S21*100)</f>
        <v>205.34636607149207</v>
      </c>
      <c r="T30" s="29">
        <f>IF(T17=0,0,T17/TrRail_act!T21*100)</f>
        <v>208.70113688710092</v>
      </c>
      <c r="U30" s="29">
        <f>IF(U17=0,0,U17/TrRail_act!U21*100)</f>
        <v>206.27047571621074</v>
      </c>
      <c r="V30" s="29">
        <f>IF(V17=0,0,V17/TrRail_act!V21*100)</f>
        <v>207.80045523891607</v>
      </c>
      <c r="W30" s="29">
        <f>IF(W17=0,0,W17/TrRail_act!W21*100)</f>
        <v>215.10864915469426</v>
      </c>
      <c r="X30" s="29">
        <f>IF(X17=0,0,X17/TrRail_act!X21*100)</f>
        <v>211.00280882653504</v>
      </c>
      <c r="Y30" s="29">
        <f>IF(Y17=0,0,Y17/TrRail_act!Y21*100)</f>
        <v>213.63427658220573</v>
      </c>
      <c r="DA30" s="173" t="s">
        <v>1119</v>
      </c>
    </row>
    <row r="31" spans="1:105" ht="11.45" customHeight="1" x14ac:dyDescent="0.25">
      <c r="A31" s="83" t="s">
        <v>92</v>
      </c>
      <c r="B31" s="87">
        <f>IF(B18=0,0,B18/TrRail_act!B22*100)</f>
        <v>573.22448665971524</v>
      </c>
      <c r="C31" s="87">
        <f>IF(C18=0,0,C18/TrRail_act!C22*100)</f>
        <v>569.4656094890978</v>
      </c>
      <c r="D31" s="87">
        <f>IF(D18=0,0,D18/TrRail_act!D22*100)</f>
        <v>543.15832365154961</v>
      </c>
      <c r="E31" s="87">
        <f>IF(E18=0,0,E18/TrRail_act!E22*100)</f>
        <v>507.71405715730077</v>
      </c>
      <c r="F31" s="87">
        <f>IF(F18=0,0,F18/TrRail_act!F22*100)</f>
        <v>477.21575908683366</v>
      </c>
      <c r="G31" s="87">
        <f>IF(G18=0,0,G18/TrRail_act!G22*100)</f>
        <v>459.60349784142284</v>
      </c>
      <c r="H31" s="87">
        <f>IF(H18=0,0,H18/TrRail_act!H22*100)</f>
        <v>431.50454214645902</v>
      </c>
      <c r="I31" s="87">
        <f>IF(I18=0,0,I18/TrRail_act!I22*100)</f>
        <v>421.09339731726141</v>
      </c>
      <c r="J31" s="87">
        <f>IF(J18=0,0,J18/TrRail_act!J22*100)</f>
        <v>410.65185774169385</v>
      </c>
      <c r="K31" s="87">
        <f>IF(K18=0,0,K18/TrRail_act!K22*100)</f>
        <v>403.04333532066516</v>
      </c>
      <c r="L31" s="87">
        <f>IF(L18=0,0,L18/TrRail_act!L22*100)</f>
        <v>395.58399120945762</v>
      </c>
      <c r="M31" s="87">
        <f>IF(M18=0,0,M18/TrRail_act!M22*100)</f>
        <v>392.49476297320047</v>
      </c>
      <c r="N31" s="87">
        <f>IF(N18=0,0,N18/TrRail_act!N22*100)</f>
        <v>383.32490055863184</v>
      </c>
      <c r="O31" s="87">
        <f>IF(O18=0,0,O18/TrRail_act!O22*100)</f>
        <v>378.67881369544813</v>
      </c>
      <c r="P31" s="87">
        <f>IF(P18=0,0,P18/TrRail_act!P22*100)</f>
        <v>372.86445464358218</v>
      </c>
      <c r="Q31" s="87">
        <f>IF(Q18=0,0,Q18/TrRail_act!Q22*100)</f>
        <v>367.91867437332729</v>
      </c>
      <c r="R31" s="87">
        <f>IF(R18=0,0,R18/TrRail_act!R22*100)</f>
        <v>366.07370061675408</v>
      </c>
      <c r="S31" s="87">
        <f>IF(S18=0,0,S18/TrRail_act!S22*100)</f>
        <v>364.69604436667191</v>
      </c>
      <c r="T31" s="87">
        <f>IF(T18=0,0,T18/TrRail_act!T22*100)</f>
        <v>363.66620562506904</v>
      </c>
      <c r="U31" s="87">
        <f>IF(U18=0,0,U18/TrRail_act!U22*100)</f>
        <v>362.89573545046278</v>
      </c>
      <c r="V31" s="87">
        <f>IF(V18=0,0,V18/TrRail_act!V22*100)</f>
        <v>362.31895422718446</v>
      </c>
      <c r="W31" s="87">
        <f>IF(W18=0,0,W18/TrRail_act!W22*100)</f>
        <v>361.88696999201363</v>
      </c>
      <c r="X31" s="87">
        <f>IF(X18=0,0,X18/TrRail_act!X22*100)</f>
        <v>361.56331984717559</v>
      </c>
      <c r="Y31" s="87">
        <f>IF(Y18=0,0,Y18/TrRail_act!Y22*100)</f>
        <v>361.32077220650757</v>
      </c>
      <c r="DA31" s="171" t="s">
        <v>1120</v>
      </c>
    </row>
    <row r="32" spans="1:105" ht="11.45" customHeight="1" x14ac:dyDescent="0.25">
      <c r="A32" s="85" t="s">
        <v>93</v>
      </c>
      <c r="B32" s="88">
        <f>IF(B19=0,0,B19/TrRail_act!B23*100)</f>
        <v>231.72080041631378</v>
      </c>
      <c r="C32" s="88">
        <f>IF(C19=0,0,C19/TrRail_act!C23*100)</f>
        <v>228.71886510487832</v>
      </c>
      <c r="D32" s="88">
        <f>IF(D19=0,0,D19/TrRail_act!D23*100)</f>
        <v>224.84870233112031</v>
      </c>
      <c r="E32" s="88">
        <f>IF(E19=0,0,E19/TrRail_act!E23*100)</f>
        <v>223.68530292435307</v>
      </c>
      <c r="F32" s="88">
        <f>IF(F19=0,0,F19/TrRail_act!F23*100)</f>
        <v>203.26795715867001</v>
      </c>
      <c r="G32" s="88">
        <f>IF(G19=0,0,G19/TrRail_act!G23*100)</f>
        <v>198.65686106288126</v>
      </c>
      <c r="H32" s="88">
        <f>IF(H19=0,0,H19/TrRail_act!H23*100)</f>
        <v>181.32100178006803</v>
      </c>
      <c r="I32" s="88">
        <f>IF(I19=0,0,I19/TrRail_act!I23*100)</f>
        <v>180.19768746023809</v>
      </c>
      <c r="J32" s="88">
        <f>IF(J19=0,0,J19/TrRail_act!J23*100)</f>
        <v>175.96301774284316</v>
      </c>
      <c r="K32" s="88">
        <f>IF(K19=0,0,K19/TrRail_act!K23*100)</f>
        <v>174.34858749047743</v>
      </c>
      <c r="L32" s="88">
        <f>IF(L19=0,0,L19/TrRail_act!L23*100)</f>
        <v>171.8852748141845</v>
      </c>
      <c r="M32" s="88">
        <f>IF(M19=0,0,M19/TrRail_act!M23*100)</f>
        <v>169.78276231773833</v>
      </c>
      <c r="N32" s="88">
        <f>IF(N19=0,0,N19/TrRail_act!N23*100)</f>
        <v>168.59768169403534</v>
      </c>
      <c r="O32" s="88">
        <f>IF(O19=0,0,O19/TrRail_act!O23*100)</f>
        <v>166.53977767655849</v>
      </c>
      <c r="P32" s="88">
        <f>IF(P19=0,0,P19/TrRail_act!P23*100)</f>
        <v>160.26445011592446</v>
      </c>
      <c r="Q32" s="88">
        <f>IF(Q19=0,0,Q19/TrRail_act!Q23*100)</f>
        <v>156.29216771223767</v>
      </c>
      <c r="R32" s="88">
        <f>IF(R19=0,0,R19/TrRail_act!R23*100)</f>
        <v>154.14459079710878</v>
      </c>
      <c r="S32" s="88">
        <f>IF(S19=0,0,S19/TrRail_act!S23*100)</f>
        <v>152.55329591888358</v>
      </c>
      <c r="T32" s="88">
        <f>IF(T19=0,0,T19/TrRail_act!T23*100)</f>
        <v>151.37061465034404</v>
      </c>
      <c r="U32" s="88">
        <f>IF(U19=0,0,U19/TrRail_act!U23*100)</f>
        <v>150.48962463928791</v>
      </c>
      <c r="V32" s="88">
        <f>IF(V19=0,0,V19/TrRail_act!V23*100)</f>
        <v>149.83224864696837</v>
      </c>
      <c r="W32" s="88">
        <f>IF(W19=0,0,W19/TrRail_act!W23*100)</f>
        <v>149.34110181489751</v>
      </c>
      <c r="X32" s="88">
        <f>IF(X19=0,0,X19/TrRail_act!X23*100)</f>
        <v>148.97379852162297</v>
      </c>
      <c r="Y32" s="88">
        <f>IF(Y19=0,0,Y19/TrRail_act!Y23*100)</f>
        <v>148.69891401614973</v>
      </c>
      <c r="DA32" s="178" t="s">
        <v>1121</v>
      </c>
    </row>
    <row r="33" spans="1:105" x14ac:dyDescent="0.25">
      <c r="A33" s="106"/>
      <c r="B33" s="106"/>
      <c r="C33" s="106"/>
      <c r="D33" s="106"/>
      <c r="E33" s="106"/>
      <c r="F33" s="106"/>
      <c r="G33" s="106"/>
      <c r="H33" s="106"/>
      <c r="I33" s="106"/>
      <c r="J33" s="106"/>
      <c r="K33" s="106"/>
      <c r="L33" s="106"/>
      <c r="M33" s="106"/>
      <c r="N33" s="106"/>
      <c r="O33" s="106"/>
      <c r="P33" s="106"/>
      <c r="Q33" s="106"/>
      <c r="R33" s="106"/>
      <c r="S33" s="106"/>
      <c r="T33" s="106"/>
      <c r="U33" s="106"/>
      <c r="V33" s="106"/>
      <c r="W33" s="106"/>
      <c r="X33" s="106"/>
      <c r="Y33" s="106"/>
      <c r="DA33" s="171"/>
    </row>
    <row r="34" spans="1:105" ht="11.45" customHeight="1" x14ac:dyDescent="0.25">
      <c r="A34" s="53" t="s">
        <v>74</v>
      </c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DA34" s="172"/>
    </row>
    <row r="35" spans="1:105" ht="11.45" customHeight="1" x14ac:dyDescent="0.25">
      <c r="A35" s="27" t="s">
        <v>155</v>
      </c>
      <c r="B35" s="29">
        <f>IF(B11=0,0,B11/TrRail_act!B4*1000)</f>
        <v>10.270252785302171</v>
      </c>
      <c r="C35" s="29">
        <f>IF(C11=0,0,C11/TrRail_act!C4*1000)</f>
        <v>11.550092113796319</v>
      </c>
      <c r="D35" s="29">
        <f>IF(D11=0,0,D11/TrRail_act!D4*1000)</f>
        <v>12.616539505894471</v>
      </c>
      <c r="E35" s="29">
        <f>IF(E11=0,0,E11/TrRail_act!E4*1000)</f>
        <v>13.495410707935957</v>
      </c>
      <c r="F35" s="29">
        <f>IF(F11=0,0,F11/TrRail_act!F4*1000)</f>
        <v>12.107716455578284</v>
      </c>
      <c r="G35" s="29">
        <f>IF(G11=0,0,G11/TrRail_act!G4*1000)</f>
        <v>12.031468136664103</v>
      </c>
      <c r="H35" s="29">
        <f>IF(H11=0,0,H11/TrRail_act!H4*1000)</f>
        <v>9.1360478768892115</v>
      </c>
      <c r="I35" s="29">
        <f>IF(I11=0,0,I11/TrRail_act!I4*1000)</f>
        <v>9.5454501505320604</v>
      </c>
      <c r="J35" s="29">
        <f>IF(J11=0,0,J11/TrRail_act!J4*1000)</f>
        <v>8.7784368262129338</v>
      </c>
      <c r="K35" s="29">
        <f>IF(K11=0,0,K11/TrRail_act!K4*1000)</f>
        <v>9.5507794227853022</v>
      </c>
      <c r="L35" s="29">
        <f>IF(L11=0,0,L11/TrRail_act!L4*1000)</f>
        <v>8.9810497790647172</v>
      </c>
      <c r="M35" s="29">
        <f>IF(M11=0,0,M11/TrRail_act!M4*1000)</f>
        <v>8.5425982882351281</v>
      </c>
      <c r="N35" s="29">
        <f>IF(N11=0,0,N11/TrRail_act!N4*1000)</f>
        <v>8.9597449054789724</v>
      </c>
      <c r="O35" s="29">
        <f>IF(O11=0,0,O11/TrRail_act!O4*1000)</f>
        <v>9.2940736650306555</v>
      </c>
      <c r="P35" s="29">
        <f>IF(P11=0,0,P11/TrRail_act!P4*1000)</f>
        <v>9.0319036736947069</v>
      </c>
      <c r="Q35" s="29">
        <f>IF(Q11=0,0,Q11/TrRail_act!Q4*1000)</f>
        <v>8.6845325087034126</v>
      </c>
      <c r="R35" s="29">
        <f>IF(R11=0,0,R11/TrRail_act!R4*1000)</f>
        <v>8.779971491109368</v>
      </c>
      <c r="S35" s="29">
        <f>IF(S11=0,0,S11/TrRail_act!S4*1000)</f>
        <v>8.5403775678723211</v>
      </c>
      <c r="T35" s="29">
        <f>IF(T11=0,0,T11/TrRail_act!T4*1000)</f>
        <v>8.9371885155276356</v>
      </c>
      <c r="U35" s="29">
        <f>IF(U11=0,0,U11/TrRail_act!U4*1000)</f>
        <v>8.2285409772225151</v>
      </c>
      <c r="V35" s="29">
        <f>IF(V11=0,0,V11/TrRail_act!V4*1000)</f>
        <v>13.25813629006084</v>
      </c>
      <c r="W35" s="29">
        <f>IF(W11=0,0,W11/TrRail_act!W4*1000)</f>
        <v>11.888221258361181</v>
      </c>
      <c r="X35" s="29">
        <f>IF(X11=0,0,X11/TrRail_act!X4*1000)</f>
        <v>8.7542509651455394</v>
      </c>
      <c r="Y35" s="29">
        <f>IF(Y11=0,0,Y11/TrRail_act!Y4*1000)</f>
        <v>8.0696705110113047</v>
      </c>
      <c r="DA35" s="173" t="s">
        <v>420</v>
      </c>
    </row>
    <row r="36" spans="1:105" ht="11.45" customHeight="1" x14ac:dyDescent="0.25">
      <c r="A36" s="107" t="s">
        <v>23</v>
      </c>
      <c r="B36" s="115">
        <f>IF(B12=0,0,B12/TrRail_act!B5*1000)</f>
        <v>5.5614233575971523</v>
      </c>
      <c r="C36" s="115">
        <f>IF(C12=0,0,C12/TrRail_act!C5*1000)</f>
        <v>5.5306770729125887</v>
      </c>
      <c r="D36" s="115">
        <f>IF(D12=0,0,D12/TrRail_act!D5*1000)</f>
        <v>5.5607701951969224</v>
      </c>
      <c r="E36" s="115">
        <f>IF(E12=0,0,E12/TrRail_act!E5*1000)</f>
        <v>5.5023993301073588</v>
      </c>
      <c r="F36" s="115">
        <f>IF(F12=0,0,F12/TrRail_act!F5*1000)</f>
        <v>5.2590560509998285</v>
      </c>
      <c r="G36" s="115">
        <f>IF(G12=0,0,G12/TrRail_act!G5*1000)</f>
        <v>5.0567072306068468</v>
      </c>
      <c r="H36" s="115">
        <f>IF(H12=0,0,H12/TrRail_act!H5*1000)</f>
        <v>4.9626455900895552</v>
      </c>
      <c r="I36" s="115">
        <f>IF(I12=0,0,I12/TrRail_act!I5*1000)</f>
        <v>4.7691120779783107</v>
      </c>
      <c r="J36" s="115">
        <f>IF(J12=0,0,J12/TrRail_act!J5*1000)</f>
        <v>4.7284059047661628</v>
      </c>
      <c r="K36" s="115">
        <f>IF(K12=0,0,K12/TrRail_act!K5*1000)</f>
        <v>4.7635096345345724</v>
      </c>
      <c r="L36" s="115">
        <f>IF(L12=0,0,L12/TrRail_act!L5*1000)</f>
        <v>4.7798173878073591</v>
      </c>
      <c r="M36" s="115">
        <f>IF(M12=0,0,M12/TrRail_act!M5*1000)</f>
        <v>4.6686595981843455</v>
      </c>
      <c r="N36" s="115">
        <f>IF(N12=0,0,N12/TrRail_act!N5*1000)</f>
        <v>4.7220358470082227</v>
      </c>
      <c r="O36" s="115">
        <f>IF(O12=0,0,O12/TrRail_act!O5*1000)</f>
        <v>4.6971501446233237</v>
      </c>
      <c r="P36" s="115">
        <f>IF(P12=0,0,P12/TrRail_act!P5*1000)</f>
        <v>4.5957905382727713</v>
      </c>
      <c r="Q36" s="115">
        <f>IF(Q12=0,0,Q12/TrRail_act!Q5*1000)</f>
        <v>4.5001205484925748</v>
      </c>
      <c r="R36" s="115">
        <f>IF(R12=0,0,R12/TrRail_act!R5*1000)</f>
        <v>4.4573263429290044</v>
      </c>
      <c r="S36" s="115">
        <f>IF(S12=0,0,S12/TrRail_act!S5*1000)</f>
        <v>4.375480071082686</v>
      </c>
      <c r="T36" s="115">
        <f>IF(T12=0,0,T12/TrRail_act!T5*1000)</f>
        <v>4.3265352299694779</v>
      </c>
      <c r="U36" s="115">
        <f>IF(U12=0,0,U12/TrRail_act!U5*1000)</f>
        <v>4.2836288452615392</v>
      </c>
      <c r="V36" s="115">
        <f>IF(V12=0,0,V12/TrRail_act!V5*1000)</f>
        <v>7.0314226735373007</v>
      </c>
      <c r="W36" s="115">
        <f>IF(W12=0,0,W12/TrRail_act!W5*1000)</f>
        <v>6.1467008831267016</v>
      </c>
      <c r="X36" s="115">
        <f>IF(X12=0,0,X12/TrRail_act!X5*1000)</f>
        <v>4.2810337653394095</v>
      </c>
      <c r="Y36" s="115">
        <f>IF(Y12=0,0,Y12/TrRail_act!Y5*1000)</f>
        <v>4.0645770532499625</v>
      </c>
      <c r="DA36" s="203" t="s">
        <v>421</v>
      </c>
    </row>
    <row r="37" spans="1:105" ht="11.45" customHeight="1" x14ac:dyDescent="0.25">
      <c r="A37" s="109" t="s">
        <v>24</v>
      </c>
      <c r="B37" s="116">
        <f>IF(B13=0,0,B13/TrRail_act!B6*1000)</f>
        <v>11.188877154811287</v>
      </c>
      <c r="C37" s="116">
        <f>IF(C13=0,0,C13/TrRail_act!C6*1000)</f>
        <v>12.795820893008093</v>
      </c>
      <c r="D37" s="116">
        <f>IF(D13=0,0,D13/TrRail_act!D6*1000)</f>
        <v>14.187586506493181</v>
      </c>
      <c r="E37" s="116">
        <f>IF(E13=0,0,E13/TrRail_act!E6*1000)</f>
        <v>15.32698985042647</v>
      </c>
      <c r="F37" s="116">
        <f>IF(F13=0,0,F13/TrRail_act!F6*1000)</f>
        <v>13.756671609168603</v>
      </c>
      <c r="G37" s="116">
        <f>IF(G13=0,0,G13/TrRail_act!G6*1000)</f>
        <v>13.721667397921573</v>
      </c>
      <c r="H37" s="116">
        <f>IF(H13=0,0,H13/TrRail_act!H6*1000)</f>
        <v>10.137106532358082</v>
      </c>
      <c r="I37" s="116">
        <f>IF(I13=0,0,I13/TrRail_act!I6*1000)</f>
        <v>10.65180772814157</v>
      </c>
      <c r="J37" s="116">
        <f>IF(J13=0,0,J13/TrRail_act!J6*1000)</f>
        <v>9.7009494401597092</v>
      </c>
      <c r="K37" s="116">
        <f>IF(K13=0,0,K13/TrRail_act!K6*1000)</f>
        <v>10.660454020909633</v>
      </c>
      <c r="L37" s="116">
        <f>IF(L13=0,0,L13/TrRail_act!L6*1000)</f>
        <v>9.9984789726396812</v>
      </c>
      <c r="M37" s="116">
        <f>IF(M13=0,0,M13/TrRail_act!M6*1000)</f>
        <v>9.4811312322711245</v>
      </c>
      <c r="N37" s="116">
        <f>IF(N13=0,0,N13/TrRail_act!N6*1000)</f>
        <v>10.003897115732848</v>
      </c>
      <c r="O37" s="116">
        <f>IF(O13=0,0,O13/TrRail_act!O6*1000)</f>
        <v>10.416186309031875</v>
      </c>
      <c r="P37" s="116">
        <f>IF(P13=0,0,P13/TrRail_act!P6*1000)</f>
        <v>10.205596706728272</v>
      </c>
      <c r="Q37" s="116">
        <f>IF(Q13=0,0,Q13/TrRail_act!Q6*1000)</f>
        <v>9.788369657135183</v>
      </c>
      <c r="R37" s="116">
        <f>IF(R13=0,0,R13/TrRail_act!R6*1000)</f>
        <v>10.043667108885172</v>
      </c>
      <c r="S37" s="116">
        <f>IF(S13=0,0,S13/TrRail_act!S6*1000)</f>
        <v>9.6959276501070732</v>
      </c>
      <c r="T37" s="116">
        <f>IF(T13=0,0,T13/TrRail_act!T6*1000)</f>
        <v>10.233933324212408</v>
      </c>
      <c r="U37" s="116">
        <f>IF(U13=0,0,U13/TrRail_act!U6*1000)</f>
        <v>9.3104433216104514</v>
      </c>
      <c r="V37" s="116">
        <f>IF(V13=0,0,V13/TrRail_act!V6*1000)</f>
        <v>14.751830395850751</v>
      </c>
      <c r="W37" s="116">
        <f>IF(W13=0,0,W13/TrRail_act!W6*1000)</f>
        <v>13.308965487017977</v>
      </c>
      <c r="X37" s="116">
        <f>IF(X13=0,0,X13/TrRail_act!X6*1000)</f>
        <v>9.6975673445176831</v>
      </c>
      <c r="Y37" s="116">
        <f>IF(Y13=0,0,Y13/TrRail_act!Y6*1000)</f>
        <v>8.9523577546993245</v>
      </c>
      <c r="DA37" s="176" t="s">
        <v>422</v>
      </c>
    </row>
    <row r="38" spans="1:105" ht="11.45" customHeight="1" x14ac:dyDescent="0.25">
      <c r="A38" s="111" t="s">
        <v>92</v>
      </c>
      <c r="B38" s="87">
        <f>IF(B14=0,0,B14/TrRail_act!B7*1000)</f>
        <v>22.495053539990028</v>
      </c>
      <c r="C38" s="87">
        <f>IF(C14=0,0,C14/TrRail_act!C7*1000)</f>
        <v>21.819500897728535</v>
      </c>
      <c r="D38" s="87">
        <f>IF(D14=0,0,D14/TrRail_act!D7*1000)</f>
        <v>22.954591381366413</v>
      </c>
      <c r="E38" s="87">
        <f>IF(E14=0,0,E14/TrRail_act!E7*1000)</f>
        <v>23.839192764953648</v>
      </c>
      <c r="F38" s="87">
        <f>IF(F14=0,0,F14/TrRail_act!F7*1000)</f>
        <v>22.485353660912459</v>
      </c>
      <c r="G38" s="87">
        <f>IF(G14=0,0,G14/TrRail_act!G7*1000)</f>
        <v>21.425548844697026</v>
      </c>
      <c r="H38" s="87">
        <f>IF(H14=0,0,H14/TrRail_act!H7*1000)</f>
        <v>18.63180634287961</v>
      </c>
      <c r="I38" s="87">
        <f>IF(I14=0,0,I14/TrRail_act!I7*1000)</f>
        <v>17.219103230696632</v>
      </c>
      <c r="J38" s="87">
        <f>IF(J14=0,0,J14/TrRail_act!J7*1000)</f>
        <v>17.311369989579145</v>
      </c>
      <c r="K38" s="87">
        <f>IF(K14=0,0,K14/TrRail_act!K7*1000)</f>
        <v>17.113617163589502</v>
      </c>
      <c r="L38" s="87">
        <f>IF(L14=0,0,L14/TrRail_act!L7*1000)</f>
        <v>16.609994966744591</v>
      </c>
      <c r="M38" s="87">
        <f>IF(M14=0,0,M14/TrRail_act!M7*1000)</f>
        <v>15.678774990267211</v>
      </c>
      <c r="N38" s="87">
        <f>IF(N14=0,0,N14/TrRail_act!N7*1000)</f>
        <v>16.63876100266998</v>
      </c>
      <c r="O38" s="87">
        <f>IF(O14=0,0,O14/TrRail_act!O7*1000)</f>
        <v>16.156241828421901</v>
      </c>
      <c r="P38" s="87">
        <f>IF(P14=0,0,P14/TrRail_act!P7*1000)</f>
        <v>15.120894467464332</v>
      </c>
      <c r="Q38" s="87">
        <f>IF(Q14=0,0,Q14/TrRail_act!Q7*1000)</f>
        <v>11.895099449308438</v>
      </c>
      <c r="R38" s="87">
        <f>IF(R14=0,0,R14/TrRail_act!R7*1000)</f>
        <v>11.045722511915953</v>
      </c>
      <c r="S38" s="87">
        <f>IF(S14=0,0,S14/TrRail_act!S7*1000)</f>
        <v>12.243131766562488</v>
      </c>
      <c r="T38" s="87">
        <f>IF(T14=0,0,T14/TrRail_act!T7*1000)</f>
        <v>15.020834231197821</v>
      </c>
      <c r="U38" s="87">
        <f>IF(U14=0,0,U14/TrRail_act!U7*1000)</f>
        <v>11.291368436227557</v>
      </c>
      <c r="V38" s="87">
        <f>IF(V14=0,0,V14/TrRail_act!V7*1000)</f>
        <v>16.040469440986623</v>
      </c>
      <c r="W38" s="87">
        <f>IF(W14=0,0,W14/TrRail_act!W7*1000)</f>
        <v>12.5758015593017</v>
      </c>
      <c r="X38" s="87">
        <f>IF(X14=0,0,X14/TrRail_act!X7*1000)</f>
        <v>12.529603060353864</v>
      </c>
      <c r="Y38" s="87">
        <f>IF(Y14=0,0,Y14/TrRail_act!Y7*1000)</f>
        <v>9.0581728663830603</v>
      </c>
      <c r="DA38" s="171" t="s">
        <v>1122</v>
      </c>
    </row>
    <row r="39" spans="1:105" ht="11.45" customHeight="1" x14ac:dyDescent="0.25">
      <c r="A39" s="111" t="s">
        <v>93</v>
      </c>
      <c r="B39" s="87">
        <f>IF(B15=0,0,B15/TrRail_act!B8*1000)</f>
        <v>8.4615509128070769</v>
      </c>
      <c r="C39" s="87">
        <f>IF(C15=0,0,C15/TrRail_act!C8*1000)</f>
        <v>10.302276787046226</v>
      </c>
      <c r="D39" s="87">
        <f>IF(D15=0,0,D15/TrRail_act!D8*1000)</f>
        <v>11.881620674949547</v>
      </c>
      <c r="E39" s="87">
        <f>IF(E15=0,0,E15/TrRail_act!E8*1000)</f>
        <v>12.875809242806183</v>
      </c>
      <c r="F39" s="87">
        <f>IF(F15=0,0,F15/TrRail_act!F8*1000)</f>
        <v>11.541787978024841</v>
      </c>
      <c r="G39" s="87">
        <f>IF(G15=0,0,G15/TrRail_act!G8*1000)</f>
        <v>11.359394540007774</v>
      </c>
      <c r="H39" s="87">
        <f>IF(H15=0,0,H15/TrRail_act!H8*1000)</f>
        <v>8.4776782579334604</v>
      </c>
      <c r="I39" s="87">
        <f>IF(I15=0,0,I15/TrRail_act!I8*1000)</f>
        <v>8.8565874157200444</v>
      </c>
      <c r="J39" s="87">
        <f>IF(J15=0,0,J15/TrRail_act!J8*1000)</f>
        <v>8.2104128292513057</v>
      </c>
      <c r="K39" s="87">
        <f>IF(K15=0,0,K15/TrRail_act!K8*1000)</f>
        <v>9.1184518610987695</v>
      </c>
      <c r="L39" s="87">
        <f>IF(L15=0,0,L15/TrRail_act!L8*1000)</f>
        <v>9.0696517221386106</v>
      </c>
      <c r="M39" s="87">
        <f>IF(M15=0,0,M15/TrRail_act!M8*1000)</f>
        <v>8.568546383260065</v>
      </c>
      <c r="N39" s="87">
        <f>IF(N15=0,0,N15/TrRail_act!N8*1000)</f>
        <v>9.0061595814415814</v>
      </c>
      <c r="O39" s="87">
        <f>IF(O15=0,0,O15/TrRail_act!O8*1000)</f>
        <v>9.5496265640528648</v>
      </c>
      <c r="P39" s="87">
        <f>IF(P15=0,0,P15/TrRail_act!P8*1000)</f>
        <v>9.4544156973889333</v>
      </c>
      <c r="Q39" s="87">
        <f>IF(Q15=0,0,Q15/TrRail_act!Q8*1000)</f>
        <v>9.4991120850767832</v>
      </c>
      <c r="R39" s="87">
        <f>IF(R15=0,0,R15/TrRail_act!R8*1000)</f>
        <v>9.8795135856097485</v>
      </c>
      <c r="S39" s="87">
        <f>IF(S15=0,0,S15/TrRail_act!S8*1000)</f>
        <v>9.3915129525447032</v>
      </c>
      <c r="T39" s="87">
        <f>IF(T15=0,0,T15/TrRail_act!T8*1000)</f>
        <v>9.6407913524438733</v>
      </c>
      <c r="U39" s="87">
        <f>IF(U15=0,0,U15/TrRail_act!U8*1000)</f>
        <v>9.0994647853038195</v>
      </c>
      <c r="V39" s="87">
        <f>IF(V15=0,0,V15/TrRail_act!V8*1000)</f>
        <v>14.590939059146253</v>
      </c>
      <c r="W39" s="87">
        <f>IF(W15=0,0,W15/TrRail_act!W8*1000)</f>
        <v>13.375185246643115</v>
      </c>
      <c r="X39" s="87">
        <f>IF(X15=0,0,X15/TrRail_act!X8*1000)</f>
        <v>9.4377848227578998</v>
      </c>
      <c r="Y39" s="87">
        <f>IF(Y15=0,0,Y15/TrRail_act!Y8*1000)</f>
        <v>8.9432536483795122</v>
      </c>
      <c r="DA39" s="171" t="s">
        <v>1123</v>
      </c>
    </row>
    <row r="40" spans="1:105" ht="11.45" customHeight="1" x14ac:dyDescent="0.25">
      <c r="A40" s="112" t="s">
        <v>25</v>
      </c>
      <c r="B40" s="117">
        <f>IF(B16=0,0,B16/TrRail_act!B9*1000)</f>
        <v>0</v>
      </c>
      <c r="C40" s="117">
        <f>IF(C16=0,0,C16/TrRail_act!C9*1000)</f>
        <v>0</v>
      </c>
      <c r="D40" s="117">
        <f>IF(D16=0,0,D16/TrRail_act!D9*1000)</f>
        <v>0</v>
      </c>
      <c r="E40" s="117">
        <f>IF(E16=0,0,E16/TrRail_act!E9*1000)</f>
        <v>0</v>
      </c>
      <c r="F40" s="117">
        <f>IF(F16=0,0,F16/TrRail_act!F9*1000)</f>
        <v>0</v>
      </c>
      <c r="G40" s="117">
        <f>IF(G16=0,0,G16/TrRail_act!G9*1000)</f>
        <v>0</v>
      </c>
      <c r="H40" s="117">
        <f>IF(H16=0,0,H16/TrRail_act!H9*1000)</f>
        <v>0</v>
      </c>
      <c r="I40" s="117">
        <f>IF(I16=0,0,I16/TrRail_act!I9*1000)</f>
        <v>0</v>
      </c>
      <c r="J40" s="117">
        <f>IF(J16=0,0,J16/TrRail_act!J9*1000)</f>
        <v>0</v>
      </c>
      <c r="K40" s="117">
        <f>IF(K16=0,0,K16/TrRail_act!K9*1000)</f>
        <v>0</v>
      </c>
      <c r="L40" s="117">
        <f>IF(L16=0,0,L16/TrRail_act!L9*1000)</f>
        <v>0</v>
      </c>
      <c r="M40" s="117">
        <f>IF(M16=0,0,M16/TrRail_act!M9*1000)</f>
        <v>0</v>
      </c>
      <c r="N40" s="117">
        <f>IF(N16=0,0,N16/TrRail_act!N9*1000)</f>
        <v>0</v>
      </c>
      <c r="O40" s="117">
        <f>IF(O16=0,0,O16/TrRail_act!O9*1000)</f>
        <v>0</v>
      </c>
      <c r="P40" s="117">
        <f>IF(P16=0,0,P16/TrRail_act!P9*1000)</f>
        <v>0</v>
      </c>
      <c r="Q40" s="117">
        <f>IF(Q16=0,0,Q16/TrRail_act!Q9*1000)</f>
        <v>6.5539942325748495</v>
      </c>
      <c r="R40" s="117">
        <f>IF(R16=0,0,R16/TrRail_act!R9*1000)</f>
        <v>6.2243632434015073</v>
      </c>
      <c r="S40" s="117">
        <f>IF(S16=0,0,S16/TrRail_act!S9*1000)</f>
        <v>5.8605339880418112</v>
      </c>
      <c r="T40" s="117">
        <f>IF(T16=0,0,T16/TrRail_act!T9*1000)</f>
        <v>5.5755002906796678</v>
      </c>
      <c r="U40" s="117">
        <f>IF(U16=0,0,U16/TrRail_act!U9*1000)</f>
        <v>5.5106337401869094</v>
      </c>
      <c r="V40" s="117">
        <f>IF(V16=0,0,V16/TrRail_act!V9*1000)</f>
        <v>11.452333545026724</v>
      </c>
      <c r="W40" s="117">
        <f>IF(W16=0,0,W16/TrRail_act!W9*1000)</f>
        <v>7.8752582704966247</v>
      </c>
      <c r="X40" s="117">
        <f>IF(X16=0,0,X16/TrRail_act!X9*1000)</f>
        <v>6.0905368966026288</v>
      </c>
      <c r="Y40" s="117">
        <f>IF(Y16=0,0,Y16/TrRail_act!Y9*1000)</f>
        <v>5.2043927542314101</v>
      </c>
      <c r="DA40" s="204" t="s">
        <v>423</v>
      </c>
    </row>
    <row r="41" spans="1:105" ht="11.45" customHeight="1" x14ac:dyDescent="0.25">
      <c r="A41" s="27" t="s">
        <v>156</v>
      </c>
      <c r="B41" s="29">
        <f>IF(B17=0,0,B17/TrRail_act!B10*1000)</f>
        <v>4.523468990476248</v>
      </c>
      <c r="C41" s="29">
        <f>IF(C17=0,0,C17/TrRail_act!C10*1000)</f>
        <v>4.591657508258816</v>
      </c>
      <c r="D41" s="29">
        <f>IF(D17=0,0,D17/TrRail_act!D10*1000)</f>
        <v>4.4267224358120387</v>
      </c>
      <c r="E41" s="29">
        <f>IF(E17=0,0,E17/TrRail_act!E10*1000)</f>
        <v>4.5390179575000635</v>
      </c>
      <c r="F41" s="29">
        <f>IF(F17=0,0,F17/TrRail_act!F10*1000)</f>
        <v>4.1628662799786218</v>
      </c>
      <c r="G41" s="29">
        <f>IF(G17=0,0,G17/TrRail_act!G10*1000)</f>
        <v>3.9229393994531097</v>
      </c>
      <c r="H41" s="29">
        <f>IF(H17=0,0,H17/TrRail_act!H10*1000)</f>
        <v>3.833929716764346</v>
      </c>
      <c r="I41" s="29">
        <f>IF(I17=0,0,I17/TrRail_act!I10*1000)</f>
        <v>3.5608694812275967</v>
      </c>
      <c r="J41" s="29">
        <f>IF(J17=0,0,J17/TrRail_act!J10*1000)</f>
        <v>3.515273248790955</v>
      </c>
      <c r="K41" s="29">
        <f>IF(K17=0,0,K17/TrRail_act!K10*1000)</f>
        <v>3.4682197413313611</v>
      </c>
      <c r="L41" s="29">
        <f>IF(L17=0,0,L17/TrRail_act!L10*1000)</f>
        <v>3.4848054828089405</v>
      </c>
      <c r="M41" s="29">
        <f>IF(M17=0,0,M17/TrRail_act!M10*1000)</f>
        <v>3.3609103863698602</v>
      </c>
      <c r="N41" s="29">
        <f>IF(N17=0,0,N17/TrRail_act!N10*1000)</f>
        <v>3.2418750056107832</v>
      </c>
      <c r="O41" s="29">
        <f>IF(O17=0,0,O17/TrRail_act!O10*1000)</f>
        <v>3.0164533168682537</v>
      </c>
      <c r="P41" s="29">
        <f>IF(P17=0,0,P17/TrRail_act!P10*1000)</f>
        <v>2.8216069636619499</v>
      </c>
      <c r="Q41" s="29">
        <f>IF(Q17=0,0,Q17/TrRail_act!Q10*1000)</f>
        <v>2.7137769431967156</v>
      </c>
      <c r="R41" s="29">
        <f>IF(R17=0,0,R17/TrRail_act!R10*1000)</f>
        <v>2.608520229862163</v>
      </c>
      <c r="S41" s="29">
        <f>IF(S17=0,0,S17/TrRail_act!S10*1000)</f>
        <v>2.5459085914015112</v>
      </c>
      <c r="T41" s="29">
        <f>IF(T17=0,0,T17/TrRail_act!T10*1000)</f>
        <v>2.5628011909722099</v>
      </c>
      <c r="U41" s="29">
        <f>IF(U17=0,0,U17/TrRail_act!U10*1000)</f>
        <v>2.5465074139328228</v>
      </c>
      <c r="V41" s="29">
        <f>IF(V17=0,0,V17/TrRail_act!V10*1000)</f>
        <v>2.561347091860152</v>
      </c>
      <c r="W41" s="29">
        <f>IF(W17=0,0,W17/TrRail_act!W10*1000)</f>
        <v>2.642664114230147</v>
      </c>
      <c r="X41" s="29">
        <f>IF(X17=0,0,X17/TrRail_act!X10*1000)</f>
        <v>2.2465804783445833</v>
      </c>
      <c r="Y41" s="29">
        <f>IF(Y17=0,0,Y17/TrRail_act!Y10*1000)</f>
        <v>2.0728057591340106</v>
      </c>
      <c r="DA41" s="173" t="s">
        <v>428</v>
      </c>
    </row>
    <row r="42" spans="1:105" ht="11.45" customHeight="1" x14ac:dyDescent="0.25">
      <c r="A42" s="83" t="s">
        <v>92</v>
      </c>
      <c r="B42" s="87">
        <f>IF(B18=0,0,B18/TrRail_act!B11*1000)</f>
        <v>8.7588536608241618</v>
      </c>
      <c r="C42" s="87">
        <f>IF(C18=0,0,C18/TrRail_act!C11*1000)</f>
        <v>9.0041824986141865</v>
      </c>
      <c r="D42" s="87">
        <f>IF(D18=0,0,D18/TrRail_act!D11*1000)</f>
        <v>8.4005576739644496</v>
      </c>
      <c r="E42" s="87">
        <f>IF(E18=0,0,E18/TrRail_act!E11*1000)</f>
        <v>7.1484716165552182</v>
      </c>
      <c r="F42" s="87">
        <f>IF(F18=0,0,F18/TrRail_act!F11*1000)</f>
        <v>6.6594673236647823</v>
      </c>
      <c r="G42" s="87">
        <f>IF(G18=0,0,G18/TrRail_act!G11*1000)</f>
        <v>6.341618467034646</v>
      </c>
      <c r="H42" s="87">
        <f>IF(H18=0,0,H18/TrRail_act!H11*1000)</f>
        <v>6.240473403242925</v>
      </c>
      <c r="I42" s="87">
        <f>IF(I18=0,0,I18/TrRail_act!I11*1000)</f>
        <v>5.8203657161410431</v>
      </c>
      <c r="J42" s="87">
        <f>IF(J18=0,0,J18/TrRail_act!J11*1000)</f>
        <v>5.8598219168254193</v>
      </c>
      <c r="K42" s="87">
        <f>IF(K18=0,0,K18/TrRail_act!K11*1000)</f>
        <v>5.570507982568234</v>
      </c>
      <c r="L42" s="87">
        <f>IF(L18=0,0,L18/TrRail_act!L11*1000)</f>
        <v>5.6424923842701062</v>
      </c>
      <c r="M42" s="87">
        <f>IF(M18=0,0,M18/TrRail_act!M11*1000)</f>
        <v>5.4601013524205451</v>
      </c>
      <c r="N42" s="87">
        <f>IF(N18=0,0,N18/TrRail_act!N11*1000)</f>
        <v>5.4901967766659299</v>
      </c>
      <c r="O42" s="87">
        <f>IF(O18=0,0,O18/TrRail_act!O11*1000)</f>
        <v>4.7777876659786518</v>
      </c>
      <c r="P42" s="87">
        <f>IF(P18=0,0,P18/TrRail_act!P11*1000)</f>
        <v>4.6615456256374683</v>
      </c>
      <c r="Q42" s="87">
        <f>IF(Q18=0,0,Q18/TrRail_act!Q11*1000)</f>
        <v>4.2351991686181947</v>
      </c>
      <c r="R42" s="87">
        <f>IF(R18=0,0,R18/TrRail_act!R11*1000)</f>
        <v>3.9713745140569245</v>
      </c>
      <c r="S42" s="87">
        <f>IF(S18=0,0,S18/TrRail_act!S11*1000)</f>
        <v>4.0294677822181004</v>
      </c>
      <c r="T42" s="87">
        <f>IF(T18=0,0,T18/TrRail_act!T11*1000)</f>
        <v>4.1229284557425689</v>
      </c>
      <c r="U42" s="87">
        <f>IF(U18=0,0,U18/TrRail_act!U11*1000)</f>
        <v>3.877623051560493</v>
      </c>
      <c r="V42" s="87">
        <f>IF(V18=0,0,V18/TrRail_act!V11*1000)</f>
        <v>3.7408471068002385</v>
      </c>
      <c r="W42" s="87">
        <f>IF(W18=0,0,W18/TrRail_act!W11*1000)</f>
        <v>4.0098557534023209</v>
      </c>
      <c r="X42" s="87">
        <f>IF(X18=0,0,X18/TrRail_act!X11*1000)</f>
        <v>3.6205514090790318</v>
      </c>
      <c r="Y42" s="87">
        <f>IF(Y18=0,0,Y18/TrRail_act!Y11*1000)</f>
        <v>3.1947078200707399</v>
      </c>
      <c r="DA42" s="171" t="s">
        <v>1124</v>
      </c>
    </row>
    <row r="43" spans="1:105" ht="11.45" customHeight="1" x14ac:dyDescent="0.25">
      <c r="A43" s="85" t="s">
        <v>93</v>
      </c>
      <c r="B43" s="88">
        <f>IF(B19=0,0,B19/TrRail_act!B12*1000)</f>
        <v>3.8590511799048715</v>
      </c>
      <c r="C43" s="88">
        <f>IF(C19=0,0,C19/TrRail_act!C12*1000)</f>
        <v>3.8861073370990145</v>
      </c>
      <c r="D43" s="88">
        <f>IF(D19=0,0,D19/TrRail_act!D12*1000)</f>
        <v>3.736255746003867</v>
      </c>
      <c r="E43" s="88">
        <f>IF(E19=0,0,E19/TrRail_act!E12*1000)</f>
        <v>3.9698263310901103</v>
      </c>
      <c r="F43" s="88">
        <f>IF(F19=0,0,F19/TrRail_act!F12*1000)</f>
        <v>3.4154108983011136</v>
      </c>
      <c r="G43" s="88">
        <f>IF(G19=0,0,G19/TrRail_act!G12*1000)</f>
        <v>3.2248721089348793</v>
      </c>
      <c r="H43" s="88">
        <f>IF(H19=0,0,H19/TrRail_act!H12*1000)</f>
        <v>2.9154925096975126</v>
      </c>
      <c r="I43" s="88">
        <f>IF(I19=0,0,I19/TrRail_act!I12*1000)</f>
        <v>2.8759055836874996</v>
      </c>
      <c r="J43" s="88">
        <f>IF(J19=0,0,J19/TrRail_act!J12*1000)</f>
        <v>2.8021799991154457</v>
      </c>
      <c r="K43" s="88">
        <f>IF(K19=0,0,K19/TrRail_act!K12*1000)</f>
        <v>2.7348456129787397</v>
      </c>
      <c r="L43" s="88">
        <f>IF(L19=0,0,L19/TrRail_act!L12*1000)</f>
        <v>2.6277181453354395</v>
      </c>
      <c r="M43" s="88">
        <f>IF(M19=0,0,M19/TrRail_act!M12*1000)</f>
        <v>2.5419822799804623</v>
      </c>
      <c r="N43" s="88">
        <f>IF(N19=0,0,N19/TrRail_act!N12*1000)</f>
        <v>2.419764191788798</v>
      </c>
      <c r="O43" s="88">
        <f>IF(O19=0,0,O19/TrRail_act!O12*1000)</f>
        <v>2.3492050878613222</v>
      </c>
      <c r="P43" s="88">
        <f>IF(P19=0,0,P19/TrRail_act!P12*1000)</f>
        <v>2.1858460386078966</v>
      </c>
      <c r="Q43" s="88">
        <f>IF(Q19=0,0,Q19/TrRail_act!Q12*1000)</f>
        <v>2.1229341887012771</v>
      </c>
      <c r="R43" s="88">
        <f>IF(R19=0,0,R19/TrRail_act!R12*1000)</f>
        <v>2.0744083195052649</v>
      </c>
      <c r="S43" s="88">
        <f>IF(S19=0,0,S19/TrRail_act!S12*1000)</f>
        <v>1.9711227652527292</v>
      </c>
      <c r="T43" s="88">
        <f>IF(T19=0,0,T19/TrRail_act!T12*1000)</f>
        <v>1.9177883512198726</v>
      </c>
      <c r="U43" s="88">
        <f>IF(U19=0,0,U19/TrRail_act!U12*1000)</f>
        <v>1.9666967127744328</v>
      </c>
      <c r="V43" s="88">
        <f>IF(V19=0,0,V19/TrRail_act!V12*1000)</f>
        <v>1.9916580060080211</v>
      </c>
      <c r="W43" s="88">
        <f>IF(W19=0,0,W19/TrRail_act!W12*1000)</f>
        <v>1.928661284834297</v>
      </c>
      <c r="X43" s="88">
        <f>IF(X19=0,0,X19/TrRail_act!X12*1000)</f>
        <v>1.628599230675543</v>
      </c>
      <c r="Y43" s="88">
        <f>IF(Y19=0,0,Y19/TrRail_act!Y12*1000)</f>
        <v>1.5072885567054162</v>
      </c>
      <c r="DA43" s="178" t="s">
        <v>1125</v>
      </c>
    </row>
    <row r="44" spans="1:105" x14ac:dyDescent="0.25">
      <c r="A44" s="106"/>
      <c r="B44" s="106"/>
      <c r="C44" s="106"/>
      <c r="D44" s="106"/>
      <c r="E44" s="106"/>
      <c r="F44" s="106"/>
      <c r="G44" s="106"/>
      <c r="H44" s="106"/>
      <c r="I44" s="106"/>
      <c r="J44" s="106"/>
      <c r="K44" s="106"/>
      <c r="L44" s="106"/>
      <c r="M44" s="106"/>
      <c r="N44" s="106"/>
      <c r="O44" s="106"/>
      <c r="P44" s="106"/>
      <c r="Q44" s="106"/>
      <c r="R44" s="106"/>
      <c r="S44" s="106"/>
      <c r="T44" s="106"/>
      <c r="U44" s="106"/>
      <c r="V44" s="106"/>
      <c r="W44" s="106"/>
      <c r="X44" s="106"/>
      <c r="Y44" s="106"/>
      <c r="DA44" s="171"/>
    </row>
    <row r="45" spans="1:105" ht="11.45" customHeight="1" x14ac:dyDescent="0.25">
      <c r="A45" s="53" t="s">
        <v>96</v>
      </c>
      <c r="B45" s="54">
        <f>IF(B10=0,0,1000000*B10/TrRail_act!B25)</f>
        <v>290827.7767664601</v>
      </c>
      <c r="C45" s="54">
        <f>IF(C10=0,0,1000000*C10/TrRail_act!C25)</f>
        <v>280469.03625071154</v>
      </c>
      <c r="D45" s="54">
        <f>IF(D10=0,0,1000000*D10/TrRail_act!D25)</f>
        <v>270907.0425670222</v>
      </c>
      <c r="E45" s="54">
        <f>IF(E10=0,0,1000000*E10/TrRail_act!E25)</f>
        <v>270931.15566684731</v>
      </c>
      <c r="F45" s="54">
        <f>IF(F10=0,0,1000000*F10/TrRail_act!F25)</f>
        <v>256350.96402952718</v>
      </c>
      <c r="G45" s="54">
        <f>IF(G10=0,0,1000000*G10/TrRail_act!G25)</f>
        <v>252223.2635215031</v>
      </c>
      <c r="H45" s="54">
        <f>IF(H10=0,0,1000000*H10/TrRail_act!H25)</f>
        <v>230935.89606172094</v>
      </c>
      <c r="I45" s="54">
        <f>IF(I10=0,0,1000000*I10/TrRail_act!I25)</f>
        <v>229505.00829514288</v>
      </c>
      <c r="J45" s="54">
        <f>IF(J10=0,0,1000000*J10/TrRail_act!J25)</f>
        <v>218673.90582469685</v>
      </c>
      <c r="K45" s="54">
        <f>IF(K10=0,0,1000000*K10/TrRail_act!K25)</f>
        <v>209656.27979367389</v>
      </c>
      <c r="L45" s="54">
        <f>IF(L10=0,0,1000000*L10/TrRail_act!L25)</f>
        <v>207236.22276129894</v>
      </c>
      <c r="M45" s="54">
        <f>IF(M10=0,0,1000000*M10/TrRail_act!M25)</f>
        <v>211989.90207960166</v>
      </c>
      <c r="N45" s="54">
        <f>IF(N10=0,0,1000000*N10/TrRail_act!N25)</f>
        <v>205076.77130142448</v>
      </c>
      <c r="O45" s="54">
        <f>IF(O10=0,0,1000000*O10/TrRail_act!O25)</f>
        <v>203555.89689749081</v>
      </c>
      <c r="P45" s="54">
        <f>IF(P10=0,0,1000000*P10/TrRail_act!P25)</f>
        <v>191834.1639937518</v>
      </c>
      <c r="Q45" s="54">
        <f>IF(Q10=0,0,1000000*Q10/TrRail_act!Q25)</f>
        <v>187906.95970975357</v>
      </c>
      <c r="R45" s="54">
        <f>IF(R10=0,0,1000000*R10/TrRail_act!R25)</f>
        <v>186063.06496830017</v>
      </c>
      <c r="S45" s="54">
        <f>IF(S10=0,0,1000000*S10/TrRail_act!S25)</f>
        <v>187005.41040868402</v>
      </c>
      <c r="T45" s="54">
        <f>IF(T10=0,0,1000000*T10/TrRail_act!T25)</f>
        <v>190739.60567202067</v>
      </c>
      <c r="U45" s="54">
        <f>IF(U10=0,0,1000000*U10/TrRail_act!U25)</f>
        <v>182869.19013254461</v>
      </c>
      <c r="V45" s="54">
        <f>IF(V10=0,0,1000000*V10/TrRail_act!V25)</f>
        <v>181589.02250841112</v>
      </c>
      <c r="W45" s="54">
        <f>IF(W10=0,0,1000000*W10/TrRail_act!W25)</f>
        <v>187537.78546742047</v>
      </c>
      <c r="X45" s="54">
        <f>IF(X10=0,0,1000000*X10/TrRail_act!X25)</f>
        <v>185107.01221496833</v>
      </c>
      <c r="Y45" s="54">
        <f>IF(Y10=0,0,1000000*Y10/TrRail_act!Y25)</f>
        <v>182199.80790702894</v>
      </c>
      <c r="DA45" s="172" t="s">
        <v>1126</v>
      </c>
    </row>
    <row r="46" spans="1:105" ht="11.45" customHeight="1" x14ac:dyDescent="0.25">
      <c r="A46" s="27" t="s">
        <v>33</v>
      </c>
      <c r="B46" s="28">
        <f>IF(B11=0,0,1000000*B11/TrRail_act!B26)</f>
        <v>209414.7393289686</v>
      </c>
      <c r="C46" s="28">
        <f>IF(C11=0,0,1000000*C11/TrRail_act!C26)</f>
        <v>209388.71656126098</v>
      </c>
      <c r="D46" s="28">
        <f>IF(D11=0,0,1000000*D11/TrRail_act!D26)</f>
        <v>205207.766071547</v>
      </c>
      <c r="E46" s="28">
        <f>IF(E11=0,0,1000000*E11/TrRail_act!E26)</f>
        <v>204687.12166386819</v>
      </c>
      <c r="F46" s="28">
        <f>IF(F11=0,0,1000000*F11/TrRail_act!F26)</f>
        <v>184404.84700455327</v>
      </c>
      <c r="G46" s="28">
        <f>IF(G11=0,0,1000000*G11/TrRail_act!G26)</f>
        <v>185893.37627582531</v>
      </c>
      <c r="H46" s="28">
        <f>IF(H11=0,0,1000000*H11/TrRail_act!H26)</f>
        <v>152162.19175614364</v>
      </c>
      <c r="I46" s="28">
        <f>IF(I11=0,0,1000000*I11/TrRail_act!I26)</f>
        <v>163803.86483497114</v>
      </c>
      <c r="J46" s="28">
        <f>IF(J11=0,0,1000000*J11/TrRail_act!J26)</f>
        <v>153464.05524869202</v>
      </c>
      <c r="K46" s="28">
        <f>IF(K11=0,0,1000000*K11/TrRail_act!K26)</f>
        <v>157142.074838423</v>
      </c>
      <c r="L46" s="28">
        <f>IF(L11=0,0,1000000*L11/TrRail_act!L26)</f>
        <v>140939.42521031768</v>
      </c>
      <c r="M46" s="28">
        <f>IF(M11=0,0,1000000*M11/TrRail_act!M26)</f>
        <v>141039.06504339195</v>
      </c>
      <c r="N46" s="28">
        <f>IF(N11=0,0,1000000*N11/TrRail_act!N26)</f>
        <v>143475.53434929415</v>
      </c>
      <c r="O46" s="28">
        <f>IF(O11=0,0,1000000*O11/TrRail_act!O26)</f>
        <v>143426.60075795892</v>
      </c>
      <c r="P46" s="28">
        <f>IF(P11=0,0,1000000*P11/TrRail_act!P26)</f>
        <v>135684.07181799487</v>
      </c>
      <c r="Q46" s="28">
        <f>IF(Q11=0,0,1000000*Q11/TrRail_act!Q26)</f>
        <v>134060.32898050564</v>
      </c>
      <c r="R46" s="28">
        <f>IF(R11=0,0,1000000*R11/TrRail_act!R26)</f>
        <v>137865.46880605616</v>
      </c>
      <c r="S46" s="28">
        <f>IF(S11=0,0,1000000*S11/TrRail_act!S26)</f>
        <v>137380.47736051239</v>
      </c>
      <c r="T46" s="28">
        <f>IF(T11=0,0,1000000*T11/TrRail_act!T26)</f>
        <v>139822.64420579057</v>
      </c>
      <c r="U46" s="28">
        <f>IF(U11=0,0,1000000*U11/TrRail_act!U26)</f>
        <v>135317.17446376139</v>
      </c>
      <c r="V46" s="28">
        <f>IF(V11=0,0,1000000*V11/TrRail_act!V26)</f>
        <v>133011.45443631461</v>
      </c>
      <c r="W46" s="28">
        <f>IF(W11=0,0,1000000*W11/TrRail_act!W26)</f>
        <v>137600.87344668381</v>
      </c>
      <c r="X46" s="28">
        <f>IF(X11=0,0,1000000*X11/TrRail_act!X26)</f>
        <v>141971.48980674267</v>
      </c>
      <c r="Y46" s="28">
        <f>IF(Y11=0,0,1000000*Y11/TrRail_act!Y26)</f>
        <v>140246.85009676457</v>
      </c>
      <c r="DA46" s="173" t="s">
        <v>1127</v>
      </c>
    </row>
    <row r="47" spans="1:105" ht="11.45" customHeight="1" x14ac:dyDescent="0.25">
      <c r="A47" s="107" t="s">
        <v>23</v>
      </c>
      <c r="B47" s="108">
        <f>IF(B12=0,0,1000000*B12/TrRail_act!B27)</f>
        <v>50181.183658348076</v>
      </c>
      <c r="C47" s="108">
        <f>IF(C12=0,0,1000000*C12/TrRail_act!C27)</f>
        <v>49494.149403909483</v>
      </c>
      <c r="D47" s="108">
        <f>IF(D12=0,0,1000000*D12/TrRail_act!D27)</f>
        <v>48780.742812611388</v>
      </c>
      <c r="E47" s="108">
        <f>IF(E12=0,0,1000000*E12/TrRail_act!E27)</f>
        <v>48080.402185993895</v>
      </c>
      <c r="F47" s="108">
        <f>IF(F12=0,0,1000000*F12/TrRail_act!F27)</f>
        <v>46637.375127518273</v>
      </c>
      <c r="G47" s="108">
        <f>IF(G12=0,0,1000000*G12/TrRail_act!G27)</f>
        <v>45298.98033844123</v>
      </c>
      <c r="H47" s="108">
        <f>IF(H12=0,0,1000000*H12/TrRail_act!H27)</f>
        <v>44042.768887944912</v>
      </c>
      <c r="I47" s="108">
        <f>IF(I12=0,0,1000000*I12/TrRail_act!I27)</f>
        <v>43186.562948842453</v>
      </c>
      <c r="J47" s="108">
        <f>IF(J12=0,0,1000000*J12/TrRail_act!J27)</f>
        <v>42924.820248995966</v>
      </c>
      <c r="K47" s="108">
        <f>IF(K12=0,0,1000000*K12/TrRail_act!K27)</f>
        <v>42523.508933801932</v>
      </c>
      <c r="L47" s="108">
        <f>IF(L12=0,0,1000000*L12/TrRail_act!L27)</f>
        <v>41994.319616816603</v>
      </c>
      <c r="M47" s="108">
        <f>IF(M12=0,0,1000000*M12/TrRail_act!M27)</f>
        <v>41542.26240210831</v>
      </c>
      <c r="N47" s="108">
        <f>IF(N12=0,0,1000000*N12/TrRail_act!N27)</f>
        <v>41335.708761341237</v>
      </c>
      <c r="O47" s="108">
        <f>IF(O12=0,0,1000000*O12/TrRail_act!O27)</f>
        <v>41018.793598483164</v>
      </c>
      <c r="P47" s="108">
        <f>IF(P12=0,0,1000000*P12/TrRail_act!P27)</f>
        <v>39935.648289905985</v>
      </c>
      <c r="Q47" s="108">
        <f>IF(Q12=0,0,1000000*Q12/TrRail_act!Q27)</f>
        <v>39293.636226930932</v>
      </c>
      <c r="R47" s="108">
        <f>IF(R12=0,0,1000000*R12/TrRail_act!R27)</f>
        <v>38818.909483181917</v>
      </c>
      <c r="S47" s="108">
        <f>IF(S12=0,0,1000000*S12/TrRail_act!S27)</f>
        <v>38466.63209157723</v>
      </c>
      <c r="T47" s="108">
        <f>IF(T12=0,0,1000000*T12/TrRail_act!T27)</f>
        <v>38204.523611343771</v>
      </c>
      <c r="U47" s="108">
        <f>IF(U12=0,0,1000000*U12/TrRail_act!U27)</f>
        <v>38009.114941006308</v>
      </c>
      <c r="V47" s="108">
        <f>IF(V12=0,0,1000000*V12/TrRail_act!V27)</f>
        <v>37863.214649595851</v>
      </c>
      <c r="W47" s="108">
        <f>IF(W12=0,0,1000000*W12/TrRail_act!W27)</f>
        <v>37754.15705439548</v>
      </c>
      <c r="X47" s="108">
        <f>IF(X12=0,0,1000000*X12/TrRail_act!X27)</f>
        <v>37672.570051515468</v>
      </c>
      <c r="Y47" s="108">
        <f>IF(Y12=0,0,1000000*Y12/TrRail_act!Y27)</f>
        <v>37611.495519252378</v>
      </c>
      <c r="DA47" s="203" t="s">
        <v>1128</v>
      </c>
    </row>
    <row r="48" spans="1:105" ht="11.45" customHeight="1" x14ac:dyDescent="0.25">
      <c r="A48" s="109" t="s">
        <v>24</v>
      </c>
      <c r="B48" s="110">
        <f>IF(B13=0,0,1000000*B13/TrRail_act!B28)</f>
        <v>302488.423367262</v>
      </c>
      <c r="C48" s="110">
        <f>IF(C13=0,0,1000000*C13/TrRail_act!C28)</f>
        <v>294488.24794160249</v>
      </c>
      <c r="D48" s="110">
        <f>IF(D13=0,0,1000000*D13/TrRail_act!D28)</f>
        <v>284953.79016301362</v>
      </c>
      <c r="E48" s="110">
        <f>IF(E13=0,0,1000000*E13/TrRail_act!E28)</f>
        <v>279607.88857954723</v>
      </c>
      <c r="F48" s="110">
        <f>IF(F13=0,0,1000000*F13/TrRail_act!F28)</f>
        <v>253268.79460177777</v>
      </c>
      <c r="G48" s="110">
        <f>IF(G13=0,0,1000000*G13/TrRail_act!G28)</f>
        <v>257175.05745533053</v>
      </c>
      <c r="H48" s="110">
        <f>IF(H13=0,0,1000000*H13/TrRail_act!H28)</f>
        <v>213791.65380468228</v>
      </c>
      <c r="I48" s="110">
        <f>IF(I13=0,0,1000000*I13/TrRail_act!I28)</f>
        <v>230596.44960610801</v>
      </c>
      <c r="J48" s="110">
        <f>IF(J13=0,0,1000000*J13/TrRail_act!J28)</f>
        <v>214907.19681755613</v>
      </c>
      <c r="K48" s="110">
        <f>IF(K13=0,0,1000000*K13/TrRail_act!K28)</f>
        <v>218004.72728344196</v>
      </c>
      <c r="L48" s="110">
        <f>IF(L13=0,0,1000000*L13/TrRail_act!L28)</f>
        <v>193805.10756955095</v>
      </c>
      <c r="M48" s="110">
        <f>IF(M13=0,0,1000000*M13/TrRail_act!M28)</f>
        <v>197457.57456504859</v>
      </c>
      <c r="N48" s="110">
        <f>IF(N13=0,0,1000000*N13/TrRail_act!N28)</f>
        <v>201336.36893855885</v>
      </c>
      <c r="O48" s="110">
        <f>IF(O13=0,0,1000000*O13/TrRail_act!O28)</f>
        <v>197780.12550394246</v>
      </c>
      <c r="P48" s="110">
        <f>IF(P13=0,0,1000000*P13/TrRail_act!P28)</f>
        <v>189942.42515022639</v>
      </c>
      <c r="Q48" s="110">
        <f>IF(Q13=0,0,1000000*Q13/TrRail_act!Q28)</f>
        <v>181435.38958673182</v>
      </c>
      <c r="R48" s="110">
        <f>IF(R13=0,0,1000000*R13/TrRail_act!R28)</f>
        <v>180068.16895133606</v>
      </c>
      <c r="S48" s="110">
        <f>IF(S13=0,0,1000000*S13/TrRail_act!S28)</f>
        <v>177569.69784744224</v>
      </c>
      <c r="T48" s="110">
        <f>IF(T13=0,0,1000000*T13/TrRail_act!T28)</f>
        <v>178046.71569049452</v>
      </c>
      <c r="U48" s="110">
        <f>IF(U13=0,0,1000000*U13/TrRail_act!U28)</f>
        <v>172282.55098570118</v>
      </c>
      <c r="V48" s="110">
        <f>IF(V13=0,0,1000000*V13/TrRail_act!V28)</f>
        <v>171214.86853060522</v>
      </c>
      <c r="W48" s="110">
        <f>IF(W13=0,0,1000000*W13/TrRail_act!W28)</f>
        <v>171934.95325037395</v>
      </c>
      <c r="X48" s="110">
        <f>IF(X13=0,0,1000000*X13/TrRail_act!X28)</f>
        <v>173173.98939104064</v>
      </c>
      <c r="Y48" s="110">
        <f>IF(Y13=0,0,1000000*Y13/TrRail_act!Y28)</f>
        <v>171328.63706734046</v>
      </c>
      <c r="DA48" s="176" t="s">
        <v>1129</v>
      </c>
    </row>
    <row r="49" spans="1:105" ht="11.45" customHeight="1" x14ac:dyDescent="0.25">
      <c r="A49" s="111" t="s">
        <v>92</v>
      </c>
      <c r="B49" s="84">
        <f>IF(B14=0,0,1000000*B14/TrRail_act!B29)</f>
        <v>419616.45326618443</v>
      </c>
      <c r="C49" s="84">
        <f>IF(C14=0,0,1000000*C14/TrRail_act!C29)</f>
        <v>408059.825177319</v>
      </c>
      <c r="D49" s="84">
        <f>IF(D14=0,0,1000000*D14/TrRail_act!D29)</f>
        <v>398298.37130263663</v>
      </c>
      <c r="E49" s="84">
        <f>IF(E14=0,0,1000000*E14/TrRail_act!E29)</f>
        <v>379540.5999361531</v>
      </c>
      <c r="F49" s="84">
        <f>IF(F14=0,0,1000000*F14/TrRail_act!F29)</f>
        <v>339299.73453395203</v>
      </c>
      <c r="G49" s="84">
        <f>IF(G14=0,0,1000000*G14/TrRail_act!G29)</f>
        <v>363545.65727575496</v>
      </c>
      <c r="H49" s="84">
        <f>IF(H14=0,0,1000000*H14/TrRail_act!H29)</f>
        <v>249926.71357301547</v>
      </c>
      <c r="I49" s="84">
        <f>IF(I14=0,0,1000000*I14/TrRail_act!I29)</f>
        <v>326215.2900470437</v>
      </c>
      <c r="J49" s="84">
        <f>IF(J14=0,0,1000000*J14/TrRail_act!J29)</f>
        <v>286384.17718567915</v>
      </c>
      <c r="K49" s="84">
        <f>IF(K14=0,0,1000000*K14/TrRail_act!K29)</f>
        <v>306347.13105787762</v>
      </c>
      <c r="L49" s="84">
        <f>IF(L14=0,0,1000000*L14/TrRail_act!L29)</f>
        <v>208692.55730439504</v>
      </c>
      <c r="M49" s="84">
        <f>IF(M14=0,0,1000000*M14/TrRail_act!M29)</f>
        <v>242886.5702874233</v>
      </c>
      <c r="N49" s="84">
        <f>IF(N14=0,0,1000000*N14/TrRail_act!N29)</f>
        <v>280709.09671988321</v>
      </c>
      <c r="O49" s="84">
        <f>IF(O14=0,0,1000000*O14/TrRail_act!O29)</f>
        <v>276321.99407630943</v>
      </c>
      <c r="P49" s="84">
        <f>IF(P14=0,0,1000000*P14/TrRail_act!P29)</f>
        <v>266824.57130308991</v>
      </c>
      <c r="Q49" s="84">
        <f>IF(Q14=0,0,1000000*Q14/TrRail_act!Q29)</f>
        <v>252668.78103205017</v>
      </c>
      <c r="R49" s="84">
        <f>IF(R14=0,0,1000000*R14/TrRail_act!R29)</f>
        <v>247397.94004976522</v>
      </c>
      <c r="S49" s="84">
        <f>IF(S14=0,0,1000000*S14/TrRail_act!S29)</f>
        <v>243517.09283437973</v>
      </c>
      <c r="T49" s="84">
        <f>IF(T14=0,0,1000000*T14/TrRail_act!T29)</f>
        <v>240646.46133595554</v>
      </c>
      <c r="U49" s="84">
        <f>IF(U14=0,0,1000000*U14/TrRail_act!U29)</f>
        <v>203059.78455276554</v>
      </c>
      <c r="V49" s="84">
        <f>IF(V14=0,0,1000000*V14/TrRail_act!V29)</f>
        <v>236930.04702880562</v>
      </c>
      <c r="W49" s="84">
        <f>IF(W14=0,0,1000000*W14/TrRail_act!W29)</f>
        <v>235747.71708984722</v>
      </c>
      <c r="X49" s="84">
        <f>IF(X14=0,0,1000000*X14/TrRail_act!X29)</f>
        <v>234864.84393546838</v>
      </c>
      <c r="Y49" s="84">
        <f>IF(Y14=0,0,1000000*Y14/TrRail_act!Y29)</f>
        <v>229897.27269230605</v>
      </c>
      <c r="DA49" s="171" t="s">
        <v>1130</v>
      </c>
    </row>
    <row r="50" spans="1:105" ht="11.45" customHeight="1" x14ac:dyDescent="0.25">
      <c r="A50" s="111" t="s">
        <v>93</v>
      </c>
      <c r="B50" s="84">
        <f>IF(B15=0,0,1000000*B15/TrRail_act!B30)</f>
        <v>256562.32009482424</v>
      </c>
      <c r="C50" s="84">
        <f>IF(C15=0,0,1000000*C15/TrRail_act!C30)</f>
        <v>253238.56385741115</v>
      </c>
      <c r="D50" s="84">
        <f>IF(D15=0,0,1000000*D15/TrRail_act!D30)</f>
        <v>248953.50222262734</v>
      </c>
      <c r="E50" s="84">
        <f>IF(E15=0,0,1000000*E15/TrRail_act!E30)</f>
        <v>245188.72710629733</v>
      </c>
      <c r="F50" s="84">
        <f>IF(F15=0,0,1000000*F15/TrRail_act!F30)</f>
        <v>225059.20325061271</v>
      </c>
      <c r="G50" s="84">
        <f>IF(G15=0,0,1000000*G15/TrRail_act!G30)</f>
        <v>219953.77680037485</v>
      </c>
      <c r="H50" s="84">
        <f>IF(H15=0,0,1000000*H15/TrRail_act!H30)</f>
        <v>201296.52175220859</v>
      </c>
      <c r="I50" s="84">
        <f>IF(I15=0,0,1000000*I15/TrRail_act!I30)</f>
        <v>199515.69611100678</v>
      </c>
      <c r="J50" s="84">
        <f>IF(J15=0,0,1000000*J15/TrRail_act!J30)</f>
        <v>194827.05068607745</v>
      </c>
      <c r="K50" s="84">
        <f>IF(K15=0,0,1000000*K15/TrRail_act!K30)</f>
        <v>193039.54608937175</v>
      </c>
      <c r="L50" s="84">
        <f>IF(L15=0,0,1000000*L15/TrRail_act!L30)</f>
        <v>190312.15522111772</v>
      </c>
      <c r="M50" s="84">
        <f>IF(M15=0,0,1000000*M15/TrRail_act!M30)</f>
        <v>187984.24374218049</v>
      </c>
      <c r="N50" s="84">
        <f>IF(N15=0,0,1000000*N15/TrRail_act!N30)</f>
        <v>186672.11710378435</v>
      </c>
      <c r="O50" s="84">
        <f>IF(O15=0,0,1000000*O15/TrRail_act!O30)</f>
        <v>184393.5964883047</v>
      </c>
      <c r="P50" s="84">
        <f>IF(P15=0,0,1000000*P15/TrRail_act!P30)</f>
        <v>177445.52537468015</v>
      </c>
      <c r="Q50" s="84">
        <f>IF(Q15=0,0,1000000*Q15/TrRail_act!Q30)</f>
        <v>173047.39636584828</v>
      </c>
      <c r="R50" s="84">
        <f>IF(R15=0,0,1000000*R15/TrRail_act!R30)</f>
        <v>171518.69182030155</v>
      </c>
      <c r="S50" s="84">
        <f>IF(S15=0,0,1000000*S15/TrRail_act!S30)</f>
        <v>170381.03242572083</v>
      </c>
      <c r="T50" s="84">
        <f>IF(T15=0,0,1000000*T15/TrRail_act!T30)</f>
        <v>169532.74274816399</v>
      </c>
      <c r="U50" s="84">
        <f>IF(U15=0,0,1000000*U15/TrRail_act!U30)</f>
        <v>168899.29817572446</v>
      </c>
      <c r="V50" s="84">
        <f>IF(V15=0,0,1000000*V15/TrRail_act!V30)</f>
        <v>164935.79353895941</v>
      </c>
      <c r="W50" s="84">
        <f>IF(W15=0,0,1000000*W15/TrRail_act!W30)</f>
        <v>168071.49256774349</v>
      </c>
      <c r="X50" s="84">
        <f>IF(X15=0,0,1000000*X15/TrRail_act!X30)</f>
        <v>167806.27484030108</v>
      </c>
      <c r="Y50" s="84">
        <f>IF(Y15=0,0,1000000*Y15/TrRail_act!Y30)</f>
        <v>167607.63619826944</v>
      </c>
      <c r="DA50" s="171" t="s">
        <v>1131</v>
      </c>
    </row>
    <row r="51" spans="1:105" ht="11.45" customHeight="1" x14ac:dyDescent="0.25">
      <c r="A51" s="112" t="s">
        <v>25</v>
      </c>
      <c r="B51" s="113">
        <f>IF(B16=0,0,1000000*B16/TrRail_act!B31)</f>
        <v>0</v>
      </c>
      <c r="C51" s="113">
        <f>IF(C16=0,0,1000000*C16/TrRail_act!C31)</f>
        <v>0</v>
      </c>
      <c r="D51" s="113">
        <f>IF(D16=0,0,1000000*D16/TrRail_act!D31)</f>
        <v>0</v>
      </c>
      <c r="E51" s="113">
        <f>IF(E16=0,0,1000000*E16/TrRail_act!E31)</f>
        <v>0</v>
      </c>
      <c r="F51" s="113">
        <f>IF(F16=0,0,1000000*F16/TrRail_act!F31)</f>
        <v>0</v>
      </c>
      <c r="G51" s="113">
        <f>IF(G16=0,0,1000000*G16/TrRail_act!G31)</f>
        <v>0</v>
      </c>
      <c r="H51" s="113">
        <f>IF(H16=0,0,1000000*H16/TrRail_act!H31)</f>
        <v>0</v>
      </c>
      <c r="I51" s="113">
        <f>IF(I16=0,0,1000000*I16/TrRail_act!I31)</f>
        <v>0</v>
      </c>
      <c r="J51" s="113">
        <f>IF(J16=0,0,1000000*J16/TrRail_act!J31)</f>
        <v>0</v>
      </c>
      <c r="K51" s="113">
        <f>IF(K16=0,0,1000000*K16/TrRail_act!K31)</f>
        <v>0</v>
      </c>
      <c r="L51" s="113">
        <f>IF(L16=0,0,1000000*L16/TrRail_act!L31)</f>
        <v>0</v>
      </c>
      <c r="M51" s="113">
        <f>IF(M16=0,0,1000000*M16/TrRail_act!M31)</f>
        <v>0</v>
      </c>
      <c r="N51" s="113">
        <f>IF(N16=0,0,1000000*N16/TrRail_act!N31)</f>
        <v>0</v>
      </c>
      <c r="O51" s="113">
        <f>IF(O16=0,0,1000000*O16/TrRail_act!O31)</f>
        <v>0</v>
      </c>
      <c r="P51" s="113">
        <f>IF(P16=0,0,1000000*P16/TrRail_act!P31)</f>
        <v>0</v>
      </c>
      <c r="Q51" s="113">
        <f>IF(Q16=0,0,1000000*Q16/TrRail_act!Q31)</f>
        <v>911737.1553634567</v>
      </c>
      <c r="R51" s="113">
        <f>IF(R16=0,0,1000000*R16/TrRail_act!R31)</f>
        <v>902639.16736570327</v>
      </c>
      <c r="S51" s="113">
        <f>IF(S16=0,0,1000000*S16/TrRail_act!S31)</f>
        <v>852547.83277266135</v>
      </c>
      <c r="T51" s="113">
        <f>IF(T16=0,0,1000000*T16/TrRail_act!T31)</f>
        <v>873040.94971800852</v>
      </c>
      <c r="U51" s="113">
        <f>IF(U16=0,0,1000000*U16/TrRail_act!U31)</f>
        <v>887074.31744009454</v>
      </c>
      <c r="V51" s="113">
        <f>IF(V16=0,0,1000000*V16/TrRail_act!V31)</f>
        <v>830304.77716345747</v>
      </c>
      <c r="W51" s="113">
        <f>IF(W16=0,0,1000000*W16/TrRail_act!W31)</f>
        <v>846878.99045803247</v>
      </c>
      <c r="X51" s="113">
        <f>IF(X16=0,0,1000000*X16/TrRail_act!X31)</f>
        <v>813233.64816307917</v>
      </c>
      <c r="Y51" s="113">
        <f>IF(Y16=0,0,1000000*Y16/TrRail_act!Y31)</f>
        <v>806764.98067418463</v>
      </c>
      <c r="DA51" s="204" t="s">
        <v>1132</v>
      </c>
    </row>
    <row r="52" spans="1:105" ht="11.45" customHeight="1" x14ac:dyDescent="0.25">
      <c r="A52" s="27" t="s">
        <v>34</v>
      </c>
      <c r="B52" s="28">
        <f>IF(B17=0,0,1000000*B17/TrRail_act!B32)</f>
        <v>549378.72986960434</v>
      </c>
      <c r="C52" s="28">
        <f>IF(C17=0,0,1000000*C17/TrRail_act!C32)</f>
        <v>545103.4040340262</v>
      </c>
      <c r="D52" s="28">
        <f>IF(D17=0,0,1000000*D17/TrRail_act!D32)</f>
        <v>538320.31149829703</v>
      </c>
      <c r="E52" s="28">
        <f>IF(E17=0,0,1000000*E17/TrRail_act!E32)</f>
        <v>531170.80371492577</v>
      </c>
      <c r="F52" s="28">
        <f>IF(F17=0,0,1000000*F17/TrRail_act!F32)</f>
        <v>515640.80641491187</v>
      </c>
      <c r="G52" s="28">
        <f>IF(G17=0,0,1000000*G17/TrRail_act!G32)</f>
        <v>498442.57086529623</v>
      </c>
      <c r="H52" s="28">
        <f>IF(H17=0,0,1000000*H17/TrRail_act!H32)</f>
        <v>490507.24003494281</v>
      </c>
      <c r="I52" s="28">
        <f>IF(I17=0,0,1000000*I17/TrRail_act!I32)</f>
        <v>445411.3130899886</v>
      </c>
      <c r="J52" s="28">
        <f>IF(J17=0,0,1000000*J17/TrRail_act!J32)</f>
        <v>442259.26629538095</v>
      </c>
      <c r="K52" s="28">
        <f>IF(K17=0,0,1000000*K17/TrRail_act!K32)</f>
        <v>408118.75776813901</v>
      </c>
      <c r="L52" s="28">
        <f>IF(L17=0,0,1000000*L17/TrRail_act!L32)</f>
        <v>464748.2285803337</v>
      </c>
      <c r="M52" s="28">
        <f>IF(M17=0,0,1000000*M17/TrRail_act!M32)</f>
        <v>458067.56644982431</v>
      </c>
      <c r="N52" s="28">
        <f>IF(N17=0,0,1000000*N17/TrRail_act!N32)</f>
        <v>444967.55058772385</v>
      </c>
      <c r="O52" s="28">
        <f>IF(O17=0,0,1000000*O17/TrRail_act!O32)</f>
        <v>433572.62172784656</v>
      </c>
      <c r="P52" s="28">
        <f>IF(P17=0,0,1000000*P17/TrRail_act!P32)</f>
        <v>413224.89616922848</v>
      </c>
      <c r="Q52" s="28">
        <f>IF(Q17=0,0,1000000*Q17/TrRail_act!Q32)</f>
        <v>416041.7394735837</v>
      </c>
      <c r="R52" s="28">
        <f>IF(R17=0,0,1000000*R17/TrRail_act!R32)</f>
        <v>410049.25596072263</v>
      </c>
      <c r="S52" s="28">
        <f>IF(S17=0,0,1000000*S17/TrRail_act!S32)</f>
        <v>410692.73121243727</v>
      </c>
      <c r="T52" s="28">
        <f>IF(T17=0,0,1000000*T17/TrRail_act!T32)</f>
        <v>417402.27263370063</v>
      </c>
      <c r="U52" s="28">
        <f>IF(U17=0,0,1000000*U17/TrRail_act!U32)</f>
        <v>407232.21635736094</v>
      </c>
      <c r="V52" s="28">
        <f>IF(V17=0,0,1000000*V17/TrRail_act!V32)</f>
        <v>413797.24376844882</v>
      </c>
      <c r="W52" s="28">
        <f>IF(W17=0,0,1000000*W17/TrRail_act!W32)</f>
        <v>430217.29763405974</v>
      </c>
      <c r="X52" s="28">
        <f>IF(X17=0,0,1000000*X17/TrRail_act!X32)</f>
        <v>414575.24903525179</v>
      </c>
      <c r="Y52" s="28">
        <f>IF(Y17=0,0,1000000*Y17/TrRail_act!Y32)</f>
        <v>424858.50767458341</v>
      </c>
      <c r="DA52" s="173" t="s">
        <v>1133</v>
      </c>
    </row>
    <row r="53" spans="1:105" ht="11.45" customHeight="1" x14ac:dyDescent="0.25">
      <c r="A53" s="83" t="s">
        <v>92</v>
      </c>
      <c r="B53" s="84">
        <f>IF(B18=0,0,1000000*B18/TrRail_act!B33)</f>
        <v>1146448.9624197443</v>
      </c>
      <c r="C53" s="84">
        <f>IF(C18=0,0,1000000*C18/TrRail_act!C33)</f>
        <v>1138931.2014791316</v>
      </c>
      <c r="D53" s="84">
        <f>IF(D18=0,0,1000000*D18/TrRail_act!D33)</f>
        <v>1086316.6404946202</v>
      </c>
      <c r="E53" s="84">
        <f>IF(E18=0,0,1000000*E18/TrRail_act!E33)</f>
        <v>1015428.1008273612</v>
      </c>
      <c r="F53" s="84">
        <f>IF(F18=0,0,1000000*F18/TrRail_act!F33)</f>
        <v>954431.51755605103</v>
      </c>
      <c r="G53" s="84">
        <f>IF(G18=0,0,1000000*G18/TrRail_act!G33)</f>
        <v>903747.62059609685</v>
      </c>
      <c r="H53" s="84">
        <f>IF(H18=0,0,1000000*H18/TrRail_act!H33)</f>
        <v>863009.07791219454</v>
      </c>
      <c r="I53" s="84">
        <f>IF(I18=0,0,1000000*I18/TrRail_act!I33)</f>
        <v>723650.50886681327</v>
      </c>
      <c r="J53" s="84">
        <f>IF(J18=0,0,1000000*J18/TrRail_act!J33)</f>
        <v>741512.86317822512</v>
      </c>
      <c r="K53" s="84">
        <f>IF(K18=0,0,1000000*K18/TrRail_act!K33)</f>
        <v>692974.5285124802</v>
      </c>
      <c r="L53" s="84">
        <f>IF(L18=0,0,1000000*L18/TrRail_act!L33)</f>
        <v>791167.97851626924</v>
      </c>
      <c r="M53" s="84">
        <f>IF(M18=0,0,1000000*M18/TrRail_act!M33)</f>
        <v>784989.52498768514</v>
      </c>
      <c r="N53" s="84">
        <f>IF(N18=0,0,1000000*N18/TrRail_act!N33)</f>
        <v>723814.2141616185</v>
      </c>
      <c r="O53" s="84">
        <f>IF(O18=0,0,1000000*O18/TrRail_act!O33)</f>
        <v>712637.57906774164</v>
      </c>
      <c r="P53" s="84">
        <f>IF(P18=0,0,1000000*P18/TrRail_act!P33)</f>
        <v>680158.30495404825</v>
      </c>
      <c r="Q53" s="84">
        <f>IF(Q18=0,0,1000000*Q18/TrRail_act!Q33)</f>
        <v>726334.42141877825</v>
      </c>
      <c r="R53" s="84">
        <f>IF(R18=0,0,1000000*R18/TrRail_act!R33)</f>
        <v>732147.3968408606</v>
      </c>
      <c r="S53" s="84">
        <f>IF(S18=0,0,1000000*S18/TrRail_act!S33)</f>
        <v>729392.08581020276</v>
      </c>
      <c r="T53" s="84">
        <f>IF(T18=0,0,1000000*T18/TrRail_act!T33)</f>
        <v>727332.40963406127</v>
      </c>
      <c r="U53" s="84">
        <f>IF(U18=0,0,1000000*U18/TrRail_act!U33)</f>
        <v>691467.12725960591</v>
      </c>
      <c r="V53" s="84">
        <f>IF(V18=0,0,1000000*V18/TrRail_act!V33)</f>
        <v>713242.04471387109</v>
      </c>
      <c r="W53" s="84">
        <f>IF(W18=0,0,1000000*W18/TrRail_act!W33)</f>
        <v>723773.93746123079</v>
      </c>
      <c r="X53" s="84">
        <f>IF(X18=0,0,1000000*X18/TrRail_act!X33)</f>
        <v>681278.27507522528</v>
      </c>
      <c r="Y53" s="84">
        <f>IF(Y18=0,0,1000000*Y18/TrRail_act!Y33)</f>
        <v>709463.89958730096</v>
      </c>
      <c r="DA53" s="171" t="s">
        <v>1134</v>
      </c>
    </row>
    <row r="54" spans="1:105" ht="11.45" customHeight="1" x14ac:dyDescent="0.25">
      <c r="A54" s="85" t="s">
        <v>93</v>
      </c>
      <c r="B54" s="86">
        <f>IF(B19=0,0,1000000*B19/TrRail_act!B34)</f>
        <v>463441.59978736332</v>
      </c>
      <c r="C54" s="86">
        <f>IF(C19=0,0,1000000*C19/TrRail_act!C34)</f>
        <v>456854.18674801278</v>
      </c>
      <c r="D54" s="86">
        <f>IF(D19=0,0,1000000*D19/TrRail_act!D34)</f>
        <v>449697.40392929851</v>
      </c>
      <c r="E54" s="86">
        <f>IF(E19=0,0,1000000*E19/TrRail_act!E34)</f>
        <v>447370.60579982545</v>
      </c>
      <c r="F54" s="86">
        <f>IF(F19=0,0,1000000*F19/TrRail_act!F34)</f>
        <v>406535.91334623622</v>
      </c>
      <c r="G54" s="86">
        <f>IF(G19=0,0,1000000*G19/TrRail_act!G34)</f>
        <v>397313.72109532298</v>
      </c>
      <c r="H54" s="86">
        <f>IF(H19=0,0,1000000*H19/TrRail_act!H34)</f>
        <v>362642.00333616504</v>
      </c>
      <c r="I54" s="86">
        <f>IF(I19=0,0,1000000*I19/TrRail_act!I34)</f>
        <v>360395.37423543562</v>
      </c>
      <c r="J54" s="86">
        <f>IF(J19=0,0,1000000*J19/TrRail_act!J34)</f>
        <v>351926.03454071481</v>
      </c>
      <c r="K54" s="86">
        <f>IF(K19=0,0,1000000*K19/TrRail_act!K34)</f>
        <v>315861.62949103827</v>
      </c>
      <c r="L54" s="86">
        <f>IF(L19=0,0,1000000*L19/TrRail_act!L34)</f>
        <v>343770.54918363917</v>
      </c>
      <c r="M54" s="86">
        <f>IF(M19=0,0,1000000*M19/TrRail_act!M34)</f>
        <v>339565.52431762352</v>
      </c>
      <c r="N54" s="86">
        <f>IF(N19=0,0,1000000*N19/TrRail_act!N34)</f>
        <v>337195.36297273391</v>
      </c>
      <c r="O54" s="86">
        <f>IF(O19=0,0,1000000*O19/TrRail_act!O34)</f>
        <v>333079.55532626947</v>
      </c>
      <c r="P54" s="86">
        <f>IF(P19=0,0,1000000*P19/TrRail_act!P34)</f>
        <v>320528.89975637151</v>
      </c>
      <c r="Q54" s="86">
        <f>IF(Q19=0,0,1000000*Q19/TrRail_act!Q34)</f>
        <v>312584.33436940587</v>
      </c>
      <c r="R54" s="86">
        <f>IF(R19=0,0,1000000*R19/TrRail_act!R34)</f>
        <v>308289.18116324506</v>
      </c>
      <c r="S54" s="86">
        <f>IF(S19=0,0,1000000*S19/TrRail_act!S34)</f>
        <v>305106.59132252738</v>
      </c>
      <c r="T54" s="86">
        <f>IF(T19=0,0,1000000*T19/TrRail_act!T34)</f>
        <v>302741.22841631249</v>
      </c>
      <c r="U54" s="86">
        <f>IF(U19=0,0,1000000*U19/TrRail_act!U34)</f>
        <v>300979.24814061733</v>
      </c>
      <c r="V54" s="86">
        <f>IF(V19=0,0,1000000*V19/TrRail_act!V34)</f>
        <v>299664.4961223916</v>
      </c>
      <c r="W54" s="86">
        <f>IF(W19=0,0,1000000*W19/TrRail_act!W34)</f>
        <v>298682.20341734693</v>
      </c>
      <c r="X54" s="86">
        <f>IF(X19=0,0,1000000*X19/TrRail_act!X34)</f>
        <v>297947.59633933846</v>
      </c>
      <c r="Y54" s="86">
        <f>IF(Y19=0,0,1000000*Y19/TrRail_act!Y34)</f>
        <v>297397.82767430774</v>
      </c>
      <c r="DA54" s="178" t="s">
        <v>1135</v>
      </c>
    </row>
    <row r="55" spans="1:105" x14ac:dyDescent="0.25">
      <c r="A55" s="106"/>
      <c r="B55" s="106"/>
      <c r="C55" s="106"/>
      <c r="D55" s="106"/>
      <c r="E55" s="106"/>
      <c r="F55" s="106"/>
      <c r="G55" s="106"/>
      <c r="H55" s="106"/>
      <c r="I55" s="106"/>
      <c r="J55" s="106"/>
      <c r="K55" s="106"/>
      <c r="L55" s="106"/>
      <c r="M55" s="106"/>
      <c r="N55" s="106"/>
      <c r="O55" s="106"/>
      <c r="P55" s="106"/>
      <c r="Q55" s="106"/>
      <c r="R55" s="106"/>
      <c r="S55" s="106"/>
      <c r="T55" s="106"/>
      <c r="U55" s="106"/>
      <c r="V55" s="106"/>
      <c r="W55" s="106"/>
      <c r="X55" s="106"/>
      <c r="Y55" s="106"/>
      <c r="DA55" s="171"/>
    </row>
    <row r="56" spans="1:105" ht="11.45" customHeight="1" x14ac:dyDescent="0.25">
      <c r="A56" s="53" t="s">
        <v>40</v>
      </c>
      <c r="B56" s="65">
        <f t="shared" ref="B56:B65" si="15">IF(B10=0,0,B10/B$10)</f>
        <v>1</v>
      </c>
      <c r="C56" s="65">
        <f t="shared" ref="C56:V56" si="16">IF(C10=0,0,C10/C$10)</f>
        <v>1</v>
      </c>
      <c r="D56" s="65">
        <f t="shared" si="16"/>
        <v>1</v>
      </c>
      <c r="E56" s="65">
        <f t="shared" si="16"/>
        <v>1</v>
      </c>
      <c r="F56" s="65">
        <f t="shared" si="16"/>
        <v>1</v>
      </c>
      <c r="G56" s="65">
        <f t="shared" si="16"/>
        <v>1</v>
      </c>
      <c r="H56" s="65">
        <f t="shared" si="16"/>
        <v>1</v>
      </c>
      <c r="I56" s="65">
        <f t="shared" si="16"/>
        <v>1</v>
      </c>
      <c r="J56" s="65">
        <f t="shared" si="16"/>
        <v>1</v>
      </c>
      <c r="K56" s="65">
        <f t="shared" si="16"/>
        <v>1</v>
      </c>
      <c r="L56" s="65">
        <f t="shared" si="16"/>
        <v>1</v>
      </c>
      <c r="M56" s="65">
        <f t="shared" si="16"/>
        <v>1</v>
      </c>
      <c r="N56" s="65">
        <f t="shared" si="16"/>
        <v>1</v>
      </c>
      <c r="O56" s="65">
        <f t="shared" si="16"/>
        <v>1</v>
      </c>
      <c r="P56" s="65">
        <f t="shared" si="16"/>
        <v>1</v>
      </c>
      <c r="Q56" s="65">
        <f t="shared" si="16"/>
        <v>1</v>
      </c>
      <c r="R56" s="65">
        <f t="shared" si="16"/>
        <v>1</v>
      </c>
      <c r="S56" s="65">
        <f t="shared" si="16"/>
        <v>1</v>
      </c>
      <c r="T56" s="65">
        <f t="shared" si="16"/>
        <v>1</v>
      </c>
      <c r="U56" s="65">
        <f t="shared" si="16"/>
        <v>1</v>
      </c>
      <c r="V56" s="65">
        <f t="shared" si="16"/>
        <v>1</v>
      </c>
      <c r="W56" s="65">
        <f t="shared" ref="W56:Y56" si="17">IF(W10=0,0,W10/W$10)</f>
        <v>1</v>
      </c>
      <c r="X56" s="65">
        <f t="shared" si="17"/>
        <v>1</v>
      </c>
      <c r="Y56" s="65">
        <f t="shared" si="17"/>
        <v>1</v>
      </c>
      <c r="DA56" s="172"/>
    </row>
    <row r="57" spans="1:105" ht="11.45" customHeight="1" x14ac:dyDescent="0.25">
      <c r="A57" s="27" t="s">
        <v>33</v>
      </c>
      <c r="B57" s="31">
        <f t="shared" si="15"/>
        <v>0.54762666532710447</v>
      </c>
      <c r="C57" s="31">
        <f t="shared" ref="C57:V57" si="18">IF(C11=0,0,C11/C$10)</f>
        <v>0.58849700319931086</v>
      </c>
      <c r="D57" s="31">
        <f t="shared" si="18"/>
        <v>0.60808663924400541</v>
      </c>
      <c r="E57" s="31">
        <f t="shared" si="18"/>
        <v>0.60220388457210994</v>
      </c>
      <c r="F57" s="31">
        <f t="shared" si="18"/>
        <v>0.5630998382761826</v>
      </c>
      <c r="G57" s="31">
        <f t="shared" si="18"/>
        <v>0.58060730507401181</v>
      </c>
      <c r="H57" s="31">
        <f t="shared" si="18"/>
        <v>0.50548960878610216</v>
      </c>
      <c r="I57" s="31">
        <f t="shared" si="18"/>
        <v>0.54720891534609351</v>
      </c>
      <c r="J57" s="31">
        <f t="shared" si="18"/>
        <v>0.54332924889981882</v>
      </c>
      <c r="K57" s="31">
        <f t="shared" si="18"/>
        <v>0.59269278749908483</v>
      </c>
      <c r="L57" s="31">
        <f t="shared" si="18"/>
        <v>0.5408485354672995</v>
      </c>
      <c r="M57" s="31">
        <f t="shared" si="18"/>
        <v>0.51641415085319498</v>
      </c>
      <c r="N57" s="31">
        <f t="shared" si="18"/>
        <v>0.55667166842314941</v>
      </c>
      <c r="O57" s="31">
        <f t="shared" si="18"/>
        <v>0.55858441423502414</v>
      </c>
      <c r="P57" s="31">
        <f t="shared" si="18"/>
        <v>0.56420311158244818</v>
      </c>
      <c r="Q57" s="31">
        <f t="shared" si="18"/>
        <v>0.5772028091863004</v>
      </c>
      <c r="R57" s="31">
        <f t="shared" si="18"/>
        <v>0.6097535298679827</v>
      </c>
      <c r="S57" s="31">
        <f t="shared" si="18"/>
        <v>0.60124726482804203</v>
      </c>
      <c r="T57" s="31">
        <f t="shared" si="18"/>
        <v>0.598589417714952</v>
      </c>
      <c r="U57" s="31">
        <f t="shared" si="18"/>
        <v>0.61056293405614792</v>
      </c>
      <c r="V57" s="31">
        <f t="shared" si="18"/>
        <v>0.60576185057466647</v>
      </c>
      <c r="W57" s="31">
        <f t="shared" ref="W57:Y57" si="19">IF(W11=0,0,W11/W$10)</f>
        <v>0.60850874186394899</v>
      </c>
      <c r="X57" s="31">
        <f t="shared" si="19"/>
        <v>0.64560815400435823</v>
      </c>
      <c r="Y57" s="31">
        <f t="shared" si="19"/>
        <v>0.65627881116836584</v>
      </c>
      <c r="DA57" s="173"/>
    </row>
    <row r="58" spans="1:105" ht="11.45" customHeight="1" x14ac:dyDescent="0.25">
      <c r="A58" s="107" t="s">
        <v>23</v>
      </c>
      <c r="B58" s="123">
        <f t="shared" si="15"/>
        <v>4.8407809913037177E-2</v>
      </c>
      <c r="C58" s="123">
        <f t="shared" ref="C58:V58" si="20">IF(C12=0,0,C12/C$10)</f>
        <v>4.8318827933798394E-2</v>
      </c>
      <c r="D58" s="123">
        <f t="shared" si="20"/>
        <v>4.8808873486898281E-2</v>
      </c>
      <c r="E58" s="123">
        <f t="shared" si="20"/>
        <v>4.5774202127777698E-2</v>
      </c>
      <c r="F58" s="123">
        <f t="shared" si="20"/>
        <v>4.7461638313041982E-2</v>
      </c>
      <c r="G58" s="123">
        <f t="shared" si="20"/>
        <v>4.7599568671885278E-2</v>
      </c>
      <c r="H58" s="123">
        <f t="shared" si="20"/>
        <v>5.3120424672281584E-2</v>
      </c>
      <c r="I58" s="123">
        <f t="shared" si="20"/>
        <v>5.1417790921280147E-2</v>
      </c>
      <c r="J58" s="123">
        <f t="shared" si="20"/>
        <v>5.4294316078875235E-2</v>
      </c>
      <c r="K58" s="123">
        <f t="shared" si="20"/>
        <v>5.5627108746448078E-2</v>
      </c>
      <c r="L58" s="123">
        <f t="shared" si="20"/>
        <v>5.6118353331551442E-2</v>
      </c>
      <c r="M58" s="123">
        <f t="shared" si="20"/>
        <v>5.504041486981593E-2</v>
      </c>
      <c r="N58" s="123">
        <f t="shared" si="20"/>
        <v>5.7997540315007465E-2</v>
      </c>
      <c r="O58" s="123">
        <f t="shared" si="20"/>
        <v>5.5389922720078283E-2</v>
      </c>
      <c r="P58" s="123">
        <f t="shared" si="20"/>
        <v>6.006522074716656E-2</v>
      </c>
      <c r="Q58" s="123">
        <f t="shared" si="20"/>
        <v>5.8473528218309458E-2</v>
      </c>
      <c r="R58" s="123">
        <f t="shared" si="20"/>
        <v>5.7103593439546844E-2</v>
      </c>
      <c r="S58" s="123">
        <f t="shared" si="20"/>
        <v>5.3920129082656462E-2</v>
      </c>
      <c r="T58" s="123">
        <f t="shared" si="20"/>
        <v>4.9662862386682806E-2</v>
      </c>
      <c r="U58" s="123">
        <f t="shared" si="20"/>
        <v>5.314087698272759E-2</v>
      </c>
      <c r="V58" s="123">
        <f t="shared" si="20"/>
        <v>5.5294580331617035E-2</v>
      </c>
      <c r="W58" s="123">
        <f t="shared" ref="W58:Y58" si="21">IF(W12=0,0,W12/W$10)</f>
        <v>4.8129599206774121E-2</v>
      </c>
      <c r="X58" s="123">
        <f t="shared" si="21"/>
        <v>4.4397935835626207E-2</v>
      </c>
      <c r="Y58" s="123">
        <f t="shared" si="21"/>
        <v>4.5983258198470808E-2</v>
      </c>
      <c r="DA58" s="203"/>
    </row>
    <row r="59" spans="1:105" ht="11.45" customHeight="1" x14ac:dyDescent="0.25">
      <c r="A59" s="109" t="s">
        <v>24</v>
      </c>
      <c r="B59" s="124">
        <f t="shared" si="15"/>
        <v>0.4992188554140673</v>
      </c>
      <c r="C59" s="124">
        <f t="shared" ref="C59:V59" si="22">IF(C13=0,0,C13/C$10)</f>
        <v>0.54017817526551248</v>
      </c>
      <c r="D59" s="124">
        <f t="shared" si="22"/>
        <v>0.55927776575710708</v>
      </c>
      <c r="E59" s="124">
        <f t="shared" si="22"/>
        <v>0.55642968244433222</v>
      </c>
      <c r="F59" s="124">
        <f t="shared" si="22"/>
        <v>0.51563819996314064</v>
      </c>
      <c r="G59" s="124">
        <f t="shared" si="22"/>
        <v>0.53300773640212651</v>
      </c>
      <c r="H59" s="124">
        <f t="shared" si="22"/>
        <v>0.4523691841138206</v>
      </c>
      <c r="I59" s="124">
        <f t="shared" si="22"/>
        <v>0.49579112442481327</v>
      </c>
      <c r="J59" s="124">
        <f t="shared" si="22"/>
        <v>0.48903493282094362</v>
      </c>
      <c r="K59" s="124">
        <f t="shared" si="22"/>
        <v>0.53706567875263678</v>
      </c>
      <c r="L59" s="124">
        <f t="shared" si="22"/>
        <v>0.48473018213574803</v>
      </c>
      <c r="M59" s="124">
        <f t="shared" si="22"/>
        <v>0.46137373598337911</v>
      </c>
      <c r="N59" s="124">
        <f t="shared" si="22"/>
        <v>0.49867412810814188</v>
      </c>
      <c r="O59" s="124">
        <f t="shared" si="22"/>
        <v>0.50319449151494577</v>
      </c>
      <c r="P59" s="124">
        <f t="shared" si="22"/>
        <v>0.50413789083528171</v>
      </c>
      <c r="Q59" s="124">
        <f t="shared" si="22"/>
        <v>0.50930594629621218</v>
      </c>
      <c r="R59" s="124">
        <f t="shared" si="22"/>
        <v>0.52625865818648365</v>
      </c>
      <c r="S59" s="124">
        <f t="shared" si="22"/>
        <v>0.52320566596641793</v>
      </c>
      <c r="T59" s="124">
        <f t="shared" si="22"/>
        <v>0.52613411946143318</v>
      </c>
      <c r="U59" s="124">
        <f t="shared" si="22"/>
        <v>0.53143765999308712</v>
      </c>
      <c r="V59" s="124">
        <f t="shared" si="22"/>
        <v>0.52431758270237772</v>
      </c>
      <c r="W59" s="124">
        <f t="shared" ref="W59:Y59" si="23">IF(W13=0,0,W13/W$10)</f>
        <v>0.53626165782834945</v>
      </c>
      <c r="X59" s="124">
        <f t="shared" si="23"/>
        <v>0.57859482701468345</v>
      </c>
      <c r="Y59" s="124">
        <f t="shared" si="23"/>
        <v>0.58739817168386632</v>
      </c>
      <c r="DA59" s="176"/>
    </row>
    <row r="60" spans="1:105" ht="11.45" customHeight="1" x14ac:dyDescent="0.25">
      <c r="A60" s="111" t="s">
        <v>92</v>
      </c>
      <c r="B60" s="125">
        <f t="shared" si="15"/>
        <v>0.19505743846353046</v>
      </c>
      <c r="C60" s="125">
        <f t="shared" ref="C60:V60" si="24">IF(C14=0,0,C14/C$10)</f>
        <v>0.19942652875517855</v>
      </c>
      <c r="D60" s="125">
        <f t="shared" si="24"/>
        <v>0.18844183068893988</v>
      </c>
      <c r="E60" s="125">
        <f t="shared" si="24"/>
        <v>0.19349763883004262</v>
      </c>
      <c r="F60" s="125">
        <f t="shared" si="24"/>
        <v>0.17057818963943933</v>
      </c>
      <c r="G60" s="125">
        <f t="shared" si="24"/>
        <v>0.1953102594253415</v>
      </c>
      <c r="H60" s="125">
        <f t="shared" si="24"/>
        <v>0.13587820838908535</v>
      </c>
      <c r="I60" s="125">
        <f t="shared" si="24"/>
        <v>0.17205478703829444</v>
      </c>
      <c r="J60" s="125">
        <f t="shared" si="24"/>
        <v>0.14292646678535914</v>
      </c>
      <c r="K60" s="125">
        <f t="shared" si="24"/>
        <v>0.16628422298245302</v>
      </c>
      <c r="L60" s="125">
        <f t="shared" si="24"/>
        <v>9.9192642069126508E-2</v>
      </c>
      <c r="M60" s="125">
        <f t="shared" si="24"/>
        <v>9.7925213683484669E-2</v>
      </c>
      <c r="N60" s="125">
        <f t="shared" si="24"/>
        <v>0.10842073087673544</v>
      </c>
      <c r="O60" s="125">
        <f t="shared" si="24"/>
        <v>0.10237336485747407</v>
      </c>
      <c r="P60" s="125">
        <f t="shared" si="24"/>
        <v>9.9019277705476957E-2</v>
      </c>
      <c r="Q60" s="125">
        <f t="shared" si="24"/>
        <v>7.4719967636713916E-2</v>
      </c>
      <c r="R60" s="125">
        <f t="shared" si="24"/>
        <v>8.146572377173085E-2</v>
      </c>
      <c r="S60" s="125">
        <f t="shared" si="24"/>
        <v>7.0526079352370374E-2</v>
      </c>
      <c r="T60" s="125">
        <f t="shared" si="24"/>
        <v>8.5137492720867153E-2</v>
      </c>
      <c r="U60" s="125">
        <f t="shared" si="24"/>
        <v>6.2036224669903627E-2</v>
      </c>
      <c r="V60" s="125">
        <f t="shared" si="24"/>
        <v>6.328064873536883E-2</v>
      </c>
      <c r="W60" s="125">
        <f t="shared" ref="W60:Y60" si="25">IF(W14=0,0,W14/W$10)</f>
        <v>4.1975941096768284E-2</v>
      </c>
      <c r="X60" s="125">
        <f t="shared" si="25"/>
        <v>6.2812348065509449E-2</v>
      </c>
      <c r="Y60" s="125">
        <f t="shared" si="25"/>
        <v>4.7084766882764161E-2</v>
      </c>
      <c r="DA60" s="171"/>
    </row>
    <row r="61" spans="1:105" ht="11.45" customHeight="1" x14ac:dyDescent="0.25">
      <c r="A61" s="111" t="s">
        <v>93</v>
      </c>
      <c r="B61" s="125">
        <f t="shared" si="15"/>
        <v>0.30416141695053689</v>
      </c>
      <c r="C61" s="125">
        <f t="shared" ref="C61:V61" si="26">IF(C15=0,0,C15/C$10)</f>
        <v>0.34075164651033396</v>
      </c>
      <c r="D61" s="125">
        <f t="shared" si="26"/>
        <v>0.3708359350681672</v>
      </c>
      <c r="E61" s="125">
        <f t="shared" si="26"/>
        <v>0.36293204361428955</v>
      </c>
      <c r="F61" s="125">
        <f t="shared" si="26"/>
        <v>0.34506001032370126</v>
      </c>
      <c r="G61" s="125">
        <f t="shared" si="26"/>
        <v>0.33769747697678498</v>
      </c>
      <c r="H61" s="125">
        <f t="shared" si="26"/>
        <v>0.31649097572473522</v>
      </c>
      <c r="I61" s="125">
        <f t="shared" si="26"/>
        <v>0.32373633738651886</v>
      </c>
      <c r="J61" s="125">
        <f t="shared" si="26"/>
        <v>0.34610846603558448</v>
      </c>
      <c r="K61" s="125">
        <f t="shared" si="26"/>
        <v>0.37078145577018379</v>
      </c>
      <c r="L61" s="125">
        <f t="shared" si="26"/>
        <v>0.38553754006662155</v>
      </c>
      <c r="M61" s="125">
        <f t="shared" si="26"/>
        <v>0.36344852229989438</v>
      </c>
      <c r="N61" s="125">
        <f t="shared" si="26"/>
        <v>0.39025339723140645</v>
      </c>
      <c r="O61" s="125">
        <f t="shared" si="26"/>
        <v>0.40082112665747177</v>
      </c>
      <c r="P61" s="125">
        <f t="shared" si="26"/>
        <v>0.40511861312980474</v>
      </c>
      <c r="Q61" s="125">
        <f t="shared" si="26"/>
        <v>0.43458597865949822</v>
      </c>
      <c r="R61" s="125">
        <f t="shared" si="26"/>
        <v>0.44479293441475287</v>
      </c>
      <c r="S61" s="125">
        <f t="shared" si="26"/>
        <v>0.45267958661404756</v>
      </c>
      <c r="T61" s="125">
        <f t="shared" si="26"/>
        <v>0.440996626740566</v>
      </c>
      <c r="U61" s="125">
        <f t="shared" si="26"/>
        <v>0.46940143532318351</v>
      </c>
      <c r="V61" s="125">
        <f t="shared" si="26"/>
        <v>0.46103693396700884</v>
      </c>
      <c r="W61" s="125">
        <f t="shared" ref="W61:Y61" si="27">IF(W15=0,0,W15/W$10)</f>
        <v>0.49428571673158117</v>
      </c>
      <c r="X61" s="125">
        <f t="shared" si="27"/>
        <v>0.51578247894917395</v>
      </c>
      <c r="Y61" s="125">
        <f t="shared" si="27"/>
        <v>0.54031340480110213</v>
      </c>
      <c r="DA61" s="171"/>
    </row>
    <row r="62" spans="1:105" ht="11.45" customHeight="1" x14ac:dyDescent="0.25">
      <c r="A62" s="112" t="s">
        <v>25</v>
      </c>
      <c r="B62" s="126">
        <f t="shared" si="15"/>
        <v>0</v>
      </c>
      <c r="C62" s="126">
        <f t="shared" ref="C62:V62" si="28">IF(C16=0,0,C16/C$10)</f>
        <v>0</v>
      </c>
      <c r="D62" s="126">
        <f t="shared" si="28"/>
        <v>0</v>
      </c>
      <c r="E62" s="126">
        <f t="shared" si="28"/>
        <v>0</v>
      </c>
      <c r="F62" s="126">
        <f t="shared" si="28"/>
        <v>0</v>
      </c>
      <c r="G62" s="126">
        <f t="shared" si="28"/>
        <v>0</v>
      </c>
      <c r="H62" s="126">
        <f t="shared" si="28"/>
        <v>0</v>
      </c>
      <c r="I62" s="126">
        <f t="shared" si="28"/>
        <v>0</v>
      </c>
      <c r="J62" s="126">
        <f t="shared" si="28"/>
        <v>0</v>
      </c>
      <c r="K62" s="126">
        <f t="shared" si="28"/>
        <v>0</v>
      </c>
      <c r="L62" s="126">
        <f t="shared" si="28"/>
        <v>0</v>
      </c>
      <c r="M62" s="126">
        <f t="shared" si="28"/>
        <v>0</v>
      </c>
      <c r="N62" s="126">
        <f t="shared" si="28"/>
        <v>0</v>
      </c>
      <c r="O62" s="126">
        <f t="shared" si="28"/>
        <v>0</v>
      </c>
      <c r="P62" s="126">
        <f t="shared" si="28"/>
        <v>0</v>
      </c>
      <c r="Q62" s="126">
        <f t="shared" si="28"/>
        <v>9.4233346717788134E-3</v>
      </c>
      <c r="R62" s="126">
        <f t="shared" si="28"/>
        <v>2.639127824195216E-2</v>
      </c>
      <c r="S62" s="126">
        <f t="shared" si="28"/>
        <v>2.4121469778967525E-2</v>
      </c>
      <c r="T62" s="126">
        <f t="shared" si="28"/>
        <v>2.2792435866836037E-2</v>
      </c>
      <c r="U62" s="126">
        <f t="shared" si="28"/>
        <v>2.5984397080333184E-2</v>
      </c>
      <c r="V62" s="126">
        <f t="shared" si="28"/>
        <v>2.6149687540671672E-2</v>
      </c>
      <c r="W62" s="126">
        <f t="shared" ref="W62:Y62" si="29">IF(W16=0,0,W16/W$10)</f>
        <v>2.4117484828825371E-2</v>
      </c>
      <c r="X62" s="126">
        <f t="shared" si="29"/>
        <v>2.2615391154048613E-2</v>
      </c>
      <c r="Y62" s="126">
        <f t="shared" si="29"/>
        <v>2.2897381286028751E-2</v>
      </c>
      <c r="DA62" s="204"/>
    </row>
    <row r="63" spans="1:105" ht="11.45" customHeight="1" x14ac:dyDescent="0.25">
      <c r="A63" s="27" t="s">
        <v>34</v>
      </c>
      <c r="B63" s="31">
        <f t="shared" si="15"/>
        <v>0.45237333467289553</v>
      </c>
      <c r="C63" s="31">
        <f t="shared" ref="C63:V63" si="30">IF(C17=0,0,C17/C$10)</f>
        <v>0.41150299680068914</v>
      </c>
      <c r="D63" s="31">
        <f t="shared" si="30"/>
        <v>0.3919133607559947</v>
      </c>
      <c r="E63" s="31">
        <f t="shared" si="30"/>
        <v>0.39779611542789012</v>
      </c>
      <c r="F63" s="31">
        <f t="shared" si="30"/>
        <v>0.4369001617238174</v>
      </c>
      <c r="G63" s="31">
        <f t="shared" si="30"/>
        <v>0.41939269492598819</v>
      </c>
      <c r="H63" s="31">
        <f t="shared" si="30"/>
        <v>0.49451039121389784</v>
      </c>
      <c r="I63" s="31">
        <f t="shared" si="30"/>
        <v>0.45279108465390655</v>
      </c>
      <c r="J63" s="31">
        <f t="shared" si="30"/>
        <v>0.45667075110018113</v>
      </c>
      <c r="K63" s="31">
        <f t="shared" si="30"/>
        <v>0.40730721250091523</v>
      </c>
      <c r="L63" s="31">
        <f t="shared" si="30"/>
        <v>0.4591514645327005</v>
      </c>
      <c r="M63" s="31">
        <f t="shared" si="30"/>
        <v>0.48358584914680502</v>
      </c>
      <c r="N63" s="31">
        <f t="shared" si="30"/>
        <v>0.44332833157685053</v>
      </c>
      <c r="O63" s="31">
        <f t="shared" si="30"/>
        <v>0.44141558576497592</v>
      </c>
      <c r="P63" s="31">
        <f t="shared" si="30"/>
        <v>0.43579688841755188</v>
      </c>
      <c r="Q63" s="31">
        <f t="shared" si="30"/>
        <v>0.42279719081369965</v>
      </c>
      <c r="R63" s="31">
        <f t="shared" si="30"/>
        <v>0.3902464701320173</v>
      </c>
      <c r="S63" s="31">
        <f t="shared" si="30"/>
        <v>0.39875273517195803</v>
      </c>
      <c r="T63" s="31">
        <f t="shared" si="30"/>
        <v>0.40141058228504806</v>
      </c>
      <c r="U63" s="31">
        <f t="shared" si="30"/>
        <v>0.38943706594385213</v>
      </c>
      <c r="V63" s="31">
        <f t="shared" si="30"/>
        <v>0.39423814942533347</v>
      </c>
      <c r="W63" s="31">
        <f t="shared" ref="W63:Y63" si="31">IF(W17=0,0,W17/W$10)</f>
        <v>0.39149125813605096</v>
      </c>
      <c r="X63" s="31">
        <f t="shared" si="31"/>
        <v>0.35439184599564177</v>
      </c>
      <c r="Y63" s="31">
        <f t="shared" si="31"/>
        <v>0.34372118883163411</v>
      </c>
      <c r="DA63" s="173"/>
    </row>
    <row r="64" spans="1:105" ht="11.45" customHeight="1" x14ac:dyDescent="0.25">
      <c r="A64" s="83" t="s">
        <v>92</v>
      </c>
      <c r="B64" s="125">
        <f t="shared" si="15"/>
        <v>0.11877781798357576</v>
      </c>
      <c r="C64" s="125">
        <f t="shared" ref="C64:V64" si="32">IF(C18=0,0,C18/C$10)</f>
        <v>0.111242066165449</v>
      </c>
      <c r="D64" s="125">
        <f t="shared" si="32"/>
        <v>0.1100961093584342</v>
      </c>
      <c r="E64" s="125">
        <f t="shared" si="32"/>
        <v>0.11218331521010577</v>
      </c>
      <c r="F64" s="125">
        <f t="shared" si="32"/>
        <v>0.1610371629282889</v>
      </c>
      <c r="G64" s="125">
        <f t="shared" si="32"/>
        <v>0.15184664476289803</v>
      </c>
      <c r="H64" s="125">
        <f t="shared" si="32"/>
        <v>0.22233566130619975</v>
      </c>
      <c r="I64" s="125">
        <f t="shared" si="32"/>
        <v>0.17216865582490584</v>
      </c>
      <c r="J64" s="125">
        <f t="shared" si="32"/>
        <v>0.17753673434379655</v>
      </c>
      <c r="K64" s="125">
        <f t="shared" si="32"/>
        <v>0.16919259854670346</v>
      </c>
      <c r="L64" s="125">
        <f t="shared" si="32"/>
        <v>0.21135800326616938</v>
      </c>
      <c r="M64" s="125">
        <f t="shared" si="32"/>
        <v>0.22047539181433598</v>
      </c>
      <c r="N64" s="125">
        <f t="shared" si="32"/>
        <v>0.20102400690942895</v>
      </c>
      <c r="O64" s="125">
        <f t="shared" si="32"/>
        <v>0.19209340484886295</v>
      </c>
      <c r="P64" s="125">
        <f t="shared" si="32"/>
        <v>0.18489000473979786</v>
      </c>
      <c r="Q64" s="125">
        <f t="shared" si="32"/>
        <v>0.18456752941155471</v>
      </c>
      <c r="R64" s="125">
        <f t="shared" si="32"/>
        <v>0.16728549656308531</v>
      </c>
      <c r="S64" s="125">
        <f t="shared" si="32"/>
        <v>0.17623673318088504</v>
      </c>
      <c r="T64" s="125">
        <f t="shared" si="32"/>
        <v>0.18889126327676892</v>
      </c>
      <c r="U64" s="125">
        <f t="shared" si="32"/>
        <v>0.17992860308244518</v>
      </c>
      <c r="V64" s="125">
        <f t="shared" si="32"/>
        <v>0.1875259215227543</v>
      </c>
      <c r="W64" s="125">
        <f t="shared" ref="W64:Y64" si="33">IF(W18=0,0,W18/W$10)</f>
        <v>0.20379621855757535</v>
      </c>
      <c r="X64" s="125">
        <f t="shared" si="33"/>
        <v>0.17718740492869262</v>
      </c>
      <c r="Y64" s="125">
        <f t="shared" si="33"/>
        <v>0.17754222612334744</v>
      </c>
      <c r="DA64" s="171"/>
    </row>
    <row r="65" spans="1:105" ht="11.45" customHeight="1" x14ac:dyDescent="0.25">
      <c r="A65" s="85" t="s">
        <v>93</v>
      </c>
      <c r="B65" s="127">
        <f t="shared" si="15"/>
        <v>0.33359551668931975</v>
      </c>
      <c r="C65" s="127">
        <f t="shared" ref="C65:V65" si="34">IF(C19=0,0,C19/C$10)</f>
        <v>0.30026093063524012</v>
      </c>
      <c r="D65" s="127">
        <f t="shared" si="34"/>
        <v>0.28181725139756053</v>
      </c>
      <c r="E65" s="127">
        <f t="shared" si="34"/>
        <v>0.28561280021778429</v>
      </c>
      <c r="F65" s="127">
        <f t="shared" si="34"/>
        <v>0.27586299879552845</v>
      </c>
      <c r="G65" s="127">
        <f t="shared" si="34"/>
        <v>0.26754605016309019</v>
      </c>
      <c r="H65" s="127">
        <f t="shared" si="34"/>
        <v>0.27217472990769809</v>
      </c>
      <c r="I65" s="127">
        <f t="shared" si="34"/>
        <v>0.28062242882900074</v>
      </c>
      <c r="J65" s="127">
        <f t="shared" si="34"/>
        <v>0.27913401675638461</v>
      </c>
      <c r="K65" s="127">
        <f t="shared" si="34"/>
        <v>0.23811461395421174</v>
      </c>
      <c r="L65" s="127">
        <f t="shared" si="34"/>
        <v>0.2477934612665311</v>
      </c>
      <c r="M65" s="127">
        <f t="shared" si="34"/>
        <v>0.26311045733246902</v>
      </c>
      <c r="N65" s="127">
        <f t="shared" si="34"/>
        <v>0.24230432466742158</v>
      </c>
      <c r="O65" s="127">
        <f t="shared" si="34"/>
        <v>0.24932218091611297</v>
      </c>
      <c r="P65" s="127">
        <f t="shared" si="34"/>
        <v>0.25090688367775399</v>
      </c>
      <c r="Q65" s="127">
        <f t="shared" si="34"/>
        <v>0.23822966140214491</v>
      </c>
      <c r="R65" s="127">
        <f t="shared" si="34"/>
        <v>0.22296097356893202</v>
      </c>
      <c r="S65" s="127">
        <f t="shared" si="34"/>
        <v>0.22251600199107299</v>
      </c>
      <c r="T65" s="127">
        <f t="shared" si="34"/>
        <v>0.21251931900827908</v>
      </c>
      <c r="U65" s="127">
        <f t="shared" si="34"/>
        <v>0.20950846286140692</v>
      </c>
      <c r="V65" s="127">
        <f t="shared" si="34"/>
        <v>0.20671222790257918</v>
      </c>
      <c r="W65" s="127">
        <f t="shared" ref="W65:Y65" si="35">IF(W19=0,0,W19/W$10)</f>
        <v>0.18769503957847564</v>
      </c>
      <c r="X65" s="127">
        <f t="shared" si="35"/>
        <v>0.17720444106694921</v>
      </c>
      <c r="Y65" s="127">
        <f t="shared" si="35"/>
        <v>0.16617896270828666</v>
      </c>
      <c r="DA65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Y5 B13:Y13" formulaRange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DA68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1136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DA2" s="171"/>
    </row>
    <row r="3" spans="1:105" ht="11.45" customHeight="1" x14ac:dyDescent="0.25">
      <c r="A3" s="53" t="s">
        <v>44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X3" s="132"/>
      <c r="Y3" s="132"/>
      <c r="DA3" s="172"/>
    </row>
    <row r="4" spans="1:105" ht="11.45" customHeight="1" x14ac:dyDescent="0.25">
      <c r="A4" s="20" t="s">
        <v>45</v>
      </c>
      <c r="B4" s="26">
        <f>SUM(B5:B6)</f>
        <v>525.73941108000008</v>
      </c>
      <c r="C4" s="26">
        <f t="shared" ref="C4:W4" si="0">SUM(C5:C6)</f>
        <v>512.99441855999999</v>
      </c>
      <c r="D4" s="26">
        <f t="shared" si="0"/>
        <v>487.50390000000004</v>
      </c>
      <c r="E4" s="26">
        <f t="shared" si="0"/>
        <v>512.99441855999999</v>
      </c>
      <c r="F4" s="26">
        <f t="shared" si="0"/>
        <v>512.99441855999999</v>
      </c>
      <c r="G4" s="26">
        <f t="shared" si="0"/>
        <v>503.43534072</v>
      </c>
      <c r="H4" s="26">
        <f t="shared" si="0"/>
        <v>462.01338144000016</v>
      </c>
      <c r="I4" s="26">
        <f t="shared" si="0"/>
        <v>455.64101856000002</v>
      </c>
      <c r="J4" s="26">
        <f t="shared" si="0"/>
        <v>398.28761855999994</v>
      </c>
      <c r="K4" s="26">
        <f t="shared" si="0"/>
        <v>385.02351108000005</v>
      </c>
      <c r="L4" s="26">
        <f t="shared" si="0"/>
        <v>356.14674108000008</v>
      </c>
      <c r="M4" s="26">
        <f t="shared" si="0"/>
        <v>368.98083143999986</v>
      </c>
      <c r="N4" s="26">
        <f t="shared" si="0"/>
        <v>343.31265071999997</v>
      </c>
      <c r="O4" s="26">
        <f t="shared" si="0"/>
        <v>317.64447000000007</v>
      </c>
      <c r="P4" s="26">
        <f t="shared" si="0"/>
        <v>285.55911071999998</v>
      </c>
      <c r="Q4" s="26">
        <f t="shared" si="0"/>
        <v>261.27648144</v>
      </c>
      <c r="R4" s="26">
        <f t="shared" si="0"/>
        <v>261.27648144</v>
      </c>
      <c r="S4" s="26">
        <f t="shared" si="0"/>
        <v>267.84037799999999</v>
      </c>
      <c r="T4" s="26">
        <f t="shared" si="0"/>
        <v>322.34531472000003</v>
      </c>
      <c r="U4" s="26">
        <f t="shared" si="0"/>
        <v>267.93267695999998</v>
      </c>
      <c r="V4" s="26">
        <f t="shared" si="0"/>
        <v>258.30690912</v>
      </c>
      <c r="W4" s="26">
        <f t="shared" si="0"/>
        <v>279.92914092000001</v>
      </c>
      <c r="X4" s="26">
        <f t="shared" ref="X4:Y4" si="1">SUM(X5:X6)</f>
        <v>279.92914092000001</v>
      </c>
      <c r="Y4" s="26">
        <f t="shared" si="1"/>
        <v>256.71381840000004</v>
      </c>
      <c r="DA4" s="202" t="s">
        <v>1137</v>
      </c>
    </row>
    <row r="5" spans="1:105" ht="11.45" customHeight="1" x14ac:dyDescent="0.25">
      <c r="A5" s="107" t="s">
        <v>92</v>
      </c>
      <c r="B5" s="129">
        <v>525.73941108000008</v>
      </c>
      <c r="C5" s="129">
        <v>512.99441855999999</v>
      </c>
      <c r="D5" s="129">
        <v>487.50390000000004</v>
      </c>
      <c r="E5" s="129">
        <v>512.99441855999999</v>
      </c>
      <c r="F5" s="129">
        <v>512.99441855999999</v>
      </c>
      <c r="G5" s="129">
        <v>503.43534072</v>
      </c>
      <c r="H5" s="129">
        <v>462.01338144000016</v>
      </c>
      <c r="I5" s="129">
        <v>455.64101856000002</v>
      </c>
      <c r="J5" s="129">
        <v>398.28761855999994</v>
      </c>
      <c r="K5" s="129">
        <v>385.02351108000005</v>
      </c>
      <c r="L5" s="129">
        <v>356.14674108000008</v>
      </c>
      <c r="M5" s="129">
        <v>368.98083143999986</v>
      </c>
      <c r="N5" s="129">
        <v>343.31265071999997</v>
      </c>
      <c r="O5" s="129">
        <v>317.64447000000007</v>
      </c>
      <c r="P5" s="129">
        <v>285.55911071999998</v>
      </c>
      <c r="Q5" s="129">
        <v>261.27648144</v>
      </c>
      <c r="R5" s="129">
        <v>261.27648144</v>
      </c>
      <c r="S5" s="129">
        <v>267.84037799999999</v>
      </c>
      <c r="T5" s="129">
        <v>322.34531472000003</v>
      </c>
      <c r="U5" s="129">
        <v>267.93267695999998</v>
      </c>
      <c r="V5" s="129">
        <v>258.30690912</v>
      </c>
      <c r="W5" s="129">
        <v>279.92914092000001</v>
      </c>
      <c r="X5" s="129">
        <v>279.92914092000001</v>
      </c>
      <c r="Y5" s="129">
        <v>256.71381840000004</v>
      </c>
      <c r="DA5" s="203" t="s">
        <v>1138</v>
      </c>
    </row>
    <row r="6" spans="1:105" ht="11.45" customHeight="1" x14ac:dyDescent="0.25">
      <c r="A6" s="85" t="s">
        <v>91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X6" s="98">
        <v>0</v>
      </c>
      <c r="Y6" s="98">
        <v>0</v>
      </c>
      <c r="DA6" s="178" t="s">
        <v>1139</v>
      </c>
    </row>
    <row r="7" spans="1:105" x14ac:dyDescent="0.25">
      <c r="A7" s="106"/>
      <c r="B7" s="106"/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  <c r="P7" s="106"/>
      <c r="Q7" s="106"/>
      <c r="R7" s="106"/>
      <c r="S7" s="106"/>
      <c r="T7" s="106"/>
      <c r="U7" s="106"/>
      <c r="V7" s="106"/>
      <c r="W7" s="106"/>
      <c r="X7" s="106"/>
      <c r="Y7" s="106"/>
      <c r="DA7" s="171"/>
    </row>
    <row r="8" spans="1:105" ht="11.45" customHeight="1" x14ac:dyDescent="0.25">
      <c r="A8" s="53" t="s">
        <v>47</v>
      </c>
      <c r="B8" s="79">
        <f t="shared" ref="B8:W8" si="2">SUM(B9,B15)</f>
        <v>525.73941108000008</v>
      </c>
      <c r="C8" s="79">
        <f t="shared" si="2"/>
        <v>512.99441855999999</v>
      </c>
      <c r="D8" s="79">
        <f t="shared" si="2"/>
        <v>487.50390000000004</v>
      </c>
      <c r="E8" s="79">
        <f t="shared" si="2"/>
        <v>512.99441855999999</v>
      </c>
      <c r="F8" s="79">
        <f t="shared" si="2"/>
        <v>512.99441855999999</v>
      </c>
      <c r="G8" s="79">
        <f t="shared" si="2"/>
        <v>503.43534072</v>
      </c>
      <c r="H8" s="79">
        <f t="shared" si="2"/>
        <v>462.01338144000016</v>
      </c>
      <c r="I8" s="79">
        <f t="shared" si="2"/>
        <v>455.64101856000002</v>
      </c>
      <c r="J8" s="79">
        <f t="shared" si="2"/>
        <v>398.28761855999994</v>
      </c>
      <c r="K8" s="79">
        <f t="shared" si="2"/>
        <v>385.02351108000005</v>
      </c>
      <c r="L8" s="79">
        <f t="shared" si="2"/>
        <v>356.14674108000003</v>
      </c>
      <c r="M8" s="79">
        <f t="shared" si="2"/>
        <v>368.98083143999986</v>
      </c>
      <c r="N8" s="79">
        <f t="shared" si="2"/>
        <v>343.31265071999997</v>
      </c>
      <c r="O8" s="79">
        <f t="shared" si="2"/>
        <v>317.64447000000007</v>
      </c>
      <c r="P8" s="79">
        <f t="shared" si="2"/>
        <v>285.55911071999998</v>
      </c>
      <c r="Q8" s="79">
        <f t="shared" si="2"/>
        <v>261.27648144</v>
      </c>
      <c r="R8" s="79">
        <f t="shared" si="2"/>
        <v>261.27648144</v>
      </c>
      <c r="S8" s="79">
        <f t="shared" si="2"/>
        <v>267.84037799999993</v>
      </c>
      <c r="T8" s="79">
        <f t="shared" si="2"/>
        <v>322.34531472000003</v>
      </c>
      <c r="U8" s="79">
        <f t="shared" si="2"/>
        <v>267.93267695999998</v>
      </c>
      <c r="V8" s="79">
        <f t="shared" si="2"/>
        <v>258.30690912</v>
      </c>
      <c r="W8" s="79">
        <f t="shared" si="2"/>
        <v>279.92914092000001</v>
      </c>
      <c r="X8" s="79">
        <f t="shared" ref="X8:Y8" si="3">SUM(X9,X15)</f>
        <v>279.92914092000001</v>
      </c>
      <c r="Y8" s="79">
        <f t="shared" si="3"/>
        <v>256.71381840000004</v>
      </c>
      <c r="DA8" s="172" t="s">
        <v>1140</v>
      </c>
    </row>
    <row r="9" spans="1:105" ht="11.45" customHeight="1" x14ac:dyDescent="0.25">
      <c r="A9" s="27" t="s">
        <v>33</v>
      </c>
      <c r="B9" s="32">
        <f t="shared" ref="B9:W9" si="4">SUM(B10,B11,B14)</f>
        <v>326.76183034863556</v>
      </c>
      <c r="C9" s="32">
        <f t="shared" si="4"/>
        <v>329.30491796359291</v>
      </c>
      <c r="D9" s="32">
        <f t="shared" si="4"/>
        <v>307.72010877217122</v>
      </c>
      <c r="E9" s="32">
        <f t="shared" si="4"/>
        <v>324.72814355098245</v>
      </c>
      <c r="F9" s="32">
        <f t="shared" si="4"/>
        <v>263.87698439031004</v>
      </c>
      <c r="G9" s="32">
        <f t="shared" si="4"/>
        <v>283.23241109038366</v>
      </c>
      <c r="H9" s="32">
        <f t="shared" si="4"/>
        <v>175.25159083106439</v>
      </c>
      <c r="I9" s="32">
        <f t="shared" si="4"/>
        <v>227.74514647280381</v>
      </c>
      <c r="J9" s="32">
        <f t="shared" si="4"/>
        <v>177.63612759454682</v>
      </c>
      <c r="K9" s="32">
        <f t="shared" si="4"/>
        <v>190.84279825379647</v>
      </c>
      <c r="L9" s="32">
        <f t="shared" si="4"/>
        <v>113.75644115597392</v>
      </c>
      <c r="M9" s="32">
        <f t="shared" si="4"/>
        <v>113.48133810040491</v>
      </c>
      <c r="N9" s="32">
        <f t="shared" si="4"/>
        <v>120.28709480273486</v>
      </c>
      <c r="O9" s="32">
        <f t="shared" si="4"/>
        <v>110.43124918542949</v>
      </c>
      <c r="P9" s="32">
        <f t="shared" si="4"/>
        <v>99.594689691637882</v>
      </c>
      <c r="Q9" s="32">
        <f t="shared" si="4"/>
        <v>75.293141627253192</v>
      </c>
      <c r="R9" s="32">
        <f t="shared" si="4"/>
        <v>85.567731633201007</v>
      </c>
      <c r="S9" s="32">
        <f t="shared" si="4"/>
        <v>76.550155830515038</v>
      </c>
      <c r="T9" s="32">
        <f t="shared" si="4"/>
        <v>100.14887592970857</v>
      </c>
      <c r="U9" s="32">
        <f t="shared" si="4"/>
        <v>68.69399944900843</v>
      </c>
      <c r="V9" s="32">
        <f t="shared" si="4"/>
        <v>65.173048557375864</v>
      </c>
      <c r="W9" s="32">
        <f t="shared" si="4"/>
        <v>47.809683354911272</v>
      </c>
      <c r="X9" s="32">
        <f t="shared" ref="X9:Y9" si="5">SUM(X10,X11,X14)</f>
        <v>73.262603039307535</v>
      </c>
      <c r="Y9" s="32">
        <f t="shared" si="5"/>
        <v>53.810586756238088</v>
      </c>
      <c r="DA9" s="173" t="s">
        <v>407</v>
      </c>
    </row>
    <row r="10" spans="1:105" ht="11.45" customHeight="1" x14ac:dyDescent="0.25">
      <c r="A10" s="107" t="s">
        <v>23</v>
      </c>
      <c r="B10" s="129">
        <v>0</v>
      </c>
      <c r="C10" s="129">
        <v>0</v>
      </c>
      <c r="D10" s="129">
        <v>0</v>
      </c>
      <c r="E10" s="129">
        <v>0</v>
      </c>
      <c r="F10" s="129">
        <v>0</v>
      </c>
      <c r="G10" s="129">
        <v>0</v>
      </c>
      <c r="H10" s="129">
        <v>0</v>
      </c>
      <c r="I10" s="129">
        <v>0</v>
      </c>
      <c r="J10" s="129">
        <v>0</v>
      </c>
      <c r="K10" s="129">
        <v>0</v>
      </c>
      <c r="L10" s="129">
        <v>0</v>
      </c>
      <c r="M10" s="129">
        <v>0</v>
      </c>
      <c r="N10" s="129">
        <v>0</v>
      </c>
      <c r="O10" s="129">
        <v>0</v>
      </c>
      <c r="P10" s="129">
        <v>0</v>
      </c>
      <c r="Q10" s="129">
        <v>0</v>
      </c>
      <c r="R10" s="129">
        <v>0</v>
      </c>
      <c r="S10" s="129">
        <v>0</v>
      </c>
      <c r="T10" s="129">
        <v>0</v>
      </c>
      <c r="U10" s="129">
        <v>0</v>
      </c>
      <c r="V10" s="129">
        <v>0</v>
      </c>
      <c r="W10" s="129">
        <v>0</v>
      </c>
      <c r="X10" s="129">
        <v>0</v>
      </c>
      <c r="Y10" s="129">
        <v>0</v>
      </c>
      <c r="DA10" s="203" t="s">
        <v>408</v>
      </c>
    </row>
    <row r="11" spans="1:105" ht="11.45" customHeight="1" x14ac:dyDescent="0.25">
      <c r="A11" s="109" t="s">
        <v>24</v>
      </c>
      <c r="B11" s="130">
        <f t="shared" ref="B11:W11" si="6">SUM(B12:B13)</f>
        <v>326.76183034863556</v>
      </c>
      <c r="C11" s="130">
        <f t="shared" si="6"/>
        <v>329.30491796359291</v>
      </c>
      <c r="D11" s="130">
        <f t="shared" si="6"/>
        <v>307.72010877217122</v>
      </c>
      <c r="E11" s="130">
        <f t="shared" si="6"/>
        <v>324.72814355098245</v>
      </c>
      <c r="F11" s="130">
        <f t="shared" si="6"/>
        <v>263.87698439031004</v>
      </c>
      <c r="G11" s="130">
        <f t="shared" si="6"/>
        <v>283.23241109038366</v>
      </c>
      <c r="H11" s="130">
        <f t="shared" si="6"/>
        <v>175.25159083106439</v>
      </c>
      <c r="I11" s="130">
        <f t="shared" si="6"/>
        <v>227.74514647280381</v>
      </c>
      <c r="J11" s="130">
        <f t="shared" si="6"/>
        <v>177.63612759454682</v>
      </c>
      <c r="K11" s="130">
        <f t="shared" si="6"/>
        <v>190.84279825379647</v>
      </c>
      <c r="L11" s="130">
        <f t="shared" si="6"/>
        <v>113.75644115597392</v>
      </c>
      <c r="M11" s="130">
        <f t="shared" si="6"/>
        <v>113.48133810040491</v>
      </c>
      <c r="N11" s="130">
        <f t="shared" si="6"/>
        <v>120.28709480273486</v>
      </c>
      <c r="O11" s="130">
        <f t="shared" si="6"/>
        <v>110.43124918542949</v>
      </c>
      <c r="P11" s="130">
        <f t="shared" si="6"/>
        <v>99.594689691637882</v>
      </c>
      <c r="Q11" s="130">
        <f t="shared" si="6"/>
        <v>75.293141627253192</v>
      </c>
      <c r="R11" s="130">
        <f t="shared" si="6"/>
        <v>85.567731633201007</v>
      </c>
      <c r="S11" s="130">
        <f t="shared" si="6"/>
        <v>76.550155830515038</v>
      </c>
      <c r="T11" s="130">
        <f t="shared" si="6"/>
        <v>100.14887592970857</v>
      </c>
      <c r="U11" s="130">
        <f t="shared" si="6"/>
        <v>68.69399944900843</v>
      </c>
      <c r="V11" s="130">
        <f t="shared" si="6"/>
        <v>65.173048557375864</v>
      </c>
      <c r="W11" s="130">
        <f t="shared" si="6"/>
        <v>47.809683354911272</v>
      </c>
      <c r="X11" s="130">
        <f t="shared" ref="X11:Y11" si="7">SUM(X12:X13)</f>
        <v>73.262603039307535</v>
      </c>
      <c r="Y11" s="130">
        <f t="shared" si="7"/>
        <v>53.810586756238088</v>
      </c>
      <c r="DA11" s="176" t="s">
        <v>409</v>
      </c>
    </row>
    <row r="12" spans="1:105" ht="11.45" customHeight="1" x14ac:dyDescent="0.25">
      <c r="A12" s="111" t="s">
        <v>92</v>
      </c>
      <c r="B12" s="96">
        <v>326.76183034863556</v>
      </c>
      <c r="C12" s="96">
        <v>329.30491796359291</v>
      </c>
      <c r="D12" s="96">
        <v>307.72010877217122</v>
      </c>
      <c r="E12" s="96">
        <v>324.72814355098245</v>
      </c>
      <c r="F12" s="96">
        <v>263.87698439031004</v>
      </c>
      <c r="G12" s="96">
        <v>283.23241109038366</v>
      </c>
      <c r="H12" s="96">
        <v>175.25159083106439</v>
      </c>
      <c r="I12" s="96">
        <v>227.74514647280381</v>
      </c>
      <c r="J12" s="96">
        <v>177.63612759454682</v>
      </c>
      <c r="K12" s="96">
        <v>190.84279825379647</v>
      </c>
      <c r="L12" s="96">
        <v>113.75644115597392</v>
      </c>
      <c r="M12" s="96">
        <v>113.48133810040491</v>
      </c>
      <c r="N12" s="96">
        <v>120.28709480273486</v>
      </c>
      <c r="O12" s="96">
        <v>110.43124918542949</v>
      </c>
      <c r="P12" s="96">
        <v>99.594689691637882</v>
      </c>
      <c r="Q12" s="96">
        <v>75.293141627253192</v>
      </c>
      <c r="R12" s="96">
        <v>85.567731633201007</v>
      </c>
      <c r="S12" s="96">
        <v>76.550155830515038</v>
      </c>
      <c r="T12" s="96">
        <v>100.14887592970857</v>
      </c>
      <c r="U12" s="96">
        <v>68.69399944900843</v>
      </c>
      <c r="V12" s="96">
        <v>65.173048557375864</v>
      </c>
      <c r="W12" s="96">
        <v>47.809683354911272</v>
      </c>
      <c r="X12" s="96">
        <v>73.262603039307535</v>
      </c>
      <c r="Y12" s="96">
        <v>53.810586756238088</v>
      </c>
      <c r="DA12" s="171" t="s">
        <v>1141</v>
      </c>
    </row>
    <row r="13" spans="1:105" ht="11.45" customHeight="1" x14ac:dyDescent="0.25">
      <c r="A13" s="111" t="s">
        <v>93</v>
      </c>
      <c r="B13" s="96">
        <v>0</v>
      </c>
      <c r="C13" s="96">
        <v>0</v>
      </c>
      <c r="D13" s="96">
        <v>0</v>
      </c>
      <c r="E13" s="96">
        <v>0</v>
      </c>
      <c r="F13" s="96">
        <v>0</v>
      </c>
      <c r="G13" s="96">
        <v>0</v>
      </c>
      <c r="H13" s="96">
        <v>0</v>
      </c>
      <c r="I13" s="96">
        <v>0</v>
      </c>
      <c r="J13" s="96">
        <v>0</v>
      </c>
      <c r="K13" s="96">
        <v>0</v>
      </c>
      <c r="L13" s="96">
        <v>0</v>
      </c>
      <c r="M13" s="96">
        <v>0</v>
      </c>
      <c r="N13" s="96">
        <v>0</v>
      </c>
      <c r="O13" s="96">
        <v>0</v>
      </c>
      <c r="P13" s="96">
        <v>0</v>
      </c>
      <c r="Q13" s="96">
        <v>0</v>
      </c>
      <c r="R13" s="96">
        <v>0</v>
      </c>
      <c r="S13" s="96">
        <v>0</v>
      </c>
      <c r="T13" s="96">
        <v>0</v>
      </c>
      <c r="U13" s="96">
        <v>0</v>
      </c>
      <c r="V13" s="96">
        <v>0</v>
      </c>
      <c r="W13" s="96">
        <v>0</v>
      </c>
      <c r="X13" s="96">
        <v>0</v>
      </c>
      <c r="Y13" s="96">
        <v>0</v>
      </c>
      <c r="DA13" s="171" t="s">
        <v>1142</v>
      </c>
    </row>
    <row r="14" spans="1:105" ht="11.45" customHeight="1" x14ac:dyDescent="0.25">
      <c r="A14" s="112" t="s">
        <v>25</v>
      </c>
      <c r="B14" s="131">
        <v>0</v>
      </c>
      <c r="C14" s="131">
        <v>0</v>
      </c>
      <c r="D14" s="131">
        <v>0</v>
      </c>
      <c r="E14" s="131">
        <v>0</v>
      </c>
      <c r="F14" s="131">
        <v>0</v>
      </c>
      <c r="G14" s="131">
        <v>0</v>
      </c>
      <c r="H14" s="131">
        <v>0</v>
      </c>
      <c r="I14" s="131">
        <v>0</v>
      </c>
      <c r="J14" s="131">
        <v>0</v>
      </c>
      <c r="K14" s="131">
        <v>0</v>
      </c>
      <c r="L14" s="131">
        <v>0</v>
      </c>
      <c r="M14" s="131">
        <v>0</v>
      </c>
      <c r="N14" s="131">
        <v>0</v>
      </c>
      <c r="O14" s="131">
        <v>0</v>
      </c>
      <c r="P14" s="131">
        <v>0</v>
      </c>
      <c r="Q14" s="131">
        <v>0</v>
      </c>
      <c r="R14" s="131">
        <v>0</v>
      </c>
      <c r="S14" s="131">
        <v>0</v>
      </c>
      <c r="T14" s="131">
        <v>0</v>
      </c>
      <c r="U14" s="131">
        <v>0</v>
      </c>
      <c r="V14" s="131">
        <v>0</v>
      </c>
      <c r="W14" s="131">
        <v>0</v>
      </c>
      <c r="X14" s="131">
        <v>0</v>
      </c>
      <c r="Y14" s="131">
        <v>0</v>
      </c>
      <c r="DA14" s="204" t="s">
        <v>410</v>
      </c>
    </row>
    <row r="15" spans="1:105" ht="11.45" customHeight="1" x14ac:dyDescent="0.25">
      <c r="A15" s="27" t="s">
        <v>34</v>
      </c>
      <c r="B15" s="32">
        <f t="shared" ref="B15:W15" si="8">SUM(B16:B17)</f>
        <v>198.9775807313645</v>
      </c>
      <c r="C15" s="32">
        <f t="shared" si="8"/>
        <v>183.68950059640707</v>
      </c>
      <c r="D15" s="32">
        <f t="shared" si="8"/>
        <v>179.7837912278288</v>
      </c>
      <c r="E15" s="32">
        <f t="shared" si="8"/>
        <v>188.26627500901748</v>
      </c>
      <c r="F15" s="32">
        <f t="shared" si="8"/>
        <v>249.11743416968994</v>
      </c>
      <c r="G15" s="32">
        <f t="shared" si="8"/>
        <v>220.20292962961634</v>
      </c>
      <c r="H15" s="32">
        <f t="shared" si="8"/>
        <v>286.76179060893577</v>
      </c>
      <c r="I15" s="32">
        <f t="shared" si="8"/>
        <v>227.89587208719618</v>
      </c>
      <c r="J15" s="32">
        <f t="shared" si="8"/>
        <v>220.65149096545312</v>
      </c>
      <c r="K15" s="32">
        <f t="shared" si="8"/>
        <v>194.18071282620355</v>
      </c>
      <c r="L15" s="32">
        <f t="shared" si="8"/>
        <v>242.3902999240261</v>
      </c>
      <c r="M15" s="32">
        <f t="shared" si="8"/>
        <v>255.49949333959498</v>
      </c>
      <c r="N15" s="32">
        <f t="shared" si="8"/>
        <v>223.02555591726508</v>
      </c>
      <c r="O15" s="32">
        <f t="shared" si="8"/>
        <v>207.21322081457058</v>
      </c>
      <c r="P15" s="32">
        <f t="shared" si="8"/>
        <v>185.9644210283621</v>
      </c>
      <c r="Q15" s="32">
        <f t="shared" si="8"/>
        <v>185.98333981274681</v>
      </c>
      <c r="R15" s="32">
        <f t="shared" si="8"/>
        <v>175.70874980679898</v>
      </c>
      <c r="S15" s="32">
        <f t="shared" si="8"/>
        <v>191.29022216948491</v>
      </c>
      <c r="T15" s="32">
        <f t="shared" si="8"/>
        <v>222.19643879029147</v>
      </c>
      <c r="U15" s="32">
        <f t="shared" si="8"/>
        <v>199.23867751099152</v>
      </c>
      <c r="V15" s="32">
        <f t="shared" si="8"/>
        <v>193.13386056262414</v>
      </c>
      <c r="W15" s="32">
        <f t="shared" si="8"/>
        <v>232.11945756508871</v>
      </c>
      <c r="X15" s="32">
        <f t="shared" ref="X15:Y15" si="9">SUM(X16:X17)</f>
        <v>206.66653788069249</v>
      </c>
      <c r="Y15" s="32">
        <f t="shared" si="9"/>
        <v>202.90323164376193</v>
      </c>
      <c r="DA15" s="173" t="s">
        <v>414</v>
      </c>
    </row>
    <row r="16" spans="1:105" ht="11.45" customHeight="1" x14ac:dyDescent="0.25">
      <c r="A16" s="83" t="s">
        <v>92</v>
      </c>
      <c r="B16" s="96">
        <v>198.9775807313645</v>
      </c>
      <c r="C16" s="96">
        <v>183.68950059640707</v>
      </c>
      <c r="D16" s="96">
        <v>179.7837912278288</v>
      </c>
      <c r="E16" s="96">
        <v>188.26627500901748</v>
      </c>
      <c r="F16" s="96">
        <v>249.11743416968994</v>
      </c>
      <c r="G16" s="96">
        <v>220.20292962961634</v>
      </c>
      <c r="H16" s="96">
        <v>286.76179060893577</v>
      </c>
      <c r="I16" s="96">
        <v>227.89587208719618</v>
      </c>
      <c r="J16" s="96">
        <v>220.65149096545312</v>
      </c>
      <c r="K16" s="96">
        <v>194.18071282620355</v>
      </c>
      <c r="L16" s="96">
        <v>242.3902999240261</v>
      </c>
      <c r="M16" s="96">
        <v>255.49949333959498</v>
      </c>
      <c r="N16" s="96">
        <v>223.02555591726508</v>
      </c>
      <c r="O16" s="96">
        <v>207.21322081457058</v>
      </c>
      <c r="P16" s="96">
        <v>185.9644210283621</v>
      </c>
      <c r="Q16" s="96">
        <v>185.98333981274681</v>
      </c>
      <c r="R16" s="96">
        <v>175.70874980679898</v>
      </c>
      <c r="S16" s="96">
        <v>191.29022216948491</v>
      </c>
      <c r="T16" s="96">
        <v>222.19643879029147</v>
      </c>
      <c r="U16" s="96">
        <v>199.23867751099152</v>
      </c>
      <c r="V16" s="96">
        <v>193.13386056262414</v>
      </c>
      <c r="W16" s="96">
        <v>232.11945756508871</v>
      </c>
      <c r="X16" s="96">
        <v>206.66653788069249</v>
      </c>
      <c r="Y16" s="96">
        <v>202.90323164376193</v>
      </c>
      <c r="DA16" s="171" t="s">
        <v>1143</v>
      </c>
    </row>
    <row r="17" spans="1:105" ht="11.45" customHeight="1" x14ac:dyDescent="0.25">
      <c r="A17" s="85" t="s">
        <v>93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X17" s="98">
        <v>0</v>
      </c>
      <c r="Y17" s="98">
        <v>0</v>
      </c>
      <c r="DA17" s="178" t="s">
        <v>1144</v>
      </c>
    </row>
    <row r="18" spans="1:105" x14ac:dyDescent="0.25">
      <c r="A18" s="106"/>
      <c r="B18" s="106"/>
      <c r="C18" s="106"/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06"/>
      <c r="O18" s="106"/>
      <c r="P18" s="106"/>
      <c r="Q18" s="106"/>
      <c r="R18" s="106"/>
      <c r="S18" s="106"/>
      <c r="T18" s="106"/>
      <c r="U18" s="106"/>
      <c r="V18" s="106"/>
      <c r="W18" s="106"/>
      <c r="X18" s="106"/>
      <c r="Y18" s="106"/>
      <c r="DA18" s="171"/>
    </row>
    <row r="19" spans="1:105" ht="11.45" customHeight="1" x14ac:dyDescent="0.25">
      <c r="A19" s="68" t="s">
        <v>36</v>
      </c>
      <c r="B19" s="69"/>
      <c r="C19" s="69"/>
      <c r="D19" s="69"/>
      <c r="E19" s="69"/>
      <c r="F19" s="69"/>
      <c r="G19" s="69"/>
      <c r="H19" s="69"/>
      <c r="I19" s="69"/>
      <c r="J19" s="69"/>
      <c r="K19" s="69"/>
      <c r="L19" s="69"/>
      <c r="M19" s="69"/>
      <c r="N19" s="69"/>
      <c r="O19" s="69"/>
      <c r="P19" s="69"/>
      <c r="Q19" s="69"/>
      <c r="R19" s="69"/>
      <c r="S19" s="69"/>
      <c r="T19" s="69"/>
      <c r="U19" s="69"/>
      <c r="V19" s="69"/>
      <c r="W19" s="69"/>
      <c r="X19" s="69"/>
      <c r="Y19" s="69"/>
      <c r="DA19" s="179"/>
    </row>
    <row r="20" spans="1:105" x14ac:dyDescent="0.25">
      <c r="A20" s="106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X20" s="106"/>
      <c r="Y20" s="106"/>
      <c r="DA20" s="171"/>
    </row>
    <row r="21" spans="1:105" ht="11.45" customHeight="1" x14ac:dyDescent="0.25">
      <c r="A21" s="53" t="s">
        <v>48</v>
      </c>
      <c r="B21" s="132"/>
      <c r="C21" s="132"/>
      <c r="D21" s="132"/>
      <c r="E21" s="132"/>
      <c r="F21" s="132"/>
      <c r="G21" s="132"/>
      <c r="H21" s="132"/>
      <c r="I21" s="132"/>
      <c r="J21" s="132"/>
      <c r="K21" s="132"/>
      <c r="L21" s="132"/>
      <c r="M21" s="132"/>
      <c r="N21" s="132"/>
      <c r="O21" s="132"/>
      <c r="P21" s="132"/>
      <c r="Q21" s="132"/>
      <c r="R21" s="132"/>
      <c r="S21" s="132"/>
      <c r="T21" s="132"/>
      <c r="U21" s="132"/>
      <c r="V21" s="132"/>
      <c r="W21" s="132"/>
      <c r="X21" s="132"/>
      <c r="Y21" s="132"/>
      <c r="DA21" s="172"/>
    </row>
    <row r="22" spans="1:105" ht="11.45" customHeight="1" x14ac:dyDescent="0.25">
      <c r="A22" s="133" t="s">
        <v>45</v>
      </c>
      <c r="B22" s="134">
        <f>IF(B4=0,0,B4/TrRail_ene!B4)</f>
        <v>0.97364839970432338</v>
      </c>
      <c r="C22" s="134">
        <f>IF(C4=0,0,C4/TrRail_ene!C4)</f>
        <v>0.96382408945133946</v>
      </c>
      <c r="D22" s="134">
        <f>IF(D4=0,0,D4/TrRail_ene!D4)</f>
        <v>0.92618971771624614</v>
      </c>
      <c r="E22" s="134">
        <f>IF(E4=0,0,E4/TrRail_ene!E4)</f>
        <v>0.94835033861609253</v>
      </c>
      <c r="F22" s="134">
        <f>IF(F4=0,0,F4/TrRail_ene!F4)</f>
        <v>1.0288097041747484</v>
      </c>
      <c r="G22" s="134">
        <f>IF(G4=0,0,G4/TrRail_ene!G4)</f>
        <v>1.0770261061033932</v>
      </c>
      <c r="H22" s="134">
        <f>IF(H4=0,0,H4/TrRail_ene!H4)</f>
        <v>1.1113294437634029</v>
      </c>
      <c r="I22" s="134">
        <f>IF(I4=0,0,I4/TrRail_ene!I4)</f>
        <v>1.0679252805395185</v>
      </c>
      <c r="J22" s="134">
        <f>IF(J4=0,0,J4/TrRail_ene!J4)</f>
        <v>0.9942110598912739</v>
      </c>
      <c r="K22" s="134">
        <f>IF(K4=0,0,K4/TrRail_ene!K4)</f>
        <v>1.0407895980762998</v>
      </c>
      <c r="L22" s="134">
        <f>IF(L4=0,0,L4/TrRail_ene!L4)</f>
        <v>0.96345816044035448</v>
      </c>
      <c r="M22" s="134">
        <f>IF(M4=0,0,M4/TrRail_ene!M4)</f>
        <v>0.98781202442782223</v>
      </c>
      <c r="N22" s="134">
        <f>IF(N4=0,0,N4/TrRail_ene!N4)</f>
        <v>0.9600271720688669</v>
      </c>
      <c r="O22" s="134">
        <f>IF(O4=0,0,O4/TrRail_ene!O4)</f>
        <v>0.91355924231221042</v>
      </c>
      <c r="P22" s="134">
        <f>IF(P4=0,0,P4/TrRail_ene!P4)</f>
        <v>0.88080549535273045</v>
      </c>
      <c r="Q22" s="134">
        <f>IF(Q4=0,0,Q4/TrRail_ene!Q4)</f>
        <v>0.8044184054474931</v>
      </c>
      <c r="R22" s="134">
        <f>IF(R4=0,0,R4/TrRail_ene!R4)</f>
        <v>0.77173046248967592</v>
      </c>
      <c r="S22" s="134">
        <f>IF(S4=0,0,S4/TrRail_ene!S4)</f>
        <v>0.76556158874404734</v>
      </c>
      <c r="T22" s="134">
        <f>IF(T4=0,0,T4/TrRail_ene!T4)</f>
        <v>0.85015196434767881</v>
      </c>
      <c r="U22" s="134">
        <f>IF(U4=0,0,U4/TrRail_ene!U4)</f>
        <v>0.75067623055764876</v>
      </c>
      <c r="V22" s="134">
        <f>IF(V4=0,0,V4/TrRail_ene!V4)</f>
        <v>0.77810701873232235</v>
      </c>
      <c r="W22" s="134">
        <f>IF(W4=0,0,W4/TrRail_ene!W4)</f>
        <v>0.76248816862823721</v>
      </c>
      <c r="X22" s="134">
        <f>IF(X4=0,0,X4/TrRail_ene!X4)</f>
        <v>0.74457974568456853</v>
      </c>
      <c r="Y22" s="134">
        <f>IF(Y4=0,0,Y4/TrRail_ene!Y4)</f>
        <v>0.69688700608962928</v>
      </c>
      <c r="DA22" s="205"/>
    </row>
    <row r="23" spans="1:105" ht="11.45" customHeight="1" x14ac:dyDescent="0.25">
      <c r="A23" s="107" t="s">
        <v>90</v>
      </c>
      <c r="B23" s="129">
        <f>IF(B5=0,0,B5/SUM(TrRail_ene!B5:B7))</f>
        <v>1.5512094000000001</v>
      </c>
      <c r="C23" s="129">
        <f>IF(C5=0,0,C5/SUM(TrRail_ene!C5:C7))</f>
        <v>1.5512094000000001</v>
      </c>
      <c r="D23" s="129">
        <f>IF(D5=0,0,D5/SUM(TrRail_ene!D5:D7))</f>
        <v>1.5512094000000001</v>
      </c>
      <c r="E23" s="129">
        <f>IF(E5=0,0,E5/SUM(TrRail_ene!E5:E7))</f>
        <v>1.5512094000000001</v>
      </c>
      <c r="F23" s="129">
        <f>IF(F5=0,0,F5/SUM(TrRail_ene!F5:F7))</f>
        <v>1.5512094000000001</v>
      </c>
      <c r="G23" s="129">
        <f>IF(G5=0,0,G5/SUM(TrRail_ene!G5:G7))</f>
        <v>1.5512094000000001</v>
      </c>
      <c r="H23" s="129">
        <f>IF(H5=0,0,H5/SUM(TrRail_ene!H5:H7))</f>
        <v>1.5512094000000001</v>
      </c>
      <c r="I23" s="129">
        <f>IF(I5=0,0,I5/SUM(TrRail_ene!I5:I7))</f>
        <v>1.5512094000000001</v>
      </c>
      <c r="J23" s="129">
        <f>IF(J5=0,0,J5/SUM(TrRail_ene!J5:J7))</f>
        <v>1.5512094000000001</v>
      </c>
      <c r="K23" s="129">
        <f>IF(K5=0,0,K5/SUM(TrRail_ene!K5:K7))</f>
        <v>1.5512094000000001</v>
      </c>
      <c r="L23" s="129">
        <f>IF(L5=0,0,L5/SUM(TrRail_ene!L5:L7))</f>
        <v>1.5512094000000001</v>
      </c>
      <c r="M23" s="129">
        <f>IF(M5=0,0,M5/SUM(TrRail_ene!M5:M7))</f>
        <v>1.5512094000000001</v>
      </c>
      <c r="N23" s="129">
        <f>IF(N5=0,0,N5/SUM(TrRail_ene!N5:N7))</f>
        <v>1.5512094000000001</v>
      </c>
      <c r="O23" s="129">
        <f>IF(O5=0,0,O5/SUM(TrRail_ene!O5:O7))</f>
        <v>1.5512094000000001</v>
      </c>
      <c r="P23" s="129">
        <f>IF(P5=0,0,P5/SUM(TrRail_ene!P5:P7))</f>
        <v>1.5512094000000001</v>
      </c>
      <c r="Q23" s="129">
        <f>IF(Q5=0,0,Q5/SUM(TrRail_ene!Q5:Q7))</f>
        <v>1.5512094000000001</v>
      </c>
      <c r="R23" s="129">
        <f>IF(R5=0,0,R5/SUM(TrRail_ene!R5:R7))</f>
        <v>1.5512094000000001</v>
      </c>
      <c r="S23" s="129">
        <f>IF(S5=0,0,S5/SUM(TrRail_ene!S5:S7))</f>
        <v>1.5512094000000001</v>
      </c>
      <c r="T23" s="129">
        <f>IF(T5=0,0,T5/SUM(TrRail_ene!T5:T7))</f>
        <v>1.5512093999999998</v>
      </c>
      <c r="U23" s="129">
        <f>IF(U5=0,0,U5/SUM(TrRail_ene!U5:U7))</f>
        <v>1.5512094000000001</v>
      </c>
      <c r="V23" s="129">
        <f>IF(V5=0,0,V5/SUM(TrRail_ene!V5:V7))</f>
        <v>1.5512094000000003</v>
      </c>
      <c r="W23" s="129">
        <f>IF(W5=0,0,W5/SUM(TrRail_ene!W5:W7))</f>
        <v>1.5512094000000001</v>
      </c>
      <c r="X23" s="129">
        <f>IF(X5=0,0,X5/SUM(TrRail_ene!X5:X7))</f>
        <v>1.5512094000000001</v>
      </c>
      <c r="Y23" s="129">
        <f>IF(Y5=0,0,Y5/SUM(TrRail_ene!Y5:Y7))</f>
        <v>1.5512094000000001</v>
      </c>
      <c r="DA23" s="203"/>
    </row>
    <row r="24" spans="1:105" ht="11.45" customHeight="1" x14ac:dyDescent="0.25">
      <c r="A24" s="85" t="s">
        <v>91</v>
      </c>
      <c r="B24" s="98">
        <f>IF(B6=0,0,B6/TrRail_ene!B8)</f>
        <v>0</v>
      </c>
      <c r="C24" s="98">
        <f>IF(C6=0,0,C6/TrRail_ene!C8)</f>
        <v>0</v>
      </c>
      <c r="D24" s="98">
        <f>IF(D6=0,0,D6/TrRail_ene!D8)</f>
        <v>0</v>
      </c>
      <c r="E24" s="98">
        <f>IF(E6=0,0,E6/TrRail_ene!E8)</f>
        <v>0</v>
      </c>
      <c r="F24" s="98">
        <f>IF(F6=0,0,F6/TrRail_ene!F8)</f>
        <v>0</v>
      </c>
      <c r="G24" s="98">
        <f>IF(G6=0,0,G6/TrRail_ene!G8)</f>
        <v>0</v>
      </c>
      <c r="H24" s="98">
        <f>IF(H6=0,0,H6/TrRail_ene!H8)</f>
        <v>0</v>
      </c>
      <c r="I24" s="98">
        <f>IF(I6=0,0,I6/TrRail_ene!I8)</f>
        <v>0</v>
      </c>
      <c r="J24" s="98">
        <f>IF(J6=0,0,J6/TrRail_ene!J8)</f>
        <v>0</v>
      </c>
      <c r="K24" s="98">
        <f>IF(K6=0,0,K6/TrRail_ene!K8)</f>
        <v>0</v>
      </c>
      <c r="L24" s="98">
        <f>IF(L6=0,0,L6/TrRail_ene!L8)</f>
        <v>0</v>
      </c>
      <c r="M24" s="98">
        <f>IF(M6=0,0,M6/TrRail_ene!M8)</f>
        <v>0</v>
      </c>
      <c r="N24" s="98">
        <f>IF(N6=0,0,N6/TrRail_ene!N8)</f>
        <v>0</v>
      </c>
      <c r="O24" s="98">
        <f>IF(O6=0,0,O6/TrRail_ene!O8)</f>
        <v>0</v>
      </c>
      <c r="P24" s="98">
        <f>IF(P6=0,0,P6/TrRail_ene!P8)</f>
        <v>0</v>
      </c>
      <c r="Q24" s="98">
        <f>IF(Q6=0,0,Q6/TrRail_ene!Q8)</f>
        <v>0</v>
      </c>
      <c r="R24" s="98">
        <f>IF(R6=0,0,R6/TrRail_ene!R8)</f>
        <v>0</v>
      </c>
      <c r="S24" s="98">
        <f>IF(S6=0,0,S6/TrRail_ene!S8)</f>
        <v>0</v>
      </c>
      <c r="T24" s="98">
        <f>IF(T6=0,0,T6/TrRail_ene!T8)</f>
        <v>0</v>
      </c>
      <c r="U24" s="98">
        <f>IF(U6=0,0,U6/TrRail_ene!U8)</f>
        <v>0</v>
      </c>
      <c r="V24" s="98">
        <f>IF(V6=0,0,V6/TrRail_ene!V8)</f>
        <v>0</v>
      </c>
      <c r="W24" s="98">
        <f>IF(W6=0,0,W6/TrRail_ene!W8)</f>
        <v>0</v>
      </c>
      <c r="X24" s="98">
        <f>IF(X6=0,0,X6/TrRail_ene!X8)</f>
        <v>0</v>
      </c>
      <c r="Y24" s="98">
        <f>IF(Y6=0,0,Y6/TrRail_ene!Y8)</f>
        <v>0</v>
      </c>
      <c r="DA24" s="178"/>
    </row>
    <row r="25" spans="1:105" x14ac:dyDescent="0.25">
      <c r="A25" s="106"/>
      <c r="B25" s="106"/>
      <c r="C25" s="106"/>
      <c r="D25" s="106"/>
      <c r="E25" s="106"/>
      <c r="F25" s="106"/>
      <c r="G25" s="106"/>
      <c r="H25" s="106"/>
      <c r="I25" s="106"/>
      <c r="J25" s="106"/>
      <c r="K25" s="106"/>
      <c r="L25" s="106"/>
      <c r="M25" s="106"/>
      <c r="N25" s="106"/>
      <c r="O25" s="106"/>
      <c r="P25" s="106"/>
      <c r="Q25" s="106"/>
      <c r="R25" s="106"/>
      <c r="S25" s="106"/>
      <c r="T25" s="106"/>
      <c r="U25" s="106"/>
      <c r="V25" s="106"/>
      <c r="W25" s="106"/>
      <c r="X25" s="106"/>
      <c r="Y25" s="106"/>
      <c r="DA25" s="171"/>
    </row>
    <row r="26" spans="1:105" ht="11.45" customHeight="1" x14ac:dyDescent="0.25">
      <c r="A26" s="53" t="s">
        <v>129</v>
      </c>
      <c r="B26" s="54">
        <f>IF(B8=0,0,B8/TrRail_act!B14*1000)</f>
        <v>1878.3461057401776</v>
      </c>
      <c r="C26" s="54">
        <f>IF(C8=0,0,C8/TrRail_act!C14*1000)</f>
        <v>1807.1272999989485</v>
      </c>
      <c r="D26" s="54">
        <f>IF(D8=0,0,D8/TrRail_act!D14*1000)</f>
        <v>1683.7550807737898</v>
      </c>
      <c r="E26" s="54">
        <f>IF(E8=0,0,E8/TrRail_act!E14*1000)</f>
        <v>1714.8881725464103</v>
      </c>
      <c r="F26" s="54">
        <f>IF(F8=0,0,F8/TrRail_act!F14*1000)</f>
        <v>1772.4943680388637</v>
      </c>
      <c r="G26" s="54">
        <f>IF(G8=0,0,G8/TrRail_act!G14*1000)</f>
        <v>1812.6110680059692</v>
      </c>
      <c r="H26" s="54">
        <f>IF(H8=0,0,H8/TrRail_act!H14*1000)</f>
        <v>1764.6346942083203</v>
      </c>
      <c r="I26" s="54">
        <f>IF(I8=0,0,I8/TrRail_act!I14*1000)</f>
        <v>1642.7401336543378</v>
      </c>
      <c r="J26" s="54">
        <f>IF(J8=0,0,J8/TrRail_act!J14*1000)</f>
        <v>1471.1956597808266</v>
      </c>
      <c r="K26" s="54">
        <f>IF(K8=0,0,K8/TrRail_act!K14*1000)</f>
        <v>1504.0710469341752</v>
      </c>
      <c r="L26" s="54">
        <f>IF(L8=0,0,L8/TrRail_act!L14*1000)</f>
        <v>1378.0388554461445</v>
      </c>
      <c r="M26" s="54">
        <f>IF(M8=0,0,M8/TrRail_act!M14*1000)</f>
        <v>1414.612862072413</v>
      </c>
      <c r="N26" s="54">
        <f>IF(N8=0,0,N8/TrRail_act!N14*1000)</f>
        <v>1329.6365872031661</v>
      </c>
      <c r="O26" s="54">
        <f>IF(O8=0,0,O8/TrRail_act!O14*1000)</f>
        <v>1250.4141772722292</v>
      </c>
      <c r="P26" s="54">
        <f>IF(P8=0,0,P8/TrRail_act!P14*1000)</f>
        <v>1144.3279940853647</v>
      </c>
      <c r="Q26" s="54">
        <f>IF(Q8=0,0,Q8/TrRail_act!Q14*1000)</f>
        <v>1015.6811763791425</v>
      </c>
      <c r="R26" s="54">
        <f>IF(R8=0,0,R8/TrRail_act!R14*1000)</f>
        <v>960.22928066508382</v>
      </c>
      <c r="S26" s="54">
        <f>IF(S8=0,0,S8/TrRail_act!S14*1000)</f>
        <v>954.01251280649615</v>
      </c>
      <c r="T26" s="54">
        <f>IF(T8=0,0,T8/TrRail_act!T14*1000)</f>
        <v>1076.009066094706</v>
      </c>
      <c r="U26" s="54">
        <f>IF(U8=0,0,U8/TrRail_act!U14*1000)</f>
        <v>924.86136397748101</v>
      </c>
      <c r="V26" s="54">
        <f>IF(V8=0,0,V8/TrRail_act!V14*1000)</f>
        <v>955.51688863781112</v>
      </c>
      <c r="W26" s="54">
        <f>IF(W8=0,0,W8/TrRail_act!W14*1000)</f>
        <v>950.28750854613281</v>
      </c>
      <c r="X26" s="54">
        <f>IF(X8=0,0,X8/TrRail_act!X14*1000)</f>
        <v>918.8734049700048</v>
      </c>
      <c r="Y26" s="54">
        <f>IF(Y8=0,0,Y8/TrRail_act!Y14*1000)</f>
        <v>849.03221298782069</v>
      </c>
      <c r="DA26" s="172" t="s">
        <v>1145</v>
      </c>
    </row>
    <row r="27" spans="1:105" ht="11.45" customHeight="1" x14ac:dyDescent="0.25">
      <c r="A27" s="27" t="s">
        <v>33</v>
      </c>
      <c r="B27" s="28">
        <f>IF(B9=0,0,B9/TrRail_act!B15*1000)</f>
        <v>1711.0643453836142</v>
      </c>
      <c r="C27" s="28">
        <f>IF(C9=0,0,C9/TrRail_act!C15*1000)</f>
        <v>1617.3929110301203</v>
      </c>
      <c r="D27" s="28">
        <f>IF(D9=0,0,D9/TrRail_act!D15*1000)</f>
        <v>1445.418774092597</v>
      </c>
      <c r="E27" s="28">
        <f>IF(E9=0,0,E9/TrRail_act!E15*1000)</f>
        <v>1488.7582155643531</v>
      </c>
      <c r="F27" s="28">
        <f>IF(F9=0,0,F9/TrRail_act!F15*1000)</f>
        <v>1287.6931566922856</v>
      </c>
      <c r="G27" s="28">
        <f>IF(G9=0,0,G9/TrRail_act!G15*1000)</f>
        <v>1420.8172575332635</v>
      </c>
      <c r="H27" s="28">
        <f>IF(H9=0,0,H9/TrRail_act!H15*1000)</f>
        <v>984.5954614365719</v>
      </c>
      <c r="I27" s="28">
        <f>IF(I9=0,0,I9/TrRail_act!I15*1000)</f>
        <v>1177.1107281779657</v>
      </c>
      <c r="J27" s="28">
        <f>IF(J9=0,0,J9/TrRail_act!J15*1000)</f>
        <v>935.63984371786114</v>
      </c>
      <c r="K27" s="28">
        <f>IF(K9=0,0,K9/TrRail_act!K15*1000)</f>
        <v>1004.7801324576789</v>
      </c>
      <c r="L27" s="28">
        <f>IF(L9=0,0,L9/TrRail_act!L15*1000)</f>
        <v>613.55970794847337</v>
      </c>
      <c r="M27" s="28">
        <f>IF(M9=0,0,M9/TrRail_act!M15*1000)</f>
        <v>623.63790475968108</v>
      </c>
      <c r="N27" s="28">
        <f>IF(N9=0,0,N9/TrRail_act!N15*1000)</f>
        <v>639.64720116979811</v>
      </c>
      <c r="O27" s="28">
        <f>IF(O9=0,0,O9/TrRail_act!O15*1000)</f>
        <v>599.06180020053364</v>
      </c>
      <c r="P27" s="28">
        <f>IF(P9=0,0,P9/TrRail_act!P15*1000)</f>
        <v>545.09536948410528</v>
      </c>
      <c r="Q27" s="28">
        <f>IF(Q9=0,0,Q9/TrRail_act!Q15*1000)</f>
        <v>393.29754624439107</v>
      </c>
      <c r="R27" s="28">
        <f>IF(R9=0,0,R9/TrRail_act!R15*1000)</f>
        <v>412.06437883184037</v>
      </c>
      <c r="S27" s="28">
        <f>IF(S9=0,0,S9/TrRail_act!S15*1000)</f>
        <v>359.70542286435517</v>
      </c>
      <c r="T27" s="28">
        <f>IF(T9=0,0,T9/TrRail_act!T15*1000)</f>
        <v>441.86999744834321</v>
      </c>
      <c r="U27" s="28">
        <f>IF(U9=0,0,U9/TrRail_act!U15*1000)</f>
        <v>308.99563850207073</v>
      </c>
      <c r="V27" s="28">
        <f>IF(V9=0,0,V9/TrRail_act!V15*1000)</f>
        <v>314.31233779895513</v>
      </c>
      <c r="W27" s="28">
        <f>IF(W9=0,0,W9/TrRail_act!W15*1000)</f>
        <v>209.91504276399414</v>
      </c>
      <c r="X27" s="28">
        <f>IF(X9=0,0,X9/TrRail_act!X15*1000)</f>
        <v>303.36504432497026</v>
      </c>
      <c r="Y27" s="28">
        <f>IF(Y9=0,0,Y9/TrRail_act!Y15*1000)</f>
        <v>221.35871273651347</v>
      </c>
      <c r="DA27" s="173" t="s">
        <v>1146</v>
      </c>
    </row>
    <row r="28" spans="1:105" ht="11.45" customHeight="1" x14ac:dyDescent="0.25">
      <c r="A28" s="107" t="s">
        <v>23</v>
      </c>
      <c r="B28" s="108">
        <f>IF(B10=0,0,B10/TrRail_act!B16*1000)</f>
        <v>0</v>
      </c>
      <c r="C28" s="108">
        <f>IF(C10=0,0,C10/TrRail_act!C16*1000)</f>
        <v>0</v>
      </c>
      <c r="D28" s="108">
        <f>IF(D10=0,0,D10/TrRail_act!D16*1000)</f>
        <v>0</v>
      </c>
      <c r="E28" s="108">
        <f>IF(E10=0,0,E10/TrRail_act!E16*1000)</f>
        <v>0</v>
      </c>
      <c r="F28" s="108">
        <f>IF(F10=0,0,F10/TrRail_act!F16*1000)</f>
        <v>0</v>
      </c>
      <c r="G28" s="108">
        <f>IF(G10=0,0,G10/TrRail_act!G16*1000)</f>
        <v>0</v>
      </c>
      <c r="H28" s="108">
        <f>IF(H10=0,0,H10/TrRail_act!H16*1000)</f>
        <v>0</v>
      </c>
      <c r="I28" s="108">
        <f>IF(I10=0,0,I10/TrRail_act!I16*1000)</f>
        <v>0</v>
      </c>
      <c r="J28" s="108">
        <f>IF(J10=0,0,J10/TrRail_act!J16*1000)</f>
        <v>0</v>
      </c>
      <c r="K28" s="108">
        <f>IF(K10=0,0,K10/TrRail_act!K16*1000)</f>
        <v>0</v>
      </c>
      <c r="L28" s="108">
        <f>IF(L10=0,0,L10/TrRail_act!L16*1000)</f>
        <v>0</v>
      </c>
      <c r="M28" s="108">
        <f>IF(M10=0,0,M10/TrRail_act!M16*1000)</f>
        <v>0</v>
      </c>
      <c r="N28" s="108">
        <f>IF(N10=0,0,N10/TrRail_act!N16*1000)</f>
        <v>0</v>
      </c>
      <c r="O28" s="108">
        <f>IF(O10=0,0,O10/TrRail_act!O16*1000)</f>
        <v>0</v>
      </c>
      <c r="P28" s="108">
        <f>IF(P10=0,0,P10/TrRail_act!P16*1000)</f>
        <v>0</v>
      </c>
      <c r="Q28" s="108">
        <f>IF(Q10=0,0,Q10/TrRail_act!Q16*1000)</f>
        <v>0</v>
      </c>
      <c r="R28" s="108">
        <f>IF(R10=0,0,R10/TrRail_act!R16*1000)</f>
        <v>0</v>
      </c>
      <c r="S28" s="108">
        <f>IF(S10=0,0,S10/TrRail_act!S16*1000)</f>
        <v>0</v>
      </c>
      <c r="T28" s="108">
        <f>IF(T10=0,0,T10/TrRail_act!T16*1000)</f>
        <v>0</v>
      </c>
      <c r="U28" s="108">
        <f>IF(U10=0,0,U10/TrRail_act!U16*1000)</f>
        <v>0</v>
      </c>
      <c r="V28" s="108">
        <f>IF(V10=0,0,V10/TrRail_act!V16*1000)</f>
        <v>0</v>
      </c>
      <c r="W28" s="108">
        <f>IF(W10=0,0,W10/TrRail_act!W16*1000)</f>
        <v>0</v>
      </c>
      <c r="X28" s="108">
        <f>IF(X10=0,0,X10/TrRail_act!X16*1000)</f>
        <v>0</v>
      </c>
      <c r="Y28" s="108">
        <f>IF(Y10=0,0,Y10/TrRail_act!Y16*1000)</f>
        <v>0</v>
      </c>
      <c r="DA28" s="203" t="s">
        <v>1147</v>
      </c>
    </row>
    <row r="29" spans="1:105" ht="11.45" customHeight="1" x14ac:dyDescent="0.25">
      <c r="A29" s="109" t="s">
        <v>24</v>
      </c>
      <c r="B29" s="110">
        <f>IF(B11=0,0,B11/TrRail_act!B17*1000)</f>
        <v>2444.4967245300322</v>
      </c>
      <c r="C29" s="110">
        <f>IF(C11=0,0,C11/TrRail_act!C17*1000)</f>
        <v>2248.6560376355824</v>
      </c>
      <c r="D29" s="110">
        <f>IF(D11=0,0,D11/TrRail_act!D17*1000)</f>
        <v>1985.7901996235439</v>
      </c>
      <c r="E29" s="110">
        <f>IF(E11=0,0,E11/TrRail_act!E17*1000)</f>
        <v>2011.055080372885</v>
      </c>
      <c r="F29" s="110">
        <f>IF(F11=0,0,F11/TrRail_act!F17*1000)</f>
        <v>1769.7552521933526</v>
      </c>
      <c r="G29" s="110">
        <f>IF(G11=0,0,G11/TrRail_act!G17*1000)</f>
        <v>1949.0795029741357</v>
      </c>
      <c r="H29" s="110">
        <f>IF(H11=0,0,H11/TrRail_act!H17*1000)</f>
        <v>1426.6924631444647</v>
      </c>
      <c r="I29" s="110">
        <f>IF(I11=0,0,I11/TrRail_act!I17*1000)</f>
        <v>1655.1211714557421</v>
      </c>
      <c r="J29" s="110">
        <f>IF(J11=0,0,J11/TrRail_act!J17*1000)</f>
        <v>1324.4907584450032</v>
      </c>
      <c r="K29" s="110">
        <f>IF(K11=0,0,K11/TrRail_act!K17*1000)</f>
        <v>1396.0427626700239</v>
      </c>
      <c r="L29" s="110">
        <f>IF(L11=0,0,L11/TrRail_act!L17*1000)</f>
        <v>867.93191921059747</v>
      </c>
      <c r="M29" s="110">
        <f>IF(M11=0,0,M11/TrRail_act!M17*1000)</f>
        <v>889.85945745024117</v>
      </c>
      <c r="N29" s="110">
        <f>IF(N11=0,0,N11/TrRail_act!N17*1000)</f>
        <v>905.37164784617607</v>
      </c>
      <c r="O29" s="110">
        <f>IF(O11=0,0,O11/TrRail_act!O17*1000)</f>
        <v>832.22912978995612</v>
      </c>
      <c r="P29" s="110">
        <f>IF(P11=0,0,P11/TrRail_act!P17*1000)</f>
        <v>771.61659150165076</v>
      </c>
      <c r="Q29" s="110">
        <f>IF(Q11=0,0,Q11/TrRail_act!Q17*1000)</f>
        <v>550.54027385937684</v>
      </c>
      <c r="R29" s="110">
        <f>IF(R11=0,0,R11/TrRail_act!R17*1000)</f>
        <v>576.52982561928684</v>
      </c>
      <c r="S29" s="110">
        <f>IF(S11=0,0,S11/TrRail_act!S17*1000)</f>
        <v>495.05713437944934</v>
      </c>
      <c r="T29" s="110">
        <f>IF(T11=0,0,T11/TrRail_act!T17*1000)</f>
        <v>595.89195381195054</v>
      </c>
      <c r="U29" s="110">
        <f>IF(U11=0,0,U11/TrRail_act!U17*1000)</f>
        <v>422.16763662195598</v>
      </c>
      <c r="V29" s="110">
        <f>IF(V11=0,0,V11/TrRail_act!V17*1000)</f>
        <v>435.63225698141412</v>
      </c>
      <c r="W29" s="110">
        <f>IF(W11=0,0,W11/TrRail_act!W17*1000)</f>
        <v>278.35372342026471</v>
      </c>
      <c r="X29" s="110">
        <f>IF(X11=0,0,X11/TrRail_act!X17*1000)</f>
        <v>388.83227718972216</v>
      </c>
      <c r="Y29" s="110">
        <f>IF(Y11=0,0,Y11/TrRail_act!Y17*1000)</f>
        <v>284.35730129050427</v>
      </c>
      <c r="DA29" s="176" t="s">
        <v>1148</v>
      </c>
    </row>
    <row r="30" spans="1:105" ht="11.45" customHeight="1" x14ac:dyDescent="0.25">
      <c r="A30" s="111" t="s">
        <v>92</v>
      </c>
      <c r="B30" s="84">
        <f>IF(B12=0,0,B12/TrRail_act!B18*1000)</f>
        <v>8678.8398346501417</v>
      </c>
      <c r="C30" s="84">
        <f>IF(C12=0,0,C12/TrRail_act!C18*1000)</f>
        <v>8439.8164903849502</v>
      </c>
      <c r="D30" s="84">
        <f>IF(D12=0,0,D12/TrRail_act!D18*1000)</f>
        <v>8237.9223796177721</v>
      </c>
      <c r="E30" s="84">
        <f>IF(E12=0,0,E12/TrRail_act!E18*1000)</f>
        <v>7849.9592921393041</v>
      </c>
      <c r="F30" s="84">
        <f>IF(F12=0,0,F12/TrRail_act!F18*1000)</f>
        <v>7664.3367413960113</v>
      </c>
      <c r="G30" s="84">
        <f>IF(G12=0,0,G12/TrRail_act!G18*1000)</f>
        <v>7519.1392178460073</v>
      </c>
      <c r="H30" s="84">
        <f>IF(H12=0,0,H12/TrRail_act!H18*1000)</f>
        <v>6871.7657887803007</v>
      </c>
      <c r="I30" s="84">
        <f>IF(I12=0,0,I12/TrRail_act!I18*1000)</f>
        <v>6747.043020594364</v>
      </c>
      <c r="J30" s="84">
        <f>IF(J12=0,0,J12/TrRail_act!J18*1000)</f>
        <v>6491.2609068772972</v>
      </c>
      <c r="K30" s="84">
        <f>IF(K12=0,0,K12/TrRail_act!K18*1000)</f>
        <v>6336.1139922036427</v>
      </c>
      <c r="L30" s="84">
        <f>IF(L12=0,0,L12/TrRail_act!L18*1000)</f>
        <v>6070.824564872918</v>
      </c>
      <c r="M30" s="84">
        <f>IF(M12=0,0,M12/TrRail_act!M18*1000)</f>
        <v>5910.8285534693423</v>
      </c>
      <c r="N30" s="84">
        <f>IF(N12=0,0,N12/TrRail_act!N18*1000)</f>
        <v>5805.8478602978685</v>
      </c>
      <c r="O30" s="84">
        <f>IF(O12=0,0,O12/TrRail_act!O18*1000)</f>
        <v>5715.11035226681</v>
      </c>
      <c r="P30" s="84">
        <f>IF(P12=0,0,P12/TrRail_act!P18*1000)</f>
        <v>5518.677114977143</v>
      </c>
      <c r="Q30" s="84">
        <f>IF(Q12=0,0,Q12/TrRail_act!Q18*1000)</f>
        <v>5225.8958489652277</v>
      </c>
      <c r="R30" s="84">
        <f>IF(R12=0,0,R12/TrRail_act!R18*1000)</f>
        <v>5116.880157365913</v>
      </c>
      <c r="S30" s="84">
        <f>IF(S12=0,0,S12/TrRail_act!S18*1000)</f>
        <v>5036.6134047747182</v>
      </c>
      <c r="T30" s="84">
        <f>IF(T12=0,0,T12/TrRail_act!T18*1000)</f>
        <v>4977.2407214465575</v>
      </c>
      <c r="U30" s="84">
        <f>IF(U12=0,0,U12/TrRail_act!U18*1000)</f>
        <v>4933.1709698697532</v>
      </c>
      <c r="V30" s="84">
        <f>IF(V12=0,0,V12/TrRail_act!V18*1000)</f>
        <v>4900.3749175273206</v>
      </c>
      <c r="W30" s="84">
        <f>IF(W12=0,0,W12/TrRail_act!W18*1000)</f>
        <v>4875.9210401287855</v>
      </c>
      <c r="X30" s="84">
        <f>IF(X12=0,0,X12/TrRail_act!X18*1000)</f>
        <v>4857.6607475370647</v>
      </c>
      <c r="Y30" s="84">
        <f>IF(Y12=0,0,Y12/TrRail_act!Y18*1000)</f>
        <v>4844.0104195594695</v>
      </c>
      <c r="DA30" s="171" t="s">
        <v>1149</v>
      </c>
    </row>
    <row r="31" spans="1:105" ht="11.45" customHeight="1" x14ac:dyDescent="0.25">
      <c r="A31" s="111" t="s">
        <v>93</v>
      </c>
      <c r="B31" s="84">
        <f>IF(B13=0,0,B13/TrRail_act!B19*1000)</f>
        <v>0</v>
      </c>
      <c r="C31" s="84">
        <f>IF(C13=0,0,C13/TrRail_act!C19*1000)</f>
        <v>0</v>
      </c>
      <c r="D31" s="84">
        <f>IF(D13=0,0,D13/TrRail_act!D19*1000)</f>
        <v>0</v>
      </c>
      <c r="E31" s="84">
        <f>IF(E13=0,0,E13/TrRail_act!E19*1000)</f>
        <v>0</v>
      </c>
      <c r="F31" s="84">
        <f>IF(F13=0,0,F13/TrRail_act!F19*1000)</f>
        <v>0</v>
      </c>
      <c r="G31" s="84">
        <f>IF(G13=0,0,G13/TrRail_act!G19*1000)</f>
        <v>0</v>
      </c>
      <c r="H31" s="84">
        <f>IF(H13=0,0,H13/TrRail_act!H19*1000)</f>
        <v>0</v>
      </c>
      <c r="I31" s="84">
        <f>IF(I13=0,0,I13/TrRail_act!I19*1000)</f>
        <v>0</v>
      </c>
      <c r="J31" s="84">
        <f>IF(J13=0,0,J13/TrRail_act!J19*1000)</f>
        <v>0</v>
      </c>
      <c r="K31" s="84">
        <f>IF(K13=0,0,K13/TrRail_act!K19*1000)</f>
        <v>0</v>
      </c>
      <c r="L31" s="84">
        <f>IF(L13=0,0,L13/TrRail_act!L19*1000)</f>
        <v>0</v>
      </c>
      <c r="M31" s="84">
        <f>IF(M13=0,0,M13/TrRail_act!M19*1000)</f>
        <v>0</v>
      </c>
      <c r="N31" s="84">
        <f>IF(N13=0,0,N13/TrRail_act!N19*1000)</f>
        <v>0</v>
      </c>
      <c r="O31" s="84">
        <f>IF(O13=0,0,O13/TrRail_act!O19*1000)</f>
        <v>0</v>
      </c>
      <c r="P31" s="84">
        <f>IF(P13=0,0,P13/TrRail_act!P19*1000)</f>
        <v>0</v>
      </c>
      <c r="Q31" s="84">
        <f>IF(Q13=0,0,Q13/TrRail_act!Q19*1000)</f>
        <v>0</v>
      </c>
      <c r="R31" s="84">
        <f>IF(R13=0,0,R13/TrRail_act!R19*1000)</f>
        <v>0</v>
      </c>
      <c r="S31" s="84">
        <f>IF(S13=0,0,S13/TrRail_act!S19*1000)</f>
        <v>0</v>
      </c>
      <c r="T31" s="84">
        <f>IF(T13=0,0,T13/TrRail_act!T19*1000)</f>
        <v>0</v>
      </c>
      <c r="U31" s="84">
        <f>IF(U13=0,0,U13/TrRail_act!U19*1000)</f>
        <v>0</v>
      </c>
      <c r="V31" s="84">
        <f>IF(V13=0,0,V13/TrRail_act!V19*1000)</f>
        <v>0</v>
      </c>
      <c r="W31" s="84">
        <f>IF(W13=0,0,W13/TrRail_act!W19*1000)</f>
        <v>0</v>
      </c>
      <c r="X31" s="84">
        <f>IF(X13=0,0,X13/TrRail_act!X19*1000)</f>
        <v>0</v>
      </c>
      <c r="Y31" s="84">
        <f>IF(Y13=0,0,Y13/TrRail_act!Y19*1000)</f>
        <v>0</v>
      </c>
      <c r="DA31" s="171" t="s">
        <v>1150</v>
      </c>
    </row>
    <row r="32" spans="1:105" ht="11.45" customHeight="1" x14ac:dyDescent="0.25">
      <c r="A32" s="112" t="s">
        <v>25</v>
      </c>
      <c r="B32" s="113">
        <f>IF(B14=0,0,B14/TrRail_act!B20*1000)</f>
        <v>0</v>
      </c>
      <c r="C32" s="113">
        <f>IF(C14=0,0,C14/TrRail_act!C20*1000)</f>
        <v>0</v>
      </c>
      <c r="D32" s="113">
        <f>IF(D14=0,0,D14/TrRail_act!D20*1000)</f>
        <v>0</v>
      </c>
      <c r="E32" s="113">
        <f>IF(E14=0,0,E14/TrRail_act!E20*1000)</f>
        <v>0</v>
      </c>
      <c r="F32" s="113">
        <f>IF(F14=0,0,F14/TrRail_act!F20*1000)</f>
        <v>0</v>
      </c>
      <c r="G32" s="113">
        <f>IF(G14=0,0,G14/TrRail_act!G20*1000)</f>
        <v>0</v>
      </c>
      <c r="H32" s="113">
        <f>IF(H14=0,0,H14/TrRail_act!H20*1000)</f>
        <v>0</v>
      </c>
      <c r="I32" s="113">
        <f>IF(I14=0,0,I14/TrRail_act!I20*1000)</f>
        <v>0</v>
      </c>
      <c r="J32" s="113">
        <f>IF(J14=0,0,J14/TrRail_act!J20*1000)</f>
        <v>0</v>
      </c>
      <c r="K32" s="113">
        <f>IF(K14=0,0,K14/TrRail_act!K20*1000)</f>
        <v>0</v>
      </c>
      <c r="L32" s="113">
        <f>IF(L14=0,0,L14/TrRail_act!L20*1000)</f>
        <v>0</v>
      </c>
      <c r="M32" s="113">
        <f>IF(M14=0,0,M14/TrRail_act!M20*1000)</f>
        <v>0</v>
      </c>
      <c r="N32" s="113">
        <f>IF(N14=0,0,N14/TrRail_act!N20*1000)</f>
        <v>0</v>
      </c>
      <c r="O32" s="113">
        <f>IF(O14=0,0,O14/TrRail_act!O20*1000)</f>
        <v>0</v>
      </c>
      <c r="P32" s="113">
        <f>IF(P14=0,0,P14/TrRail_act!P20*1000)</f>
        <v>0</v>
      </c>
      <c r="Q32" s="113">
        <f>IF(Q14=0,0,Q14/TrRail_act!Q20*1000)</f>
        <v>0</v>
      </c>
      <c r="R32" s="113">
        <f>IF(R14=0,0,R14/TrRail_act!R20*1000)</f>
        <v>0</v>
      </c>
      <c r="S32" s="113">
        <f>IF(S14=0,0,S14/TrRail_act!S20*1000)</f>
        <v>0</v>
      </c>
      <c r="T32" s="113">
        <f>IF(T14=0,0,T14/TrRail_act!T20*1000)</f>
        <v>0</v>
      </c>
      <c r="U32" s="113">
        <f>IF(U14=0,0,U14/TrRail_act!U20*1000)</f>
        <v>0</v>
      </c>
      <c r="V32" s="113">
        <f>IF(V14=0,0,V14/TrRail_act!V20*1000)</f>
        <v>0</v>
      </c>
      <c r="W32" s="113">
        <f>IF(W14=0,0,W14/TrRail_act!W20*1000)</f>
        <v>0</v>
      </c>
      <c r="X32" s="113">
        <f>IF(X14=0,0,X14/TrRail_act!X20*1000)</f>
        <v>0</v>
      </c>
      <c r="Y32" s="113">
        <f>IF(Y14=0,0,Y14/TrRail_act!Y20*1000)</f>
        <v>0</v>
      </c>
      <c r="DA32" s="204" t="s">
        <v>1151</v>
      </c>
    </row>
    <row r="33" spans="1:105" ht="11.45" customHeight="1" x14ac:dyDescent="0.25">
      <c r="A33" s="27" t="s">
        <v>34</v>
      </c>
      <c r="B33" s="28">
        <f>IF(B15=0,0,B15/TrRail_act!B21*1000)</f>
        <v>2237.5905312683717</v>
      </c>
      <c r="C33" s="28">
        <f>IF(C15=0,0,C15/TrRail_act!C21*1000)</f>
        <v>2288.3791094643102</v>
      </c>
      <c r="D33" s="28">
        <f>IF(D15=0,0,D15/TrRail_act!D21*1000)</f>
        <v>2345.8114295658011</v>
      </c>
      <c r="E33" s="28">
        <f>IF(E15=0,0,E15/TrRail_act!E21*1000)</f>
        <v>2323.6587935197149</v>
      </c>
      <c r="F33" s="28">
        <f>IF(F15=0,0,F15/TrRail_act!F21*1000)</f>
        <v>2948.2317096246925</v>
      </c>
      <c r="G33" s="28">
        <f>IF(G15=0,0,G15/TrRail_act!G21*1000)</f>
        <v>2808.8650788279488</v>
      </c>
      <c r="H33" s="28">
        <f>IF(H15=0,0,H15/TrRail_act!H21*1000)</f>
        <v>3420.9722830012356</v>
      </c>
      <c r="I33" s="28">
        <f>IF(I15=0,0,I15/TrRail_act!I21*1000)</f>
        <v>2716.656584046706</v>
      </c>
      <c r="J33" s="28">
        <f>IF(J15=0,0,J15/TrRail_act!J21*1000)</f>
        <v>2728.5215118153101</v>
      </c>
      <c r="K33" s="28">
        <f>IF(K15=0,0,K15/TrRail_act!K21*1000)</f>
        <v>2939.7847252201377</v>
      </c>
      <c r="L33" s="28">
        <f>IF(L15=0,0,L15/TrRail_act!L21*1000)</f>
        <v>3318.5693322126049</v>
      </c>
      <c r="M33" s="28">
        <f>IF(M15=0,0,M15/TrRail_act!M21*1000)</f>
        <v>3239.5635958385665</v>
      </c>
      <c r="N33" s="28">
        <f>IF(N15=0,0,N15/TrRail_act!N21*1000)</f>
        <v>3179.3520951552414</v>
      </c>
      <c r="O33" s="28">
        <f>IF(O15=0,0,O15/TrRail_act!O21*1000)</f>
        <v>2973.3106821615997</v>
      </c>
      <c r="P33" s="28">
        <f>IF(P15=0,0,P15/TrRail_act!P21*1000)</f>
        <v>2782.5454073553474</v>
      </c>
      <c r="Q33" s="28">
        <f>IF(Q15=0,0,Q15/TrRail_act!Q21*1000)</f>
        <v>2826.410543759685</v>
      </c>
      <c r="R33" s="28">
        <f>IF(R15=0,0,R15/TrRail_act!R21*1000)</f>
        <v>2726.6272042422484</v>
      </c>
      <c r="S33" s="28">
        <f>IF(S15=0,0,S15/TrRail_act!S21*1000)</f>
        <v>2815.6599538762493</v>
      </c>
      <c r="T33" s="28">
        <f>IF(T15=0,0,T15/TrRail_act!T21*1000)</f>
        <v>3046.830482805648</v>
      </c>
      <c r="U33" s="28">
        <f>IF(U15=0,0,U15/TrRail_act!U21*1000)</f>
        <v>2956.653406307581</v>
      </c>
      <c r="V33" s="28">
        <f>IF(V15=0,0,V15/TrRail_act!V21*1000)</f>
        <v>3066.5466717843565</v>
      </c>
      <c r="W33" s="28">
        <f>IF(W15=0,0,W15/TrRail_act!W21*1000)</f>
        <v>3474.0202771406539</v>
      </c>
      <c r="X33" s="28">
        <f>IF(X15=0,0,X15/TrRail_act!X21*1000)</f>
        <v>3272.9380622620138</v>
      </c>
      <c r="Y33" s="28">
        <f>IF(Y15=0,0,Y15/TrRail_act!Y21*1000)</f>
        <v>3423.4714753923604</v>
      </c>
      <c r="DA33" s="173" t="s">
        <v>1152</v>
      </c>
    </row>
    <row r="34" spans="1:105" ht="11.45" customHeight="1" x14ac:dyDescent="0.25">
      <c r="A34" s="83" t="s">
        <v>92</v>
      </c>
      <c r="B34" s="84">
        <f>IF(B16=0,0,B16/TrRail_act!B22*1000)</f>
        <v>17783.824240334496</v>
      </c>
      <c r="C34" s="84">
        <f>IF(C16=0,0,C16/TrRail_act!C22*1000)</f>
        <v>17667.208128324353</v>
      </c>
      <c r="D34" s="84">
        <f>IF(D16=0,0,D16/TrRail_act!D22*1000)</f>
        <v>16851.045946730523</v>
      </c>
      <c r="E34" s="84">
        <f>IF(E16=0,0,E16/TrRail_act!E22*1000)</f>
        <v>15751.416359490846</v>
      </c>
      <c r="F34" s="84">
        <f>IF(F16=0,0,F16/TrRail_act!F22*1000)</f>
        <v>14805.231426472636</v>
      </c>
      <c r="G34" s="84">
        <f>IF(G16=0,0,G16/TrRail_act!G22*1000)</f>
        <v>14258.825322489896</v>
      </c>
      <c r="H34" s="84">
        <f>IF(H16=0,0,H16/TrRail_act!H22*1000)</f>
        <v>13387.078038405667</v>
      </c>
      <c r="I34" s="84">
        <f>IF(I16=0,0,I16/TrRail_act!I22*1000)</f>
        <v>13064.080723929415</v>
      </c>
      <c r="J34" s="84">
        <f>IF(J16=0,0,J16/TrRail_act!J22*1000)</f>
        <v>12740.140437127566</v>
      </c>
      <c r="K34" s="84">
        <f>IF(K16=0,0,K16/TrRail_act!K22*1000)</f>
        <v>12504.092207135356</v>
      </c>
      <c r="L34" s="84">
        <f>IF(L16=0,0,L16/TrRail_act!L22*1000)</f>
        <v>12272.672113072562</v>
      </c>
      <c r="M34" s="84">
        <f>IF(M16=0,0,M16/TrRail_act!M22*1000)</f>
        <v>12176.831315496012</v>
      </c>
      <c r="N34" s="84">
        <f>IF(N16=0,0,N16/TrRail_act!N22*1000)</f>
        <v>11892.343780012299</v>
      </c>
      <c r="O34" s="84">
        <f>IF(O16=0,0,O16/TrRail_act!O22*1000)</f>
        <v>11748.202707704557</v>
      </c>
      <c r="P34" s="84">
        <f>IF(P16=0,0,P16/TrRail_act!P22*1000)</f>
        <v>11567.816939379969</v>
      </c>
      <c r="Q34" s="84">
        <f>IF(Q16=0,0,Q16/TrRail_act!Q22*1000)</f>
        <v>11414.378122468888</v>
      </c>
      <c r="R34" s="84">
        <f>IF(R16=0,0,R16/TrRail_act!R22*1000)</f>
        <v>11357.139309789894</v>
      </c>
      <c r="S34" s="84">
        <f>IF(S16=0,0,S16/TrRail_act!S22*1000)</f>
        <v>11314.398643287972</v>
      </c>
      <c r="T34" s="84">
        <f>IF(T16=0,0,T16/TrRail_act!T22*1000)</f>
        <v>11282.448732558798</v>
      </c>
      <c r="U34" s="84">
        <f>IF(U16=0,0,U16/TrRail_act!U22*1000)</f>
        <v>11258.545521013422</v>
      </c>
      <c r="V34" s="84">
        <f>IF(V16=0,0,V16/TrRail_act!V22*1000)</f>
        <v>11240.651351907567</v>
      </c>
      <c r="W34" s="84">
        <f>IF(W16=0,0,W16/TrRail_act!W22*1000)</f>
        <v>11227.249391782589</v>
      </c>
      <c r="X34" s="84">
        <f>IF(X16=0,0,X16/TrRail_act!X22*1000)</f>
        <v>11217.208408842907</v>
      </c>
      <c r="Y34" s="84">
        <f>IF(Y16=0,0,Y16/TrRail_act!Y22*1000)</f>
        <v>11209.683565239866</v>
      </c>
      <c r="DA34" s="171" t="s">
        <v>1153</v>
      </c>
    </row>
    <row r="35" spans="1:105" ht="11.45" customHeight="1" x14ac:dyDescent="0.25">
      <c r="A35" s="85" t="s">
        <v>93</v>
      </c>
      <c r="B35" s="86">
        <f>IF(B17=0,0,B17/TrRail_act!B23*1000)</f>
        <v>0</v>
      </c>
      <c r="C35" s="86">
        <f>IF(C17=0,0,C17/TrRail_act!C23*1000)</f>
        <v>0</v>
      </c>
      <c r="D35" s="86">
        <f>IF(D17=0,0,D17/TrRail_act!D23*1000)</f>
        <v>0</v>
      </c>
      <c r="E35" s="86">
        <f>IF(E17=0,0,E17/TrRail_act!E23*1000)</f>
        <v>0</v>
      </c>
      <c r="F35" s="86">
        <f>IF(F17=0,0,F17/TrRail_act!F23*1000)</f>
        <v>0</v>
      </c>
      <c r="G35" s="86">
        <f>IF(G17=0,0,G17/TrRail_act!G23*1000)</f>
        <v>0</v>
      </c>
      <c r="H35" s="86">
        <f>IF(H17=0,0,H17/TrRail_act!H23*1000)</f>
        <v>0</v>
      </c>
      <c r="I35" s="86">
        <f>IF(I17=0,0,I17/TrRail_act!I23*1000)</f>
        <v>0</v>
      </c>
      <c r="J35" s="86">
        <f>IF(J17=0,0,J17/TrRail_act!J23*1000)</f>
        <v>0</v>
      </c>
      <c r="K35" s="86">
        <f>IF(K17=0,0,K17/TrRail_act!K23*1000)</f>
        <v>0</v>
      </c>
      <c r="L35" s="86">
        <f>IF(L17=0,0,L17/TrRail_act!L23*1000)</f>
        <v>0</v>
      </c>
      <c r="M35" s="86">
        <f>IF(M17=0,0,M17/TrRail_act!M23*1000)</f>
        <v>0</v>
      </c>
      <c r="N35" s="86">
        <f>IF(N17=0,0,N17/TrRail_act!N23*1000)</f>
        <v>0</v>
      </c>
      <c r="O35" s="86">
        <f>IF(O17=0,0,O17/TrRail_act!O23*1000)</f>
        <v>0</v>
      </c>
      <c r="P35" s="86">
        <f>IF(P17=0,0,P17/TrRail_act!P23*1000)</f>
        <v>0</v>
      </c>
      <c r="Q35" s="86">
        <f>IF(Q17=0,0,Q17/TrRail_act!Q23*1000)</f>
        <v>0</v>
      </c>
      <c r="R35" s="86">
        <f>IF(R17=0,0,R17/TrRail_act!R23*1000)</f>
        <v>0</v>
      </c>
      <c r="S35" s="86">
        <f>IF(S17=0,0,S17/TrRail_act!S23*1000)</f>
        <v>0</v>
      </c>
      <c r="T35" s="86">
        <f>IF(T17=0,0,T17/TrRail_act!T23*1000)</f>
        <v>0</v>
      </c>
      <c r="U35" s="86">
        <f>IF(U17=0,0,U17/TrRail_act!U23*1000)</f>
        <v>0</v>
      </c>
      <c r="V35" s="86">
        <f>IF(V17=0,0,V17/TrRail_act!V23*1000)</f>
        <v>0</v>
      </c>
      <c r="W35" s="86">
        <f>IF(W17=0,0,W17/TrRail_act!W23*1000)</f>
        <v>0</v>
      </c>
      <c r="X35" s="86">
        <f>IF(X17=0,0,X17/TrRail_act!X23*1000)</f>
        <v>0</v>
      </c>
      <c r="Y35" s="86">
        <f>IF(Y17=0,0,Y17/TrRail_act!Y23*1000)</f>
        <v>0</v>
      </c>
      <c r="DA35" s="178" t="s">
        <v>1154</v>
      </c>
    </row>
    <row r="36" spans="1:105" x14ac:dyDescent="0.25">
      <c r="A36" s="106"/>
      <c r="B36" s="106"/>
      <c r="C36" s="106"/>
      <c r="D36" s="106"/>
      <c r="E36" s="106"/>
      <c r="F36" s="106"/>
      <c r="G36" s="106"/>
      <c r="H36" s="106"/>
      <c r="I36" s="106"/>
      <c r="J36" s="106"/>
      <c r="K36" s="106"/>
      <c r="L36" s="106"/>
      <c r="M36" s="106"/>
      <c r="N36" s="106"/>
      <c r="O36" s="106"/>
      <c r="P36" s="106"/>
      <c r="Q36" s="106"/>
      <c r="R36" s="106"/>
      <c r="S36" s="106"/>
      <c r="T36" s="106"/>
      <c r="U36" s="106"/>
      <c r="V36" s="106"/>
      <c r="W36" s="106"/>
      <c r="X36" s="106"/>
      <c r="Y36" s="106"/>
      <c r="DA36" s="171"/>
    </row>
    <row r="37" spans="1:105" ht="11.45" customHeight="1" x14ac:dyDescent="0.25">
      <c r="A37" s="53" t="s">
        <v>71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DA37" s="172"/>
    </row>
    <row r="38" spans="1:105" ht="11.45" customHeight="1" x14ac:dyDescent="0.25">
      <c r="A38" s="27" t="s">
        <v>160</v>
      </c>
      <c r="B38" s="29">
        <f>IF(B9=0,0,B9/TrRail_act!B4*1000)</f>
        <v>11.349049400827854</v>
      </c>
      <c r="C38" s="29">
        <f>IF(C9=0,0,C9/TrRail_act!C4*1000)</f>
        <v>12.142959473564398</v>
      </c>
      <c r="D38" s="29">
        <f>IF(D9=0,0,D9/TrRail_act!D4*1000)</f>
        <v>12.129768961022162</v>
      </c>
      <c r="E38" s="29">
        <f>IF(E9=0,0,E9/TrRail_act!E4*1000)</f>
        <v>13.452984652870263</v>
      </c>
      <c r="F38" s="29">
        <f>IF(F9=0,0,F9/TrRail_act!F4*1000)</f>
        <v>11.378912651587324</v>
      </c>
      <c r="G38" s="29">
        <f>IF(G9=0,0,G9/TrRail_act!G4*1000)</f>
        <v>12.556297871631141</v>
      </c>
      <c r="H38" s="29">
        <f>IF(H9=0,0,H9/TrRail_act!H4*1000)</f>
        <v>7.618971864666741</v>
      </c>
      <c r="I38" s="29">
        <f>IF(I9=0,0,I9/TrRail_act!I4*1000)</f>
        <v>9.3113024437958956</v>
      </c>
      <c r="J38" s="29">
        <f>IF(J9=0,0,J9/TrRail_act!J4*1000)</f>
        <v>7.1641914738675867</v>
      </c>
      <c r="K38" s="29">
        <f>IF(K9=0,0,K9/TrRail_act!K4*1000)</f>
        <v>8.313054765596398</v>
      </c>
      <c r="L38" s="29">
        <f>IF(L9=0,0,L9/TrRail_act!L4*1000)</f>
        <v>5.1101226879283912</v>
      </c>
      <c r="M38" s="29">
        <f>IF(M9=0,0,M9/TrRail_act!M4*1000)</f>
        <v>5.0255870662273114</v>
      </c>
      <c r="N38" s="29">
        <f>IF(N9=0,0,N9/TrRail_act!N4*1000)</f>
        <v>5.4138881663699925</v>
      </c>
      <c r="O38" s="29">
        <f>IF(O9=0,0,O9/TrRail_act!O4*1000)</f>
        <v>5.2845096858307183</v>
      </c>
      <c r="P38" s="29">
        <f>IF(P9=0,0,P9/TrRail_act!P4*1000)</f>
        <v>4.9177222647520624</v>
      </c>
      <c r="Q38" s="29">
        <f>IF(Q9=0,0,Q9/TrRail_act!Q4*1000)</f>
        <v>3.4878283843582691</v>
      </c>
      <c r="R38" s="29">
        <f>IF(R9=0,0,R9/TrRail_act!R4*1000)</f>
        <v>3.6392687345809018</v>
      </c>
      <c r="S38" s="29">
        <f>IF(S9=0,0,S9/TrRail_act!S4*1000)</f>
        <v>3.1079507086434113</v>
      </c>
      <c r="T38" s="29">
        <f>IF(T9=0,0,T9/TrRail_act!T4*1000)</f>
        <v>3.9436027754868337</v>
      </c>
      <c r="U38" s="29">
        <f>IF(U9=0,0,U9/TrRail_act!U4*1000)</f>
        <v>2.5938101426053883</v>
      </c>
      <c r="V38" s="29">
        <f>IF(V9=0,0,V9/TrRail_act!V4*1000)</f>
        <v>4.2968669513500055</v>
      </c>
      <c r="W38" s="29">
        <f>IF(W9=0,0,W9/TrRail_act!W4*1000)</f>
        <v>2.5441980939639279</v>
      </c>
      <c r="X38" s="29">
        <f>IF(X9=0,0,X9/TrRail_act!X4*1000)</f>
        <v>2.6423810001547685</v>
      </c>
      <c r="Y38" s="29">
        <f>IF(Y9=0,0,Y9/TrRail_act!Y4*1000)</f>
        <v>1.7961734306674606</v>
      </c>
      <c r="DA38" s="173" t="s">
        <v>440</v>
      </c>
    </row>
    <row r="39" spans="1:105" ht="11.45" customHeight="1" x14ac:dyDescent="0.25">
      <c r="A39" s="107" t="s">
        <v>23</v>
      </c>
      <c r="B39" s="115">
        <f>IF(B10=0,0,B10/TrRail_act!B5*1000)</f>
        <v>0</v>
      </c>
      <c r="C39" s="115">
        <f>IF(C10=0,0,C10/TrRail_act!C5*1000)</f>
        <v>0</v>
      </c>
      <c r="D39" s="115">
        <f>IF(D10=0,0,D10/TrRail_act!D5*1000)</f>
        <v>0</v>
      </c>
      <c r="E39" s="115">
        <f>IF(E10=0,0,E10/TrRail_act!E5*1000)</f>
        <v>0</v>
      </c>
      <c r="F39" s="115">
        <f>IF(F10=0,0,F10/TrRail_act!F5*1000)</f>
        <v>0</v>
      </c>
      <c r="G39" s="115">
        <f>IF(G10=0,0,G10/TrRail_act!G5*1000)</f>
        <v>0</v>
      </c>
      <c r="H39" s="115">
        <f>IF(H10=0,0,H10/TrRail_act!H5*1000)</f>
        <v>0</v>
      </c>
      <c r="I39" s="115">
        <f>IF(I10=0,0,I10/TrRail_act!I5*1000)</f>
        <v>0</v>
      </c>
      <c r="J39" s="115">
        <f>IF(J10=0,0,J10/TrRail_act!J5*1000)</f>
        <v>0</v>
      </c>
      <c r="K39" s="115">
        <f>IF(K10=0,0,K10/TrRail_act!K5*1000)</f>
        <v>0</v>
      </c>
      <c r="L39" s="115">
        <f>IF(L10=0,0,L10/TrRail_act!L5*1000)</f>
        <v>0</v>
      </c>
      <c r="M39" s="115">
        <f>IF(M10=0,0,M10/TrRail_act!M5*1000)</f>
        <v>0</v>
      </c>
      <c r="N39" s="115">
        <f>IF(N10=0,0,N10/TrRail_act!N5*1000)</f>
        <v>0</v>
      </c>
      <c r="O39" s="115">
        <f>IF(O10=0,0,O10/TrRail_act!O5*1000)</f>
        <v>0</v>
      </c>
      <c r="P39" s="115">
        <f>IF(P10=0,0,P10/TrRail_act!P5*1000)</f>
        <v>0</v>
      </c>
      <c r="Q39" s="115">
        <f>IF(Q10=0,0,Q10/TrRail_act!Q5*1000)</f>
        <v>0</v>
      </c>
      <c r="R39" s="115">
        <f>IF(R10=0,0,R10/TrRail_act!R5*1000)</f>
        <v>0</v>
      </c>
      <c r="S39" s="115">
        <f>IF(S10=0,0,S10/TrRail_act!S5*1000)</f>
        <v>0</v>
      </c>
      <c r="T39" s="115">
        <f>IF(T10=0,0,T10/TrRail_act!T5*1000)</f>
        <v>0</v>
      </c>
      <c r="U39" s="115">
        <f>IF(U10=0,0,U10/TrRail_act!U5*1000)</f>
        <v>0</v>
      </c>
      <c r="V39" s="115">
        <f>IF(V10=0,0,V10/TrRail_act!V5*1000)</f>
        <v>0</v>
      </c>
      <c r="W39" s="115">
        <f>IF(W10=0,0,W10/TrRail_act!W5*1000)</f>
        <v>0</v>
      </c>
      <c r="X39" s="115">
        <f>IF(X10=0,0,X10/TrRail_act!X5*1000)</f>
        <v>0</v>
      </c>
      <c r="Y39" s="115">
        <f>IF(Y10=0,0,Y10/TrRail_act!Y5*1000)</f>
        <v>0</v>
      </c>
      <c r="DA39" s="203" t="s">
        <v>441</v>
      </c>
    </row>
    <row r="40" spans="1:105" ht="11.45" customHeight="1" x14ac:dyDescent="0.25">
      <c r="A40" s="109" t="s">
        <v>24</v>
      </c>
      <c r="B40" s="116">
        <f>IF(B11=0,0,B11/TrRail_act!B6*1000)</f>
        <v>13.563084440836608</v>
      </c>
      <c r="C40" s="116">
        <f>IF(C11=0,0,C11/TrRail_act!C6*1000)</f>
        <v>14.655966797080106</v>
      </c>
      <c r="D40" s="116">
        <f>IF(D11=0,0,D11/TrRail_act!D6*1000)</f>
        <v>14.830599487790796</v>
      </c>
      <c r="E40" s="116">
        <f>IF(E11=0,0,E11/TrRail_act!E6*1000)</f>
        <v>16.535703409256669</v>
      </c>
      <c r="F40" s="116">
        <f>IF(F11=0,0,F11/TrRail_act!F6*1000)</f>
        <v>14.118618747475123</v>
      </c>
      <c r="G40" s="116">
        <f>IF(G11=0,0,G11/TrRail_act!G6*1000)</f>
        <v>15.599075347820877</v>
      </c>
      <c r="H40" s="116">
        <f>IF(H11=0,0,H11/TrRail_act!H6*1000)</f>
        <v>9.4465066209068773</v>
      </c>
      <c r="I40" s="116">
        <f>IF(I11=0,0,I11/TrRail_act!I6*1000)</f>
        <v>11.468107481383946</v>
      </c>
      <c r="J40" s="116">
        <f>IF(J11=0,0,J11/TrRail_act!J6*1000)</f>
        <v>8.7960449415472546</v>
      </c>
      <c r="K40" s="116">
        <f>IF(K11=0,0,K11/TrRail_act!K6*1000)</f>
        <v>10.239995613768121</v>
      </c>
      <c r="L40" s="116">
        <f>IF(L11=0,0,L11/TrRail_act!L6*1000)</f>
        <v>6.3476614673273764</v>
      </c>
      <c r="M40" s="116">
        <f>IF(M11=0,0,M11/TrRail_act!M6*1000)</f>
        <v>6.2431280244487493</v>
      </c>
      <c r="N40" s="116">
        <f>IF(N11=0,0,N11/TrRail_act!N6*1000)</f>
        <v>6.7478455515951339</v>
      </c>
      <c r="O40" s="116">
        <f>IF(O11=0,0,O11/TrRail_act!O6*1000)</f>
        <v>6.5744626531779184</v>
      </c>
      <c r="P40" s="116">
        <f>IF(P11=0,0,P11/TrRail_act!P6*1000)</f>
        <v>6.2188379451537852</v>
      </c>
      <c r="Q40" s="116">
        <f>IF(Q11=0,0,Q11/TrRail_act!Q6*1000)</f>
        <v>4.4552154809025559</v>
      </c>
      <c r="R40" s="116">
        <f>IF(R11=0,0,R11/TrRail_act!R6*1000)</f>
        <v>4.8235679358224113</v>
      </c>
      <c r="S40" s="116">
        <f>IF(S11=0,0,S11/TrRail_act!S6*1000)</f>
        <v>4.0547781042700901</v>
      </c>
      <c r="T40" s="116">
        <f>IF(T11=0,0,T11/TrRail_act!T6*1000)</f>
        <v>5.1376840881192516</v>
      </c>
      <c r="U40" s="116">
        <f>IF(U11=0,0,U11/TrRail_act!U6*1000)</f>
        <v>3.3718156112996827</v>
      </c>
      <c r="V40" s="116">
        <f>IF(V11=0,0,V11/TrRail_act!V6*1000)</f>
        <v>5.5236078106090236</v>
      </c>
      <c r="W40" s="116">
        <f>IF(W11=0,0,W11/TrRail_act!W6*1000)</f>
        <v>3.2319781618576235</v>
      </c>
      <c r="X40" s="116">
        <f>IF(X11=0,0,X11/TrRail_act!X6*1000)</f>
        <v>3.2661318282425009</v>
      </c>
      <c r="Y40" s="116">
        <f>IF(Y11=0,0,Y11/TrRail_act!Y6*1000)</f>
        <v>2.2263102549922049</v>
      </c>
      <c r="DA40" s="176" t="s">
        <v>442</v>
      </c>
    </row>
    <row r="41" spans="1:105" ht="11.45" customHeight="1" x14ac:dyDescent="0.25">
      <c r="A41" s="111" t="s">
        <v>92</v>
      </c>
      <c r="B41" s="87">
        <f>IF(B12=0,0,B12/TrRail_act!B7*1000)</f>
        <v>69.789077009471626</v>
      </c>
      <c r="C41" s="87">
        <f>IF(C12=0,0,C12/TrRail_act!C7*1000)</f>
        <v>67.693229791729877</v>
      </c>
      <c r="D41" s="87">
        <f>IF(D12=0,0,D12/TrRail_act!D7*1000)</f>
        <v>71.214755847869128</v>
      </c>
      <c r="E41" s="87">
        <f>IF(E12=0,0,E12/TrRail_act!E7*1000)</f>
        <v>73.959159810816175</v>
      </c>
      <c r="F41" s="87">
        <f>IF(F12=0,0,F12/TrRail_act!F7*1000)</f>
        <v>69.758983922263639</v>
      </c>
      <c r="G41" s="87">
        <f>IF(G12=0,0,G12/TrRail_act!G7*1000)</f>
        <v>66.471025536106325</v>
      </c>
      <c r="H41" s="87">
        <f>IF(H12=0,0,H12/TrRail_act!H7*1000)</f>
        <v>57.803666276108949</v>
      </c>
      <c r="I41" s="87">
        <f>IF(I12=0,0,I12/TrRail_act!I7*1000)</f>
        <v>53.420869582053967</v>
      </c>
      <c r="J41" s="87">
        <f>IF(J12=0,0,J12/TrRail_act!J7*1000)</f>
        <v>53.707119709426138</v>
      </c>
      <c r="K41" s="87">
        <f>IF(K12=0,0,K12/TrRail_act!K7*1000)</f>
        <v>53.093607624322757</v>
      </c>
      <c r="L41" s="87">
        <f>IF(L12=0,0,L12/TrRail_act!L7*1000)</f>
        <v>51.531160652733789</v>
      </c>
      <c r="M41" s="87">
        <f>IF(M12=0,0,M12/TrRail_act!M7*1000)</f>
        <v>48.642126290774812</v>
      </c>
      <c r="N41" s="87">
        <f>IF(N12=0,0,N12/TrRail_act!N7*1000)</f>
        <v>51.620404943390199</v>
      </c>
      <c r="O41" s="87">
        <f>IF(O12=0,0,O12/TrRail_act!O7*1000)</f>
        <v>50.123428385842487</v>
      </c>
      <c r="P41" s="87">
        <f>IF(P12=0,0,P12/TrRail_act!P7*1000)</f>
        <v>46.911347268677332</v>
      </c>
      <c r="Q41" s="87">
        <f>IF(Q12=0,0,Q12/TrRail_act!Q7*1000)</f>
        <v>36.903580159404143</v>
      </c>
      <c r="R41" s="87">
        <f>IF(R12=0,0,R12/TrRail_act!R7*1000)</f>
        <v>34.26845718055128</v>
      </c>
      <c r="S41" s="87">
        <f>IF(S12=0,0,S12/TrRail_act!S7*1000)</f>
        <v>37.983322163460677</v>
      </c>
      <c r="T41" s="87">
        <f>IF(T12=0,0,T12/TrRail_act!T7*1000)</f>
        <v>46.600918510551658</v>
      </c>
      <c r="U41" s="87">
        <f>IF(U12=0,0,U12/TrRail_act!U7*1000)</f>
        <v>35.030553714278973</v>
      </c>
      <c r="V41" s="87">
        <f>IF(V12=0,0,V12/TrRail_act!V7*1000)</f>
        <v>49.76425395454239</v>
      </c>
      <c r="W41" s="87">
        <f>IF(W12=0,0,W12/TrRail_act!W7*1000)</f>
        <v>39.015403182646907</v>
      </c>
      <c r="X41" s="87">
        <f>IF(X12=0,0,X12/TrRail_act!X7*1000)</f>
        <v>38.87207609097937</v>
      </c>
      <c r="Y41" s="87">
        <f>IF(Y12=0,0,Y12/TrRail_act!Y7*1000)</f>
        <v>28.102245794316698</v>
      </c>
      <c r="DA41" s="171" t="s">
        <v>1155</v>
      </c>
    </row>
    <row r="42" spans="1:105" ht="11.45" customHeight="1" x14ac:dyDescent="0.25">
      <c r="A42" s="111" t="s">
        <v>93</v>
      </c>
      <c r="B42" s="87">
        <f>IF(B13=0,0,B13/TrRail_act!B8*1000)</f>
        <v>0</v>
      </c>
      <c r="C42" s="87">
        <f>IF(C13=0,0,C13/TrRail_act!C8*1000)</f>
        <v>0</v>
      </c>
      <c r="D42" s="87">
        <f>IF(D13=0,0,D13/TrRail_act!D8*1000)</f>
        <v>0</v>
      </c>
      <c r="E42" s="87">
        <f>IF(E13=0,0,E13/TrRail_act!E8*1000)</f>
        <v>0</v>
      </c>
      <c r="F42" s="87">
        <f>IF(F13=0,0,F13/TrRail_act!F8*1000)</f>
        <v>0</v>
      </c>
      <c r="G42" s="87">
        <f>IF(G13=0,0,G13/TrRail_act!G8*1000)</f>
        <v>0</v>
      </c>
      <c r="H42" s="87">
        <f>IF(H13=0,0,H13/TrRail_act!H8*1000)</f>
        <v>0</v>
      </c>
      <c r="I42" s="87">
        <f>IF(I13=0,0,I13/TrRail_act!I8*1000)</f>
        <v>0</v>
      </c>
      <c r="J42" s="87">
        <f>IF(J13=0,0,J13/TrRail_act!J8*1000)</f>
        <v>0</v>
      </c>
      <c r="K42" s="87">
        <f>IF(K13=0,0,K13/TrRail_act!K8*1000)</f>
        <v>0</v>
      </c>
      <c r="L42" s="87">
        <f>IF(L13=0,0,L13/TrRail_act!L8*1000)</f>
        <v>0</v>
      </c>
      <c r="M42" s="87">
        <f>IF(M13=0,0,M13/TrRail_act!M8*1000)</f>
        <v>0</v>
      </c>
      <c r="N42" s="87">
        <f>IF(N13=0,0,N13/TrRail_act!N8*1000)</f>
        <v>0</v>
      </c>
      <c r="O42" s="87">
        <f>IF(O13=0,0,O13/TrRail_act!O8*1000)</f>
        <v>0</v>
      </c>
      <c r="P42" s="87">
        <f>IF(P13=0,0,P13/TrRail_act!P8*1000)</f>
        <v>0</v>
      </c>
      <c r="Q42" s="87">
        <f>IF(Q13=0,0,Q13/TrRail_act!Q8*1000)</f>
        <v>0</v>
      </c>
      <c r="R42" s="87">
        <f>IF(R13=0,0,R13/TrRail_act!R8*1000)</f>
        <v>0</v>
      </c>
      <c r="S42" s="87">
        <f>IF(S13=0,0,S13/TrRail_act!S8*1000)</f>
        <v>0</v>
      </c>
      <c r="T42" s="87">
        <f>IF(T13=0,0,T13/TrRail_act!T8*1000)</f>
        <v>0</v>
      </c>
      <c r="U42" s="87">
        <f>IF(U13=0,0,U13/TrRail_act!U8*1000)</f>
        <v>0</v>
      </c>
      <c r="V42" s="87">
        <f>IF(V13=0,0,V13/TrRail_act!V8*1000)</f>
        <v>0</v>
      </c>
      <c r="W42" s="87">
        <f>IF(W13=0,0,W13/TrRail_act!W8*1000)</f>
        <v>0</v>
      </c>
      <c r="X42" s="87">
        <f>IF(X13=0,0,X13/TrRail_act!X8*1000)</f>
        <v>0</v>
      </c>
      <c r="Y42" s="87">
        <f>IF(Y13=0,0,Y13/TrRail_act!Y8*1000)</f>
        <v>0</v>
      </c>
      <c r="DA42" s="171" t="s">
        <v>1156</v>
      </c>
    </row>
    <row r="43" spans="1:105" ht="11.45" customHeight="1" x14ac:dyDescent="0.25">
      <c r="A43" s="112" t="s">
        <v>25</v>
      </c>
      <c r="B43" s="117">
        <f>IF(B14=0,0,B14/TrRail_act!B9*1000)</f>
        <v>0</v>
      </c>
      <c r="C43" s="117">
        <f>IF(C14=0,0,C14/TrRail_act!C9*1000)</f>
        <v>0</v>
      </c>
      <c r="D43" s="117">
        <f>IF(D14=0,0,D14/TrRail_act!D9*1000)</f>
        <v>0</v>
      </c>
      <c r="E43" s="117">
        <f>IF(E14=0,0,E14/TrRail_act!E9*1000)</f>
        <v>0</v>
      </c>
      <c r="F43" s="117">
        <f>IF(F14=0,0,F14/TrRail_act!F9*1000)</f>
        <v>0</v>
      </c>
      <c r="G43" s="117">
        <f>IF(G14=0,0,G14/TrRail_act!G9*1000)</f>
        <v>0</v>
      </c>
      <c r="H43" s="117">
        <f>IF(H14=0,0,H14/TrRail_act!H9*1000)</f>
        <v>0</v>
      </c>
      <c r="I43" s="117">
        <f>IF(I14=0,0,I14/TrRail_act!I9*1000)</f>
        <v>0</v>
      </c>
      <c r="J43" s="117">
        <f>IF(J14=0,0,J14/TrRail_act!J9*1000)</f>
        <v>0</v>
      </c>
      <c r="K43" s="117">
        <f>IF(K14=0,0,K14/TrRail_act!K9*1000)</f>
        <v>0</v>
      </c>
      <c r="L43" s="117">
        <f>IF(L14=0,0,L14/TrRail_act!L9*1000)</f>
        <v>0</v>
      </c>
      <c r="M43" s="117">
        <f>IF(M14=0,0,M14/TrRail_act!M9*1000)</f>
        <v>0</v>
      </c>
      <c r="N43" s="117">
        <f>IF(N14=0,0,N14/TrRail_act!N9*1000)</f>
        <v>0</v>
      </c>
      <c r="O43" s="117">
        <f>IF(O14=0,0,O14/TrRail_act!O9*1000)</f>
        <v>0</v>
      </c>
      <c r="P43" s="117">
        <f>IF(P14=0,0,P14/TrRail_act!P9*1000)</f>
        <v>0</v>
      </c>
      <c r="Q43" s="117">
        <f>IF(Q14=0,0,Q14/TrRail_act!Q9*1000)</f>
        <v>0</v>
      </c>
      <c r="R43" s="117">
        <f>IF(R14=0,0,R14/TrRail_act!R9*1000)</f>
        <v>0</v>
      </c>
      <c r="S43" s="117">
        <f>IF(S14=0,0,S14/TrRail_act!S9*1000)</f>
        <v>0</v>
      </c>
      <c r="T43" s="117">
        <f>IF(T14=0,0,T14/TrRail_act!T9*1000)</f>
        <v>0</v>
      </c>
      <c r="U43" s="117">
        <f>IF(U14=0,0,U14/TrRail_act!U9*1000)</f>
        <v>0</v>
      </c>
      <c r="V43" s="117">
        <f>IF(V14=0,0,V14/TrRail_act!V9*1000)</f>
        <v>0</v>
      </c>
      <c r="W43" s="117">
        <f>IF(W14=0,0,W14/TrRail_act!W9*1000)</f>
        <v>0</v>
      </c>
      <c r="X43" s="117">
        <f>IF(X14=0,0,X14/TrRail_act!X9*1000)</f>
        <v>0</v>
      </c>
      <c r="Y43" s="117">
        <f>IF(Y14=0,0,Y14/TrRail_act!Y9*1000)</f>
        <v>0</v>
      </c>
      <c r="DA43" s="204" t="s">
        <v>443</v>
      </c>
    </row>
    <row r="44" spans="1:105" ht="11.45" customHeight="1" x14ac:dyDescent="0.25">
      <c r="A44" s="27" t="s">
        <v>159</v>
      </c>
      <c r="B44" s="29">
        <f>IF(B15=0,0,B15/TrRail_act!B10*1000)</f>
        <v>3.6847700135437873</v>
      </c>
      <c r="C44" s="29">
        <f>IF(C15=0,0,C15/TrRail_act!C10*1000)</f>
        <v>3.8509329265494143</v>
      </c>
      <c r="D44" s="29">
        <f>IF(D15=0,0,D15/TrRail_act!D10*1000)</f>
        <v>3.8580212709834507</v>
      </c>
      <c r="E44" s="29">
        <f>IF(E15=0,0,E15/TrRail_act!E10*1000)</f>
        <v>3.9712758666234413</v>
      </c>
      <c r="F44" s="29">
        <f>IF(F15=0,0,F15/TrRail_act!F10*1000)</f>
        <v>4.7603270306827552</v>
      </c>
      <c r="G44" s="29">
        <f>IF(G15=0,0,G15/TrRail_act!G10*1000)</f>
        <v>4.4065262472908096</v>
      </c>
      <c r="H44" s="29">
        <f>IF(H15=0,0,H15/TrRail_act!H10*1000)</f>
        <v>5.3478383985852034</v>
      </c>
      <c r="I44" s="29">
        <f>IF(I15=0,0,I15/TrRail_act!I10*1000)</f>
        <v>4.2006132764491584</v>
      </c>
      <c r="J44" s="29">
        <f>IF(J15=0,0,J15/TrRail_act!J10*1000)</f>
        <v>4.2397919214006325</v>
      </c>
      <c r="K44" s="29">
        <f>IF(K15=0,0,K15/TrRail_act!K10*1000)</f>
        <v>4.4695756203522512</v>
      </c>
      <c r="L44" s="29">
        <f>IF(L15=0,0,L15/TrRail_act!L10*1000)</f>
        <v>4.9767025957093951</v>
      </c>
      <c r="M44" s="29">
        <f>IF(M15=0,0,M15/TrRail_act!M10*1000)</f>
        <v>4.7538327194506564</v>
      </c>
      <c r="N44" s="29">
        <f>IF(N15=0,0,N15/TrRail_act!N10*1000)</f>
        <v>4.5605700246869327</v>
      </c>
      <c r="O44" s="29">
        <f>IF(O15=0,0,O15/TrRail_act!O10*1000)</f>
        <v>4.0725068456706941</v>
      </c>
      <c r="P44" s="29">
        <f>IF(P15=0,0,P15/TrRail_act!P10*1000)</f>
        <v>3.7138661759503542</v>
      </c>
      <c r="Q44" s="29">
        <f>IF(Q15=0,0,Q15/TrRail_act!Q10*1000)</f>
        <v>3.6753421696884927</v>
      </c>
      <c r="R44" s="29">
        <f>IF(R15=0,0,R15/TrRail_act!R10*1000)</f>
        <v>3.4690769951984004</v>
      </c>
      <c r="S44" s="29">
        <f>IF(S15=0,0,S15/TrRail_act!S10*1000)</f>
        <v>3.4908885918843167</v>
      </c>
      <c r="T44" s="29">
        <f>IF(T15=0,0,T15/TrRail_act!T10*1000)</f>
        <v>3.7414366334998901</v>
      </c>
      <c r="U44" s="29">
        <f>IF(U15=0,0,U15/TrRail_act!U10*1000)</f>
        <v>3.6501296627398419</v>
      </c>
      <c r="V44" s="29">
        <f>IF(V15=0,0,V15/TrRail_act!V10*1000)</f>
        <v>3.7798234805586373</v>
      </c>
      <c r="W44" s="29">
        <f>IF(W15=0,0,W15/TrRail_act!W10*1000)</f>
        <v>4.2679217012353812</v>
      </c>
      <c r="X44" s="29">
        <f>IF(X15=0,0,X15/TrRail_act!X10*1000)</f>
        <v>3.4847492307809076</v>
      </c>
      <c r="Y44" s="29">
        <f>IF(Y15=0,0,Y15/TrRail_act!Y10*1000)</f>
        <v>3.3216539517682238</v>
      </c>
      <c r="DA44" s="173" t="s">
        <v>448</v>
      </c>
    </row>
    <row r="45" spans="1:105" ht="11.45" customHeight="1" x14ac:dyDescent="0.25">
      <c r="A45" s="83" t="s">
        <v>92</v>
      </c>
      <c r="B45" s="87">
        <f>IF(B16=0,0,B16/TrRail_act!B11*1000)</f>
        <v>27.173632263789706</v>
      </c>
      <c r="C45" s="87">
        <f>IF(C16=0,0,C16/TrRail_act!C11*1000)</f>
        <v>27.934745062331622</v>
      </c>
      <c r="D45" s="87">
        <f>IF(D16=0,0,D16/TrRail_act!D11*1000)</f>
        <v>26.062048058191582</v>
      </c>
      <c r="E45" s="87">
        <f>IF(E16=0,0,E16/TrRail_act!E11*1000)</f>
        <v>22.177552734467302</v>
      </c>
      <c r="F45" s="87">
        <f>IF(F16=0,0,F16/TrRail_act!F11*1000)</f>
        <v>20.660456622923306</v>
      </c>
      <c r="G45" s="87">
        <f>IF(G16=0,0,G16/TrRail_act!G11*1000)</f>
        <v>19.674356354555467</v>
      </c>
      <c r="H45" s="87">
        <f>IF(H16=0,0,H16/TrRail_act!H11*1000)</f>
        <v>19.360562007120834</v>
      </c>
      <c r="I45" s="87">
        <f>IF(I16=0,0,I16/TrRail_act!I11*1000)</f>
        <v>18.057212020631436</v>
      </c>
      <c r="J45" s="87">
        <f>IF(J16=0,0,J16/TrRail_act!J11*1000)</f>
        <v>18.17962167941122</v>
      </c>
      <c r="K45" s="87">
        <f>IF(K16=0,0,K16/TrRail_act!K11*1000)</f>
        <v>17.282048690669761</v>
      </c>
      <c r="L45" s="87">
        <f>IF(L16=0,0,L16/TrRail_act!L11*1000)</f>
        <v>17.505374451816405</v>
      </c>
      <c r="M45" s="87">
        <f>IF(M16=0,0,M16/TrRail_act!M11*1000)</f>
        <v>16.939521085654928</v>
      </c>
      <c r="N45" s="87">
        <f>IF(N16=0,0,N16/TrRail_act!N11*1000)</f>
        <v>17.03288969562778</v>
      </c>
      <c r="O45" s="87">
        <f>IF(O16=0,0,O16/TrRail_act!O11*1000)</f>
        <v>14.822698277340292</v>
      </c>
      <c r="P45" s="87">
        <f>IF(P16=0,0,P16/TrRail_act!P11*1000)</f>
        <v>14.462066786035447</v>
      </c>
      <c r="Q45" s="87">
        <f>IF(Q16=0,0,Q16/TrRail_act!Q11*1000)</f>
        <v>13.139361522465455</v>
      </c>
      <c r="R45" s="87">
        <f>IF(R16=0,0,R16/TrRail_act!R11*1000)</f>
        <v>12.320866954251068</v>
      </c>
      <c r="S45" s="87">
        <f>IF(S16=0,0,S16/TrRail_act!S11*1000)</f>
        <v>12.50109660154774</v>
      </c>
      <c r="T45" s="87">
        <f>IF(T16=0,0,T16/TrRail_act!T11*1000)</f>
        <v>12.791050752150714</v>
      </c>
      <c r="U45" s="87">
        <f>IF(U16=0,0,U16/TrRail_act!U11*1000)</f>
        <v>12.030010654474644</v>
      </c>
      <c r="V45" s="87">
        <f>IF(V16=0,0,V16/TrRail_act!V11*1000)</f>
        <v>11.605674392062669</v>
      </c>
      <c r="W45" s="87">
        <f>IF(W16=0,0,W16/TrRail_act!W11*1000)</f>
        <v>12.440251874643524</v>
      </c>
      <c r="X45" s="87">
        <f>IF(X16=0,0,X16/TrRail_act!X11*1000)</f>
        <v>11.232466757893281</v>
      </c>
      <c r="Y45" s="87">
        <f>IF(Y16=0,0,Y16/TrRail_act!Y11*1000)</f>
        <v>9.91132160149448</v>
      </c>
      <c r="DA45" s="171" t="s">
        <v>1157</v>
      </c>
    </row>
    <row r="46" spans="1:105" ht="11.45" customHeight="1" x14ac:dyDescent="0.25">
      <c r="A46" s="85" t="s">
        <v>93</v>
      </c>
      <c r="B46" s="88">
        <f>IF(B17=0,0,B17/TrRail_act!B12*1000)</f>
        <v>0</v>
      </c>
      <c r="C46" s="88">
        <f>IF(C17=0,0,C17/TrRail_act!C12*1000)</f>
        <v>0</v>
      </c>
      <c r="D46" s="88">
        <f>IF(D17=0,0,D17/TrRail_act!D12*1000)</f>
        <v>0</v>
      </c>
      <c r="E46" s="88">
        <f>IF(E17=0,0,E17/TrRail_act!E12*1000)</f>
        <v>0</v>
      </c>
      <c r="F46" s="88">
        <f>IF(F17=0,0,F17/TrRail_act!F12*1000)</f>
        <v>0</v>
      </c>
      <c r="G46" s="88">
        <f>IF(G17=0,0,G17/TrRail_act!G12*1000)</f>
        <v>0</v>
      </c>
      <c r="H46" s="88">
        <f>IF(H17=0,0,H17/TrRail_act!H12*1000)</f>
        <v>0</v>
      </c>
      <c r="I46" s="88">
        <f>IF(I17=0,0,I17/TrRail_act!I12*1000)</f>
        <v>0</v>
      </c>
      <c r="J46" s="88">
        <f>IF(J17=0,0,J17/TrRail_act!J12*1000)</f>
        <v>0</v>
      </c>
      <c r="K46" s="88">
        <f>IF(K17=0,0,K17/TrRail_act!K12*1000)</f>
        <v>0</v>
      </c>
      <c r="L46" s="88">
        <f>IF(L17=0,0,L17/TrRail_act!L12*1000)</f>
        <v>0</v>
      </c>
      <c r="M46" s="88">
        <f>IF(M17=0,0,M17/TrRail_act!M12*1000)</f>
        <v>0</v>
      </c>
      <c r="N46" s="88">
        <f>IF(N17=0,0,N17/TrRail_act!N12*1000)</f>
        <v>0</v>
      </c>
      <c r="O46" s="88">
        <f>IF(O17=0,0,O17/TrRail_act!O12*1000)</f>
        <v>0</v>
      </c>
      <c r="P46" s="88">
        <f>IF(P17=0,0,P17/TrRail_act!P12*1000)</f>
        <v>0</v>
      </c>
      <c r="Q46" s="88">
        <f>IF(Q17=0,0,Q17/TrRail_act!Q12*1000)</f>
        <v>0</v>
      </c>
      <c r="R46" s="88">
        <f>IF(R17=0,0,R17/TrRail_act!R12*1000)</f>
        <v>0</v>
      </c>
      <c r="S46" s="88">
        <f>IF(S17=0,0,S17/TrRail_act!S12*1000)</f>
        <v>0</v>
      </c>
      <c r="T46" s="88">
        <f>IF(T17=0,0,T17/TrRail_act!T12*1000)</f>
        <v>0</v>
      </c>
      <c r="U46" s="88">
        <f>IF(U17=0,0,U17/TrRail_act!U12*1000)</f>
        <v>0</v>
      </c>
      <c r="V46" s="88">
        <f>IF(V17=0,0,V17/TrRail_act!V12*1000)</f>
        <v>0</v>
      </c>
      <c r="W46" s="88">
        <f>IF(W17=0,0,W17/TrRail_act!W12*1000)</f>
        <v>0</v>
      </c>
      <c r="X46" s="88">
        <f>IF(X17=0,0,X17/TrRail_act!X12*1000)</f>
        <v>0</v>
      </c>
      <c r="Y46" s="88">
        <f>IF(Y17=0,0,Y17/TrRail_act!Y12*1000)</f>
        <v>0</v>
      </c>
      <c r="DA46" s="178" t="s">
        <v>1158</v>
      </c>
    </row>
    <row r="47" spans="1:105" x14ac:dyDescent="0.25">
      <c r="A47" s="106"/>
      <c r="B47" s="106"/>
      <c r="C47" s="106"/>
      <c r="D47" s="106"/>
      <c r="E47" s="106"/>
      <c r="F47" s="106"/>
      <c r="G47" s="106"/>
      <c r="H47" s="106"/>
      <c r="I47" s="106"/>
      <c r="J47" s="106"/>
      <c r="K47" s="106"/>
      <c r="L47" s="106"/>
      <c r="M47" s="106"/>
      <c r="N47" s="106"/>
      <c r="O47" s="106"/>
      <c r="P47" s="106"/>
      <c r="Q47" s="106"/>
      <c r="R47" s="106"/>
      <c r="S47" s="106"/>
      <c r="T47" s="106"/>
      <c r="U47" s="106"/>
      <c r="V47" s="106"/>
      <c r="W47" s="106"/>
      <c r="X47" s="106"/>
      <c r="Y47" s="106"/>
      <c r="DA47" s="171"/>
    </row>
    <row r="48" spans="1:105" ht="11.45" customHeight="1" x14ac:dyDescent="0.25">
      <c r="A48" s="53" t="s">
        <v>94</v>
      </c>
      <c r="B48" s="62">
        <f>IF(B8=0,0,1000000*B8/TrRail_act!B25/1000)</f>
        <v>283.16399943823012</v>
      </c>
      <c r="C48" s="62">
        <f>IF(C8=0,0,1000000*C8/TrRail_act!C25/1000)</f>
        <v>270.32281348363676</v>
      </c>
      <c r="D48" s="62">
        <f>IF(D8=0,0,1000000*D8/TrRail_act!D25/1000)</f>
        <v>250.91131728249343</v>
      </c>
      <c r="E48" s="62">
        <f>IF(E8=0,0,1000000*E8/TrRail_act!E25/1000)</f>
        <v>256.93765321830392</v>
      </c>
      <c r="F48" s="62">
        <f>IF(F8=0,0,1000000*F8/TrRail_act!F25/1000)</f>
        <v>263.73635946812942</v>
      </c>
      <c r="G48" s="62">
        <f>IF(G8=0,0,1000000*G8/TrRail_act!G25/1000)</f>
        <v>271.65103937925448</v>
      </c>
      <c r="H48" s="62">
        <f>IF(H8=0,0,1000000*H8/TrRail_act!H25/1000)</f>
        <v>256.64586091527531</v>
      </c>
      <c r="I48" s="62">
        <f>IF(I8=0,0,1000000*I8/TrRail_act!I25/1000)</f>
        <v>245.09420036881497</v>
      </c>
      <c r="J48" s="62">
        <f>IF(J8=0,0,1000000*J8/TrRail_act!J25/1000)</f>
        <v>217.40801568053647</v>
      </c>
      <c r="K48" s="62">
        <f>IF(K8=0,0,1000000*K8/TrRail_act!K25/1000)</f>
        <v>218.20807518063012</v>
      </c>
      <c r="L48" s="62">
        <f>IF(L8=0,0,1000000*L8/TrRail_act!L25/1000)</f>
        <v>199.66342995820858</v>
      </c>
      <c r="M48" s="62">
        <f>IF(M8=0,0,1000000*M8/TrRail_act!M25/1000)</f>
        <v>209.40617433150715</v>
      </c>
      <c r="N48" s="62">
        <f>IF(N8=0,0,1000000*N8/TrRail_act!N25/1000)</f>
        <v>196.8792728095203</v>
      </c>
      <c r="O48" s="62">
        <f>IF(O8=0,0,1000000*O8/TrRail_act!O25/1000)</f>
        <v>185.96037093785415</v>
      </c>
      <c r="P48" s="62">
        <f>IF(P8=0,0,1000000*P8/TrRail_act!P25/1000)</f>
        <v>168.96858584209349</v>
      </c>
      <c r="Q48" s="62">
        <f>IF(Q8=0,0,1000000*Q8/TrRail_act!Q25/1000)</f>
        <v>151.15581690220631</v>
      </c>
      <c r="R48" s="62">
        <f>IF(R8=0,0,1000000*R8/TrRail_act!R25/1000)</f>
        <v>143.59053518023293</v>
      </c>
      <c r="S48" s="62">
        <f>IF(S8=0,0,1000000*S8/TrRail_act!S25/1000)</f>
        <v>143.16415909620474</v>
      </c>
      <c r="T48" s="62">
        <f>IF(T8=0,0,1000000*T8/TrRail_act!T25/1000)</f>
        <v>162.15765044097003</v>
      </c>
      <c r="U48" s="62">
        <f>IF(U8=0,0,1000000*U8/TrRail_act!U25/1000)</f>
        <v>137.27555433382855</v>
      </c>
      <c r="V48" s="62">
        <f>IF(V8=0,0,1000000*V8/TrRail_act!V25/1000)</f>
        <v>141.29569293853632</v>
      </c>
      <c r="W48" s="62">
        <f>IF(W8=0,0,1000000*W8/TrRail_act!W25/1000)</f>
        <v>142.99534258964869</v>
      </c>
      <c r="X48" s="62">
        <f>IF(X8=0,0,1000000*X8/TrRail_act!X25/1000)</f>
        <v>137.82693207945147</v>
      </c>
      <c r="Y48" s="62">
        <f>IF(Y8=0,0,1000000*Y8/TrRail_act!Y25/1000)</f>
        <v>126.97267864243493</v>
      </c>
      <c r="DA48" s="172" t="s">
        <v>1159</v>
      </c>
    </row>
    <row r="49" spans="1:105" ht="11.45" customHeight="1" x14ac:dyDescent="0.25">
      <c r="A49" s="27" t="s">
        <v>33</v>
      </c>
      <c r="B49" s="29">
        <f>IF(B9=0,0,1000000*B9/TrRail_act!B26/1000)</f>
        <v>231.41185242365245</v>
      </c>
      <c r="C49" s="29">
        <f>IF(C9=0,0,1000000*C9/TrRail_act!C26/1000)</f>
        <v>220.13665989624263</v>
      </c>
      <c r="D49" s="29">
        <f>IF(D9=0,0,1000000*D9/TrRail_act!D26/1000)</f>
        <v>197.29045276578611</v>
      </c>
      <c r="E49" s="29">
        <f>IF(E9=0,0,1000000*E9/TrRail_act!E26/1000)</f>
        <v>204.0436386841437</v>
      </c>
      <c r="F49" s="29">
        <f>IF(F9=0,0,1000000*F9/TrRail_act!F26/1000)</f>
        <v>173.30490471036691</v>
      </c>
      <c r="G49" s="29">
        <f>IF(G9=0,0,1000000*G9/TrRail_act!G26/1000)</f>
        <v>194.00230947456458</v>
      </c>
      <c r="H49" s="29">
        <f>IF(H9=0,0,1000000*H9/TrRail_act!H26/1000)</f>
        <v>126.89507251693911</v>
      </c>
      <c r="I49" s="29">
        <f>IF(I9=0,0,1000000*I9/TrRail_act!I26/1000)</f>
        <v>159.78579353390299</v>
      </c>
      <c r="J49" s="29">
        <f>IF(J9=0,0,1000000*J9/TrRail_act!J26/1000)</f>
        <v>125.24392416595323</v>
      </c>
      <c r="K49" s="29">
        <f>IF(K9=0,0,1000000*K9/TrRail_act!K26/1000)</f>
        <v>136.77738918299627</v>
      </c>
      <c r="L49" s="29">
        <f>IF(L9=0,0,1000000*L9/TrRail_act!L26/1000)</f>
        <v>80.193047818273456</v>
      </c>
      <c r="M49" s="29">
        <f>IF(M9=0,0,1000000*M9/TrRail_act!M26/1000)</f>
        <v>82.972893866615323</v>
      </c>
      <c r="N49" s="29">
        <f>IF(N9=0,0,1000000*N9/TrRail_act!N26/1000)</f>
        <v>86.694488043097991</v>
      </c>
      <c r="O49" s="29">
        <f>IF(O9=0,0,1000000*O9/TrRail_act!O26/1000)</f>
        <v>81.550812725208743</v>
      </c>
      <c r="P49" s="29">
        <f>IF(P9=0,0,1000000*P9/TrRail_act!P26/1000)</f>
        <v>73.877734424354713</v>
      </c>
      <c r="Q49" s="29">
        <f>IF(Q9=0,0,1000000*Q9/TrRail_act!Q26/1000)</f>
        <v>53.840482509106749</v>
      </c>
      <c r="R49" s="29">
        <f>IF(R9=0,0,1000000*R9/TrRail_act!R26/1000)</f>
        <v>57.144774412111921</v>
      </c>
      <c r="S49" s="29">
        <f>IF(S9=0,0,1000000*S9/TrRail_act!S26/1000)</f>
        <v>49.994481926956169</v>
      </c>
      <c r="T49" s="29">
        <f>IF(T9=0,0,1000000*T9/TrRail_act!T26/1000)</f>
        <v>61.697810984723297</v>
      </c>
      <c r="U49" s="29">
        <f>IF(U9=0,0,1000000*U9/TrRail_act!U26/1000)</f>
        <v>42.654835233169159</v>
      </c>
      <c r="V49" s="29">
        <f>IF(V9=0,0,1000000*V9/TrRail_act!V26/1000)</f>
        <v>43.10805909778248</v>
      </c>
      <c r="W49" s="29">
        <f>IF(W9=0,0,1000000*W9/TrRail_act!W26/1000)</f>
        <v>29.447961334384225</v>
      </c>
      <c r="X49" s="29">
        <f>IF(X9=0,0,1000000*X9/TrRail_act!X26/1000)</f>
        <v>42.852640245591409</v>
      </c>
      <c r="Y49" s="29">
        <f>IF(Y9=0,0,1000000*Y9/TrRail_act!Y26/1000)</f>
        <v>31.216598687006517</v>
      </c>
      <c r="DA49" s="173" t="s">
        <v>1160</v>
      </c>
    </row>
    <row r="50" spans="1:105" ht="11.45" customHeight="1" x14ac:dyDescent="0.25">
      <c r="A50" s="107" t="s">
        <v>23</v>
      </c>
      <c r="B50" s="115">
        <f>IF(B10=0,0,1000000*B10/TrRail_act!B27/1000)</f>
        <v>0</v>
      </c>
      <c r="C50" s="115">
        <f>IF(C10=0,0,1000000*C10/TrRail_act!C27/1000)</f>
        <v>0</v>
      </c>
      <c r="D50" s="115">
        <f>IF(D10=0,0,1000000*D10/TrRail_act!D27/1000)</f>
        <v>0</v>
      </c>
      <c r="E50" s="115">
        <f>IF(E10=0,0,1000000*E10/TrRail_act!E27/1000)</f>
        <v>0</v>
      </c>
      <c r="F50" s="115">
        <f>IF(F10=0,0,1000000*F10/TrRail_act!F27/1000)</f>
        <v>0</v>
      </c>
      <c r="G50" s="115">
        <f>IF(G10=0,0,1000000*G10/TrRail_act!G27/1000)</f>
        <v>0</v>
      </c>
      <c r="H50" s="115">
        <f>IF(H10=0,0,1000000*H10/TrRail_act!H27/1000)</f>
        <v>0</v>
      </c>
      <c r="I50" s="115">
        <f>IF(I10=0,0,1000000*I10/TrRail_act!I27/1000)</f>
        <v>0</v>
      </c>
      <c r="J50" s="115">
        <f>IF(J10=0,0,1000000*J10/TrRail_act!J27/1000)</f>
        <v>0</v>
      </c>
      <c r="K50" s="115">
        <f>IF(K10=0,0,1000000*K10/TrRail_act!K27/1000)</f>
        <v>0</v>
      </c>
      <c r="L50" s="115">
        <f>IF(L10=0,0,1000000*L10/TrRail_act!L27/1000)</f>
        <v>0</v>
      </c>
      <c r="M50" s="115">
        <f>IF(M10=0,0,1000000*M10/TrRail_act!M27/1000)</f>
        <v>0</v>
      </c>
      <c r="N50" s="115">
        <f>IF(N10=0,0,1000000*N10/TrRail_act!N27/1000)</f>
        <v>0</v>
      </c>
      <c r="O50" s="115">
        <f>IF(O10=0,0,1000000*O10/TrRail_act!O27/1000)</f>
        <v>0</v>
      </c>
      <c r="P50" s="115">
        <f>IF(P10=0,0,1000000*P10/TrRail_act!P27/1000)</f>
        <v>0</v>
      </c>
      <c r="Q50" s="115">
        <f>IF(Q10=0,0,1000000*Q10/TrRail_act!Q27/1000)</f>
        <v>0</v>
      </c>
      <c r="R50" s="115">
        <f>IF(R10=0,0,1000000*R10/TrRail_act!R27/1000)</f>
        <v>0</v>
      </c>
      <c r="S50" s="115">
        <f>IF(S10=0,0,1000000*S10/TrRail_act!S27/1000)</f>
        <v>0</v>
      </c>
      <c r="T50" s="115">
        <f>IF(T10=0,0,1000000*T10/TrRail_act!T27/1000)</f>
        <v>0</v>
      </c>
      <c r="U50" s="115">
        <f>IF(U10=0,0,1000000*U10/TrRail_act!U27/1000)</f>
        <v>0</v>
      </c>
      <c r="V50" s="115">
        <f>IF(V10=0,0,1000000*V10/TrRail_act!V27/1000)</f>
        <v>0</v>
      </c>
      <c r="W50" s="115">
        <f>IF(W10=0,0,1000000*W10/TrRail_act!W27/1000)</f>
        <v>0</v>
      </c>
      <c r="X50" s="115">
        <f>IF(X10=0,0,1000000*X10/TrRail_act!X27/1000)</f>
        <v>0</v>
      </c>
      <c r="Y50" s="115">
        <f>IF(Y10=0,0,1000000*Y10/TrRail_act!Y27/1000)</f>
        <v>0</v>
      </c>
      <c r="DA50" s="203" t="s">
        <v>1161</v>
      </c>
    </row>
    <row r="51" spans="1:105" ht="11.45" customHeight="1" x14ac:dyDescent="0.25">
      <c r="A51" s="109" t="s">
        <v>24</v>
      </c>
      <c r="B51" s="116">
        <f>IF(B11=0,0,1000000*B11/TrRail_act!B28/1000)</f>
        <v>366.67450824067112</v>
      </c>
      <c r="C51" s="116">
        <f>IF(C11=0,0,1000000*C11/TrRail_act!C28/1000)</f>
        <v>337.29840547555483</v>
      </c>
      <c r="D51" s="116">
        <f>IF(D11=0,0,1000000*D11/TrRail_act!D28/1000)</f>
        <v>297.86852982369629</v>
      </c>
      <c r="E51" s="116">
        <f>IF(E11=0,0,1000000*E11/TrRail_act!E28/1000)</f>
        <v>301.6582617695953</v>
      </c>
      <c r="F51" s="116">
        <f>IF(F11=0,0,1000000*F11/TrRail_act!F28/1000)</f>
        <v>259.93246427659636</v>
      </c>
      <c r="G51" s="116">
        <f>IF(G11=0,0,1000000*G11/TrRail_act!G28/1000)</f>
        <v>292.3619253031535</v>
      </c>
      <c r="H51" s="116">
        <f>IF(H11=0,0,1000000*H11/TrRail_act!H28/1000)</f>
        <v>199.22689642394127</v>
      </c>
      <c r="I51" s="116">
        <f>IF(I11=0,0,1000000*I11/TrRail_act!I28/1000)</f>
        <v>248.26817535597522</v>
      </c>
      <c r="J51" s="116">
        <f>IF(J11=0,0,1000000*J11/TrRail_act!J28/1000)</f>
        <v>194.86065494204288</v>
      </c>
      <c r="K51" s="116">
        <f>IF(K11=0,0,1000000*K11/TrRail_act!K28/1000)</f>
        <v>209.40641428447137</v>
      </c>
      <c r="L51" s="116">
        <f>IF(L11=0,0,1000000*L11/TrRail_act!L28/1000)</f>
        <v>123.03963601432577</v>
      </c>
      <c r="M51" s="116">
        <f>IF(M11=0,0,1000000*M11/TrRail_act!M28/1000)</f>
        <v>130.02171230483413</v>
      </c>
      <c r="N51" s="116">
        <f>IF(N11=0,0,1000000*N11/TrRail_act!N28/1000)</f>
        <v>135.80574708028132</v>
      </c>
      <c r="O51" s="116">
        <f>IF(O11=0,0,1000000*O11/TrRail_act!O28/1000)</f>
        <v>124.83436932565451</v>
      </c>
      <c r="P51" s="116">
        <f>IF(P11=0,0,1000000*P11/TrRail_act!P28/1000)</f>
        <v>115.74248864253217</v>
      </c>
      <c r="Q51" s="116">
        <f>IF(Q11=0,0,1000000*Q11/TrRail_act!Q28/1000)</f>
        <v>82.581041050198095</v>
      </c>
      <c r="R51" s="116">
        <f>IF(R11=0,0,1000000*R11/TrRail_act!R28/1000)</f>
        <v>86.479473741969414</v>
      </c>
      <c r="S51" s="116">
        <f>IF(S11=0,0,1000000*S11/TrRail_act!S28/1000)</f>
        <v>74.258570071499392</v>
      </c>
      <c r="T51" s="116">
        <f>IF(T11=0,0,1000000*T11/TrRail_act!T28/1000)</f>
        <v>89.383793031047887</v>
      </c>
      <c r="U51" s="116">
        <f>IF(U11=0,0,1000000*U11/TrRail_act!U28/1000)</f>
        <v>62.39283940645268</v>
      </c>
      <c r="V51" s="116">
        <f>IF(V11=0,0,1000000*V11/TrRail_act!V28/1000)</f>
        <v>64.10891121511618</v>
      </c>
      <c r="W51" s="116">
        <f>IF(W11=0,0,1000000*W11/TrRail_act!W28/1000)</f>
        <v>41.753058470792432</v>
      </c>
      <c r="X51" s="116">
        <f>IF(X11=0,0,1000000*X11/TrRail_act!X28/1000)</f>
        <v>58.324841527763382</v>
      </c>
      <c r="Y51" s="116">
        <f>IF(Y11=0,0,1000000*Y11/TrRail_act!Y28/1000)</f>
        <v>42.606731335846668</v>
      </c>
      <c r="DA51" s="176" t="s">
        <v>1162</v>
      </c>
    </row>
    <row r="52" spans="1:105" ht="11.45" customHeight="1" x14ac:dyDescent="0.25">
      <c r="A52" s="111" t="s">
        <v>92</v>
      </c>
      <c r="B52" s="87">
        <f>IF(B12=0,0,1000000*B12/TrRail_act!B29/1000)</f>
        <v>1301.8259734023318</v>
      </c>
      <c r="C52" s="87">
        <f>IF(C12=0,0,1000000*C12/TrRail_act!C29/1000)</f>
        <v>1265.9724731548276</v>
      </c>
      <c r="D52" s="87">
        <f>IF(D12=0,0,1000000*D12/TrRail_act!D29/1000)</f>
        <v>1235.6883551386802</v>
      </c>
      <c r="E52" s="87">
        <f>IF(E12=0,0,1000000*E12/TrRail_act!E29/1000)</f>
        <v>1177.4938926052005</v>
      </c>
      <c r="F52" s="87">
        <f>IF(F12=0,0,1000000*F12/TrRail_act!F29/1000)</f>
        <v>1052.6498752531418</v>
      </c>
      <c r="G52" s="87">
        <f>IF(G12=0,0,1000000*G12/TrRail_act!G29/1000)</f>
        <v>1127.8708817906588</v>
      </c>
      <c r="H52" s="87">
        <f>IF(H12=0,0,1000000*H12/TrRail_act!H29/1000)</f>
        <v>775.37733481113855</v>
      </c>
      <c r="I52" s="87">
        <f>IF(I12=0,0,1000000*I12/TrRail_act!I29/1000)</f>
        <v>1012.0564486894011</v>
      </c>
      <c r="J52" s="87">
        <f>IF(J12=0,0,1000000*J12/TrRail_act!J29/1000)</f>
        <v>888.4836553233821</v>
      </c>
      <c r="K52" s="87">
        <f>IF(K12=0,0,1000000*K12/TrRail_act!K29/1000)</f>
        <v>950.41709872002343</v>
      </c>
      <c r="L52" s="87">
        <f>IF(L12=0,0,1000000*L12/TrRail_act!L29/1000)</f>
        <v>647.45171320123234</v>
      </c>
      <c r="M52" s="87">
        <f>IF(M12=0,0,1000000*M12/TrRail_act!M29/1000)</f>
        <v>753.53586192722366</v>
      </c>
      <c r="N52" s="87">
        <f>IF(N12=0,0,1000000*N12/TrRail_act!N29/1000)</f>
        <v>870.877178994784</v>
      </c>
      <c r="O52" s="87">
        <f>IF(O12=0,0,1000000*O12/TrRail_act!O29/1000)</f>
        <v>857.26654927583093</v>
      </c>
      <c r="P52" s="87">
        <f>IF(P12=0,0,1000000*P12/TrRail_act!P29/1000)</f>
        <v>827.80156631264674</v>
      </c>
      <c r="Q52" s="87">
        <f>IF(Q12=0,0,1000000*Q12/TrRail_act!Q29/1000)</f>
        <v>783.88437644691578</v>
      </c>
      <c r="R52" s="87">
        <f>IF(R12=0,0,1000000*R12/TrRail_act!R29/1000)</f>
        <v>767.53202029166448</v>
      </c>
      <c r="S52" s="87">
        <f>IF(S12=0,0,1000000*S12/TrRail_act!S29/1000)</f>
        <v>755.49200693072487</v>
      </c>
      <c r="T52" s="87">
        <f>IF(T12=0,0,1000000*T12/TrRail_act!T29/1000)</f>
        <v>746.58610580214156</v>
      </c>
      <c r="U52" s="87">
        <f>IF(U12=0,0,1000000*U12/TrRail_act!U29/1000)</f>
        <v>629.9764931204495</v>
      </c>
      <c r="V52" s="87">
        <f>IF(V12=0,0,1000000*V12/TrRail_act!V29/1000)</f>
        <v>735.0562321870508</v>
      </c>
      <c r="W52" s="87">
        <f>IF(W12=0,0,1000000*W12/TrRail_act!W29/1000)</f>
        <v>731.38814955662338</v>
      </c>
      <c r="X52" s="87">
        <f>IF(X12=0,0,1000000*X12/TrRail_act!X29/1000)</f>
        <v>728.64910728446307</v>
      </c>
      <c r="Y52" s="87">
        <f>IF(Y12=0,0,1000000*Y12/TrRail_act!Y29/1000)</f>
        <v>713.23762086933698</v>
      </c>
      <c r="DA52" s="171" t="s">
        <v>1163</v>
      </c>
    </row>
    <row r="53" spans="1:105" ht="11.45" customHeight="1" x14ac:dyDescent="0.25">
      <c r="A53" s="111" t="s">
        <v>93</v>
      </c>
      <c r="B53" s="87">
        <f>IF(B13=0,0,1000000*B13/TrRail_act!B30/1000)</f>
        <v>0</v>
      </c>
      <c r="C53" s="87">
        <f>IF(C13=0,0,1000000*C13/TrRail_act!C30/1000)</f>
        <v>0</v>
      </c>
      <c r="D53" s="87">
        <f>IF(D13=0,0,1000000*D13/TrRail_act!D30/1000)</f>
        <v>0</v>
      </c>
      <c r="E53" s="87">
        <f>IF(E13=0,0,1000000*E13/TrRail_act!E30/1000)</f>
        <v>0</v>
      </c>
      <c r="F53" s="87">
        <f>IF(F13=0,0,1000000*F13/TrRail_act!F30/1000)</f>
        <v>0</v>
      </c>
      <c r="G53" s="87">
        <f>IF(G13=0,0,1000000*G13/TrRail_act!G30/1000)</f>
        <v>0</v>
      </c>
      <c r="H53" s="87">
        <f>IF(H13=0,0,1000000*H13/TrRail_act!H30/1000)</f>
        <v>0</v>
      </c>
      <c r="I53" s="87">
        <f>IF(I13=0,0,1000000*I13/TrRail_act!I30/1000)</f>
        <v>0</v>
      </c>
      <c r="J53" s="87">
        <f>IF(J13=0,0,1000000*J13/TrRail_act!J30/1000)</f>
        <v>0</v>
      </c>
      <c r="K53" s="87">
        <f>IF(K13=0,0,1000000*K13/TrRail_act!K30/1000)</f>
        <v>0</v>
      </c>
      <c r="L53" s="87">
        <f>IF(L13=0,0,1000000*L13/TrRail_act!L30/1000)</f>
        <v>0</v>
      </c>
      <c r="M53" s="87">
        <f>IF(M13=0,0,1000000*M13/TrRail_act!M30/1000)</f>
        <v>0</v>
      </c>
      <c r="N53" s="87">
        <f>IF(N13=0,0,1000000*N13/TrRail_act!N30/1000)</f>
        <v>0</v>
      </c>
      <c r="O53" s="87">
        <f>IF(O13=0,0,1000000*O13/TrRail_act!O30/1000)</f>
        <v>0</v>
      </c>
      <c r="P53" s="87">
        <f>IF(P13=0,0,1000000*P13/TrRail_act!P30/1000)</f>
        <v>0</v>
      </c>
      <c r="Q53" s="87">
        <f>IF(Q13=0,0,1000000*Q13/TrRail_act!Q30/1000)</f>
        <v>0</v>
      </c>
      <c r="R53" s="87">
        <f>IF(R13=0,0,1000000*R13/TrRail_act!R30/1000)</f>
        <v>0</v>
      </c>
      <c r="S53" s="87">
        <f>IF(S13=0,0,1000000*S13/TrRail_act!S30/1000)</f>
        <v>0</v>
      </c>
      <c r="T53" s="87">
        <f>IF(T13=0,0,1000000*T13/TrRail_act!T30/1000)</f>
        <v>0</v>
      </c>
      <c r="U53" s="87">
        <f>IF(U13=0,0,1000000*U13/TrRail_act!U30/1000)</f>
        <v>0</v>
      </c>
      <c r="V53" s="87">
        <f>IF(V13=0,0,1000000*V13/TrRail_act!V30/1000)</f>
        <v>0</v>
      </c>
      <c r="W53" s="87">
        <f>IF(W13=0,0,1000000*W13/TrRail_act!W30/1000)</f>
        <v>0</v>
      </c>
      <c r="X53" s="87">
        <f>IF(X13=0,0,1000000*X13/TrRail_act!X30/1000)</f>
        <v>0</v>
      </c>
      <c r="Y53" s="87">
        <f>IF(Y13=0,0,1000000*Y13/TrRail_act!Y30/1000)</f>
        <v>0</v>
      </c>
      <c r="DA53" s="171" t="s">
        <v>1164</v>
      </c>
    </row>
    <row r="54" spans="1:105" ht="11.45" customHeight="1" x14ac:dyDescent="0.25">
      <c r="A54" s="112" t="s">
        <v>25</v>
      </c>
      <c r="B54" s="117">
        <f>IF(B14=0,0,1000000*B14/TrRail_act!B31/1000)</f>
        <v>0</v>
      </c>
      <c r="C54" s="117">
        <f>IF(C14=0,0,1000000*C14/TrRail_act!C31/1000)</f>
        <v>0</v>
      </c>
      <c r="D54" s="117">
        <f>IF(D14=0,0,1000000*D14/TrRail_act!D31/1000)</f>
        <v>0</v>
      </c>
      <c r="E54" s="117">
        <f>IF(E14=0,0,1000000*E14/TrRail_act!E31/1000)</f>
        <v>0</v>
      </c>
      <c r="F54" s="117">
        <f>IF(F14=0,0,1000000*F14/TrRail_act!F31/1000)</f>
        <v>0</v>
      </c>
      <c r="G54" s="117">
        <f>IF(G14=0,0,1000000*G14/TrRail_act!G31/1000)</f>
        <v>0</v>
      </c>
      <c r="H54" s="117">
        <f>IF(H14=0,0,1000000*H14/TrRail_act!H31/1000)</f>
        <v>0</v>
      </c>
      <c r="I54" s="117">
        <f>IF(I14=0,0,1000000*I14/TrRail_act!I31/1000)</f>
        <v>0</v>
      </c>
      <c r="J54" s="117">
        <f>IF(J14=0,0,1000000*J14/TrRail_act!J31/1000)</f>
        <v>0</v>
      </c>
      <c r="K54" s="117">
        <f>IF(K14=0,0,1000000*K14/TrRail_act!K31/1000)</f>
        <v>0</v>
      </c>
      <c r="L54" s="117">
        <f>IF(L14=0,0,1000000*L14/TrRail_act!L31/1000)</f>
        <v>0</v>
      </c>
      <c r="M54" s="117">
        <f>IF(M14=0,0,1000000*M14/TrRail_act!M31/1000)</f>
        <v>0</v>
      </c>
      <c r="N54" s="117">
        <f>IF(N14=0,0,1000000*N14/TrRail_act!N31/1000)</f>
        <v>0</v>
      </c>
      <c r="O54" s="117">
        <f>IF(O14=0,0,1000000*O14/TrRail_act!O31/1000)</f>
        <v>0</v>
      </c>
      <c r="P54" s="117">
        <f>IF(P14=0,0,1000000*P14/TrRail_act!P31/1000)</f>
        <v>0</v>
      </c>
      <c r="Q54" s="117">
        <f>IF(Q14=0,0,1000000*Q14/TrRail_act!Q31/1000)</f>
        <v>0</v>
      </c>
      <c r="R54" s="117">
        <f>IF(R14=0,0,1000000*R14/TrRail_act!R31/1000)</f>
        <v>0</v>
      </c>
      <c r="S54" s="117">
        <f>IF(S14=0,0,1000000*S14/TrRail_act!S31/1000)</f>
        <v>0</v>
      </c>
      <c r="T54" s="117">
        <f>IF(T14=0,0,1000000*T14/TrRail_act!T31/1000)</f>
        <v>0</v>
      </c>
      <c r="U54" s="117">
        <f>IF(U14=0,0,1000000*U14/TrRail_act!U31/1000)</f>
        <v>0</v>
      </c>
      <c r="V54" s="117">
        <f>IF(V14=0,0,1000000*V14/TrRail_act!V31/1000)</f>
        <v>0</v>
      </c>
      <c r="W54" s="117">
        <f>IF(W14=0,0,1000000*W14/TrRail_act!W31/1000)</f>
        <v>0</v>
      </c>
      <c r="X54" s="117">
        <f>IF(X14=0,0,1000000*X14/TrRail_act!X31/1000)</f>
        <v>0</v>
      </c>
      <c r="Y54" s="117">
        <f>IF(Y14=0,0,1000000*Y14/TrRail_act!Y31/1000)</f>
        <v>0</v>
      </c>
      <c r="DA54" s="204" t="s">
        <v>1165</v>
      </c>
    </row>
    <row r="55" spans="1:105" ht="11.45" customHeight="1" x14ac:dyDescent="0.25">
      <c r="A55" s="27" t="s">
        <v>34</v>
      </c>
      <c r="B55" s="29">
        <f>IF(B15=0,0,1000000*B15/TrRail_act!B32/1000)</f>
        <v>447.51810483598803</v>
      </c>
      <c r="C55" s="29">
        <f>IF(C15=0,0,1000000*C15/TrRail_act!C32/1000)</f>
        <v>457.16751373401394</v>
      </c>
      <c r="D55" s="29">
        <f>IF(D15=0,0,1000000*D15/TrRail_act!D32/1000)</f>
        <v>469.16228484560247</v>
      </c>
      <c r="E55" s="29">
        <f>IF(E15=0,0,1000000*E15/TrRail_act!E32/1000)</f>
        <v>464.73175775005336</v>
      </c>
      <c r="F55" s="29">
        <f>IF(F15=0,0,1000000*F15/TrRail_act!F32/1000)</f>
        <v>589.64634072093338</v>
      </c>
      <c r="G55" s="29">
        <f>IF(G15=0,0,1000000*G15/TrRail_act!G32/1000)</f>
        <v>559.88636265735681</v>
      </c>
      <c r="H55" s="29">
        <f>IF(H15=0,0,1000000*H15/TrRail_act!H32/1000)</f>
        <v>684.19445499296558</v>
      </c>
      <c r="I55" s="29">
        <f>IF(I15=0,0,1000000*I15/TrRail_act!I32/1000)</f>
        <v>525.43365745644746</v>
      </c>
      <c r="J55" s="29">
        <f>IF(J15=0,0,1000000*J15/TrRail_act!J32/1000)</f>
        <v>533.41152499272869</v>
      </c>
      <c r="K55" s="29">
        <f>IF(K15=0,0,1000000*K15/TrRail_act!K32/1000)</f>
        <v>525.95215585408312</v>
      </c>
      <c r="L55" s="29">
        <f>IF(L15=0,0,1000000*L15/TrRail_act!L32/1000)</f>
        <v>663.71386493077875</v>
      </c>
      <c r="M55" s="29">
        <f>IF(M15=0,0,1000000*M15/TrRail_act!M32/1000)</f>
        <v>647.91271851205966</v>
      </c>
      <c r="N55" s="29">
        <f>IF(N15=0,0,1000000*N15/TrRail_act!N32/1000)</f>
        <v>625.96666116262247</v>
      </c>
      <c r="O55" s="29">
        <f>IF(O15=0,0,1000000*O15/TrRail_act!O32/1000)</f>
        <v>585.36542243433803</v>
      </c>
      <c r="P55" s="29">
        <f>IF(P15=0,0,1000000*P15/TrRail_act!P32/1000)</f>
        <v>543.8964337370976</v>
      </c>
      <c r="Q55" s="29">
        <f>IF(Q15=0,0,1000000*Q15/TrRail_act!Q32/1000)</f>
        <v>563.45668101837623</v>
      </c>
      <c r="R55" s="29">
        <f>IF(R15=0,0,1000000*R15/TrRail_act!R32/1000)</f>
        <v>545.32543948364514</v>
      </c>
      <c r="S55" s="29">
        <f>IF(S15=0,0,1000000*S15/TrRail_act!S32/1000)</f>
        <v>563.13198949930631</v>
      </c>
      <c r="T55" s="29">
        <f>IF(T15=0,0,1000000*T15/TrRail_act!T32/1000)</f>
        <v>609.36609489611021</v>
      </c>
      <c r="U55" s="29">
        <f>IF(U15=0,0,1000000*U15/TrRail_act!U32/1000)</f>
        <v>583.72121141937691</v>
      </c>
      <c r="V55" s="29">
        <f>IF(V15=0,0,1000000*V15/TrRail_act!V32/1000)</f>
        <v>610.64763270741696</v>
      </c>
      <c r="W55" s="29">
        <f>IF(W15=0,0,1000000*W15/TrRail_act!W32/1000)</f>
        <v>694.80405433747001</v>
      </c>
      <c r="X55" s="29">
        <f>IF(X15=0,0,1000000*X15/TrRail_act!X32/1000)</f>
        <v>643.0621088815534</v>
      </c>
      <c r="Y55" s="29">
        <f>IF(Y15=0,0,1000000*Y15/TrRail_act!Y32/1000)</f>
        <v>680.83221726922625</v>
      </c>
      <c r="DA55" s="173" t="s">
        <v>1166</v>
      </c>
    </row>
    <row r="56" spans="1:105" ht="11.45" customHeight="1" x14ac:dyDescent="0.25">
      <c r="A56" s="83" t="s">
        <v>92</v>
      </c>
      <c r="B56" s="87">
        <f>IF(B16=0,0,1000000*B16/TrRail_act!B33/1000)</f>
        <v>3556.7648142515086</v>
      </c>
      <c r="C56" s="87">
        <f>IF(C16=0,0,1000000*C16/TrRail_act!C33/1000)</f>
        <v>3533.4415713754465</v>
      </c>
      <c r="D56" s="87">
        <f>IF(D16=0,0,1000000*D16/TrRail_act!D33/1000)</f>
        <v>3370.2091682233508</v>
      </c>
      <c r="E56" s="87">
        <f>IF(E16=0,0,1000000*E16/TrRail_act!E33/1000)</f>
        <v>3150.2832300551013</v>
      </c>
      <c r="F56" s="87">
        <f>IF(F16=0,0,1000000*F16/TrRail_act!F33/1000)</f>
        <v>2961.0462833784231</v>
      </c>
      <c r="G56" s="87">
        <f>IF(G16=0,0,1000000*G16/TrRail_act!G33/1000)</f>
        <v>2803.8036085925983</v>
      </c>
      <c r="H56" s="87">
        <f>IF(H16=0,0,1000000*H16/TrRail_act!H33/1000)</f>
        <v>2677.4155878854572</v>
      </c>
      <c r="I56" s="87">
        <f>IF(I16=0,0,1000000*I16/TrRail_act!I33/1000)</f>
        <v>2245.066943337968</v>
      </c>
      <c r="J56" s="87">
        <f>IF(J16=0,0,1000000*J16/TrRail_act!J33/1000)</f>
        <v>2300.4834471659528</v>
      </c>
      <c r="K56" s="87">
        <f>IF(K16=0,0,1000000*K16/TrRail_act!K33/1000)</f>
        <v>2149.8972051782548</v>
      </c>
      <c r="L56" s="87">
        <f>IF(L16=0,0,1000000*L16/TrRail_act!L33/1000)</f>
        <v>2454.5344105068698</v>
      </c>
      <c r="M56" s="87">
        <f>IF(M16=0,0,1000000*M16/TrRail_act!M33/1000)</f>
        <v>2435.3662601248643</v>
      </c>
      <c r="N56" s="87">
        <f>IF(N16=0,0,1000000*N16/TrRail_act!N33/1000)</f>
        <v>2245.5748257222317</v>
      </c>
      <c r="O56" s="87">
        <f>IF(O16=0,0,1000000*O16/TrRail_act!O33/1000)</f>
        <v>2210.9002228862482</v>
      </c>
      <c r="P56" s="87">
        <f>IF(P16=0,0,1000000*P16/TrRail_act!P33/1000)</f>
        <v>2110.1359122655722</v>
      </c>
      <c r="Q56" s="87">
        <f>IF(Q16=0,0,1000000*Q16/TrRail_act!Q33/1000)</f>
        <v>2253.3935640967406</v>
      </c>
      <c r="R56" s="87">
        <f>IF(R16=0,0,1000000*R16/TrRail_act!R33/1000)</f>
        <v>2271.4278483301464</v>
      </c>
      <c r="S56" s="87">
        <f>IF(S16=0,0,1000000*S16/TrRail_act!S33/1000)</f>
        <v>2262.8797195887864</v>
      </c>
      <c r="T56" s="87">
        <f>IF(T16=0,0,1000000*T16/TrRail_act!T33/1000)</f>
        <v>2256.4897414980123</v>
      </c>
      <c r="U56" s="87">
        <f>IF(U16=0,0,1000000*U16/TrRail_act!U33/1000)</f>
        <v>2145.2206151921941</v>
      </c>
      <c r="V56" s="87">
        <f>IF(V16=0,0,1000000*V16/TrRail_act!V33/1000)</f>
        <v>2212.7755284707541</v>
      </c>
      <c r="W56" s="87">
        <f>IF(W16=0,0,1000000*W16/TrRail_act!W33/1000)</f>
        <v>2245.4498705297465</v>
      </c>
      <c r="X56" s="87">
        <f>IF(X16=0,0,1000000*X16/TrRail_act!X33/1000)</f>
        <v>2113.6105286249503</v>
      </c>
      <c r="Y56" s="87">
        <f>IF(Y16=0,0,1000000*Y16/TrRail_act!Y33/1000)</f>
        <v>2201.0541400009547</v>
      </c>
      <c r="DA56" s="171" t="s">
        <v>1167</v>
      </c>
    </row>
    <row r="57" spans="1:105" ht="11.45" customHeight="1" x14ac:dyDescent="0.25">
      <c r="A57" s="85" t="s">
        <v>93</v>
      </c>
      <c r="B57" s="88">
        <f>IF(B17=0,0,1000000*B17/TrRail_act!B34/1000)</f>
        <v>0</v>
      </c>
      <c r="C57" s="88">
        <f>IF(C17=0,0,1000000*C17/TrRail_act!C34/1000)</f>
        <v>0</v>
      </c>
      <c r="D57" s="88">
        <f>IF(D17=0,0,1000000*D17/TrRail_act!D34/1000)</f>
        <v>0</v>
      </c>
      <c r="E57" s="88">
        <f>IF(E17=0,0,1000000*E17/TrRail_act!E34/1000)</f>
        <v>0</v>
      </c>
      <c r="F57" s="88">
        <f>IF(F17=0,0,1000000*F17/TrRail_act!F34/1000)</f>
        <v>0</v>
      </c>
      <c r="G57" s="88">
        <f>IF(G17=0,0,1000000*G17/TrRail_act!G34/1000)</f>
        <v>0</v>
      </c>
      <c r="H57" s="88">
        <f>IF(H17=0,0,1000000*H17/TrRail_act!H34/1000)</f>
        <v>0</v>
      </c>
      <c r="I57" s="88">
        <f>IF(I17=0,0,1000000*I17/TrRail_act!I34/1000)</f>
        <v>0</v>
      </c>
      <c r="J57" s="88">
        <f>IF(J17=0,0,1000000*J17/TrRail_act!J34/1000)</f>
        <v>0</v>
      </c>
      <c r="K57" s="88">
        <f>IF(K17=0,0,1000000*K17/TrRail_act!K34/1000)</f>
        <v>0</v>
      </c>
      <c r="L57" s="88">
        <f>IF(L17=0,0,1000000*L17/TrRail_act!L34/1000)</f>
        <v>0</v>
      </c>
      <c r="M57" s="88">
        <f>IF(M17=0,0,1000000*M17/TrRail_act!M34/1000)</f>
        <v>0</v>
      </c>
      <c r="N57" s="88">
        <f>IF(N17=0,0,1000000*N17/TrRail_act!N34/1000)</f>
        <v>0</v>
      </c>
      <c r="O57" s="88">
        <f>IF(O17=0,0,1000000*O17/TrRail_act!O34/1000)</f>
        <v>0</v>
      </c>
      <c r="P57" s="88">
        <f>IF(P17=0,0,1000000*P17/TrRail_act!P34/1000)</f>
        <v>0</v>
      </c>
      <c r="Q57" s="88">
        <f>IF(Q17=0,0,1000000*Q17/TrRail_act!Q34/1000)</f>
        <v>0</v>
      </c>
      <c r="R57" s="88">
        <f>IF(R17=0,0,1000000*R17/TrRail_act!R34/1000)</f>
        <v>0</v>
      </c>
      <c r="S57" s="88">
        <f>IF(S17=0,0,1000000*S17/TrRail_act!S34/1000)</f>
        <v>0</v>
      </c>
      <c r="T57" s="88">
        <f>IF(T17=0,0,1000000*T17/TrRail_act!T34/1000)</f>
        <v>0</v>
      </c>
      <c r="U57" s="88">
        <f>IF(U17=0,0,1000000*U17/TrRail_act!U34/1000)</f>
        <v>0</v>
      </c>
      <c r="V57" s="88">
        <f>IF(V17=0,0,1000000*V17/TrRail_act!V34/1000)</f>
        <v>0</v>
      </c>
      <c r="W57" s="88">
        <f>IF(W17=0,0,1000000*W17/TrRail_act!W34/1000)</f>
        <v>0</v>
      </c>
      <c r="X57" s="88">
        <f>IF(X17=0,0,1000000*X17/TrRail_act!X34/1000)</f>
        <v>0</v>
      </c>
      <c r="Y57" s="88">
        <f>IF(Y17=0,0,1000000*Y17/TrRail_act!Y34/1000)</f>
        <v>0</v>
      </c>
      <c r="DA57" s="178" t="s">
        <v>1168</v>
      </c>
    </row>
    <row r="58" spans="1:105" x14ac:dyDescent="0.25">
      <c r="A58" s="106"/>
      <c r="B58" s="106"/>
      <c r="C58" s="106"/>
      <c r="D58" s="106"/>
      <c r="E58" s="106"/>
      <c r="F58" s="106"/>
      <c r="G58" s="106"/>
      <c r="H58" s="106"/>
      <c r="I58" s="106"/>
      <c r="J58" s="106"/>
      <c r="K58" s="106"/>
      <c r="L58" s="106"/>
      <c r="M58" s="106"/>
      <c r="N58" s="106"/>
      <c r="O58" s="106"/>
      <c r="P58" s="106"/>
      <c r="Q58" s="106"/>
      <c r="R58" s="106"/>
      <c r="S58" s="106"/>
      <c r="T58" s="106"/>
      <c r="U58" s="106"/>
      <c r="V58" s="106"/>
      <c r="W58" s="106"/>
      <c r="X58" s="106"/>
      <c r="Y58" s="106"/>
      <c r="DA58" s="171"/>
    </row>
    <row r="59" spans="1:105" ht="11.45" customHeight="1" x14ac:dyDescent="0.25">
      <c r="A59" s="53" t="s">
        <v>41</v>
      </c>
      <c r="B59" s="65">
        <f t="shared" ref="B59:B68" si="10">IF(B8=0,0,B8/B$8)</f>
        <v>1</v>
      </c>
      <c r="C59" s="65">
        <f t="shared" ref="C59:V59" si="11">IF(C8=0,0,C8/C$8)</f>
        <v>1</v>
      </c>
      <c r="D59" s="65">
        <f t="shared" si="11"/>
        <v>1</v>
      </c>
      <c r="E59" s="65">
        <f t="shared" si="11"/>
        <v>1</v>
      </c>
      <c r="F59" s="65">
        <f t="shared" si="11"/>
        <v>1</v>
      </c>
      <c r="G59" s="65">
        <f t="shared" si="11"/>
        <v>1</v>
      </c>
      <c r="H59" s="65">
        <f t="shared" si="11"/>
        <v>1</v>
      </c>
      <c r="I59" s="65">
        <f t="shared" si="11"/>
        <v>1</v>
      </c>
      <c r="J59" s="65">
        <f t="shared" si="11"/>
        <v>1</v>
      </c>
      <c r="K59" s="65">
        <f t="shared" si="11"/>
        <v>1</v>
      </c>
      <c r="L59" s="65">
        <f t="shared" si="11"/>
        <v>1</v>
      </c>
      <c r="M59" s="65">
        <f t="shared" si="11"/>
        <v>1</v>
      </c>
      <c r="N59" s="65">
        <f t="shared" si="11"/>
        <v>1</v>
      </c>
      <c r="O59" s="65">
        <f t="shared" si="11"/>
        <v>1</v>
      </c>
      <c r="P59" s="65">
        <f t="shared" si="11"/>
        <v>1</v>
      </c>
      <c r="Q59" s="65">
        <f t="shared" si="11"/>
        <v>1</v>
      </c>
      <c r="R59" s="65">
        <f t="shared" si="11"/>
        <v>1</v>
      </c>
      <c r="S59" s="65">
        <f t="shared" si="11"/>
        <v>1</v>
      </c>
      <c r="T59" s="65">
        <f t="shared" si="11"/>
        <v>1</v>
      </c>
      <c r="U59" s="65">
        <f t="shared" si="11"/>
        <v>1</v>
      </c>
      <c r="V59" s="65">
        <f t="shared" si="11"/>
        <v>1</v>
      </c>
      <c r="W59" s="65">
        <f t="shared" ref="W59:Y59" si="12">IF(W8=0,0,W8/W$8)</f>
        <v>1</v>
      </c>
      <c r="X59" s="65">
        <f t="shared" si="12"/>
        <v>1</v>
      </c>
      <c r="Y59" s="65">
        <f t="shared" si="12"/>
        <v>1</v>
      </c>
      <c r="DA59" s="172"/>
    </row>
    <row r="60" spans="1:105" ht="11.45" customHeight="1" x14ac:dyDescent="0.25">
      <c r="A60" s="27" t="s">
        <v>33</v>
      </c>
      <c r="B60" s="31">
        <f t="shared" si="10"/>
        <v>0.62152812488868803</v>
      </c>
      <c r="C60" s="31">
        <f t="shared" ref="C60:V60" si="13">IF(C9=0,0,C9/C$8)</f>
        <v>0.64192690222238213</v>
      </c>
      <c r="D60" s="31">
        <f t="shared" si="13"/>
        <v>0.63121568621742552</v>
      </c>
      <c r="E60" s="31">
        <f t="shared" si="13"/>
        <v>0.63300521760550532</v>
      </c>
      <c r="F60" s="31">
        <f t="shared" si="13"/>
        <v>0.51438568304705035</v>
      </c>
      <c r="G60" s="31">
        <f t="shared" si="13"/>
        <v>0.56259938105519591</v>
      </c>
      <c r="H60" s="31">
        <f t="shared" si="13"/>
        <v>0.37932146096037617</v>
      </c>
      <c r="I60" s="31">
        <f t="shared" si="13"/>
        <v>0.49983460047685263</v>
      </c>
      <c r="J60" s="31">
        <f t="shared" si="13"/>
        <v>0.44599962267666343</v>
      </c>
      <c r="K60" s="31">
        <f t="shared" si="13"/>
        <v>0.49566531071954001</v>
      </c>
      <c r="L60" s="31">
        <f t="shared" si="13"/>
        <v>0.31940890659566978</v>
      </c>
      <c r="M60" s="31">
        <f t="shared" si="13"/>
        <v>0.30755347820516299</v>
      </c>
      <c r="N60" s="31">
        <f t="shared" si="13"/>
        <v>0.35037186818040966</v>
      </c>
      <c r="O60" s="31">
        <f t="shared" si="13"/>
        <v>0.34765676602343959</v>
      </c>
      <c r="P60" s="31">
        <f t="shared" si="13"/>
        <v>0.34877083571426909</v>
      </c>
      <c r="Q60" s="31">
        <f t="shared" si="13"/>
        <v>0.28817420233264907</v>
      </c>
      <c r="R60" s="31">
        <f t="shared" si="13"/>
        <v>0.32749879040624991</v>
      </c>
      <c r="S60" s="31">
        <f t="shared" si="13"/>
        <v>0.28580513663445867</v>
      </c>
      <c r="T60" s="31">
        <f t="shared" si="13"/>
        <v>0.31068816997294113</v>
      </c>
      <c r="U60" s="31">
        <f t="shared" si="13"/>
        <v>0.25638529883110839</v>
      </c>
      <c r="V60" s="31">
        <f t="shared" si="13"/>
        <v>0.25230857656656341</v>
      </c>
      <c r="W60" s="31">
        <f t="shared" ref="W60:Y60" si="14">IF(W9=0,0,W9/W$8)</f>
        <v>0.17079209116200816</v>
      </c>
      <c r="X60" s="31">
        <f t="shared" si="14"/>
        <v>0.26171838629778454</v>
      </c>
      <c r="Y60" s="31">
        <f t="shared" si="14"/>
        <v>0.20961312909300747</v>
      </c>
      <c r="DA60" s="173"/>
    </row>
    <row r="61" spans="1:105" ht="11.45" customHeight="1" x14ac:dyDescent="0.25">
      <c r="A61" s="107" t="s">
        <v>23</v>
      </c>
      <c r="B61" s="123">
        <f t="shared" si="10"/>
        <v>0</v>
      </c>
      <c r="C61" s="123">
        <f t="shared" ref="C61:V61" si="15">IF(C10=0,0,C10/C$8)</f>
        <v>0</v>
      </c>
      <c r="D61" s="123">
        <f t="shared" si="15"/>
        <v>0</v>
      </c>
      <c r="E61" s="123">
        <f t="shared" si="15"/>
        <v>0</v>
      </c>
      <c r="F61" s="123">
        <f t="shared" si="15"/>
        <v>0</v>
      </c>
      <c r="G61" s="123">
        <f t="shared" si="15"/>
        <v>0</v>
      </c>
      <c r="H61" s="123">
        <f t="shared" si="15"/>
        <v>0</v>
      </c>
      <c r="I61" s="123">
        <f t="shared" si="15"/>
        <v>0</v>
      </c>
      <c r="J61" s="123">
        <f t="shared" si="15"/>
        <v>0</v>
      </c>
      <c r="K61" s="123">
        <f t="shared" si="15"/>
        <v>0</v>
      </c>
      <c r="L61" s="123">
        <f t="shared" si="15"/>
        <v>0</v>
      </c>
      <c r="M61" s="123">
        <f t="shared" si="15"/>
        <v>0</v>
      </c>
      <c r="N61" s="123">
        <f t="shared" si="15"/>
        <v>0</v>
      </c>
      <c r="O61" s="123">
        <f t="shared" si="15"/>
        <v>0</v>
      </c>
      <c r="P61" s="123">
        <f t="shared" si="15"/>
        <v>0</v>
      </c>
      <c r="Q61" s="123">
        <f t="shared" si="15"/>
        <v>0</v>
      </c>
      <c r="R61" s="123">
        <f t="shared" si="15"/>
        <v>0</v>
      </c>
      <c r="S61" s="123">
        <f t="shared" si="15"/>
        <v>0</v>
      </c>
      <c r="T61" s="123">
        <f t="shared" si="15"/>
        <v>0</v>
      </c>
      <c r="U61" s="123">
        <f t="shared" si="15"/>
        <v>0</v>
      </c>
      <c r="V61" s="123">
        <f t="shared" si="15"/>
        <v>0</v>
      </c>
      <c r="W61" s="123">
        <f t="shared" ref="W61:Y61" si="16">IF(W10=0,0,W10/W$8)</f>
        <v>0</v>
      </c>
      <c r="X61" s="123">
        <f t="shared" si="16"/>
        <v>0</v>
      </c>
      <c r="Y61" s="123">
        <f t="shared" si="16"/>
        <v>0</v>
      </c>
      <c r="DA61" s="203"/>
    </row>
    <row r="62" spans="1:105" ht="11.45" customHeight="1" x14ac:dyDescent="0.25">
      <c r="A62" s="109" t="s">
        <v>24</v>
      </c>
      <c r="B62" s="124">
        <f t="shared" si="10"/>
        <v>0.62152812488868803</v>
      </c>
      <c r="C62" s="124">
        <f t="shared" ref="C62:V62" si="17">IF(C11=0,0,C11/C$8)</f>
        <v>0.64192690222238213</v>
      </c>
      <c r="D62" s="124">
        <f t="shared" si="17"/>
        <v>0.63121568621742552</v>
      </c>
      <c r="E62" s="124">
        <f t="shared" si="17"/>
        <v>0.63300521760550532</v>
      </c>
      <c r="F62" s="124">
        <f t="shared" si="17"/>
        <v>0.51438568304705035</v>
      </c>
      <c r="G62" s="124">
        <f t="shared" si="17"/>
        <v>0.56259938105519591</v>
      </c>
      <c r="H62" s="124">
        <f t="shared" si="17"/>
        <v>0.37932146096037617</v>
      </c>
      <c r="I62" s="124">
        <f t="shared" si="17"/>
        <v>0.49983460047685263</v>
      </c>
      <c r="J62" s="124">
        <f t="shared" si="17"/>
        <v>0.44599962267666343</v>
      </c>
      <c r="K62" s="124">
        <f t="shared" si="17"/>
        <v>0.49566531071954001</v>
      </c>
      <c r="L62" s="124">
        <f t="shared" si="17"/>
        <v>0.31940890659566978</v>
      </c>
      <c r="M62" s="124">
        <f t="shared" si="17"/>
        <v>0.30755347820516299</v>
      </c>
      <c r="N62" s="124">
        <f t="shared" si="17"/>
        <v>0.35037186818040966</v>
      </c>
      <c r="O62" s="124">
        <f t="shared" si="17"/>
        <v>0.34765676602343959</v>
      </c>
      <c r="P62" s="124">
        <f t="shared" si="17"/>
        <v>0.34877083571426909</v>
      </c>
      <c r="Q62" s="124">
        <f t="shared" si="17"/>
        <v>0.28817420233264907</v>
      </c>
      <c r="R62" s="124">
        <f t="shared" si="17"/>
        <v>0.32749879040624991</v>
      </c>
      <c r="S62" s="124">
        <f t="shared" si="17"/>
        <v>0.28580513663445867</v>
      </c>
      <c r="T62" s="124">
        <f t="shared" si="17"/>
        <v>0.31068816997294113</v>
      </c>
      <c r="U62" s="124">
        <f t="shared" si="17"/>
        <v>0.25638529883110839</v>
      </c>
      <c r="V62" s="124">
        <f t="shared" si="17"/>
        <v>0.25230857656656341</v>
      </c>
      <c r="W62" s="124">
        <f t="shared" ref="W62:Y62" si="18">IF(W11=0,0,W11/W$8)</f>
        <v>0.17079209116200816</v>
      </c>
      <c r="X62" s="124">
        <f t="shared" si="18"/>
        <v>0.26171838629778454</v>
      </c>
      <c r="Y62" s="124">
        <f t="shared" si="18"/>
        <v>0.20961312909300747</v>
      </c>
      <c r="DA62" s="176"/>
    </row>
    <row r="63" spans="1:105" ht="11.45" customHeight="1" x14ac:dyDescent="0.25">
      <c r="A63" s="111" t="s">
        <v>92</v>
      </c>
      <c r="B63" s="125">
        <f t="shared" si="10"/>
        <v>0.62152812488868803</v>
      </c>
      <c r="C63" s="125">
        <f t="shared" ref="C63:V63" si="19">IF(C12=0,0,C12/C$8)</f>
        <v>0.64192690222238213</v>
      </c>
      <c r="D63" s="125">
        <f t="shared" si="19"/>
        <v>0.63121568621742552</v>
      </c>
      <c r="E63" s="125">
        <f t="shared" si="19"/>
        <v>0.63300521760550532</v>
      </c>
      <c r="F63" s="125">
        <f t="shared" si="19"/>
        <v>0.51438568304705035</v>
      </c>
      <c r="G63" s="125">
        <f t="shared" si="19"/>
        <v>0.56259938105519591</v>
      </c>
      <c r="H63" s="125">
        <f t="shared" si="19"/>
        <v>0.37932146096037617</v>
      </c>
      <c r="I63" s="125">
        <f t="shared" si="19"/>
        <v>0.49983460047685263</v>
      </c>
      <c r="J63" s="125">
        <f t="shared" si="19"/>
        <v>0.44599962267666343</v>
      </c>
      <c r="K63" s="125">
        <f t="shared" si="19"/>
        <v>0.49566531071954001</v>
      </c>
      <c r="L63" s="125">
        <f t="shared" si="19"/>
        <v>0.31940890659566978</v>
      </c>
      <c r="M63" s="125">
        <f t="shared" si="19"/>
        <v>0.30755347820516299</v>
      </c>
      <c r="N63" s="125">
        <f t="shared" si="19"/>
        <v>0.35037186818040966</v>
      </c>
      <c r="O63" s="125">
        <f t="shared" si="19"/>
        <v>0.34765676602343959</v>
      </c>
      <c r="P63" s="125">
        <f t="shared" si="19"/>
        <v>0.34877083571426909</v>
      </c>
      <c r="Q63" s="125">
        <f t="shared" si="19"/>
        <v>0.28817420233264907</v>
      </c>
      <c r="R63" s="125">
        <f t="shared" si="19"/>
        <v>0.32749879040624991</v>
      </c>
      <c r="S63" s="125">
        <f t="shared" si="19"/>
        <v>0.28580513663445867</v>
      </c>
      <c r="T63" s="125">
        <f t="shared" si="19"/>
        <v>0.31068816997294113</v>
      </c>
      <c r="U63" s="125">
        <f t="shared" si="19"/>
        <v>0.25638529883110839</v>
      </c>
      <c r="V63" s="125">
        <f t="shared" si="19"/>
        <v>0.25230857656656341</v>
      </c>
      <c r="W63" s="125">
        <f t="shared" ref="W63:Y63" si="20">IF(W12=0,0,W12/W$8)</f>
        <v>0.17079209116200816</v>
      </c>
      <c r="X63" s="125">
        <f t="shared" si="20"/>
        <v>0.26171838629778454</v>
      </c>
      <c r="Y63" s="125">
        <f t="shared" si="20"/>
        <v>0.20961312909300747</v>
      </c>
      <c r="DA63" s="171"/>
    </row>
    <row r="64" spans="1:105" ht="11.45" customHeight="1" x14ac:dyDescent="0.25">
      <c r="A64" s="111" t="s">
        <v>93</v>
      </c>
      <c r="B64" s="125">
        <f t="shared" si="10"/>
        <v>0</v>
      </c>
      <c r="C64" s="125">
        <f t="shared" ref="C64:V64" si="21">IF(C13=0,0,C13/C$8)</f>
        <v>0</v>
      </c>
      <c r="D64" s="125">
        <f t="shared" si="21"/>
        <v>0</v>
      </c>
      <c r="E64" s="125">
        <f t="shared" si="21"/>
        <v>0</v>
      </c>
      <c r="F64" s="125">
        <f t="shared" si="21"/>
        <v>0</v>
      </c>
      <c r="G64" s="125">
        <f t="shared" si="21"/>
        <v>0</v>
      </c>
      <c r="H64" s="125">
        <f t="shared" si="21"/>
        <v>0</v>
      </c>
      <c r="I64" s="125">
        <f t="shared" si="21"/>
        <v>0</v>
      </c>
      <c r="J64" s="125">
        <f t="shared" si="21"/>
        <v>0</v>
      </c>
      <c r="K64" s="125">
        <f t="shared" si="21"/>
        <v>0</v>
      </c>
      <c r="L64" s="125">
        <f t="shared" si="21"/>
        <v>0</v>
      </c>
      <c r="M64" s="125">
        <f t="shared" si="21"/>
        <v>0</v>
      </c>
      <c r="N64" s="125">
        <f t="shared" si="21"/>
        <v>0</v>
      </c>
      <c r="O64" s="125">
        <f t="shared" si="21"/>
        <v>0</v>
      </c>
      <c r="P64" s="125">
        <f t="shared" si="21"/>
        <v>0</v>
      </c>
      <c r="Q64" s="125">
        <f t="shared" si="21"/>
        <v>0</v>
      </c>
      <c r="R64" s="125">
        <f t="shared" si="21"/>
        <v>0</v>
      </c>
      <c r="S64" s="125">
        <f t="shared" si="21"/>
        <v>0</v>
      </c>
      <c r="T64" s="125">
        <f t="shared" si="21"/>
        <v>0</v>
      </c>
      <c r="U64" s="125">
        <f t="shared" si="21"/>
        <v>0</v>
      </c>
      <c r="V64" s="125">
        <f t="shared" si="21"/>
        <v>0</v>
      </c>
      <c r="W64" s="125">
        <f t="shared" ref="W64:Y64" si="22">IF(W13=0,0,W13/W$8)</f>
        <v>0</v>
      </c>
      <c r="X64" s="125">
        <f t="shared" si="22"/>
        <v>0</v>
      </c>
      <c r="Y64" s="125">
        <f t="shared" si="22"/>
        <v>0</v>
      </c>
      <c r="DA64" s="171"/>
    </row>
    <row r="65" spans="1:105" ht="11.45" customHeight="1" x14ac:dyDescent="0.25">
      <c r="A65" s="112" t="s">
        <v>25</v>
      </c>
      <c r="B65" s="126">
        <f t="shared" si="10"/>
        <v>0</v>
      </c>
      <c r="C65" s="126">
        <f t="shared" ref="C65:V65" si="23">IF(C14=0,0,C14/C$8)</f>
        <v>0</v>
      </c>
      <c r="D65" s="126">
        <f t="shared" si="23"/>
        <v>0</v>
      </c>
      <c r="E65" s="126">
        <f t="shared" si="23"/>
        <v>0</v>
      </c>
      <c r="F65" s="126">
        <f t="shared" si="23"/>
        <v>0</v>
      </c>
      <c r="G65" s="126">
        <f t="shared" si="23"/>
        <v>0</v>
      </c>
      <c r="H65" s="126">
        <f t="shared" si="23"/>
        <v>0</v>
      </c>
      <c r="I65" s="126">
        <f t="shared" si="23"/>
        <v>0</v>
      </c>
      <c r="J65" s="126">
        <f t="shared" si="23"/>
        <v>0</v>
      </c>
      <c r="K65" s="126">
        <f t="shared" si="23"/>
        <v>0</v>
      </c>
      <c r="L65" s="126">
        <f t="shared" si="23"/>
        <v>0</v>
      </c>
      <c r="M65" s="126">
        <f t="shared" si="23"/>
        <v>0</v>
      </c>
      <c r="N65" s="126">
        <f t="shared" si="23"/>
        <v>0</v>
      </c>
      <c r="O65" s="126">
        <f t="shared" si="23"/>
        <v>0</v>
      </c>
      <c r="P65" s="126">
        <f t="shared" si="23"/>
        <v>0</v>
      </c>
      <c r="Q65" s="126">
        <f t="shared" si="23"/>
        <v>0</v>
      </c>
      <c r="R65" s="126">
        <f t="shared" si="23"/>
        <v>0</v>
      </c>
      <c r="S65" s="126">
        <f t="shared" si="23"/>
        <v>0</v>
      </c>
      <c r="T65" s="126">
        <f t="shared" si="23"/>
        <v>0</v>
      </c>
      <c r="U65" s="126">
        <f t="shared" si="23"/>
        <v>0</v>
      </c>
      <c r="V65" s="126">
        <f t="shared" si="23"/>
        <v>0</v>
      </c>
      <c r="W65" s="126">
        <f t="shared" ref="W65:Y65" si="24">IF(W14=0,0,W14/W$8)</f>
        <v>0</v>
      </c>
      <c r="X65" s="126">
        <f t="shared" si="24"/>
        <v>0</v>
      </c>
      <c r="Y65" s="126">
        <f t="shared" si="24"/>
        <v>0</v>
      </c>
      <c r="DA65" s="204"/>
    </row>
    <row r="66" spans="1:105" ht="11.45" customHeight="1" x14ac:dyDescent="0.25">
      <c r="A66" s="27" t="s">
        <v>34</v>
      </c>
      <c r="B66" s="31">
        <f t="shared" si="10"/>
        <v>0.37847187511131197</v>
      </c>
      <c r="C66" s="31">
        <f t="shared" ref="C66:V66" si="25">IF(C15=0,0,C15/C$8)</f>
        <v>0.35807309777761781</v>
      </c>
      <c r="D66" s="31">
        <f t="shared" si="25"/>
        <v>0.36878431378257442</v>
      </c>
      <c r="E66" s="31">
        <f t="shared" si="25"/>
        <v>0.36699478239449462</v>
      </c>
      <c r="F66" s="31">
        <f t="shared" si="25"/>
        <v>0.48561431695294965</v>
      </c>
      <c r="G66" s="31">
        <f t="shared" si="25"/>
        <v>0.43740061894480409</v>
      </c>
      <c r="H66" s="31">
        <f t="shared" si="25"/>
        <v>0.62067853903962389</v>
      </c>
      <c r="I66" s="31">
        <f t="shared" si="25"/>
        <v>0.50016539952314731</v>
      </c>
      <c r="J66" s="31">
        <f t="shared" si="25"/>
        <v>0.55400037732333662</v>
      </c>
      <c r="K66" s="31">
        <f t="shared" si="25"/>
        <v>0.50433468928045988</v>
      </c>
      <c r="L66" s="31">
        <f t="shared" si="25"/>
        <v>0.68059109340433022</v>
      </c>
      <c r="M66" s="31">
        <f t="shared" si="25"/>
        <v>0.69244652179483712</v>
      </c>
      <c r="N66" s="31">
        <f t="shared" si="25"/>
        <v>0.64962813181959023</v>
      </c>
      <c r="O66" s="31">
        <f t="shared" si="25"/>
        <v>0.65234323397656047</v>
      </c>
      <c r="P66" s="31">
        <f t="shared" si="25"/>
        <v>0.65122916428573097</v>
      </c>
      <c r="Q66" s="31">
        <f t="shared" si="25"/>
        <v>0.71182579766735088</v>
      </c>
      <c r="R66" s="31">
        <f t="shared" si="25"/>
        <v>0.67250120959375004</v>
      </c>
      <c r="S66" s="31">
        <f t="shared" si="25"/>
        <v>0.71419486336554139</v>
      </c>
      <c r="T66" s="31">
        <f t="shared" si="25"/>
        <v>0.68931183002705887</v>
      </c>
      <c r="U66" s="31">
        <f t="shared" si="25"/>
        <v>0.7436147011688915</v>
      </c>
      <c r="V66" s="31">
        <f t="shared" si="25"/>
        <v>0.74769142343343653</v>
      </c>
      <c r="W66" s="31">
        <f t="shared" ref="W66:Y66" si="26">IF(W15=0,0,W15/W$8)</f>
        <v>0.82920790883799178</v>
      </c>
      <c r="X66" s="31">
        <f t="shared" si="26"/>
        <v>0.73828161370221546</v>
      </c>
      <c r="Y66" s="31">
        <f t="shared" si="26"/>
        <v>0.79038687090699244</v>
      </c>
      <c r="DA66" s="173"/>
    </row>
    <row r="67" spans="1:105" ht="11.45" customHeight="1" x14ac:dyDescent="0.25">
      <c r="A67" s="83" t="s">
        <v>92</v>
      </c>
      <c r="B67" s="125">
        <f t="shared" si="10"/>
        <v>0.37847187511131197</v>
      </c>
      <c r="C67" s="125">
        <f t="shared" ref="C67:V67" si="27">IF(C16=0,0,C16/C$8)</f>
        <v>0.35807309777761781</v>
      </c>
      <c r="D67" s="125">
        <f t="shared" si="27"/>
        <v>0.36878431378257442</v>
      </c>
      <c r="E67" s="125">
        <f t="shared" si="27"/>
        <v>0.36699478239449462</v>
      </c>
      <c r="F67" s="125">
        <f t="shared" si="27"/>
        <v>0.48561431695294965</v>
      </c>
      <c r="G67" s="125">
        <f t="shared" si="27"/>
        <v>0.43740061894480409</v>
      </c>
      <c r="H67" s="125">
        <f t="shared" si="27"/>
        <v>0.62067853903962389</v>
      </c>
      <c r="I67" s="125">
        <f t="shared" si="27"/>
        <v>0.50016539952314731</v>
      </c>
      <c r="J67" s="125">
        <f t="shared" si="27"/>
        <v>0.55400037732333662</v>
      </c>
      <c r="K67" s="125">
        <f t="shared" si="27"/>
        <v>0.50433468928045988</v>
      </c>
      <c r="L67" s="125">
        <f t="shared" si="27"/>
        <v>0.68059109340433022</v>
      </c>
      <c r="M67" s="125">
        <f t="shared" si="27"/>
        <v>0.69244652179483712</v>
      </c>
      <c r="N67" s="125">
        <f t="shared" si="27"/>
        <v>0.64962813181959023</v>
      </c>
      <c r="O67" s="125">
        <f t="shared" si="27"/>
        <v>0.65234323397656047</v>
      </c>
      <c r="P67" s="125">
        <f t="shared" si="27"/>
        <v>0.65122916428573097</v>
      </c>
      <c r="Q67" s="125">
        <f t="shared" si="27"/>
        <v>0.71182579766735088</v>
      </c>
      <c r="R67" s="125">
        <f t="shared" si="27"/>
        <v>0.67250120959375004</v>
      </c>
      <c r="S67" s="125">
        <f t="shared" si="27"/>
        <v>0.71419486336554139</v>
      </c>
      <c r="T67" s="125">
        <f t="shared" si="27"/>
        <v>0.68931183002705887</v>
      </c>
      <c r="U67" s="125">
        <f t="shared" si="27"/>
        <v>0.7436147011688915</v>
      </c>
      <c r="V67" s="125">
        <f t="shared" si="27"/>
        <v>0.74769142343343653</v>
      </c>
      <c r="W67" s="125">
        <f t="shared" ref="W67:Y67" si="28">IF(W16=0,0,W16/W$8)</f>
        <v>0.82920790883799178</v>
      </c>
      <c r="X67" s="125">
        <f t="shared" si="28"/>
        <v>0.73828161370221546</v>
      </c>
      <c r="Y67" s="125">
        <f t="shared" si="28"/>
        <v>0.79038687090699244</v>
      </c>
      <c r="DA67" s="171"/>
    </row>
    <row r="68" spans="1:105" ht="11.45" customHeight="1" x14ac:dyDescent="0.25">
      <c r="A68" s="85" t="s">
        <v>93</v>
      </c>
      <c r="B68" s="127">
        <f t="shared" si="10"/>
        <v>0</v>
      </c>
      <c r="C68" s="127">
        <f t="shared" ref="C68:V68" si="29">IF(C17=0,0,C17/C$8)</f>
        <v>0</v>
      </c>
      <c r="D68" s="127">
        <f t="shared" si="29"/>
        <v>0</v>
      </c>
      <c r="E68" s="127">
        <f t="shared" si="29"/>
        <v>0</v>
      </c>
      <c r="F68" s="127">
        <f t="shared" si="29"/>
        <v>0</v>
      </c>
      <c r="G68" s="127">
        <f t="shared" si="29"/>
        <v>0</v>
      </c>
      <c r="H68" s="127">
        <f t="shared" si="29"/>
        <v>0</v>
      </c>
      <c r="I68" s="127">
        <f t="shared" si="29"/>
        <v>0</v>
      </c>
      <c r="J68" s="127">
        <f t="shared" si="29"/>
        <v>0</v>
      </c>
      <c r="K68" s="127">
        <f t="shared" si="29"/>
        <v>0</v>
      </c>
      <c r="L68" s="127">
        <f t="shared" si="29"/>
        <v>0</v>
      </c>
      <c r="M68" s="127">
        <f t="shared" si="29"/>
        <v>0</v>
      </c>
      <c r="N68" s="127">
        <f t="shared" si="29"/>
        <v>0</v>
      </c>
      <c r="O68" s="127">
        <f t="shared" si="29"/>
        <v>0</v>
      </c>
      <c r="P68" s="127">
        <f t="shared" si="29"/>
        <v>0</v>
      </c>
      <c r="Q68" s="127">
        <f t="shared" si="29"/>
        <v>0</v>
      </c>
      <c r="R68" s="127">
        <f t="shared" si="29"/>
        <v>0</v>
      </c>
      <c r="S68" s="127">
        <f t="shared" si="29"/>
        <v>0</v>
      </c>
      <c r="T68" s="127">
        <f t="shared" si="29"/>
        <v>0</v>
      </c>
      <c r="U68" s="127">
        <f t="shared" si="29"/>
        <v>0</v>
      </c>
      <c r="V68" s="127">
        <f t="shared" si="29"/>
        <v>0</v>
      </c>
      <c r="W68" s="127">
        <f t="shared" ref="W68:Y68" si="30">IF(W17=0,0,W17/W$8)</f>
        <v>0</v>
      </c>
      <c r="X68" s="127">
        <f t="shared" si="30"/>
        <v>0</v>
      </c>
      <c r="Y68" s="127">
        <f t="shared" si="30"/>
        <v>0</v>
      </c>
      <c r="DA68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11:Y11" formulaRange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DA125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189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Z1" s="49"/>
      <c r="AA1" s="49"/>
      <c r="AB1" s="49"/>
      <c r="AC1" s="49"/>
      <c r="AD1" s="49"/>
      <c r="AE1" s="49"/>
      <c r="AF1" s="49"/>
      <c r="DA1" s="170" t="s">
        <v>152</v>
      </c>
    </row>
    <row r="2" spans="1:105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DA2" s="181"/>
    </row>
    <row r="3" spans="1:105" ht="11.45" customHeight="1" x14ac:dyDescent="0.25">
      <c r="A3" s="53" t="s">
        <v>17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DA3" s="172"/>
    </row>
    <row r="4" spans="1:105" ht="11.45" customHeight="1" x14ac:dyDescent="0.25">
      <c r="A4" s="10" t="s">
        <v>18</v>
      </c>
      <c r="B4" s="11">
        <f t="shared" ref="B4:C4" si="0">SUM(B5:B7)</f>
        <v>8378.5212752621956</v>
      </c>
      <c r="C4" s="11">
        <f t="shared" si="0"/>
        <v>8436.0653586480475</v>
      </c>
      <c r="D4" s="11">
        <f t="shared" ref="D4:V4" si="1">SUM(D5:D7)</f>
        <v>8480.0621839631458</v>
      </c>
      <c r="E4" s="11">
        <f t="shared" si="1"/>
        <v>9247.4782658366021</v>
      </c>
      <c r="F4" s="11">
        <f t="shared" si="1"/>
        <v>9116.1685976274312</v>
      </c>
      <c r="G4" s="11">
        <f t="shared" si="1"/>
        <v>10841.498065481472</v>
      </c>
      <c r="H4" s="11">
        <f t="shared" si="1"/>
        <v>13080.036364276933</v>
      </c>
      <c r="I4" s="11">
        <f t="shared" si="1"/>
        <v>15670.353919189609</v>
      </c>
      <c r="J4" s="11">
        <f t="shared" si="1"/>
        <v>17220.297441775987</v>
      </c>
      <c r="K4" s="11">
        <f t="shared" si="1"/>
        <v>14869.494381320179</v>
      </c>
      <c r="L4" s="11">
        <f t="shared" si="1"/>
        <v>15550.962858591023</v>
      </c>
      <c r="M4" s="11">
        <f t="shared" si="1"/>
        <v>16588.569287208218</v>
      </c>
      <c r="N4" s="11">
        <f t="shared" si="1"/>
        <v>17047.557123678027</v>
      </c>
      <c r="O4" s="11">
        <f t="shared" si="1"/>
        <v>17815.407490891615</v>
      </c>
      <c r="P4" s="11">
        <f t="shared" si="1"/>
        <v>19902.701412429225</v>
      </c>
      <c r="Q4" s="11">
        <f t="shared" si="1"/>
        <v>21695.939854875862</v>
      </c>
      <c r="R4" s="11">
        <f t="shared" si="1"/>
        <v>24225.449473658042</v>
      </c>
      <c r="S4" s="11">
        <f t="shared" si="1"/>
        <v>29945.435944406487</v>
      </c>
      <c r="T4" s="11">
        <f t="shared" si="1"/>
        <v>35691.562967157108</v>
      </c>
      <c r="U4" s="11">
        <f t="shared" si="1"/>
        <v>38811.016424911875</v>
      </c>
      <c r="V4" s="11">
        <f t="shared" si="1"/>
        <v>11523.913605884834</v>
      </c>
      <c r="W4" s="11">
        <f t="shared" ref="W4:Y4" si="2">SUM(W5:W7)</f>
        <v>16896.435014083705</v>
      </c>
      <c r="X4" s="11">
        <f t="shared" si="2"/>
        <v>35652.969784452856</v>
      </c>
      <c r="Y4" s="11">
        <f t="shared" si="2"/>
        <v>46744.261956198723</v>
      </c>
      <c r="DA4" s="189" t="s">
        <v>190</v>
      </c>
    </row>
    <row r="5" spans="1:105" ht="11.45" customHeight="1" x14ac:dyDescent="0.25">
      <c r="A5" s="83" t="s">
        <v>27</v>
      </c>
      <c r="B5" s="84">
        <v>243.80120081546826</v>
      </c>
      <c r="C5" s="84">
        <v>246.83806160291368</v>
      </c>
      <c r="D5" s="84">
        <v>334.7489046259771</v>
      </c>
      <c r="E5" s="84">
        <v>343.09289744009334</v>
      </c>
      <c r="F5" s="84">
        <v>262.16848059496942</v>
      </c>
      <c r="G5" s="84">
        <v>275.61719741344677</v>
      </c>
      <c r="H5" s="84">
        <v>275.66086976305633</v>
      </c>
      <c r="I5" s="84">
        <v>331.16694784417871</v>
      </c>
      <c r="J5" s="84">
        <v>290.46927434696278</v>
      </c>
      <c r="K5" s="84">
        <v>267.78632396114978</v>
      </c>
      <c r="L5" s="84">
        <v>307.66308450944683</v>
      </c>
      <c r="M5" s="84">
        <v>407.30425486998058</v>
      </c>
      <c r="N5" s="84">
        <v>673.46022859012919</v>
      </c>
      <c r="O5" s="84">
        <v>460.26806791486121</v>
      </c>
      <c r="P5" s="84">
        <v>562.28334189344139</v>
      </c>
      <c r="Q5" s="84">
        <v>554.4982749138959</v>
      </c>
      <c r="R5" s="84">
        <v>606.07416235382084</v>
      </c>
      <c r="S5" s="84">
        <v>761.18977750654324</v>
      </c>
      <c r="T5" s="84">
        <v>648.49503683068804</v>
      </c>
      <c r="U5" s="84">
        <v>662.60020664744468</v>
      </c>
      <c r="V5" s="84">
        <v>227.35813337546827</v>
      </c>
      <c r="W5" s="84">
        <v>260.93449306233629</v>
      </c>
      <c r="X5" s="84">
        <v>562.09265748721418</v>
      </c>
      <c r="Y5" s="84">
        <v>662.44991918196581</v>
      </c>
      <c r="DA5" s="171" t="s">
        <v>191</v>
      </c>
    </row>
    <row r="6" spans="1:105" ht="11.45" customHeight="1" x14ac:dyDescent="0.25">
      <c r="A6" s="83" t="s">
        <v>181</v>
      </c>
      <c r="B6" s="84">
        <v>3997.471010736916</v>
      </c>
      <c r="C6" s="84">
        <v>4033.6837047381528</v>
      </c>
      <c r="D6" s="84">
        <v>4013.3933607392419</v>
      </c>
      <c r="E6" s="84">
        <v>4350.0871412803081</v>
      </c>
      <c r="F6" s="84">
        <v>4284.2551795637746</v>
      </c>
      <c r="G6" s="84">
        <v>5467.7643861036349</v>
      </c>
      <c r="H6" s="84">
        <v>7044.9450283123397</v>
      </c>
      <c r="I6" s="84">
        <v>8910.1474459076817</v>
      </c>
      <c r="J6" s="84">
        <v>9277.2512132154952</v>
      </c>
      <c r="K6" s="84">
        <v>8369.4071664946205</v>
      </c>
      <c r="L6" s="84">
        <v>8830.6970389873586</v>
      </c>
      <c r="M6" s="84">
        <v>10344.14587084421</v>
      </c>
      <c r="N6" s="84">
        <v>10383.860194523135</v>
      </c>
      <c r="O6" s="84">
        <v>11844.215381871411</v>
      </c>
      <c r="P6" s="84">
        <v>12854.87229273075</v>
      </c>
      <c r="Q6" s="84">
        <v>15053.938906480635</v>
      </c>
      <c r="R6" s="84">
        <v>17334.382250036393</v>
      </c>
      <c r="S6" s="84">
        <v>20098.24157319394</v>
      </c>
      <c r="T6" s="84">
        <v>22481.476139340106</v>
      </c>
      <c r="U6" s="84">
        <v>22603.300708636223</v>
      </c>
      <c r="V6" s="84">
        <v>7242.2373742386326</v>
      </c>
      <c r="W6" s="84">
        <v>9531.3931623893732</v>
      </c>
      <c r="X6" s="84">
        <v>20575.666643409422</v>
      </c>
      <c r="Y6" s="84">
        <v>25938.658589949009</v>
      </c>
      <c r="DA6" s="171" t="s">
        <v>192</v>
      </c>
    </row>
    <row r="7" spans="1:105" ht="11.45" customHeight="1" x14ac:dyDescent="0.25">
      <c r="A7" s="83" t="s">
        <v>182</v>
      </c>
      <c r="B7" s="84">
        <v>4137.2490637098126</v>
      </c>
      <c r="C7" s="84">
        <v>4155.5435923069817</v>
      </c>
      <c r="D7" s="84">
        <v>4131.9199185979278</v>
      </c>
      <c r="E7" s="84">
        <v>4554.2982271162009</v>
      </c>
      <c r="F7" s="84">
        <v>4569.7449374686876</v>
      </c>
      <c r="G7" s="84">
        <v>5098.1164819643891</v>
      </c>
      <c r="H7" s="84">
        <v>5759.4304662015365</v>
      </c>
      <c r="I7" s="84">
        <v>6429.039525437749</v>
      </c>
      <c r="J7" s="84">
        <v>7652.5769542135304</v>
      </c>
      <c r="K7" s="84">
        <v>6232.3008908644088</v>
      </c>
      <c r="L7" s="84">
        <v>6412.6027350942186</v>
      </c>
      <c r="M7" s="84">
        <v>5837.1191614940271</v>
      </c>
      <c r="N7" s="84">
        <v>5990.2367005647639</v>
      </c>
      <c r="O7" s="84">
        <v>5510.9240411053452</v>
      </c>
      <c r="P7" s="84">
        <v>6485.5457778050359</v>
      </c>
      <c r="Q7" s="84">
        <v>6087.5026734813327</v>
      </c>
      <c r="R7" s="84">
        <v>6284.9930612678281</v>
      </c>
      <c r="S7" s="84">
        <v>9086.0045937060022</v>
      </c>
      <c r="T7" s="84">
        <v>12561.591790986315</v>
      </c>
      <c r="U7" s="84">
        <v>15545.115509628209</v>
      </c>
      <c r="V7" s="84">
        <v>4054.318098270734</v>
      </c>
      <c r="W7" s="84">
        <v>7104.1073586319962</v>
      </c>
      <c r="X7" s="84">
        <v>14515.210483556224</v>
      </c>
      <c r="Y7" s="84">
        <v>20143.153447067747</v>
      </c>
      <c r="DA7" s="171" t="s">
        <v>193</v>
      </c>
    </row>
    <row r="8" spans="1:105" ht="11.45" customHeight="1" x14ac:dyDescent="0.25">
      <c r="A8" s="12" t="s">
        <v>28</v>
      </c>
      <c r="B8" s="13">
        <f t="shared" ref="B8:C8" si="3">SUM(B9:B11)</f>
        <v>35.938313591094285</v>
      </c>
      <c r="C8" s="13">
        <f t="shared" si="3"/>
        <v>34.372382872978832</v>
      </c>
      <c r="D8" s="13">
        <f t="shared" ref="D8:V8" si="4">SUM(D9:D11)</f>
        <v>33.9248687077081</v>
      </c>
      <c r="E8" s="13">
        <f t="shared" si="4"/>
        <v>33.881653411863802</v>
      </c>
      <c r="F8" s="13">
        <f t="shared" si="4"/>
        <v>30.432059459137953</v>
      </c>
      <c r="G8" s="13">
        <f t="shared" si="4"/>
        <v>31.722320076145834</v>
      </c>
      <c r="H8" s="13">
        <f t="shared" si="4"/>
        <v>41.228119319485643</v>
      </c>
      <c r="I8" s="13">
        <f t="shared" si="4"/>
        <v>57.544613068679489</v>
      </c>
      <c r="J8" s="13">
        <f t="shared" si="4"/>
        <v>66.434775857265208</v>
      </c>
      <c r="K8" s="13">
        <f t="shared" si="4"/>
        <v>61.140543059700576</v>
      </c>
      <c r="L8" s="13">
        <f t="shared" si="4"/>
        <v>95.075001668814281</v>
      </c>
      <c r="M8" s="13">
        <f t="shared" si="4"/>
        <v>94.745649392410215</v>
      </c>
      <c r="N8" s="13">
        <f t="shared" si="4"/>
        <v>88.81906663264138</v>
      </c>
      <c r="O8" s="13">
        <f t="shared" si="4"/>
        <v>95.063961562792798</v>
      </c>
      <c r="P8" s="13">
        <f t="shared" si="4"/>
        <v>140.34586383672874</v>
      </c>
      <c r="Q8" s="13">
        <f t="shared" si="4"/>
        <v>161.11292061939082</v>
      </c>
      <c r="R8" s="13">
        <f t="shared" si="4"/>
        <v>191.3603841112874</v>
      </c>
      <c r="S8" s="13">
        <f t="shared" si="4"/>
        <v>216.82942742888397</v>
      </c>
      <c r="T8" s="13">
        <f t="shared" si="4"/>
        <v>237.60507577317395</v>
      </c>
      <c r="U8" s="13">
        <f t="shared" si="4"/>
        <v>357.8005023395973</v>
      </c>
      <c r="V8" s="13">
        <f t="shared" si="4"/>
        <v>100.98777106173679</v>
      </c>
      <c r="W8" s="13">
        <f t="shared" ref="W8:Y8" si="5">SUM(W9:W11)</f>
        <v>162.83381089819875</v>
      </c>
      <c r="X8" s="13">
        <f t="shared" si="5"/>
        <v>352.56242483900087</v>
      </c>
      <c r="Y8" s="13">
        <f t="shared" si="5"/>
        <v>434.98928651390258</v>
      </c>
      <c r="DA8" s="193" t="s">
        <v>194</v>
      </c>
    </row>
    <row r="9" spans="1:105" ht="11.45" customHeight="1" x14ac:dyDescent="0.25">
      <c r="A9" s="92" t="s">
        <v>27</v>
      </c>
      <c r="B9" s="102">
        <v>1.000409343402989</v>
      </c>
      <c r="C9" s="102">
        <v>0.76680191682837684</v>
      </c>
      <c r="D9" s="102">
        <v>0.87468710362832114</v>
      </c>
      <c r="E9" s="102">
        <v>0.92762125370571213</v>
      </c>
      <c r="F9" s="102">
        <v>0.64858501384464395</v>
      </c>
      <c r="G9" s="102">
        <v>0.52576272222637455</v>
      </c>
      <c r="H9" s="102">
        <v>1.2641426471372432</v>
      </c>
      <c r="I9" s="102">
        <v>1.662281462341122</v>
      </c>
      <c r="J9" s="102">
        <v>1.8642952174801228</v>
      </c>
      <c r="K9" s="102">
        <v>1.8832645583264191</v>
      </c>
      <c r="L9" s="102">
        <v>1.8280701097646137</v>
      </c>
      <c r="M9" s="102">
        <v>2.230467396554535</v>
      </c>
      <c r="N9" s="102">
        <v>2.3869080269806915</v>
      </c>
      <c r="O9" s="102">
        <v>2.0865345715570043</v>
      </c>
      <c r="P9" s="102">
        <v>1.3413845836473863</v>
      </c>
      <c r="Q9" s="102">
        <v>0.92990713241639655</v>
      </c>
      <c r="R9" s="102">
        <v>0.52256689177606164</v>
      </c>
      <c r="S9" s="102">
        <v>0.17261472604933298</v>
      </c>
      <c r="T9" s="102">
        <v>0.16091862087789174</v>
      </c>
      <c r="U9" s="102">
        <v>0.22048615568084171</v>
      </c>
      <c r="V9" s="102">
        <v>9.5263292059038954E-2</v>
      </c>
      <c r="W9" s="102">
        <v>0.10176405675947679</v>
      </c>
      <c r="X9" s="102">
        <v>0.13083873895791226</v>
      </c>
      <c r="Y9" s="102">
        <v>9.9463012150001917E-2</v>
      </c>
      <c r="DA9" s="175" t="s">
        <v>195</v>
      </c>
    </row>
    <row r="10" spans="1:105" ht="11.45" customHeight="1" x14ac:dyDescent="0.25">
      <c r="A10" s="92" t="s">
        <v>181</v>
      </c>
      <c r="B10" s="102">
        <v>9.3651074111026027</v>
      </c>
      <c r="C10" s="102">
        <v>7.5840822095742428</v>
      </c>
      <c r="D10" s="102">
        <v>8.1145342242338785</v>
      </c>
      <c r="E10" s="102">
        <v>8.2976631508887113</v>
      </c>
      <c r="F10" s="102">
        <v>5.6908575696886592</v>
      </c>
      <c r="G10" s="102">
        <v>7.7249275085235443</v>
      </c>
      <c r="H10" s="102">
        <v>9.0842245869903628</v>
      </c>
      <c r="I10" s="102">
        <v>10.106970835092035</v>
      </c>
      <c r="J10" s="102">
        <v>11.249975403310549</v>
      </c>
      <c r="K10" s="102">
        <v>13.505299781567212</v>
      </c>
      <c r="L10" s="102">
        <v>13.945558195998625</v>
      </c>
      <c r="M10" s="102">
        <v>16.300296709839042</v>
      </c>
      <c r="N10" s="102">
        <v>18.468274195372295</v>
      </c>
      <c r="O10" s="102">
        <v>19.90856652937493</v>
      </c>
      <c r="P10" s="102">
        <v>23.899591279595885</v>
      </c>
      <c r="Q10" s="102">
        <v>27.866957727551508</v>
      </c>
      <c r="R10" s="102">
        <v>29.184886338197117</v>
      </c>
      <c r="S10" s="102">
        <v>31.863494635736725</v>
      </c>
      <c r="T10" s="102">
        <v>34.777442513772954</v>
      </c>
      <c r="U10" s="102">
        <v>38.348523037753225</v>
      </c>
      <c r="V10" s="102">
        <v>34.648194340649674</v>
      </c>
      <c r="W10" s="102">
        <v>46.31654337588899</v>
      </c>
      <c r="X10" s="102">
        <v>58.772212002481616</v>
      </c>
      <c r="Y10" s="102">
        <v>49.448035641201074</v>
      </c>
      <c r="DA10" s="175" t="s">
        <v>196</v>
      </c>
    </row>
    <row r="11" spans="1:105" ht="11.45" customHeight="1" x14ac:dyDescent="0.25">
      <c r="A11" s="85" t="s">
        <v>182</v>
      </c>
      <c r="B11" s="86">
        <v>25.572796836588694</v>
      </c>
      <c r="C11" s="86">
        <v>26.021498746576214</v>
      </c>
      <c r="D11" s="86">
        <v>24.935647379845896</v>
      </c>
      <c r="E11" s="86">
        <v>24.656369007269376</v>
      </c>
      <c r="F11" s="86">
        <v>24.092616875604648</v>
      </c>
      <c r="G11" s="86">
        <v>23.471629845395913</v>
      </c>
      <c r="H11" s="86">
        <v>30.879752085358039</v>
      </c>
      <c r="I11" s="86">
        <v>45.775360771246334</v>
      </c>
      <c r="J11" s="86">
        <v>53.320505236474531</v>
      </c>
      <c r="K11" s="86">
        <v>45.751978719806949</v>
      </c>
      <c r="L11" s="86">
        <v>79.301373363051042</v>
      </c>
      <c r="M11" s="86">
        <v>76.214885286016639</v>
      </c>
      <c r="N11" s="86">
        <v>67.963884410288401</v>
      </c>
      <c r="O11" s="86">
        <v>73.068860461860865</v>
      </c>
      <c r="P11" s="86">
        <v>115.10488797348548</v>
      </c>
      <c r="Q11" s="86">
        <v>132.31605575942291</v>
      </c>
      <c r="R11" s="86">
        <v>161.65293088131423</v>
      </c>
      <c r="S11" s="86">
        <v>184.79331806709791</v>
      </c>
      <c r="T11" s="86">
        <v>202.6667146385231</v>
      </c>
      <c r="U11" s="86">
        <v>319.23149314616325</v>
      </c>
      <c r="V11" s="86">
        <v>66.244313429028082</v>
      </c>
      <c r="W11" s="86">
        <v>116.41550346555029</v>
      </c>
      <c r="X11" s="86">
        <v>293.65937409756134</v>
      </c>
      <c r="Y11" s="86">
        <v>385.44178786055153</v>
      </c>
      <c r="DA11" s="178" t="s">
        <v>197</v>
      </c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DA12" s="181"/>
    </row>
    <row r="13" spans="1:105" ht="11.45" customHeight="1" x14ac:dyDescent="0.25">
      <c r="A13" s="53" t="s">
        <v>64</v>
      </c>
      <c r="B13" s="54">
        <f t="shared" ref="B13:C13" si="6">SUM(B14,B18)</f>
        <v>102.11622314235456</v>
      </c>
      <c r="C13" s="54">
        <f t="shared" si="6"/>
        <v>100.70168957181282</v>
      </c>
      <c r="D13" s="54">
        <f t="shared" ref="D13:V13" si="7">SUM(D14,D18)</f>
        <v>101.96599847251379</v>
      </c>
      <c r="E13" s="54">
        <f t="shared" si="7"/>
        <v>109.41427500566022</v>
      </c>
      <c r="F13" s="54">
        <f t="shared" si="7"/>
        <v>104.8189376606185</v>
      </c>
      <c r="G13" s="54">
        <f t="shared" si="7"/>
        <v>122.8721044113495</v>
      </c>
      <c r="H13" s="54">
        <f t="shared" si="7"/>
        <v>148.92936161560414</v>
      </c>
      <c r="I13" s="54">
        <f t="shared" si="7"/>
        <v>157.99664418382693</v>
      </c>
      <c r="J13" s="54">
        <f t="shared" si="7"/>
        <v>159.54948601454825</v>
      </c>
      <c r="K13" s="54">
        <f t="shared" si="7"/>
        <v>139.61305235346896</v>
      </c>
      <c r="L13" s="54">
        <f t="shared" si="7"/>
        <v>141.55955854041164</v>
      </c>
      <c r="M13" s="54">
        <f t="shared" si="7"/>
        <v>151.13911418544026</v>
      </c>
      <c r="N13" s="54">
        <f t="shared" si="7"/>
        <v>151.13912048263896</v>
      </c>
      <c r="O13" s="54">
        <f t="shared" si="7"/>
        <v>152.70859454649846</v>
      </c>
      <c r="P13" s="54">
        <f t="shared" si="7"/>
        <v>166.97863482495188</v>
      </c>
      <c r="Q13" s="54">
        <f t="shared" si="7"/>
        <v>184.51245778352938</v>
      </c>
      <c r="R13" s="54">
        <f t="shared" si="7"/>
        <v>185.79621102975773</v>
      </c>
      <c r="S13" s="54">
        <f t="shared" si="7"/>
        <v>212.33841951525113</v>
      </c>
      <c r="T13" s="54">
        <f t="shared" si="7"/>
        <v>253.94870666706873</v>
      </c>
      <c r="U13" s="54">
        <f t="shared" si="7"/>
        <v>259.39669702831361</v>
      </c>
      <c r="V13" s="54">
        <f t="shared" si="7"/>
        <v>104.11899203240831</v>
      </c>
      <c r="W13" s="54">
        <f t="shared" ref="W13:Y13" si="8">SUM(W14,W18)</f>
        <v>135.67307300615099</v>
      </c>
      <c r="X13" s="54">
        <f t="shared" si="8"/>
        <v>228.89576696558572</v>
      </c>
      <c r="Y13" s="54">
        <f t="shared" si="8"/>
        <v>274.95782984676003</v>
      </c>
      <c r="DA13" s="172" t="s">
        <v>198</v>
      </c>
    </row>
    <row r="14" spans="1:105" ht="11.45" customHeight="1" x14ac:dyDescent="0.25">
      <c r="A14" s="10" t="s">
        <v>33</v>
      </c>
      <c r="B14" s="11">
        <f t="shared" ref="B14:C14" si="9">SUM(B15:B17)</f>
        <v>101.37049054341333</v>
      </c>
      <c r="C14" s="11">
        <f t="shared" si="9"/>
        <v>100.07776969648339</v>
      </c>
      <c r="D14" s="11">
        <f t="shared" ref="D14:V14" si="10">SUM(D15:D17)</f>
        <v>101.28893981866347</v>
      </c>
      <c r="E14" s="11">
        <f t="shared" si="10"/>
        <v>108.7154048995456</v>
      </c>
      <c r="F14" s="11">
        <f t="shared" si="10"/>
        <v>104.22323058443757</v>
      </c>
      <c r="G14" s="11">
        <f t="shared" si="10"/>
        <v>122.1586232205722</v>
      </c>
      <c r="H14" s="11">
        <f t="shared" si="10"/>
        <v>147.92295740092362</v>
      </c>
      <c r="I14" s="11">
        <f t="shared" si="10"/>
        <v>156.68839172087817</v>
      </c>
      <c r="J14" s="11">
        <f t="shared" si="10"/>
        <v>158.04270044393971</v>
      </c>
      <c r="K14" s="11">
        <f t="shared" si="10"/>
        <v>138.16178088636258</v>
      </c>
      <c r="L14" s="11">
        <f t="shared" si="10"/>
        <v>139.75567309369993</v>
      </c>
      <c r="M14" s="11">
        <f t="shared" si="10"/>
        <v>149.29928468987532</v>
      </c>
      <c r="N14" s="11">
        <f t="shared" si="10"/>
        <v>149.39108481991718</v>
      </c>
      <c r="O14" s="11">
        <f t="shared" si="10"/>
        <v>150.8284265161092</v>
      </c>
      <c r="P14" s="11">
        <f t="shared" si="10"/>
        <v>164.84870475122017</v>
      </c>
      <c r="Q14" s="11">
        <f t="shared" si="10"/>
        <v>182.13760981363865</v>
      </c>
      <c r="R14" s="11">
        <f t="shared" si="10"/>
        <v>183.3294839376164</v>
      </c>
      <c r="S14" s="11">
        <f t="shared" si="10"/>
        <v>209.46454301175521</v>
      </c>
      <c r="T14" s="11">
        <f t="shared" si="10"/>
        <v>250.79593378216515</v>
      </c>
      <c r="U14" s="11">
        <f t="shared" si="10"/>
        <v>255.21658677503513</v>
      </c>
      <c r="V14" s="11">
        <f t="shared" si="10"/>
        <v>101.78883540879306</v>
      </c>
      <c r="W14" s="11">
        <f t="shared" ref="W14:Y14" si="11">SUM(W15:W17)</f>
        <v>132.09823464338461</v>
      </c>
      <c r="X14" s="11">
        <f t="shared" si="11"/>
        <v>222.84094034125809</v>
      </c>
      <c r="Y14" s="11">
        <f t="shared" si="11"/>
        <v>268.52007090777829</v>
      </c>
      <c r="DA14" s="189" t="s">
        <v>199</v>
      </c>
    </row>
    <row r="15" spans="1:105" ht="11.45" customHeight="1" x14ac:dyDescent="0.25">
      <c r="A15" s="83" t="s">
        <v>27</v>
      </c>
      <c r="B15" s="84">
        <v>8.5357043005836548</v>
      </c>
      <c r="C15" s="84">
        <v>8.5440863342667175</v>
      </c>
      <c r="D15" s="84">
        <v>11.403407574400857</v>
      </c>
      <c r="E15" s="84">
        <v>11.414932870715065</v>
      </c>
      <c r="F15" s="84">
        <v>8.5699309381228197</v>
      </c>
      <c r="G15" s="84">
        <v>8.7848112372881353</v>
      </c>
      <c r="H15" s="84">
        <v>8.5292915049634228</v>
      </c>
      <c r="I15" s="84">
        <v>9.1850862558875441</v>
      </c>
      <c r="J15" s="84">
        <v>8.7708489019670299</v>
      </c>
      <c r="K15" s="84">
        <v>8.058191732620088</v>
      </c>
      <c r="L15" s="84">
        <v>8.4787270771978864</v>
      </c>
      <c r="M15" s="84">
        <v>9.9595998345732024</v>
      </c>
      <c r="N15" s="84">
        <v>13.649049529395283</v>
      </c>
      <c r="O15" s="84">
        <v>10.32357016777245</v>
      </c>
      <c r="P15" s="84">
        <v>10.681327724929318</v>
      </c>
      <c r="Q15" s="84">
        <v>9.2556356639163866</v>
      </c>
      <c r="R15" s="84">
        <v>9.2084044063117823</v>
      </c>
      <c r="S15" s="84">
        <v>10.321245937040329</v>
      </c>
      <c r="T15" s="84">
        <v>9.2758557936223323</v>
      </c>
      <c r="U15" s="84">
        <v>9.4843232645249476</v>
      </c>
      <c r="V15" s="84">
        <v>4.6875559172025731</v>
      </c>
      <c r="W15" s="84">
        <v>4.605830239877557</v>
      </c>
      <c r="X15" s="84">
        <v>8.3730768424325905</v>
      </c>
      <c r="Y15" s="84">
        <v>8.8881285060040032</v>
      </c>
      <c r="DA15" s="171" t="s">
        <v>200</v>
      </c>
    </row>
    <row r="16" spans="1:105" ht="11.45" customHeight="1" x14ac:dyDescent="0.25">
      <c r="A16" s="83" t="s">
        <v>181</v>
      </c>
      <c r="B16" s="84">
        <v>56.809297215468014</v>
      </c>
      <c r="C16" s="84">
        <v>56.013682871992877</v>
      </c>
      <c r="D16" s="84">
        <v>55.003050879235055</v>
      </c>
      <c r="E16" s="84">
        <v>59.539723844129995</v>
      </c>
      <c r="F16" s="84">
        <v>58.530070586810474</v>
      </c>
      <c r="G16" s="84">
        <v>72.384468475624473</v>
      </c>
      <c r="H16" s="84">
        <v>92.208647905093628</v>
      </c>
      <c r="I16" s="84">
        <v>97.77292120965663</v>
      </c>
      <c r="J16" s="84">
        <v>101.79384952520466</v>
      </c>
      <c r="K16" s="84">
        <v>90.295466152239214</v>
      </c>
      <c r="L16" s="84">
        <v>91.730653886670069</v>
      </c>
      <c r="M16" s="84">
        <v>98.647155780263276</v>
      </c>
      <c r="N16" s="84">
        <v>97.883613667923996</v>
      </c>
      <c r="O16" s="84">
        <v>105.55562037105092</v>
      </c>
      <c r="P16" s="84">
        <v>109.60090383757755</v>
      </c>
      <c r="Q16" s="84">
        <v>121.80240341121326</v>
      </c>
      <c r="R16" s="84">
        <v>137.833408400455</v>
      </c>
      <c r="S16" s="84">
        <v>150.58114764194303</v>
      </c>
      <c r="T16" s="84">
        <v>165.01501296066053</v>
      </c>
      <c r="U16" s="84">
        <v>164.73424403975679</v>
      </c>
      <c r="V16" s="84">
        <v>65.491064754326146</v>
      </c>
      <c r="W16" s="84">
        <v>83.01687355404529</v>
      </c>
      <c r="X16" s="84">
        <v>145.49997408422723</v>
      </c>
      <c r="Y16" s="84">
        <v>171.16903546220141</v>
      </c>
      <c r="DA16" s="171" t="s">
        <v>201</v>
      </c>
    </row>
    <row r="17" spans="1:105" ht="11.45" customHeight="1" x14ac:dyDescent="0.25">
      <c r="A17" s="83" t="s">
        <v>182</v>
      </c>
      <c r="B17" s="84">
        <v>36.025489027361651</v>
      </c>
      <c r="C17" s="84">
        <v>35.520000490223801</v>
      </c>
      <c r="D17" s="84">
        <v>34.882481365027559</v>
      </c>
      <c r="E17" s="84">
        <v>37.760748184700539</v>
      </c>
      <c r="F17" s="84">
        <v>37.12322905950429</v>
      </c>
      <c r="G17" s="84">
        <v>40.989343507659576</v>
      </c>
      <c r="H17" s="84">
        <v>47.185017990866555</v>
      </c>
      <c r="I17" s="84">
        <v>49.730384255333995</v>
      </c>
      <c r="J17" s="84">
        <v>47.478002016768009</v>
      </c>
      <c r="K17" s="84">
        <v>39.808123001503276</v>
      </c>
      <c r="L17" s="84">
        <v>39.546292129831969</v>
      </c>
      <c r="M17" s="84">
        <v>40.692529075038834</v>
      </c>
      <c r="N17" s="84">
        <v>37.858421622597888</v>
      </c>
      <c r="O17" s="84">
        <v>34.949235977285838</v>
      </c>
      <c r="P17" s="84">
        <v>44.566473188713296</v>
      </c>
      <c r="Q17" s="84">
        <v>51.079570738509005</v>
      </c>
      <c r="R17" s="84">
        <v>36.28767113084961</v>
      </c>
      <c r="S17" s="84">
        <v>48.562149432771861</v>
      </c>
      <c r="T17" s="84">
        <v>76.505065027882296</v>
      </c>
      <c r="U17" s="84">
        <v>80.998019470753377</v>
      </c>
      <c r="V17" s="84">
        <v>31.610214737264346</v>
      </c>
      <c r="W17" s="84">
        <v>44.475530849461762</v>
      </c>
      <c r="X17" s="84">
        <v>68.967889414598275</v>
      </c>
      <c r="Y17" s="84">
        <v>88.462906939572875</v>
      </c>
      <c r="DA17" s="171" t="s">
        <v>202</v>
      </c>
    </row>
    <row r="18" spans="1:105" ht="11.45" customHeight="1" x14ac:dyDescent="0.25">
      <c r="A18" s="12" t="s">
        <v>34</v>
      </c>
      <c r="B18" s="13">
        <f t="shared" ref="B18:C18" si="12">SUM(B19:B21)</f>
        <v>0.74573259894123234</v>
      </c>
      <c r="C18" s="13">
        <f t="shared" si="12"/>
        <v>0.62391987532943671</v>
      </c>
      <c r="D18" s="13">
        <f t="shared" ref="D18:V18" si="13">SUM(D19:D21)</f>
        <v>0.6770586538503176</v>
      </c>
      <c r="E18" s="13">
        <f t="shared" si="13"/>
        <v>0.69887010611461031</v>
      </c>
      <c r="F18" s="13">
        <f t="shared" si="13"/>
        <v>0.59570707618093588</v>
      </c>
      <c r="G18" s="13">
        <f t="shared" si="13"/>
        <v>0.71348119077730399</v>
      </c>
      <c r="H18" s="13">
        <f t="shared" si="13"/>
        <v>1.0064042146805185</v>
      </c>
      <c r="I18" s="13">
        <f t="shared" si="13"/>
        <v>1.3082524629487495</v>
      </c>
      <c r="J18" s="13">
        <f t="shared" si="13"/>
        <v>1.5067855706085505</v>
      </c>
      <c r="K18" s="13">
        <f t="shared" si="13"/>
        <v>1.4512714671063733</v>
      </c>
      <c r="L18" s="13">
        <f t="shared" si="13"/>
        <v>1.8038854467117251</v>
      </c>
      <c r="M18" s="13">
        <f t="shared" si="13"/>
        <v>1.8398294955649295</v>
      </c>
      <c r="N18" s="13">
        <f t="shared" si="13"/>
        <v>1.7480356627217701</v>
      </c>
      <c r="O18" s="13">
        <f t="shared" si="13"/>
        <v>1.8801680303892498</v>
      </c>
      <c r="P18" s="13">
        <f t="shared" si="13"/>
        <v>2.1299300737317233</v>
      </c>
      <c r="Q18" s="13">
        <f t="shared" si="13"/>
        <v>2.3748479698907339</v>
      </c>
      <c r="R18" s="13">
        <f t="shared" si="13"/>
        <v>2.4667270921413227</v>
      </c>
      <c r="S18" s="13">
        <f t="shared" si="13"/>
        <v>2.8738765034959157</v>
      </c>
      <c r="T18" s="13">
        <f t="shared" si="13"/>
        <v>3.1527728849035732</v>
      </c>
      <c r="U18" s="13">
        <f t="shared" si="13"/>
        <v>4.180110253278488</v>
      </c>
      <c r="V18" s="13">
        <f t="shared" si="13"/>
        <v>2.3301566236152516</v>
      </c>
      <c r="W18" s="13">
        <f t="shared" ref="W18:Y18" si="14">SUM(W19:W21)</f>
        <v>3.5748383627663838</v>
      </c>
      <c r="X18" s="13">
        <f t="shared" si="14"/>
        <v>6.054826624327645</v>
      </c>
      <c r="Y18" s="13">
        <f t="shared" si="14"/>
        <v>6.4377589389817587</v>
      </c>
      <c r="DA18" s="193" t="s">
        <v>203</v>
      </c>
    </row>
    <row r="19" spans="1:105" ht="11.45" customHeight="1" x14ac:dyDescent="0.25">
      <c r="A19" s="92" t="s">
        <v>27</v>
      </c>
      <c r="B19" s="102">
        <v>0.10162966002554744</v>
      </c>
      <c r="C19" s="102">
        <v>7.8496566055537911E-2</v>
      </c>
      <c r="D19" s="102">
        <v>8.7074005392732454E-2</v>
      </c>
      <c r="E19" s="102">
        <v>8.6814082988575042E-2</v>
      </c>
      <c r="F19" s="102">
        <v>6.4460756231037752E-2</v>
      </c>
      <c r="G19" s="102">
        <v>5.3394698630136989E-2</v>
      </c>
      <c r="H19" s="102">
        <v>0.13346837305534909</v>
      </c>
      <c r="I19" s="102">
        <v>0.17615799916473315</v>
      </c>
      <c r="J19" s="102">
        <v>0.20535042211561547</v>
      </c>
      <c r="K19" s="102">
        <v>0.20566349517446411</v>
      </c>
      <c r="L19" s="102">
        <v>0.18665222900763362</v>
      </c>
      <c r="M19" s="102">
        <v>0.20595294537614658</v>
      </c>
      <c r="N19" s="102">
        <v>0.21213570422535213</v>
      </c>
      <c r="O19" s="102">
        <v>0.18085750621730579</v>
      </c>
      <c r="P19" s="102">
        <v>0.10485250374939208</v>
      </c>
      <c r="Q19" s="102">
        <v>6.9843337197176406E-2</v>
      </c>
      <c r="R19" s="102">
        <v>3.4262273829656124E-2</v>
      </c>
      <c r="S19" s="102">
        <v>1.2166260097498088E-2</v>
      </c>
      <c r="T19" s="102">
        <v>1.1056896907216495E-2</v>
      </c>
      <c r="U19" s="102">
        <v>1.3743995780590717E-2</v>
      </c>
      <c r="V19" s="102">
        <v>6.4440740740740743E-3</v>
      </c>
      <c r="W19" s="102">
        <v>6.7069496221662467E-3</v>
      </c>
      <c r="X19" s="102">
        <v>8.5864329896907197E-3</v>
      </c>
      <c r="Y19" s="102">
        <v>6.624245810055867E-3</v>
      </c>
      <c r="DA19" s="175" t="s">
        <v>204</v>
      </c>
    </row>
    <row r="20" spans="1:105" ht="11.45" customHeight="1" x14ac:dyDescent="0.25">
      <c r="A20" s="92" t="s">
        <v>181</v>
      </c>
      <c r="B20" s="102">
        <v>0.39745351064294343</v>
      </c>
      <c r="C20" s="102">
        <v>0.30592313979167163</v>
      </c>
      <c r="D20" s="102">
        <v>0.34690984958010079</v>
      </c>
      <c r="E20" s="102">
        <v>0.34753344787700829</v>
      </c>
      <c r="F20" s="102">
        <v>0.26493643000324246</v>
      </c>
      <c r="G20" s="102">
        <v>0.38420478936078933</v>
      </c>
      <c r="H20" s="102">
        <v>0.4974808898654422</v>
      </c>
      <c r="I20" s="102">
        <v>0.56608742934127754</v>
      </c>
      <c r="J20" s="102">
        <v>0.62857646343691331</v>
      </c>
      <c r="K20" s="102">
        <v>0.73368235519720548</v>
      </c>
      <c r="L20" s="102">
        <v>0.74439523399737073</v>
      </c>
      <c r="M20" s="102">
        <v>0.81601323716034002</v>
      </c>
      <c r="N20" s="102">
        <v>0.84507726878309597</v>
      </c>
      <c r="O20" s="102">
        <v>0.90290834260096153</v>
      </c>
      <c r="P20" s="102">
        <v>0.94088708621504036</v>
      </c>
      <c r="Q20" s="102">
        <v>1.0667905594618561</v>
      </c>
      <c r="R20" s="102">
        <v>1.0535459191195744</v>
      </c>
      <c r="S20" s="102">
        <v>1.2269625640178701</v>
      </c>
      <c r="T20" s="102">
        <v>1.3044527626704725</v>
      </c>
      <c r="U20" s="102">
        <v>1.3652106860693263</v>
      </c>
      <c r="V20" s="102">
        <v>1.4721340535411773</v>
      </c>
      <c r="W20" s="102">
        <v>1.9311862815652703</v>
      </c>
      <c r="X20" s="102">
        <v>2.5018055424017844</v>
      </c>
      <c r="Y20" s="102">
        <v>2.1270635165203977</v>
      </c>
      <c r="DA20" s="175" t="s">
        <v>205</v>
      </c>
    </row>
    <row r="21" spans="1:105" ht="11.45" customHeight="1" x14ac:dyDescent="0.25">
      <c r="A21" s="85" t="s">
        <v>182</v>
      </c>
      <c r="B21" s="86">
        <v>0.24664942827274147</v>
      </c>
      <c r="C21" s="86">
        <v>0.23950016948222722</v>
      </c>
      <c r="D21" s="86">
        <v>0.24307479887748434</v>
      </c>
      <c r="E21" s="86">
        <v>0.26452257524902706</v>
      </c>
      <c r="F21" s="86">
        <v>0.26630988994665566</v>
      </c>
      <c r="G21" s="86">
        <v>0.27588170278637775</v>
      </c>
      <c r="H21" s="86">
        <v>0.37545495175972721</v>
      </c>
      <c r="I21" s="86">
        <v>0.5660070344427387</v>
      </c>
      <c r="J21" s="86">
        <v>0.67285868505602153</v>
      </c>
      <c r="K21" s="86">
        <v>0.51192561673470383</v>
      </c>
      <c r="L21" s="86">
        <v>0.87283798370672094</v>
      </c>
      <c r="M21" s="86">
        <v>0.81786331302844295</v>
      </c>
      <c r="N21" s="86">
        <v>0.69082268971332217</v>
      </c>
      <c r="O21" s="86">
        <v>0.79640218157098253</v>
      </c>
      <c r="P21" s="86">
        <v>1.0841904837672909</v>
      </c>
      <c r="Q21" s="86">
        <v>1.2382140732317013</v>
      </c>
      <c r="R21" s="86">
        <v>1.378918899192092</v>
      </c>
      <c r="S21" s="86">
        <v>1.6347476793805475</v>
      </c>
      <c r="T21" s="86">
        <v>1.8372632253258843</v>
      </c>
      <c r="U21" s="86">
        <v>2.8011555714285712</v>
      </c>
      <c r="V21" s="86">
        <v>0.85157849600000002</v>
      </c>
      <c r="W21" s="86">
        <v>1.6369451315789472</v>
      </c>
      <c r="X21" s="86">
        <v>3.54443464893617</v>
      </c>
      <c r="Y21" s="86">
        <v>4.3040711766513056</v>
      </c>
      <c r="DA21" s="178" t="s">
        <v>206</v>
      </c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DA22" s="181"/>
    </row>
    <row r="23" spans="1:105" ht="11.45" customHeight="1" x14ac:dyDescent="0.25">
      <c r="A23" s="53" t="s">
        <v>138</v>
      </c>
      <c r="B23" s="54">
        <f t="shared" ref="B23:C23" si="15">SUM(B24,B28)</f>
        <v>90237</v>
      </c>
      <c r="C23" s="54">
        <f t="shared" si="15"/>
        <v>89139</v>
      </c>
      <c r="D23" s="54">
        <f t="shared" ref="D23:V23" si="16">SUM(D24,D28)</f>
        <v>96264</v>
      </c>
      <c r="E23" s="54">
        <f t="shared" si="16"/>
        <v>101481</v>
      </c>
      <c r="F23" s="54">
        <f t="shared" si="16"/>
        <v>91990</v>
      </c>
      <c r="G23" s="54">
        <f t="shared" si="16"/>
        <v>104185</v>
      </c>
      <c r="H23" s="54">
        <f t="shared" si="16"/>
        <v>121464</v>
      </c>
      <c r="I23" s="54">
        <f t="shared" si="16"/>
        <v>126743</v>
      </c>
      <c r="J23" s="54">
        <f t="shared" si="16"/>
        <v>130351</v>
      </c>
      <c r="K23" s="54">
        <f t="shared" si="16"/>
        <v>118808</v>
      </c>
      <c r="L23" s="54">
        <f t="shared" si="16"/>
        <v>122140</v>
      </c>
      <c r="M23" s="54">
        <f t="shared" si="16"/>
        <v>132812</v>
      </c>
      <c r="N23" s="54">
        <f t="shared" si="16"/>
        <v>141449</v>
      </c>
      <c r="O23" s="54">
        <f t="shared" si="16"/>
        <v>136324</v>
      </c>
      <c r="P23" s="54">
        <f t="shared" si="16"/>
        <v>142634</v>
      </c>
      <c r="Q23" s="54">
        <f t="shared" si="16"/>
        <v>153004</v>
      </c>
      <c r="R23" s="54">
        <f t="shared" si="16"/>
        <v>157290</v>
      </c>
      <c r="S23" s="54">
        <f t="shared" si="16"/>
        <v>173635</v>
      </c>
      <c r="T23" s="54">
        <f t="shared" si="16"/>
        <v>195008</v>
      </c>
      <c r="U23" s="54">
        <f t="shared" si="16"/>
        <v>201540</v>
      </c>
      <c r="V23" s="54">
        <f t="shared" si="16"/>
        <v>81602</v>
      </c>
      <c r="W23" s="54">
        <f t="shared" ref="W23:Y23" si="17">SUM(W24,W28)</f>
        <v>97850</v>
      </c>
      <c r="X23" s="54">
        <f t="shared" si="17"/>
        <v>164977</v>
      </c>
      <c r="Y23" s="54">
        <f t="shared" si="17"/>
        <v>190793</v>
      </c>
      <c r="DA23" s="172" t="s">
        <v>207</v>
      </c>
    </row>
    <row r="24" spans="1:105" ht="11.45" customHeight="1" x14ac:dyDescent="0.25">
      <c r="A24" s="10" t="s">
        <v>33</v>
      </c>
      <c r="B24" s="11">
        <f t="shared" ref="B24:C24" si="18">SUM(B25:B27)</f>
        <v>89189</v>
      </c>
      <c r="C24" s="11">
        <f t="shared" si="18"/>
        <v>88306</v>
      </c>
      <c r="D24" s="11">
        <f t="shared" ref="D24:V24" si="19">SUM(D25:D27)</f>
        <v>95342</v>
      </c>
      <c r="E24" s="11">
        <f t="shared" si="19"/>
        <v>100546</v>
      </c>
      <c r="F24" s="11">
        <f t="shared" si="19"/>
        <v>91250</v>
      </c>
      <c r="G24" s="11">
        <f t="shared" si="19"/>
        <v>103384</v>
      </c>
      <c r="H24" s="11">
        <f t="shared" si="19"/>
        <v>120217</v>
      </c>
      <c r="I24" s="11">
        <f t="shared" si="19"/>
        <v>125268</v>
      </c>
      <c r="J24" s="11">
        <f t="shared" si="19"/>
        <v>128679</v>
      </c>
      <c r="K24" s="11">
        <f t="shared" si="19"/>
        <v>117097</v>
      </c>
      <c r="L24" s="11">
        <f t="shared" si="19"/>
        <v>120473</v>
      </c>
      <c r="M24" s="11">
        <f t="shared" si="19"/>
        <v>131031</v>
      </c>
      <c r="N24" s="11">
        <f t="shared" si="19"/>
        <v>139663</v>
      </c>
      <c r="O24" s="11">
        <f t="shared" si="19"/>
        <v>134511</v>
      </c>
      <c r="P24" s="11">
        <f t="shared" si="19"/>
        <v>140928</v>
      </c>
      <c r="Q24" s="11">
        <f t="shared" si="19"/>
        <v>151179</v>
      </c>
      <c r="R24" s="11">
        <f t="shared" si="19"/>
        <v>155615</v>
      </c>
      <c r="S24" s="11">
        <f t="shared" si="19"/>
        <v>171802</v>
      </c>
      <c r="T24" s="11">
        <f t="shared" si="19"/>
        <v>192979</v>
      </c>
      <c r="U24" s="11">
        <f t="shared" si="19"/>
        <v>199406</v>
      </c>
      <c r="V24" s="11">
        <f t="shared" si="19"/>
        <v>79474</v>
      </c>
      <c r="W24" s="11">
        <f t="shared" ref="W24:Y24" si="20">SUM(W25:W27)</f>
        <v>95123</v>
      </c>
      <c r="X24" s="11">
        <f t="shared" si="20"/>
        <v>161894</v>
      </c>
      <c r="Y24" s="11">
        <f t="shared" si="20"/>
        <v>188050</v>
      </c>
      <c r="DA24" s="189" t="s">
        <v>208</v>
      </c>
    </row>
    <row r="25" spans="1:105" ht="11.45" customHeight="1" x14ac:dyDescent="0.25">
      <c r="A25" s="83" t="s">
        <v>27</v>
      </c>
      <c r="B25" s="84">
        <v>24440</v>
      </c>
      <c r="C25" s="84">
        <v>24464</v>
      </c>
      <c r="D25" s="84">
        <v>32651</v>
      </c>
      <c r="E25" s="84">
        <v>32684</v>
      </c>
      <c r="F25" s="84">
        <v>24538</v>
      </c>
      <c r="G25" s="84">
        <v>24563</v>
      </c>
      <c r="H25" s="84">
        <v>24588</v>
      </c>
      <c r="I25" s="84">
        <v>26702</v>
      </c>
      <c r="J25" s="84">
        <v>25522</v>
      </c>
      <c r="K25" s="84">
        <v>23574</v>
      </c>
      <c r="L25" s="84">
        <v>23834</v>
      </c>
      <c r="M25" s="84">
        <v>27661</v>
      </c>
      <c r="N25" s="84">
        <v>36725</v>
      </c>
      <c r="O25" s="84">
        <v>27673</v>
      </c>
      <c r="P25" s="84">
        <v>28240</v>
      </c>
      <c r="Q25" s="84">
        <v>26916</v>
      </c>
      <c r="R25" s="84">
        <v>27497</v>
      </c>
      <c r="S25" s="84">
        <v>30226</v>
      </c>
      <c r="T25" s="84">
        <v>27494</v>
      </c>
      <c r="U25" s="84">
        <v>28302</v>
      </c>
      <c r="V25" s="84">
        <v>14051</v>
      </c>
      <c r="W25" s="84">
        <v>13563</v>
      </c>
      <c r="X25" s="84">
        <v>24442</v>
      </c>
      <c r="Y25" s="84">
        <v>25821</v>
      </c>
      <c r="DA25" s="171" t="s">
        <v>209</v>
      </c>
    </row>
    <row r="26" spans="1:105" ht="11.45" customHeight="1" x14ac:dyDescent="0.25">
      <c r="A26" s="83" t="s">
        <v>181</v>
      </c>
      <c r="B26" s="84">
        <v>55199</v>
      </c>
      <c r="C26" s="84">
        <v>54426</v>
      </c>
      <c r="D26" s="84">
        <v>53444</v>
      </c>
      <c r="E26" s="84">
        <v>57852</v>
      </c>
      <c r="F26" s="84">
        <v>56871</v>
      </c>
      <c r="G26" s="84">
        <v>67967</v>
      </c>
      <c r="H26" s="84">
        <v>82231</v>
      </c>
      <c r="I26" s="84">
        <v>83670</v>
      </c>
      <c r="J26" s="84">
        <v>87967</v>
      </c>
      <c r="K26" s="84">
        <v>79281</v>
      </c>
      <c r="L26" s="84">
        <v>80958</v>
      </c>
      <c r="M26" s="84">
        <v>86324</v>
      </c>
      <c r="N26" s="84">
        <v>86823</v>
      </c>
      <c r="O26" s="84">
        <v>92593</v>
      </c>
      <c r="P26" s="84">
        <v>94677</v>
      </c>
      <c r="Q26" s="84">
        <v>103474</v>
      </c>
      <c r="R26" s="84">
        <v>114052</v>
      </c>
      <c r="S26" s="84">
        <v>123174</v>
      </c>
      <c r="T26" s="84">
        <v>135131</v>
      </c>
      <c r="U26" s="84">
        <v>138409</v>
      </c>
      <c r="V26" s="84">
        <v>53388</v>
      </c>
      <c r="W26" s="84">
        <v>63985</v>
      </c>
      <c r="X26" s="84">
        <v>115590</v>
      </c>
      <c r="Y26" s="84">
        <v>133894</v>
      </c>
      <c r="DA26" s="171" t="s">
        <v>210</v>
      </c>
    </row>
    <row r="27" spans="1:105" ht="11.45" customHeight="1" x14ac:dyDescent="0.25">
      <c r="A27" s="83" t="s">
        <v>182</v>
      </c>
      <c r="B27" s="84">
        <v>9550</v>
      </c>
      <c r="C27" s="84">
        <v>9416</v>
      </c>
      <c r="D27" s="84">
        <v>9247</v>
      </c>
      <c r="E27" s="84">
        <v>10010</v>
      </c>
      <c r="F27" s="84">
        <v>9841</v>
      </c>
      <c r="G27" s="84">
        <v>10854</v>
      </c>
      <c r="H27" s="84">
        <v>13398</v>
      </c>
      <c r="I27" s="84">
        <v>14896</v>
      </c>
      <c r="J27" s="84">
        <v>15190</v>
      </c>
      <c r="K27" s="84">
        <v>14242</v>
      </c>
      <c r="L27" s="84">
        <v>15681</v>
      </c>
      <c r="M27" s="84">
        <v>17046</v>
      </c>
      <c r="N27" s="84">
        <v>16115</v>
      </c>
      <c r="O27" s="84">
        <v>14245</v>
      </c>
      <c r="P27" s="84">
        <v>18011</v>
      </c>
      <c r="Q27" s="84">
        <v>20789</v>
      </c>
      <c r="R27" s="84">
        <v>14066</v>
      </c>
      <c r="S27" s="84">
        <v>18402</v>
      </c>
      <c r="T27" s="84">
        <v>30354</v>
      </c>
      <c r="U27" s="84">
        <v>32695</v>
      </c>
      <c r="V27" s="84">
        <v>12035</v>
      </c>
      <c r="W27" s="84">
        <v>17575</v>
      </c>
      <c r="X27" s="84">
        <v>21862</v>
      </c>
      <c r="Y27" s="84">
        <v>28335</v>
      </c>
      <c r="DA27" s="171" t="s">
        <v>211</v>
      </c>
    </row>
    <row r="28" spans="1:105" ht="11.45" customHeight="1" x14ac:dyDescent="0.25">
      <c r="A28" s="12" t="s">
        <v>34</v>
      </c>
      <c r="B28" s="13">
        <f t="shared" ref="B28:C28" si="21">SUM(B29:B31)</f>
        <v>1048</v>
      </c>
      <c r="C28" s="13">
        <f t="shared" si="21"/>
        <v>833</v>
      </c>
      <c r="D28" s="13">
        <f t="shared" ref="D28:V28" si="22">SUM(D29:D31)</f>
        <v>922</v>
      </c>
      <c r="E28" s="13">
        <f t="shared" si="22"/>
        <v>935</v>
      </c>
      <c r="F28" s="13">
        <f t="shared" si="22"/>
        <v>740</v>
      </c>
      <c r="G28" s="13">
        <f t="shared" si="22"/>
        <v>801</v>
      </c>
      <c r="H28" s="13">
        <f t="shared" si="22"/>
        <v>1247</v>
      </c>
      <c r="I28" s="13">
        <f t="shared" si="22"/>
        <v>1475</v>
      </c>
      <c r="J28" s="13">
        <f t="shared" si="22"/>
        <v>1672</v>
      </c>
      <c r="K28" s="13">
        <f t="shared" si="22"/>
        <v>1711</v>
      </c>
      <c r="L28" s="13">
        <f t="shared" si="22"/>
        <v>1667</v>
      </c>
      <c r="M28" s="13">
        <f t="shared" si="22"/>
        <v>1781</v>
      </c>
      <c r="N28" s="13">
        <f t="shared" si="22"/>
        <v>1786</v>
      </c>
      <c r="O28" s="13">
        <f t="shared" si="22"/>
        <v>1813</v>
      </c>
      <c r="P28" s="13">
        <f t="shared" si="22"/>
        <v>1706</v>
      </c>
      <c r="Q28" s="13">
        <f t="shared" si="22"/>
        <v>1825</v>
      </c>
      <c r="R28" s="13">
        <f t="shared" si="22"/>
        <v>1675</v>
      </c>
      <c r="S28" s="13">
        <f t="shared" si="22"/>
        <v>1833</v>
      </c>
      <c r="T28" s="13">
        <f t="shared" si="22"/>
        <v>2029</v>
      </c>
      <c r="U28" s="13">
        <f t="shared" si="22"/>
        <v>2134</v>
      </c>
      <c r="V28" s="13">
        <f t="shared" si="22"/>
        <v>2128</v>
      </c>
      <c r="W28" s="13">
        <f t="shared" ref="W28:Y28" si="23">SUM(W29:W31)</f>
        <v>2727</v>
      </c>
      <c r="X28" s="13">
        <f t="shared" si="23"/>
        <v>3083</v>
      </c>
      <c r="Y28" s="13">
        <f t="shared" si="23"/>
        <v>2743</v>
      </c>
      <c r="DA28" s="193" t="s">
        <v>212</v>
      </c>
    </row>
    <row r="29" spans="1:105" ht="11.45" customHeight="1" x14ac:dyDescent="0.25">
      <c r="A29" s="92" t="s">
        <v>27</v>
      </c>
      <c r="B29" s="102">
        <v>391</v>
      </c>
      <c r="C29" s="102">
        <v>302</v>
      </c>
      <c r="D29" s="102">
        <v>335</v>
      </c>
      <c r="E29" s="102">
        <v>334</v>
      </c>
      <c r="F29" s="102">
        <v>248</v>
      </c>
      <c r="G29" s="102">
        <v>199</v>
      </c>
      <c r="H29" s="102">
        <v>505</v>
      </c>
      <c r="I29" s="102">
        <v>657</v>
      </c>
      <c r="J29" s="102">
        <v>748</v>
      </c>
      <c r="K29" s="102">
        <v>736</v>
      </c>
      <c r="L29" s="102">
        <v>622</v>
      </c>
      <c r="M29" s="102">
        <v>632</v>
      </c>
      <c r="N29" s="102">
        <v>591</v>
      </c>
      <c r="O29" s="102">
        <v>515</v>
      </c>
      <c r="P29" s="102">
        <v>302</v>
      </c>
      <c r="Q29" s="102">
        <v>230</v>
      </c>
      <c r="R29" s="102">
        <v>120</v>
      </c>
      <c r="S29" s="102">
        <v>43</v>
      </c>
      <c r="T29" s="102">
        <v>41</v>
      </c>
      <c r="U29" s="102">
        <v>53</v>
      </c>
      <c r="V29" s="102">
        <v>16</v>
      </c>
      <c r="W29" s="102">
        <v>17</v>
      </c>
      <c r="X29" s="102">
        <v>26</v>
      </c>
      <c r="Y29" s="102">
        <v>20</v>
      </c>
      <c r="DA29" s="175" t="s">
        <v>213</v>
      </c>
    </row>
    <row r="30" spans="1:105" ht="11.45" customHeight="1" x14ac:dyDescent="0.25">
      <c r="A30" s="92" t="s">
        <v>181</v>
      </c>
      <c r="B30" s="102">
        <v>519</v>
      </c>
      <c r="C30" s="102">
        <v>397</v>
      </c>
      <c r="D30" s="102">
        <v>451</v>
      </c>
      <c r="E30" s="102">
        <v>453</v>
      </c>
      <c r="F30" s="102">
        <v>343</v>
      </c>
      <c r="G30" s="102">
        <v>448</v>
      </c>
      <c r="H30" s="102">
        <v>578</v>
      </c>
      <c r="I30" s="102">
        <v>620</v>
      </c>
      <c r="J30" s="102">
        <v>726</v>
      </c>
      <c r="K30" s="102">
        <v>841</v>
      </c>
      <c r="L30" s="102">
        <v>842</v>
      </c>
      <c r="M30" s="102">
        <v>933</v>
      </c>
      <c r="N30" s="102">
        <v>990</v>
      </c>
      <c r="O30" s="102">
        <v>1073</v>
      </c>
      <c r="P30" s="102">
        <v>1105</v>
      </c>
      <c r="Q30" s="102">
        <v>1258</v>
      </c>
      <c r="R30" s="102">
        <v>1198</v>
      </c>
      <c r="S30" s="102">
        <v>1380</v>
      </c>
      <c r="T30" s="102">
        <v>1521</v>
      </c>
      <c r="U30" s="102">
        <v>1588</v>
      </c>
      <c r="V30" s="102">
        <v>1744</v>
      </c>
      <c r="W30" s="102">
        <v>2175</v>
      </c>
      <c r="X30" s="102">
        <v>2498</v>
      </c>
      <c r="Y30" s="102">
        <v>2179</v>
      </c>
      <c r="DA30" s="175" t="s">
        <v>214</v>
      </c>
    </row>
    <row r="31" spans="1:105" ht="11.45" customHeight="1" x14ac:dyDescent="0.25">
      <c r="A31" s="85" t="s">
        <v>182</v>
      </c>
      <c r="B31" s="86">
        <v>138</v>
      </c>
      <c r="C31" s="86">
        <v>134</v>
      </c>
      <c r="D31" s="86">
        <v>136</v>
      </c>
      <c r="E31" s="86">
        <v>148</v>
      </c>
      <c r="F31" s="86">
        <v>149</v>
      </c>
      <c r="G31" s="86">
        <v>154</v>
      </c>
      <c r="H31" s="86">
        <v>164</v>
      </c>
      <c r="I31" s="86">
        <v>198</v>
      </c>
      <c r="J31" s="86">
        <v>198</v>
      </c>
      <c r="K31" s="86">
        <v>134</v>
      </c>
      <c r="L31" s="86">
        <v>203</v>
      </c>
      <c r="M31" s="86">
        <v>216</v>
      </c>
      <c r="N31" s="86">
        <v>205</v>
      </c>
      <c r="O31" s="86">
        <v>225</v>
      </c>
      <c r="P31" s="86">
        <v>299</v>
      </c>
      <c r="Q31" s="86">
        <v>337</v>
      </c>
      <c r="R31" s="86">
        <v>357</v>
      </c>
      <c r="S31" s="86">
        <v>410</v>
      </c>
      <c r="T31" s="86">
        <v>467</v>
      </c>
      <c r="U31" s="86">
        <v>493</v>
      </c>
      <c r="V31" s="86">
        <v>368</v>
      </c>
      <c r="W31" s="86">
        <v>535</v>
      </c>
      <c r="X31" s="86">
        <v>559</v>
      </c>
      <c r="Y31" s="86">
        <v>544</v>
      </c>
      <c r="DA31" s="178" t="s">
        <v>215</v>
      </c>
    </row>
    <row r="32" spans="1:105" x14ac:dyDescent="0.25">
      <c r="A32" s="50"/>
      <c r="B32" s="50"/>
      <c r="C32" s="50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DA32" s="181"/>
    </row>
    <row r="33" spans="1:105" ht="11.45" customHeight="1" x14ac:dyDescent="0.25">
      <c r="A33" s="53" t="s">
        <v>140</v>
      </c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DA33" s="172"/>
    </row>
    <row r="34" spans="1:105" ht="11.45" customHeight="1" x14ac:dyDescent="0.25">
      <c r="A34" s="10" t="s">
        <v>79</v>
      </c>
      <c r="B34" s="11">
        <f t="shared" ref="B34:C34" si="24">SUM(B35:B37)</f>
        <v>4293212</v>
      </c>
      <c r="C34" s="11">
        <f t="shared" si="24"/>
        <v>4326551</v>
      </c>
      <c r="D34" s="11">
        <f t="shared" ref="D34:V34" si="25">SUM(D35:D37)</f>
        <v>4594722</v>
      </c>
      <c r="E34" s="11">
        <f t="shared" si="25"/>
        <v>5004853</v>
      </c>
      <c r="F34" s="11">
        <f t="shared" si="25"/>
        <v>4794802</v>
      </c>
      <c r="G34" s="11">
        <f t="shared" si="25"/>
        <v>5766823</v>
      </c>
      <c r="H34" s="11">
        <f t="shared" si="25"/>
        <v>7180968</v>
      </c>
      <c r="I34" s="11">
        <f t="shared" si="25"/>
        <v>9044874</v>
      </c>
      <c r="J34" s="11">
        <f t="shared" si="25"/>
        <v>9790991</v>
      </c>
      <c r="K34" s="11">
        <f t="shared" si="25"/>
        <v>8933825</v>
      </c>
      <c r="L34" s="11">
        <f t="shared" si="25"/>
        <v>9656743</v>
      </c>
      <c r="M34" s="11">
        <f t="shared" si="25"/>
        <v>10950150</v>
      </c>
      <c r="N34" s="11">
        <f t="shared" si="25"/>
        <v>11873702</v>
      </c>
      <c r="O34" s="11">
        <f t="shared" si="25"/>
        <v>12324680</v>
      </c>
      <c r="P34" s="11">
        <f t="shared" si="25"/>
        <v>13649733</v>
      </c>
      <c r="Q34" s="11">
        <f t="shared" si="25"/>
        <v>15279249</v>
      </c>
      <c r="R34" s="11">
        <f t="shared" si="25"/>
        <v>17050850</v>
      </c>
      <c r="S34" s="11">
        <f t="shared" si="25"/>
        <v>19982576</v>
      </c>
      <c r="T34" s="11">
        <f t="shared" si="25"/>
        <v>22841930</v>
      </c>
      <c r="U34" s="11">
        <f t="shared" si="25"/>
        <v>24457343</v>
      </c>
      <c r="V34" s="11">
        <f t="shared" si="25"/>
        <v>7259513</v>
      </c>
      <c r="W34" s="11">
        <f t="shared" ref="W34:Y34" si="26">SUM(W35:W37)</f>
        <v>9757966</v>
      </c>
      <c r="X34" s="11">
        <f t="shared" si="26"/>
        <v>20651456</v>
      </c>
      <c r="Y34" s="11">
        <f t="shared" si="26"/>
        <v>26102975</v>
      </c>
      <c r="DA34" s="189" t="s">
        <v>216</v>
      </c>
    </row>
    <row r="35" spans="1:105" ht="11.45" customHeight="1" x14ac:dyDescent="0.25">
      <c r="A35" s="83" t="s">
        <v>27</v>
      </c>
      <c r="B35" s="84">
        <v>710805</v>
      </c>
      <c r="C35" s="84">
        <v>719659</v>
      </c>
      <c r="D35" s="84">
        <v>975964</v>
      </c>
      <c r="E35" s="84">
        <v>1000291</v>
      </c>
      <c r="F35" s="84">
        <v>764355</v>
      </c>
      <c r="G35" s="84">
        <v>784708</v>
      </c>
      <c r="H35" s="84">
        <v>809167</v>
      </c>
      <c r="I35" s="84">
        <v>980303</v>
      </c>
      <c r="J35" s="84">
        <v>860649</v>
      </c>
      <c r="K35" s="84">
        <v>797695</v>
      </c>
      <c r="L35" s="84">
        <v>880632</v>
      </c>
      <c r="M35" s="84">
        <v>1138051</v>
      </c>
      <c r="N35" s="84">
        <v>1802317</v>
      </c>
      <c r="O35" s="84">
        <v>1226903</v>
      </c>
      <c r="P35" s="84">
        <v>1495205</v>
      </c>
      <c r="Q35" s="84">
        <v>1603569</v>
      </c>
      <c r="R35" s="84">
        <v>1810883</v>
      </c>
      <c r="S35" s="84">
        <v>2205503</v>
      </c>
      <c r="T35" s="84">
        <v>1887044</v>
      </c>
      <c r="U35" s="84">
        <v>1947802</v>
      </c>
      <c r="V35" s="84">
        <v>671480</v>
      </c>
      <c r="W35" s="84">
        <v>746152</v>
      </c>
      <c r="X35" s="84">
        <v>1604773</v>
      </c>
      <c r="Y35" s="84">
        <v>1895825</v>
      </c>
      <c r="DA35" s="171" t="s">
        <v>217</v>
      </c>
    </row>
    <row r="36" spans="1:105" ht="11.45" customHeight="1" x14ac:dyDescent="0.25">
      <c r="A36" s="83" t="s">
        <v>181</v>
      </c>
      <c r="B36" s="84">
        <v>2893790</v>
      </c>
      <c r="C36" s="84">
        <v>2915230</v>
      </c>
      <c r="D36" s="84">
        <v>2931028</v>
      </c>
      <c r="E36" s="84">
        <v>3246530</v>
      </c>
      <c r="F36" s="84">
        <v>3269844</v>
      </c>
      <c r="G36" s="84">
        <v>4134495</v>
      </c>
      <c r="H36" s="84">
        <v>5344996</v>
      </c>
      <c r="I36" s="84">
        <v>6855459</v>
      </c>
      <c r="J36" s="84">
        <v>7393088</v>
      </c>
      <c r="K36" s="84">
        <v>6736155</v>
      </c>
      <c r="L36" s="84">
        <v>7179589</v>
      </c>
      <c r="M36" s="84">
        <v>8251182</v>
      </c>
      <c r="N36" s="84">
        <v>8390192</v>
      </c>
      <c r="O36" s="84">
        <v>9495106</v>
      </c>
      <c r="P36" s="84">
        <v>10297925</v>
      </c>
      <c r="Q36" s="84">
        <v>11935843</v>
      </c>
      <c r="R36" s="84">
        <v>13542695</v>
      </c>
      <c r="S36" s="84">
        <v>15302265</v>
      </c>
      <c r="T36" s="84">
        <v>17217325</v>
      </c>
      <c r="U36" s="84">
        <v>17759911</v>
      </c>
      <c r="V36" s="84">
        <v>5466929</v>
      </c>
      <c r="W36" s="84">
        <v>6700205</v>
      </c>
      <c r="X36" s="84">
        <v>15417355</v>
      </c>
      <c r="Y36" s="84">
        <v>19323457</v>
      </c>
      <c r="DA36" s="171" t="s">
        <v>218</v>
      </c>
    </row>
    <row r="37" spans="1:105" ht="11.45" customHeight="1" x14ac:dyDescent="0.25">
      <c r="A37" s="83" t="s">
        <v>182</v>
      </c>
      <c r="B37" s="84">
        <v>688617</v>
      </c>
      <c r="C37" s="84">
        <v>691662</v>
      </c>
      <c r="D37" s="84">
        <v>687730</v>
      </c>
      <c r="E37" s="84">
        <v>758032</v>
      </c>
      <c r="F37" s="84">
        <v>760603</v>
      </c>
      <c r="G37" s="84">
        <v>847620</v>
      </c>
      <c r="H37" s="84">
        <v>1026805</v>
      </c>
      <c r="I37" s="84">
        <v>1209112</v>
      </c>
      <c r="J37" s="84">
        <v>1537254</v>
      </c>
      <c r="K37" s="84">
        <v>1399975</v>
      </c>
      <c r="L37" s="84">
        <v>1596522</v>
      </c>
      <c r="M37" s="84">
        <v>1560917</v>
      </c>
      <c r="N37" s="84">
        <v>1681193</v>
      </c>
      <c r="O37" s="84">
        <v>1602671</v>
      </c>
      <c r="P37" s="84">
        <v>1856603</v>
      </c>
      <c r="Q37" s="84">
        <v>1739837</v>
      </c>
      <c r="R37" s="84">
        <v>1697272</v>
      </c>
      <c r="S37" s="84">
        <v>2474808</v>
      </c>
      <c r="T37" s="84">
        <v>3737561</v>
      </c>
      <c r="U37" s="84">
        <v>4749630</v>
      </c>
      <c r="V37" s="84">
        <v>1121104</v>
      </c>
      <c r="W37" s="84">
        <v>2311609</v>
      </c>
      <c r="X37" s="84">
        <v>3629328</v>
      </c>
      <c r="Y37" s="84">
        <v>4883693</v>
      </c>
      <c r="DA37" s="171" t="s">
        <v>219</v>
      </c>
    </row>
    <row r="38" spans="1:105" ht="11.45" customHeight="1" x14ac:dyDescent="0.25">
      <c r="A38" s="12" t="s">
        <v>80</v>
      </c>
      <c r="B38" s="13">
        <f t="shared" ref="B38:C38" si="27">SUM(B39:B41)</f>
        <v>19505.285034113589</v>
      </c>
      <c r="C38" s="13">
        <f t="shared" si="27"/>
        <v>16712.1463230632</v>
      </c>
      <c r="D38" s="13">
        <f t="shared" ref="D38:V38" si="28">SUM(D39:D41)</f>
        <v>18002.100848128932</v>
      </c>
      <c r="E38" s="13">
        <f t="shared" si="28"/>
        <v>18646.923011568673</v>
      </c>
      <c r="F38" s="13">
        <f t="shared" si="28"/>
        <v>15212.33833988589</v>
      </c>
      <c r="G38" s="13">
        <f t="shared" si="28"/>
        <v>15615.153486288313</v>
      </c>
      <c r="H38" s="13">
        <f t="shared" si="28"/>
        <v>20379.603059283989</v>
      </c>
      <c r="I38" s="13">
        <f t="shared" si="28"/>
        <v>23807.411579701962</v>
      </c>
      <c r="J38" s="13">
        <f t="shared" si="28"/>
        <v>25758.091803284027</v>
      </c>
      <c r="K38" s="13">
        <f t="shared" si="28"/>
        <v>25069.898628872616</v>
      </c>
      <c r="L38" s="13">
        <f t="shared" si="28"/>
        <v>29079.204182042646</v>
      </c>
      <c r="M38" s="13">
        <f t="shared" si="28"/>
        <v>33329.455228360435</v>
      </c>
      <c r="N38" s="13">
        <f t="shared" si="28"/>
        <v>35227.487902917768</v>
      </c>
      <c r="O38" s="13">
        <f t="shared" si="28"/>
        <v>37313.215936676934</v>
      </c>
      <c r="P38" s="13">
        <f t="shared" si="28"/>
        <v>44144.544893632446</v>
      </c>
      <c r="Q38" s="13">
        <f t="shared" si="28"/>
        <v>48621.210366233034</v>
      </c>
      <c r="R38" s="13">
        <f t="shared" si="28"/>
        <v>53026.061568539903</v>
      </c>
      <c r="S38" s="13">
        <f t="shared" si="28"/>
        <v>57408.224945717186</v>
      </c>
      <c r="T38" s="13">
        <f t="shared" si="28"/>
        <v>64195.535035205496</v>
      </c>
      <c r="U38" s="13">
        <f t="shared" si="28"/>
        <v>69298.258171491994</v>
      </c>
      <c r="V38" s="13">
        <f t="shared" si="28"/>
        <v>49592.482029144216</v>
      </c>
      <c r="W38" s="13">
        <f t="shared" ref="W38:Y38" si="29">SUM(W39:W41)</f>
        <v>67565.788297261359</v>
      </c>
      <c r="X38" s="13">
        <f t="shared" si="29"/>
        <v>78898.321654394022</v>
      </c>
      <c r="Y38" s="13">
        <f t="shared" si="29"/>
        <v>73761.225832687924</v>
      </c>
      <c r="DA38" s="193" t="s">
        <v>220</v>
      </c>
    </row>
    <row r="39" spans="1:105" ht="11.45" customHeight="1" x14ac:dyDescent="0.25">
      <c r="A39" s="92" t="s">
        <v>27</v>
      </c>
      <c r="B39" s="102">
        <v>3919.1042635146846</v>
      </c>
      <c r="C39" s="102">
        <v>3003.9470156195516</v>
      </c>
      <c r="D39" s="102">
        <v>3426.5873061625202</v>
      </c>
      <c r="E39" s="102">
        <v>3633.9568740517539</v>
      </c>
      <c r="F39" s="102">
        <v>2540.8322201028741</v>
      </c>
      <c r="G39" s="102">
        <v>1995.2509254673871</v>
      </c>
      <c r="H39" s="102">
        <v>4870.3692439897322</v>
      </c>
      <c r="I39" s="102">
        <v>6312.7756634013967</v>
      </c>
      <c r="J39" s="102">
        <v>6914.7021417381784</v>
      </c>
      <c r="K39" s="102">
        <v>6862.5374777474863</v>
      </c>
      <c r="L39" s="102">
        <v>6203.0152012269027</v>
      </c>
      <c r="M39" s="102">
        <v>6885.9163225348793</v>
      </c>
      <c r="N39" s="102">
        <v>6614.0766975636125</v>
      </c>
      <c r="O39" s="102">
        <v>5908.3923771523887</v>
      </c>
      <c r="P39" s="102">
        <v>3885.8633090296448</v>
      </c>
      <c r="Q39" s="102">
        <v>3045.2686827542661</v>
      </c>
      <c r="R39" s="102">
        <v>1831.3470245013496</v>
      </c>
      <c r="S39" s="102">
        <v>603.60851316072126</v>
      </c>
      <c r="T39" s="102">
        <v>585.79859848378203</v>
      </c>
      <c r="U39" s="102">
        <v>837.58066554397692</v>
      </c>
      <c r="V39" s="102">
        <v>233.04879334306253</v>
      </c>
      <c r="W39" s="102">
        <v>250.47608622656887</v>
      </c>
      <c r="X39" s="102">
        <v>387.48147692529369</v>
      </c>
      <c r="Y39" s="102">
        <v>295.82687455442175</v>
      </c>
      <c r="DA39" s="175" t="s">
        <v>221</v>
      </c>
    </row>
    <row r="40" spans="1:105" ht="11.45" customHeight="1" x14ac:dyDescent="0.25">
      <c r="A40" s="92" t="s">
        <v>181</v>
      </c>
      <c r="B40" s="102">
        <v>8391.0922302589879</v>
      </c>
      <c r="C40" s="102">
        <v>6489.9701167573639</v>
      </c>
      <c r="D40" s="102">
        <v>7380.6799147194342</v>
      </c>
      <c r="E40" s="102">
        <v>7801.4285948208408</v>
      </c>
      <c r="F40" s="102">
        <v>5510.619898627393</v>
      </c>
      <c r="G40" s="102">
        <v>6810.7092005314134</v>
      </c>
      <c r="H40" s="102">
        <v>8102.316052829844</v>
      </c>
      <c r="I40" s="102">
        <v>8547.843132630107</v>
      </c>
      <c r="J40" s="102">
        <v>9950.5919483628222</v>
      </c>
      <c r="K40" s="102">
        <v>11520.770067869173</v>
      </c>
      <c r="L40" s="102">
        <v>12213.020077281091</v>
      </c>
      <c r="M40" s="102">
        <v>14549.193581510699</v>
      </c>
      <c r="N40" s="102">
        <v>16501.589720252472</v>
      </c>
      <c r="O40" s="102">
        <v>17980.268065759632</v>
      </c>
      <c r="P40" s="102">
        <v>20386.601009924281</v>
      </c>
      <c r="Q40" s="102">
        <v>23244.82905058494</v>
      </c>
      <c r="R40" s="102">
        <v>24975.807444821614</v>
      </c>
      <c r="S40" s="102">
        <v>26740.984755406225</v>
      </c>
      <c r="T40" s="102">
        <v>29241.926479585043</v>
      </c>
      <c r="U40" s="102">
        <v>31287.726604799547</v>
      </c>
      <c r="V40" s="102">
        <v>30765.042663668359</v>
      </c>
      <c r="W40" s="102">
        <v>38646.260768146814</v>
      </c>
      <c r="X40" s="102">
        <v>44690.404377092287</v>
      </c>
      <c r="Y40" s="102">
        <v>39156.711153243748</v>
      </c>
      <c r="DA40" s="175" t="s">
        <v>222</v>
      </c>
    </row>
    <row r="41" spans="1:105" ht="11.45" customHeight="1" x14ac:dyDescent="0.25">
      <c r="A41" s="85" t="s">
        <v>182</v>
      </c>
      <c r="B41" s="86">
        <v>7195.0885403399179</v>
      </c>
      <c r="C41" s="86">
        <v>7218.2291906862847</v>
      </c>
      <c r="D41" s="86">
        <v>7194.8336272469787</v>
      </c>
      <c r="E41" s="86">
        <v>7211.5375426960791</v>
      </c>
      <c r="F41" s="86">
        <v>7160.8862211556216</v>
      </c>
      <c r="G41" s="86">
        <v>6809.1933602895124</v>
      </c>
      <c r="H41" s="86">
        <v>7406.9177624644144</v>
      </c>
      <c r="I41" s="86">
        <v>8946.7927836704566</v>
      </c>
      <c r="J41" s="86">
        <v>8892.7977131830285</v>
      </c>
      <c r="K41" s="86">
        <v>6686.5910832559575</v>
      </c>
      <c r="L41" s="86">
        <v>10663.168903534652</v>
      </c>
      <c r="M41" s="86">
        <v>11894.345324314856</v>
      </c>
      <c r="N41" s="86">
        <v>12111.821485101678</v>
      </c>
      <c r="O41" s="86">
        <v>13424.555493764916</v>
      </c>
      <c r="P41" s="86">
        <v>19872.080574678519</v>
      </c>
      <c r="Q41" s="86">
        <v>22331.11263289383</v>
      </c>
      <c r="R41" s="86">
        <v>26218.90709921694</v>
      </c>
      <c r="S41" s="86">
        <v>30063.631677150239</v>
      </c>
      <c r="T41" s="86">
        <v>34367.809957136669</v>
      </c>
      <c r="U41" s="86">
        <v>37172.950901148462</v>
      </c>
      <c r="V41" s="86">
        <v>18594.39057213279</v>
      </c>
      <c r="W41" s="86">
        <v>28669.051442887976</v>
      </c>
      <c r="X41" s="86">
        <v>33820.435800376443</v>
      </c>
      <c r="Y41" s="86">
        <v>34308.687804889756</v>
      </c>
      <c r="DA41" s="178" t="s">
        <v>223</v>
      </c>
    </row>
    <row r="42" spans="1:105" x14ac:dyDescent="0.25">
      <c r="A42" s="50"/>
      <c r="B42" s="50"/>
      <c r="C42" s="50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DA42" s="181"/>
    </row>
    <row r="43" spans="1:105" ht="11.45" customHeight="1" x14ac:dyDescent="0.25">
      <c r="A43" s="53" t="s">
        <v>81</v>
      </c>
      <c r="B43" s="54">
        <f t="shared" ref="B43:C43" si="30">SUM(B44,B48)</f>
        <v>71.797849984808025</v>
      </c>
      <c r="C43" s="54">
        <f t="shared" si="30"/>
        <v>70.885334564796977</v>
      </c>
      <c r="D43" s="54">
        <f t="shared" ref="D43:V43" si="31">SUM(D44,D48)</f>
        <v>73.270096763866832</v>
      </c>
      <c r="E43" s="54">
        <f t="shared" si="31"/>
        <v>78.133991986943229</v>
      </c>
      <c r="F43" s="54">
        <f t="shared" si="31"/>
        <v>75.953918930779679</v>
      </c>
      <c r="G43" s="54">
        <f t="shared" si="31"/>
        <v>85.955366674709964</v>
      </c>
      <c r="H43" s="54">
        <f t="shared" si="31"/>
        <v>101.12799703976899</v>
      </c>
      <c r="I43" s="54">
        <f t="shared" si="31"/>
        <v>106.05900129129436</v>
      </c>
      <c r="J43" s="54">
        <f t="shared" si="31"/>
        <v>107.77945453996448</v>
      </c>
      <c r="K43" s="54">
        <f t="shared" si="31"/>
        <v>101.08118267957818</v>
      </c>
      <c r="L43" s="54">
        <f t="shared" si="31"/>
        <v>100.89113649344449</v>
      </c>
      <c r="M43" s="54">
        <f t="shared" si="31"/>
        <v>105.92153182173402</v>
      </c>
      <c r="N43" s="54">
        <f t="shared" si="31"/>
        <v>107.86943678488122</v>
      </c>
      <c r="O43" s="54">
        <f t="shared" si="31"/>
        <v>108.9892571193414</v>
      </c>
      <c r="P43" s="54">
        <f t="shared" si="31"/>
        <v>116.23378949164828</v>
      </c>
      <c r="Q43" s="54">
        <f t="shared" si="31"/>
        <v>127.08858775426216</v>
      </c>
      <c r="R43" s="54">
        <f t="shared" si="31"/>
        <v>133.12002547785457</v>
      </c>
      <c r="S43" s="54">
        <f t="shared" si="31"/>
        <v>141.88108237818304</v>
      </c>
      <c r="T43" s="54">
        <f t="shared" si="31"/>
        <v>168.44248471555036</v>
      </c>
      <c r="U43" s="54">
        <f t="shared" si="31"/>
        <v>173.31782465285411</v>
      </c>
      <c r="V43" s="54">
        <f t="shared" si="31"/>
        <v>169.89897451456082</v>
      </c>
      <c r="W43" s="54">
        <f t="shared" ref="W43:Y43" si="32">SUM(W44,W48)</f>
        <v>166.75388526461933</v>
      </c>
      <c r="X43" s="54">
        <f t="shared" si="32"/>
        <v>163.94438981887998</v>
      </c>
      <c r="Y43" s="54">
        <f t="shared" si="32"/>
        <v>176.51488017967648</v>
      </c>
      <c r="DA43" s="172" t="s">
        <v>224</v>
      </c>
    </row>
    <row r="44" spans="1:105" ht="11.45" customHeight="1" x14ac:dyDescent="0.25">
      <c r="A44" s="10" t="s">
        <v>33</v>
      </c>
      <c r="B44" s="11">
        <f t="shared" ref="B44:C44" si="33">SUM(B45:B47)</f>
        <v>70.897355187004848</v>
      </c>
      <c r="C44" s="11">
        <f t="shared" si="33"/>
        <v>70.059711060416149</v>
      </c>
      <c r="D44" s="11">
        <f t="shared" ref="D44:V44" si="34">SUM(D45:D47)</f>
        <v>72.467679061971268</v>
      </c>
      <c r="E44" s="11">
        <f t="shared" si="34"/>
        <v>77.314009051171979</v>
      </c>
      <c r="F44" s="11">
        <f t="shared" si="34"/>
        <v>75.200774715510562</v>
      </c>
      <c r="G44" s="11">
        <f t="shared" si="34"/>
        <v>85.169321516858659</v>
      </c>
      <c r="H44" s="11">
        <f t="shared" si="34"/>
        <v>100.00727486061766</v>
      </c>
      <c r="I44" s="11">
        <f t="shared" si="34"/>
        <v>104.68107727137365</v>
      </c>
      <c r="J44" s="11">
        <f t="shared" si="34"/>
        <v>106.18313597228277</v>
      </c>
      <c r="K44" s="11">
        <f t="shared" si="34"/>
        <v>99.42170133155841</v>
      </c>
      <c r="L44" s="11">
        <f t="shared" si="34"/>
        <v>99.139612477860723</v>
      </c>
      <c r="M44" s="11">
        <f t="shared" si="34"/>
        <v>104.1449757486503</v>
      </c>
      <c r="N44" s="11">
        <f t="shared" si="34"/>
        <v>106.09662201227502</v>
      </c>
      <c r="O44" s="11">
        <f t="shared" si="34"/>
        <v>107.15879375782671</v>
      </c>
      <c r="P44" s="11">
        <f t="shared" si="34"/>
        <v>114.22185220234792</v>
      </c>
      <c r="Q44" s="11">
        <f t="shared" si="34"/>
        <v>124.87877201761751</v>
      </c>
      <c r="R44" s="11">
        <f t="shared" si="34"/>
        <v>130.88563571532524</v>
      </c>
      <c r="S44" s="11">
        <f t="shared" si="34"/>
        <v>139.37905202995287</v>
      </c>
      <c r="T44" s="11">
        <f t="shared" si="34"/>
        <v>165.7044157504298</v>
      </c>
      <c r="U44" s="11">
        <f t="shared" si="34"/>
        <v>170.10879445912275</v>
      </c>
      <c r="V44" s="11">
        <f t="shared" si="34"/>
        <v>166.56392669977254</v>
      </c>
      <c r="W44" s="11">
        <f t="shared" ref="W44:Y44" si="35">SUM(W45:W47)</f>
        <v>163.01905894042227</v>
      </c>
      <c r="X44" s="11">
        <f t="shared" si="35"/>
        <v>159.47419118107203</v>
      </c>
      <c r="Y44" s="11">
        <f t="shared" si="35"/>
        <v>171.75171882495746</v>
      </c>
      <c r="DA44" s="189" t="s">
        <v>225</v>
      </c>
    </row>
    <row r="45" spans="1:105" ht="11.45" customHeight="1" x14ac:dyDescent="0.25">
      <c r="A45" s="83" t="s">
        <v>27</v>
      </c>
      <c r="B45" s="84">
        <v>10.395576350489154</v>
      </c>
      <c r="C45" s="84">
        <v>10.405784772437261</v>
      </c>
      <c r="D45" s="84">
        <v>13.888132709485326</v>
      </c>
      <c r="E45" s="84">
        <v>13.902169289663973</v>
      </c>
      <c r="F45" s="84">
        <v>12.862611654615058</v>
      </c>
      <c r="G45" s="84">
        <v>11.823054019566143</v>
      </c>
      <c r="H45" s="84">
        <v>10.783496384517228</v>
      </c>
      <c r="I45" s="84">
        <v>11.309614570097416</v>
      </c>
      <c r="J45" s="84">
        <v>10.805249788314987</v>
      </c>
      <c r="K45" s="84">
        <v>9.9636517328825018</v>
      </c>
      <c r="L45" s="84">
        <v>10.189824711415135</v>
      </c>
      <c r="M45" s="84">
        <v>11.866580866580867</v>
      </c>
      <c r="N45" s="84">
        <v>15.898268398268398</v>
      </c>
      <c r="O45" s="84">
        <v>14.858710763219483</v>
      </c>
      <c r="P45" s="84">
        <v>13.819153128170568</v>
      </c>
      <c r="Q45" s="84">
        <v>12.779595493121652</v>
      </c>
      <c r="R45" s="84">
        <v>11.740037858072737</v>
      </c>
      <c r="S45" s="84">
        <v>12.775147928994082</v>
      </c>
      <c r="T45" s="84">
        <v>11.735590293945167</v>
      </c>
      <c r="U45" s="84">
        <v>11.901597981497057</v>
      </c>
      <c r="V45" s="84">
        <v>11.381819163972599</v>
      </c>
      <c r="W45" s="84">
        <v>10.862040346448142</v>
      </c>
      <c r="X45" s="84">
        <v>10.342261528923684</v>
      </c>
      <c r="Y45" s="84">
        <v>10.936467598475222</v>
      </c>
      <c r="DA45" s="171" t="s">
        <v>226</v>
      </c>
    </row>
    <row r="46" spans="1:105" ht="11.45" customHeight="1" x14ac:dyDescent="0.25">
      <c r="A46" s="83" t="s">
        <v>181</v>
      </c>
      <c r="B46" s="84">
        <v>39.695678618650774</v>
      </c>
      <c r="C46" s="84">
        <v>39.139765067935308</v>
      </c>
      <c r="D46" s="84">
        <v>38.433576853575275</v>
      </c>
      <c r="E46" s="84">
        <v>41.603560894405611</v>
      </c>
      <c r="F46" s="84">
        <v>40.898075914926011</v>
      </c>
      <c r="G46" s="84">
        <v>49.64757754096064</v>
      </c>
      <c r="H46" s="84">
        <v>61.541960294282234</v>
      </c>
      <c r="I46" s="84">
        <v>63.874432998305942</v>
      </c>
      <c r="J46" s="84">
        <v>66.825254605020419</v>
      </c>
      <c r="K46" s="84">
        <v>62.986028041515027</v>
      </c>
      <c r="L46" s="84">
        <v>63.819980074137888</v>
      </c>
      <c r="M46" s="84">
        <v>66.053779497454059</v>
      </c>
      <c r="N46" s="84">
        <v>65.670195318725035</v>
      </c>
      <c r="O46" s="84">
        <v>69.85253472111215</v>
      </c>
      <c r="P46" s="84">
        <v>71.949302549690771</v>
      </c>
      <c r="Q46" s="84">
        <v>79.412069606256864</v>
      </c>
      <c r="R46" s="84">
        <v>88.539100960799999</v>
      </c>
      <c r="S46" s="84">
        <v>96.137016683740242</v>
      </c>
      <c r="T46" s="84">
        <v>105.40242545648464</v>
      </c>
      <c r="U46" s="84">
        <v>106.55632759926867</v>
      </c>
      <c r="V46" s="84">
        <v>104.57154366833615</v>
      </c>
      <c r="W46" s="84">
        <v>102.5867597374036</v>
      </c>
      <c r="X46" s="84">
        <v>100.60197580647106</v>
      </c>
      <c r="Y46" s="84">
        <v>107.55397303099352</v>
      </c>
      <c r="DA46" s="171" t="s">
        <v>227</v>
      </c>
    </row>
    <row r="47" spans="1:105" ht="11.45" customHeight="1" x14ac:dyDescent="0.25">
      <c r="A47" s="83" t="s">
        <v>182</v>
      </c>
      <c r="B47" s="84">
        <v>20.806100217864923</v>
      </c>
      <c r="C47" s="84">
        <v>20.514161220043572</v>
      </c>
      <c r="D47" s="84">
        <v>20.145969498910674</v>
      </c>
      <c r="E47" s="84">
        <v>21.808278867102395</v>
      </c>
      <c r="F47" s="84">
        <v>21.4400871459695</v>
      </c>
      <c r="G47" s="84">
        <v>23.698689956331879</v>
      </c>
      <c r="H47" s="84">
        <v>27.681818181818183</v>
      </c>
      <c r="I47" s="84">
        <v>29.497029702970298</v>
      </c>
      <c r="J47" s="84">
        <v>28.55263157894737</v>
      </c>
      <c r="K47" s="84">
        <v>26.472021557160879</v>
      </c>
      <c r="L47" s="84">
        <v>25.129807692307693</v>
      </c>
      <c r="M47" s="84">
        <v>26.224615384615383</v>
      </c>
      <c r="N47" s="84">
        <v>24.528158295281582</v>
      </c>
      <c r="O47" s="84">
        <v>22.447548273495091</v>
      </c>
      <c r="P47" s="84">
        <v>28.453396524486571</v>
      </c>
      <c r="Q47" s="84">
        <v>32.687106918238996</v>
      </c>
      <c r="R47" s="84">
        <v>30.606496896452505</v>
      </c>
      <c r="S47" s="84">
        <v>30.466887417218544</v>
      </c>
      <c r="T47" s="84">
        <v>48.566400000000002</v>
      </c>
      <c r="U47" s="84">
        <v>51.650868878357031</v>
      </c>
      <c r="V47" s="84">
        <v>50.610563867463782</v>
      </c>
      <c r="W47" s="84">
        <v>49.570258856570533</v>
      </c>
      <c r="X47" s="84">
        <v>48.529953845677284</v>
      </c>
      <c r="Y47" s="84">
        <v>53.261278195488721</v>
      </c>
      <c r="DA47" s="171" t="s">
        <v>228</v>
      </c>
    </row>
    <row r="48" spans="1:105" ht="11.45" customHeight="1" x14ac:dyDescent="0.25">
      <c r="A48" s="12" t="s">
        <v>34</v>
      </c>
      <c r="B48" s="13">
        <f t="shared" ref="B48:C48" si="36">SUM(B49:B51)</f>
        <v>0.90049479780318176</v>
      </c>
      <c r="C48" s="13">
        <f t="shared" si="36"/>
        <v>0.82562350438082532</v>
      </c>
      <c r="D48" s="13">
        <f t="shared" ref="D48:V48" si="37">SUM(D49:D51)</f>
        <v>0.80241770189556016</v>
      </c>
      <c r="E48" s="13">
        <f t="shared" si="37"/>
        <v>0.81998293577125558</v>
      </c>
      <c r="F48" s="13">
        <f t="shared" si="37"/>
        <v>0.75314421526911224</v>
      </c>
      <c r="G48" s="13">
        <f t="shared" si="37"/>
        <v>0.78604515785130358</v>
      </c>
      <c r="H48" s="13">
        <f t="shared" si="37"/>
        <v>1.1207221791513229</v>
      </c>
      <c r="I48" s="13">
        <f t="shared" si="37"/>
        <v>1.3779240199207174</v>
      </c>
      <c r="J48" s="13">
        <f t="shared" si="37"/>
        <v>1.5963185676817111</v>
      </c>
      <c r="K48" s="13">
        <f t="shared" si="37"/>
        <v>1.6594813480197617</v>
      </c>
      <c r="L48" s="13">
        <f t="shared" si="37"/>
        <v>1.7515240155837744</v>
      </c>
      <c r="M48" s="13">
        <f t="shared" si="37"/>
        <v>1.7765560730837267</v>
      </c>
      <c r="N48" s="13">
        <f t="shared" si="37"/>
        <v>1.7728147726061936</v>
      </c>
      <c r="O48" s="13">
        <f t="shared" si="37"/>
        <v>1.8304633615146932</v>
      </c>
      <c r="P48" s="13">
        <f t="shared" si="37"/>
        <v>2.0119372893003629</v>
      </c>
      <c r="Q48" s="13">
        <f t="shared" si="37"/>
        <v>2.2098157366446514</v>
      </c>
      <c r="R48" s="13">
        <f t="shared" si="37"/>
        <v>2.234389762529323</v>
      </c>
      <c r="S48" s="13">
        <f t="shared" si="37"/>
        <v>2.5020303482301527</v>
      </c>
      <c r="T48" s="13">
        <f t="shared" si="37"/>
        <v>2.7380689651205703</v>
      </c>
      <c r="U48" s="13">
        <f t="shared" si="37"/>
        <v>3.2090301937313535</v>
      </c>
      <c r="V48" s="13">
        <f t="shared" si="37"/>
        <v>3.3350478147882794</v>
      </c>
      <c r="W48" s="13">
        <f t="shared" ref="W48:Y48" si="38">SUM(W49:W51)</f>
        <v>3.7348263241970585</v>
      </c>
      <c r="X48" s="13">
        <f t="shared" si="38"/>
        <v>4.4701986378079512</v>
      </c>
      <c r="Y48" s="13">
        <f t="shared" si="38"/>
        <v>4.7631613547190312</v>
      </c>
      <c r="DA48" s="193" t="s">
        <v>229</v>
      </c>
    </row>
    <row r="49" spans="1:105" ht="11.45" customHeight="1" x14ac:dyDescent="0.25">
      <c r="A49" s="92" t="s">
        <v>27</v>
      </c>
      <c r="B49" s="102">
        <v>0.26383265856950067</v>
      </c>
      <c r="C49" s="102">
        <v>0.23744939271255061</v>
      </c>
      <c r="D49" s="102">
        <v>0.22604588394062078</v>
      </c>
      <c r="E49" s="102">
        <v>0.2253711201079622</v>
      </c>
      <c r="F49" s="102">
        <v>0.19898785425101212</v>
      </c>
      <c r="G49" s="102">
        <v>0.17260458839406206</v>
      </c>
      <c r="H49" s="102">
        <v>0.341446923597025</v>
      </c>
      <c r="I49" s="102">
        <v>0.4451219512195122</v>
      </c>
      <c r="J49" s="102">
        <v>0.50849762066621351</v>
      </c>
      <c r="K49" s="102">
        <v>0.50170415814587599</v>
      </c>
      <c r="L49" s="102">
        <v>0.47532089228892593</v>
      </c>
      <c r="M49" s="102">
        <v>0.44893762643197588</v>
      </c>
      <c r="N49" s="102">
        <v>0.42255436057502582</v>
      </c>
      <c r="O49" s="102">
        <v>0.39617109471807577</v>
      </c>
      <c r="P49" s="102">
        <v>0.36978782886112571</v>
      </c>
      <c r="Q49" s="102">
        <v>0.34340456300417566</v>
      </c>
      <c r="R49" s="102">
        <v>0.3170212971472256</v>
      </c>
      <c r="S49" s="102">
        <v>0.29063803129027554</v>
      </c>
      <c r="T49" s="102">
        <v>0.26425476543332549</v>
      </c>
      <c r="U49" s="102">
        <v>0.23787149957637543</v>
      </c>
      <c r="V49" s="102">
        <v>0.22467986664790041</v>
      </c>
      <c r="W49" s="102">
        <v>0.21148823371942538</v>
      </c>
      <c r="X49" s="102">
        <v>0.19829660079095035</v>
      </c>
      <c r="Y49" s="102">
        <v>0.18510496786247532</v>
      </c>
      <c r="DA49" s="175" t="s">
        <v>230</v>
      </c>
    </row>
    <row r="50" spans="1:105" ht="11.45" customHeight="1" x14ac:dyDescent="0.25">
      <c r="A50" s="92" t="s">
        <v>181</v>
      </c>
      <c r="B50" s="102">
        <v>0.44284191451457999</v>
      </c>
      <c r="C50" s="102">
        <v>0.39997186447726346</v>
      </c>
      <c r="D50" s="102">
        <v>0.38536058199988316</v>
      </c>
      <c r="E50" s="102">
        <v>0.38674664712396745</v>
      </c>
      <c r="F50" s="102">
        <v>0.34488669809675188</v>
      </c>
      <c r="G50" s="102">
        <v>0.39684422627861982</v>
      </c>
      <c r="H50" s="102">
        <v>0.51260858888763128</v>
      </c>
      <c r="I50" s="102">
        <v>0.56131989234098001</v>
      </c>
      <c r="J50" s="102">
        <v>0.66921629585270681</v>
      </c>
      <c r="K50" s="102">
        <v>0.75855456118300502</v>
      </c>
      <c r="L50" s="102">
        <v>0.76615287203856686</v>
      </c>
      <c r="M50" s="102">
        <v>0.83333927045037792</v>
      </c>
      <c r="N50" s="102">
        <v>0.87536325830170481</v>
      </c>
      <c r="O50" s="102">
        <v>0.94409618836524489</v>
      </c>
      <c r="P50" s="102">
        <v>0.97917828527294004</v>
      </c>
      <c r="Q50" s="102">
        <v>1.1124961848261581</v>
      </c>
      <c r="R50" s="102">
        <v>1.0890622008809372</v>
      </c>
      <c r="S50" s="102">
        <v>1.2375205829731313</v>
      </c>
      <c r="T50" s="102">
        <v>1.3749906702754804</v>
      </c>
      <c r="U50" s="102">
        <v>1.430533694154978</v>
      </c>
      <c r="V50" s="102">
        <v>1.579433959376334</v>
      </c>
      <c r="W50" s="102">
        <v>2.0020951129495432</v>
      </c>
      <c r="X50" s="102">
        <v>2.3640522076654653</v>
      </c>
      <c r="Y50" s="102">
        <v>2.348548190135245</v>
      </c>
      <c r="DA50" s="175" t="s">
        <v>231</v>
      </c>
    </row>
    <row r="51" spans="1:105" ht="11.45" customHeight="1" x14ac:dyDescent="0.25">
      <c r="A51" s="85" t="s">
        <v>182</v>
      </c>
      <c r="B51" s="86">
        <v>0.19382022471910113</v>
      </c>
      <c r="C51" s="86">
        <v>0.18820224719101122</v>
      </c>
      <c r="D51" s="86">
        <v>0.19101123595505617</v>
      </c>
      <c r="E51" s="86">
        <v>0.20786516853932585</v>
      </c>
      <c r="F51" s="86">
        <v>0.20926966292134833</v>
      </c>
      <c r="G51" s="86">
        <v>0.21659634317862167</v>
      </c>
      <c r="H51" s="86">
        <v>0.26666666666666666</v>
      </c>
      <c r="I51" s="86">
        <v>0.37148217636022512</v>
      </c>
      <c r="J51" s="86">
        <v>0.41860465116279072</v>
      </c>
      <c r="K51" s="86">
        <v>0.3992226286908806</v>
      </c>
      <c r="L51" s="86">
        <v>0.51005025125628145</v>
      </c>
      <c r="M51" s="86">
        <v>0.49427917620137302</v>
      </c>
      <c r="N51" s="86">
        <v>0.4748971537294629</v>
      </c>
      <c r="O51" s="86">
        <v>0.49019607843137253</v>
      </c>
      <c r="P51" s="86">
        <v>0.66297117516629711</v>
      </c>
      <c r="Q51" s="86">
        <v>0.75391498881431762</v>
      </c>
      <c r="R51" s="86">
        <v>0.82830626450116007</v>
      </c>
      <c r="S51" s="86">
        <v>0.97387173396674587</v>
      </c>
      <c r="T51" s="86">
        <v>1.0988235294117648</v>
      </c>
      <c r="U51" s="86">
        <v>1.5406249999999999</v>
      </c>
      <c r="V51" s="86">
        <v>1.530933988764045</v>
      </c>
      <c r="W51" s="86">
        <v>1.52124297752809</v>
      </c>
      <c r="X51" s="86">
        <v>1.9078498293515358</v>
      </c>
      <c r="Y51" s="86">
        <v>2.2295081967213113</v>
      </c>
      <c r="DA51" s="178" t="s">
        <v>232</v>
      </c>
    </row>
    <row r="52" spans="1:105" x14ac:dyDescent="0.25">
      <c r="A52" s="50"/>
      <c r="B52" s="50"/>
      <c r="C52" s="50"/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DA52" s="181"/>
    </row>
    <row r="53" spans="1:105" ht="11.45" customHeight="1" x14ac:dyDescent="0.25">
      <c r="A53" s="53" t="s">
        <v>82</v>
      </c>
      <c r="B53" s="54">
        <f t="shared" ref="B53:C53" si="39">SUM(B54,B58)</f>
        <v>6.1252685976804209</v>
      </c>
      <c r="C53" s="54">
        <f t="shared" si="39"/>
        <v>1.4988063866082015</v>
      </c>
      <c r="D53" s="54">
        <f t="shared" ref="D53:V53" si="40">SUM(D54,D58)</f>
        <v>4.7532597503190352</v>
      </c>
      <c r="E53" s="54">
        <f t="shared" si="40"/>
        <v>7.2272784291085044</v>
      </c>
      <c r="F53" s="54">
        <f t="shared" si="40"/>
        <v>0.9239468930896364</v>
      </c>
      <c r="G53" s="54">
        <f t="shared" si="40"/>
        <v>13.075997378696249</v>
      </c>
      <c r="H53" s="54">
        <f t="shared" si="40"/>
        <v>18.285364619483115</v>
      </c>
      <c r="I53" s="54">
        <f t="shared" si="40"/>
        <v>7.2938487370184015</v>
      </c>
      <c r="J53" s="54">
        <f t="shared" si="40"/>
        <v>4.5077342639421554</v>
      </c>
      <c r="K53" s="54">
        <f t="shared" si="40"/>
        <v>0.11880193312851306</v>
      </c>
      <c r="L53" s="54">
        <f t="shared" si="40"/>
        <v>3.1223904316211613</v>
      </c>
      <c r="M53" s="54">
        <f t="shared" si="40"/>
        <v>7.6929783610639717</v>
      </c>
      <c r="N53" s="54">
        <f t="shared" si="40"/>
        <v>5.6209508888208308</v>
      </c>
      <c r="O53" s="54">
        <f t="shared" si="40"/>
        <v>5.590635896472576</v>
      </c>
      <c r="P53" s="54">
        <f t="shared" si="40"/>
        <v>10.501140257599447</v>
      </c>
      <c r="Q53" s="54">
        <f t="shared" si="40"/>
        <v>14.056044306822272</v>
      </c>
      <c r="R53" s="54">
        <f t="shared" si="40"/>
        <v>10.555345732883911</v>
      </c>
      <c r="S53" s="54">
        <f t="shared" si="40"/>
        <v>11.142369671921397</v>
      </c>
      <c r="T53" s="54">
        <f t="shared" si="40"/>
        <v>29.642155782387938</v>
      </c>
      <c r="U53" s="54">
        <f t="shared" si="40"/>
        <v>7.2633952396903876</v>
      </c>
      <c r="V53" s="54">
        <f t="shared" si="40"/>
        <v>0.16412542803971442</v>
      </c>
      <c r="W53" s="54">
        <f t="shared" ref="W53:Y53" si="41">SUM(W54,W58)</f>
        <v>0.43788631639156761</v>
      </c>
      <c r="X53" s="54">
        <f t="shared" si="41"/>
        <v>0.76982682736165553</v>
      </c>
      <c r="Y53" s="54">
        <f t="shared" si="41"/>
        <v>15.022205588394266</v>
      </c>
      <c r="DA53" s="172" t="s">
        <v>233</v>
      </c>
    </row>
    <row r="54" spans="1:105" ht="11.45" customHeight="1" x14ac:dyDescent="0.25">
      <c r="A54" s="10" t="s">
        <v>33</v>
      </c>
      <c r="B54" s="11">
        <f t="shared" ref="B54:C54" si="42">SUM(B55:B57)</f>
        <v>6.0290881452214027</v>
      </c>
      <c r="C54" s="11">
        <f t="shared" si="42"/>
        <v>1.4976795754252914</v>
      </c>
      <c r="D54" s="11">
        <f t="shared" ref="D54:V54" si="43">SUM(D55:D57)</f>
        <v>4.7432917035691338</v>
      </c>
      <c r="E54" s="11">
        <f t="shared" si="43"/>
        <v>7.1816536912147075</v>
      </c>
      <c r="F54" s="11">
        <f t="shared" si="43"/>
        <v>0.91478750898651295</v>
      </c>
      <c r="G54" s="11">
        <f t="shared" si="43"/>
        <v>12.996568645996007</v>
      </c>
      <c r="H54" s="11">
        <f t="shared" si="43"/>
        <v>17.92089816730401</v>
      </c>
      <c r="I54" s="11">
        <f t="shared" si="43"/>
        <v>7.0091261127700069</v>
      </c>
      <c r="J54" s="11">
        <f t="shared" si="43"/>
        <v>4.2554804423124857</v>
      </c>
      <c r="K54" s="11">
        <f t="shared" si="43"/>
        <v>8.2672242858357059E-3</v>
      </c>
      <c r="L54" s="11">
        <f t="shared" si="43"/>
        <v>2.9776161636844818</v>
      </c>
      <c r="M54" s="11">
        <f t="shared" si="43"/>
        <v>7.6066597973195851</v>
      </c>
      <c r="N54" s="11">
        <f t="shared" si="43"/>
        <v>5.5655945054875042</v>
      </c>
      <c r="O54" s="11">
        <f t="shared" si="43"/>
        <v>5.4869982379851265</v>
      </c>
      <c r="P54" s="11">
        <f t="shared" si="43"/>
        <v>10.26945084808025</v>
      </c>
      <c r="Q54" s="11">
        <f t="shared" si="43"/>
        <v>13.807015733991367</v>
      </c>
      <c r="R54" s="11">
        <f t="shared" si="43"/>
        <v>10.459630611301407</v>
      </c>
      <c r="S54" s="11">
        <f t="shared" si="43"/>
        <v>10.828740016641618</v>
      </c>
      <c r="T54" s="11">
        <f t="shared" si="43"/>
        <v>29.353385565124853</v>
      </c>
      <c r="U54" s="11">
        <f t="shared" si="43"/>
        <v>6.7397024107069381</v>
      </c>
      <c r="V54" s="11">
        <f t="shared" si="43"/>
        <v>0</v>
      </c>
      <c r="W54" s="11">
        <f t="shared" ref="W54:Y54" si="44">SUM(W55:W57)</f>
        <v>0</v>
      </c>
      <c r="X54" s="11">
        <f t="shared" si="44"/>
        <v>0</v>
      </c>
      <c r="Y54" s="11">
        <f t="shared" si="44"/>
        <v>14.687871424825053</v>
      </c>
      <c r="DA54" s="189" t="s">
        <v>234</v>
      </c>
    </row>
    <row r="55" spans="1:105" ht="11.45" customHeight="1" x14ac:dyDescent="0.25">
      <c r="A55" s="83" t="s">
        <v>27</v>
      </c>
      <c r="B55" s="84">
        <v>0.35706791436310681</v>
      </c>
      <c r="C55" s="84">
        <v>0.35706791436310681</v>
      </c>
      <c r="D55" s="84">
        <v>3.8292074294630645</v>
      </c>
      <c r="E55" s="84">
        <v>0.36089607259364698</v>
      </c>
      <c r="F55" s="84">
        <v>0</v>
      </c>
      <c r="G55" s="84">
        <v>0</v>
      </c>
      <c r="H55" s="84">
        <v>0</v>
      </c>
      <c r="I55" s="84">
        <v>0.87297767799518766</v>
      </c>
      <c r="J55" s="84">
        <v>0</v>
      </c>
      <c r="K55" s="84">
        <v>0</v>
      </c>
      <c r="L55" s="84">
        <v>0.57303247094763243</v>
      </c>
      <c r="M55" s="84">
        <v>2.0236156475807316</v>
      </c>
      <c r="N55" s="84">
        <v>4.3785470241025326</v>
      </c>
      <c r="O55" s="84">
        <v>0</v>
      </c>
      <c r="P55" s="84">
        <v>0</v>
      </c>
      <c r="Q55" s="84">
        <v>0</v>
      </c>
      <c r="R55" s="84">
        <v>0</v>
      </c>
      <c r="S55" s="84">
        <v>1.3819695633363445</v>
      </c>
      <c r="T55" s="84">
        <v>0</v>
      </c>
      <c r="U55" s="84">
        <v>0.51286717996688935</v>
      </c>
      <c r="V55" s="84">
        <v>0</v>
      </c>
      <c r="W55" s="84">
        <v>0</v>
      </c>
      <c r="X55" s="84">
        <v>0</v>
      </c>
      <c r="Y55" s="84">
        <v>0.94106556196653735</v>
      </c>
      <c r="DA55" s="171" t="s">
        <v>235</v>
      </c>
    </row>
    <row r="56" spans="1:105" ht="11.45" customHeight="1" x14ac:dyDescent="0.25">
      <c r="A56" s="83" t="s">
        <v>181</v>
      </c>
      <c r="B56" s="84">
        <v>3.7202410006481457</v>
      </c>
      <c r="C56" s="84">
        <v>0.74874528488253511</v>
      </c>
      <c r="D56" s="84">
        <v>0.59847062123796724</v>
      </c>
      <c r="E56" s="84">
        <v>4.474642876428339</v>
      </c>
      <c r="F56" s="84">
        <v>0.59917385611840768</v>
      </c>
      <c r="G56" s="84">
        <v>10.054160461632627</v>
      </c>
      <c r="H56" s="84">
        <v>13.253964567816707</v>
      </c>
      <c r="I56" s="84">
        <v>3.6371315396217043</v>
      </c>
      <c r="J56" s="84">
        <v>4.2554804423124857</v>
      </c>
      <c r="K56" s="84">
        <v>8.2672242858357059E-3</v>
      </c>
      <c r="L56" s="84">
        <v>2.4045836927368494</v>
      </c>
      <c r="M56" s="84">
        <v>3.8044310834301633</v>
      </c>
      <c r="N56" s="84">
        <v>1.1870474813849714</v>
      </c>
      <c r="O56" s="84">
        <v>5.4869982379851265</v>
      </c>
      <c r="P56" s="84">
        <v>3.5797972230877693</v>
      </c>
      <c r="Q56" s="84">
        <v>8.8894999662379455</v>
      </c>
      <c r="R56" s="84">
        <v>10.459630611301407</v>
      </c>
      <c r="S56" s="84">
        <v>8.9025745585382339</v>
      </c>
      <c r="T56" s="84">
        <v>10.570067608342399</v>
      </c>
      <c r="U56" s="84">
        <v>2.4585609783820233</v>
      </c>
      <c r="V56" s="84">
        <v>0</v>
      </c>
      <c r="W56" s="84">
        <v>0</v>
      </c>
      <c r="X56" s="84">
        <v>0</v>
      </c>
      <c r="Y56" s="84">
        <v>8.3316761390460812</v>
      </c>
      <c r="DA56" s="171" t="s">
        <v>236</v>
      </c>
    </row>
    <row r="57" spans="1:105" ht="11.45" customHeight="1" x14ac:dyDescent="0.25">
      <c r="A57" s="83" t="s">
        <v>182</v>
      </c>
      <c r="B57" s="84">
        <v>1.9517792302101498</v>
      </c>
      <c r="C57" s="84">
        <v>0.39186637617964948</v>
      </c>
      <c r="D57" s="84">
        <v>0.31561365286810172</v>
      </c>
      <c r="E57" s="84">
        <v>2.3461147421927215</v>
      </c>
      <c r="F57" s="84">
        <v>0.31561365286810528</v>
      </c>
      <c r="G57" s="84">
        <v>2.94240818436338</v>
      </c>
      <c r="H57" s="84">
        <v>4.6669335994873045</v>
      </c>
      <c r="I57" s="84">
        <v>2.4990168951531153</v>
      </c>
      <c r="J57" s="84">
        <v>0</v>
      </c>
      <c r="K57" s="84">
        <v>0</v>
      </c>
      <c r="L57" s="84">
        <v>0</v>
      </c>
      <c r="M57" s="84">
        <v>1.7786130663086901</v>
      </c>
      <c r="N57" s="84">
        <v>0</v>
      </c>
      <c r="O57" s="84">
        <v>0</v>
      </c>
      <c r="P57" s="84">
        <v>6.6896536249924807</v>
      </c>
      <c r="Q57" s="84">
        <v>4.9175157677534216</v>
      </c>
      <c r="R57" s="84">
        <v>0</v>
      </c>
      <c r="S57" s="84">
        <v>0.54419589476703933</v>
      </c>
      <c r="T57" s="84">
        <v>18.783317956782454</v>
      </c>
      <c r="U57" s="84">
        <v>3.7682742523580259</v>
      </c>
      <c r="V57" s="84">
        <v>0</v>
      </c>
      <c r="W57" s="84">
        <v>0</v>
      </c>
      <c r="X57" s="84">
        <v>0</v>
      </c>
      <c r="Y57" s="84">
        <v>5.4151297238124343</v>
      </c>
      <c r="DA57" s="171" t="s">
        <v>237</v>
      </c>
    </row>
    <row r="58" spans="1:105" ht="11.45" customHeight="1" x14ac:dyDescent="0.25">
      <c r="A58" s="12" t="s">
        <v>34</v>
      </c>
      <c r="B58" s="13">
        <f t="shared" ref="B58:C58" si="45">SUM(B59:B61)</f>
        <v>9.6180452459018212E-2</v>
      </c>
      <c r="C58" s="13">
        <f t="shared" si="45"/>
        <v>1.1268111829100987E-3</v>
      </c>
      <c r="D58" s="13">
        <f t="shared" ref="D58:V58" si="46">SUM(D59:D61)</f>
        <v>9.9680467499011112E-3</v>
      </c>
      <c r="E58" s="13">
        <f t="shared" si="46"/>
        <v>4.5624737893796424E-2</v>
      </c>
      <c r="F58" s="13">
        <f t="shared" si="46"/>
        <v>9.1593841031234868E-3</v>
      </c>
      <c r="G58" s="13">
        <f t="shared" si="46"/>
        <v>7.9428732700242297E-2</v>
      </c>
      <c r="H58" s="13">
        <f t="shared" si="46"/>
        <v>0.36446645217910623</v>
      </c>
      <c r="I58" s="13">
        <f t="shared" si="46"/>
        <v>0.28472262424839445</v>
      </c>
      <c r="J58" s="13">
        <f t="shared" si="46"/>
        <v>0.25225382162966997</v>
      </c>
      <c r="K58" s="13">
        <f t="shared" si="46"/>
        <v>0.11053470884267735</v>
      </c>
      <c r="L58" s="13">
        <f t="shared" si="46"/>
        <v>0.14477426793667952</v>
      </c>
      <c r="M58" s="13">
        <f t="shared" si="46"/>
        <v>8.6318563744386387E-2</v>
      </c>
      <c r="N58" s="13">
        <f t="shared" si="46"/>
        <v>5.5356383333326771E-2</v>
      </c>
      <c r="O58" s="13">
        <f t="shared" si="46"/>
        <v>0.1036376584874497</v>
      </c>
      <c r="P58" s="13">
        <f t="shared" si="46"/>
        <v>0.23168940951919731</v>
      </c>
      <c r="Q58" s="13">
        <f t="shared" si="46"/>
        <v>0.24902857283090529</v>
      </c>
      <c r="R58" s="13">
        <f t="shared" si="46"/>
        <v>9.5715121582504198E-2</v>
      </c>
      <c r="S58" s="13">
        <f t="shared" si="46"/>
        <v>0.31362965527977987</v>
      </c>
      <c r="T58" s="13">
        <f t="shared" si="46"/>
        <v>0.28877021726308494</v>
      </c>
      <c r="U58" s="13">
        <f t="shared" si="46"/>
        <v>0.52369282898344971</v>
      </c>
      <c r="V58" s="13">
        <f t="shared" si="46"/>
        <v>0.16412542803971442</v>
      </c>
      <c r="W58" s="13">
        <f t="shared" ref="W58:Y58" si="47">SUM(W59:W61)</f>
        <v>0.43788631639156761</v>
      </c>
      <c r="X58" s="13">
        <f t="shared" si="47"/>
        <v>0.76982682736165553</v>
      </c>
      <c r="Y58" s="13">
        <f t="shared" si="47"/>
        <v>0.33433416356921342</v>
      </c>
      <c r="DA58" s="193" t="s">
        <v>238</v>
      </c>
    </row>
    <row r="59" spans="1:105" ht="11.45" customHeight="1" x14ac:dyDescent="0.25">
      <c r="A59" s="92" t="s">
        <v>27</v>
      </c>
      <c r="B59" s="102">
        <v>2.1410256410171413E-2</v>
      </c>
      <c r="C59" s="102">
        <v>0</v>
      </c>
      <c r="D59" s="102">
        <v>0</v>
      </c>
      <c r="E59" s="102">
        <v>7.240215924341431E-3</v>
      </c>
      <c r="F59" s="102">
        <v>0</v>
      </c>
      <c r="G59" s="102">
        <v>0</v>
      </c>
      <c r="H59" s="102">
        <v>0.17675731495996294</v>
      </c>
      <c r="I59" s="102">
        <v>0.11159000737948721</v>
      </c>
      <c r="J59" s="102">
        <v>7.1290649203701262E-2</v>
      </c>
      <c r="K59" s="102">
        <v>1.1215172366624282E-3</v>
      </c>
      <c r="L59" s="102">
        <v>0</v>
      </c>
      <c r="M59" s="102">
        <v>0</v>
      </c>
      <c r="N59" s="102">
        <v>0</v>
      </c>
      <c r="O59" s="102">
        <v>0</v>
      </c>
      <c r="P59" s="102">
        <v>0</v>
      </c>
      <c r="Q59" s="102">
        <v>0</v>
      </c>
      <c r="R59" s="102">
        <v>0</v>
      </c>
      <c r="S59" s="102">
        <v>0</v>
      </c>
      <c r="T59" s="102">
        <v>0</v>
      </c>
      <c r="U59" s="102">
        <v>0</v>
      </c>
      <c r="V59" s="102">
        <v>0</v>
      </c>
      <c r="W59" s="102">
        <v>0</v>
      </c>
      <c r="X59" s="102">
        <v>0</v>
      </c>
      <c r="Y59" s="102">
        <v>0</v>
      </c>
      <c r="DA59" s="175" t="s">
        <v>239</v>
      </c>
    </row>
    <row r="60" spans="1:105" ht="11.45" customHeight="1" x14ac:dyDescent="0.25">
      <c r="A60" s="92" t="s">
        <v>181</v>
      </c>
      <c r="B60" s="102">
        <v>6.4283304662779372E-2</v>
      </c>
      <c r="C60" s="102">
        <v>4.7138047099999983E-4</v>
      </c>
      <c r="D60" s="102">
        <v>8.8564974585616033E-4</v>
      </c>
      <c r="E60" s="102">
        <v>1.5257181145185317E-2</v>
      </c>
      <c r="F60" s="102">
        <v>1.4814814811010112E-3</v>
      </c>
      <c r="G60" s="102">
        <v>6.5828644202968953E-2</v>
      </c>
      <c r="H60" s="102">
        <v>0.13136540549109826</v>
      </c>
      <c r="I60" s="102">
        <v>6.2043698935348744E-2</v>
      </c>
      <c r="J60" s="102">
        <v>0.12756728938340312</v>
      </c>
      <c r="K60" s="102">
        <v>0.10941319160601493</v>
      </c>
      <c r="L60" s="102">
        <v>2.7673237131278672E-2</v>
      </c>
      <c r="M60" s="102">
        <v>8.6318563744386387E-2</v>
      </c>
      <c r="N60" s="102">
        <v>5.5356383333326771E-2</v>
      </c>
      <c r="O60" s="102">
        <v>8.2065325545540066E-2</v>
      </c>
      <c r="P60" s="102">
        <v>5.2640904544272726E-2</v>
      </c>
      <c r="Q60" s="102">
        <v>0.15181135094288478</v>
      </c>
      <c r="R60" s="102">
        <v>1.5050437655661747E-2</v>
      </c>
      <c r="S60" s="102">
        <v>0.16179077757419408</v>
      </c>
      <c r="T60" s="102">
        <v>0.15754501357806605</v>
      </c>
      <c r="U60" s="102">
        <v>7.5617950155214553E-2</v>
      </c>
      <c r="V60" s="102">
        <v>0.16412542803971442</v>
      </c>
      <c r="W60" s="102">
        <v>0.43788631639156761</v>
      </c>
      <c r="X60" s="102">
        <v>0.37694656729820969</v>
      </c>
      <c r="Y60" s="102">
        <v>6.4023879594377262E-3</v>
      </c>
      <c r="DA60" s="175" t="s">
        <v>240</v>
      </c>
    </row>
    <row r="61" spans="1:105" ht="11.45" customHeight="1" x14ac:dyDescent="0.25">
      <c r="A61" s="85" t="s">
        <v>182</v>
      </c>
      <c r="B61" s="86">
        <v>1.0486891386067426E-2</v>
      </c>
      <c r="C61" s="86">
        <v>6.5543071191009883E-4</v>
      </c>
      <c r="D61" s="86">
        <v>9.0823970040449509E-3</v>
      </c>
      <c r="E61" s="86">
        <v>2.3127340824269677E-2</v>
      </c>
      <c r="F61" s="86">
        <v>7.6779026220224755E-3</v>
      </c>
      <c r="G61" s="86">
        <v>1.3600088497273344E-2</v>
      </c>
      <c r="H61" s="86">
        <v>5.6343731728044993E-2</v>
      </c>
      <c r="I61" s="86">
        <v>0.11108891793355846</v>
      </c>
      <c r="J61" s="86">
        <v>5.3395883042565595E-2</v>
      </c>
      <c r="K61" s="86">
        <v>0</v>
      </c>
      <c r="L61" s="86">
        <v>0.11710103080540085</v>
      </c>
      <c r="M61" s="86">
        <v>0</v>
      </c>
      <c r="N61" s="86">
        <v>0</v>
      </c>
      <c r="O61" s="86">
        <v>2.1572332941909633E-2</v>
      </c>
      <c r="P61" s="86">
        <v>0.17904850497492458</v>
      </c>
      <c r="Q61" s="86">
        <v>9.7217221888020511E-2</v>
      </c>
      <c r="R61" s="86">
        <v>8.0664683926842451E-2</v>
      </c>
      <c r="S61" s="86">
        <v>0.1518388777055858</v>
      </c>
      <c r="T61" s="86">
        <v>0.13122520368501889</v>
      </c>
      <c r="U61" s="86">
        <v>0.44807487882823516</v>
      </c>
      <c r="V61" s="86">
        <v>0</v>
      </c>
      <c r="W61" s="86">
        <v>0</v>
      </c>
      <c r="X61" s="86">
        <v>0.39288026006344579</v>
      </c>
      <c r="Y61" s="86">
        <v>0.32793177560977571</v>
      </c>
      <c r="DA61" s="178" t="s">
        <v>241</v>
      </c>
    </row>
    <row r="62" spans="1:105" x14ac:dyDescent="0.25">
      <c r="A62" s="50"/>
      <c r="B62" s="50"/>
      <c r="C62" s="50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DA62" s="181"/>
    </row>
    <row r="63" spans="1:105" ht="11.45" customHeight="1" x14ac:dyDescent="0.25">
      <c r="A63" s="68" t="s">
        <v>36</v>
      </c>
      <c r="B63" s="69"/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X63" s="69"/>
      <c r="Y63" s="69"/>
      <c r="DA63" s="179"/>
    </row>
    <row r="64" spans="1:105" x14ac:dyDescent="0.25">
      <c r="A64" s="50"/>
      <c r="B64" s="50"/>
      <c r="C64" s="50"/>
      <c r="D64" s="51"/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DA64" s="181"/>
    </row>
    <row r="65" spans="1:105" ht="11.45" customHeight="1" x14ac:dyDescent="0.25">
      <c r="A65" s="53" t="s">
        <v>83</v>
      </c>
      <c r="B65" s="62"/>
      <c r="C65" s="62"/>
      <c r="D65" s="62"/>
      <c r="E65" s="62"/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DA65" s="172"/>
    </row>
    <row r="66" spans="1:105" ht="11.45" customHeight="1" x14ac:dyDescent="0.25">
      <c r="A66" s="10" t="s">
        <v>84</v>
      </c>
      <c r="B66" s="14">
        <f t="shared" ref="B66:C73" si="48">IF(B34=0,0,B34/B24)</f>
        <v>48.136115440244872</v>
      </c>
      <c r="C66" s="14">
        <f t="shared" si="48"/>
        <v>48.994983353339521</v>
      </c>
      <c r="D66" s="14">
        <f t="shared" ref="D66:V66" si="49">IF(D34=0,0,D34/D24)</f>
        <v>48.192003524155147</v>
      </c>
      <c r="E66" s="14">
        <f t="shared" si="49"/>
        <v>49.776748950729022</v>
      </c>
      <c r="F66" s="14">
        <f t="shared" si="49"/>
        <v>52.545775342465753</v>
      </c>
      <c r="G66" s="14">
        <f t="shared" si="49"/>
        <v>55.780614021512029</v>
      </c>
      <c r="H66" s="14">
        <f t="shared" si="49"/>
        <v>59.733382133974395</v>
      </c>
      <c r="I66" s="14">
        <f t="shared" si="49"/>
        <v>72.204186224734173</v>
      </c>
      <c r="J66" s="14">
        <f t="shared" si="49"/>
        <v>76.088491517652457</v>
      </c>
      <c r="K66" s="14">
        <f t="shared" si="49"/>
        <v>76.29422615438483</v>
      </c>
      <c r="L66" s="14">
        <f t="shared" si="49"/>
        <v>80.156906526773639</v>
      </c>
      <c r="M66" s="14">
        <f t="shared" si="49"/>
        <v>83.569155390709071</v>
      </c>
      <c r="N66" s="14">
        <f t="shared" si="49"/>
        <v>85.016804737117198</v>
      </c>
      <c r="O66" s="14">
        <f t="shared" si="49"/>
        <v>91.625814989108704</v>
      </c>
      <c r="P66" s="14">
        <f t="shared" si="49"/>
        <v>96.856075442779286</v>
      </c>
      <c r="Q66" s="14">
        <f t="shared" si="49"/>
        <v>101.06727124799079</v>
      </c>
      <c r="R66" s="14">
        <f t="shared" si="49"/>
        <v>109.5707354689458</v>
      </c>
      <c r="S66" s="14">
        <f t="shared" si="49"/>
        <v>116.311661098241</v>
      </c>
      <c r="T66" s="14">
        <f t="shared" si="49"/>
        <v>118.36484798864124</v>
      </c>
      <c r="U66" s="14">
        <f t="shared" si="49"/>
        <v>122.65098843565389</v>
      </c>
      <c r="V66" s="14">
        <f t="shared" si="49"/>
        <v>91.344502604625418</v>
      </c>
      <c r="W66" s="14">
        <f t="shared" ref="W66:Y66" si="50">IF(W34=0,0,W34/W24)</f>
        <v>102.58261408912671</v>
      </c>
      <c r="X66" s="14">
        <f t="shared" si="50"/>
        <v>127.56158968213769</v>
      </c>
      <c r="Y66" s="14">
        <f t="shared" si="50"/>
        <v>138.80869449614465</v>
      </c>
      <c r="DA66" s="189" t="s">
        <v>242</v>
      </c>
    </row>
    <row r="67" spans="1:105" ht="11.45" customHeight="1" x14ac:dyDescent="0.25">
      <c r="A67" s="83" t="s">
        <v>27</v>
      </c>
      <c r="B67" s="87">
        <f t="shared" si="48"/>
        <v>29.083674304418984</v>
      </c>
      <c r="C67" s="87">
        <f t="shared" si="48"/>
        <v>29.417061805101373</v>
      </c>
      <c r="D67" s="87">
        <f t="shared" ref="D67:V67" si="51">IF(D35=0,0,D35/D25)</f>
        <v>29.890784355762456</v>
      </c>
      <c r="E67" s="87">
        <f t="shared" si="51"/>
        <v>30.604913719251009</v>
      </c>
      <c r="F67" s="87">
        <f t="shared" si="51"/>
        <v>31.149849213464829</v>
      </c>
      <c r="G67" s="87">
        <f t="shared" si="51"/>
        <v>31.9467491755893</v>
      </c>
      <c r="H67" s="87">
        <f t="shared" si="51"/>
        <v>32.909020660484792</v>
      </c>
      <c r="I67" s="87">
        <f t="shared" si="51"/>
        <v>36.712718148453298</v>
      </c>
      <c r="J67" s="87">
        <f t="shared" si="51"/>
        <v>33.721847817569156</v>
      </c>
      <c r="K67" s="87">
        <f t="shared" si="51"/>
        <v>33.837914651734962</v>
      </c>
      <c r="L67" s="87">
        <f t="shared" si="51"/>
        <v>36.948560879415957</v>
      </c>
      <c r="M67" s="87">
        <f t="shared" si="51"/>
        <v>41.142800332598242</v>
      </c>
      <c r="N67" s="87">
        <f t="shared" si="51"/>
        <v>49.076024506466986</v>
      </c>
      <c r="O67" s="87">
        <f t="shared" si="51"/>
        <v>44.335742420409787</v>
      </c>
      <c r="P67" s="87">
        <f t="shared" si="51"/>
        <v>52.946352691218131</v>
      </c>
      <c r="Q67" s="87">
        <f t="shared" si="51"/>
        <v>59.576794471689702</v>
      </c>
      <c r="R67" s="87">
        <f t="shared" si="51"/>
        <v>65.85747536094847</v>
      </c>
      <c r="S67" s="87">
        <f t="shared" si="51"/>
        <v>72.96708132071727</v>
      </c>
      <c r="T67" s="87">
        <f t="shared" si="51"/>
        <v>68.634756674183464</v>
      </c>
      <c r="U67" s="87">
        <f t="shared" si="51"/>
        <v>68.822062045085147</v>
      </c>
      <c r="V67" s="87">
        <f t="shared" si="51"/>
        <v>47.788769482599101</v>
      </c>
      <c r="W67" s="87">
        <f t="shared" ref="W67:Y67" si="52">IF(W35=0,0,W35/W25)</f>
        <v>55.013787510137874</v>
      </c>
      <c r="X67" s="87">
        <f t="shared" si="52"/>
        <v>65.656370182472799</v>
      </c>
      <c r="Y67" s="87">
        <f t="shared" si="52"/>
        <v>73.421827194918862</v>
      </c>
      <c r="DA67" s="171" t="s">
        <v>243</v>
      </c>
    </row>
    <row r="68" spans="1:105" ht="11.45" customHeight="1" x14ac:dyDescent="0.25">
      <c r="A68" s="83" t="s">
        <v>181</v>
      </c>
      <c r="B68" s="87">
        <f t="shared" si="48"/>
        <v>52.424681606550841</v>
      </c>
      <c r="C68" s="87">
        <f t="shared" si="48"/>
        <v>53.563186712233126</v>
      </c>
      <c r="D68" s="87">
        <f t="shared" ref="D68:V68" si="53">IF(D36=0,0,D36/D26)</f>
        <v>54.842975825162789</v>
      </c>
      <c r="E68" s="87">
        <f t="shared" si="53"/>
        <v>56.117852451082072</v>
      </c>
      <c r="F68" s="87">
        <f t="shared" si="53"/>
        <v>57.495806298464949</v>
      </c>
      <c r="G68" s="87">
        <f t="shared" si="53"/>
        <v>60.830917945473537</v>
      </c>
      <c r="H68" s="87">
        <f t="shared" si="53"/>
        <v>64.99976894358575</v>
      </c>
      <c r="I68" s="87">
        <f t="shared" si="53"/>
        <v>81.93449264969523</v>
      </c>
      <c r="J68" s="87">
        <f t="shared" si="53"/>
        <v>84.043880091397909</v>
      </c>
      <c r="K68" s="87">
        <f t="shared" si="53"/>
        <v>84.965565520112008</v>
      </c>
      <c r="L68" s="87">
        <f t="shared" si="53"/>
        <v>88.682884952691523</v>
      </c>
      <c r="M68" s="87">
        <f t="shared" si="53"/>
        <v>95.583870070895699</v>
      </c>
      <c r="N68" s="87">
        <f t="shared" si="53"/>
        <v>96.635591951441441</v>
      </c>
      <c r="O68" s="87">
        <f t="shared" si="53"/>
        <v>102.54669359454819</v>
      </c>
      <c r="P68" s="87">
        <f t="shared" si="53"/>
        <v>108.76902521203671</v>
      </c>
      <c r="Q68" s="87">
        <f t="shared" si="53"/>
        <v>115.35113168525427</v>
      </c>
      <c r="R68" s="87">
        <f t="shared" si="53"/>
        <v>118.74140742819066</v>
      </c>
      <c r="S68" s="87">
        <f t="shared" si="53"/>
        <v>124.23291441375615</v>
      </c>
      <c r="T68" s="87">
        <f t="shared" si="53"/>
        <v>127.41210381037659</v>
      </c>
      <c r="U68" s="87">
        <f t="shared" si="53"/>
        <v>128.31471219357124</v>
      </c>
      <c r="V68" s="87">
        <f t="shared" si="53"/>
        <v>102.39995879223795</v>
      </c>
      <c r="W68" s="87">
        <f t="shared" ref="W68:Y68" si="54">IF(W36=0,0,W36/W26)</f>
        <v>104.71524576072517</v>
      </c>
      <c r="X68" s="87">
        <f t="shared" si="54"/>
        <v>133.37966087031751</v>
      </c>
      <c r="Y68" s="87">
        <f t="shared" si="54"/>
        <v>144.31906582819246</v>
      </c>
      <c r="DA68" s="171" t="s">
        <v>244</v>
      </c>
    </row>
    <row r="69" spans="1:105" ht="11.45" customHeight="1" x14ac:dyDescent="0.25">
      <c r="A69" s="83" t="s">
        <v>182</v>
      </c>
      <c r="B69" s="87">
        <f t="shared" si="48"/>
        <v>72.106492146596864</v>
      </c>
      <c r="C69" s="87">
        <f t="shared" si="48"/>
        <v>73.456032285471537</v>
      </c>
      <c r="D69" s="87">
        <f t="shared" ref="D69:V69" si="55">IF(D37=0,0,D37/D27)</f>
        <v>74.373310262787925</v>
      </c>
      <c r="E69" s="87">
        <f t="shared" si="55"/>
        <v>75.727472527472528</v>
      </c>
      <c r="F69" s="87">
        <f t="shared" si="55"/>
        <v>77.289198252210142</v>
      </c>
      <c r="G69" s="87">
        <f t="shared" si="55"/>
        <v>78.092868988391373</v>
      </c>
      <c r="H69" s="87">
        <f t="shared" si="55"/>
        <v>76.638677414539487</v>
      </c>
      <c r="I69" s="87">
        <f t="shared" si="55"/>
        <v>81.170247046186901</v>
      </c>
      <c r="J69" s="87">
        <f t="shared" si="55"/>
        <v>101.20171165240289</v>
      </c>
      <c r="K69" s="87">
        <f t="shared" si="55"/>
        <v>98.299045077938487</v>
      </c>
      <c r="L69" s="87">
        <f t="shared" si="55"/>
        <v>101.81251195714559</v>
      </c>
      <c r="M69" s="87">
        <f t="shared" si="55"/>
        <v>91.570867065587237</v>
      </c>
      <c r="N69" s="87">
        <f t="shared" si="55"/>
        <v>104.32472851380702</v>
      </c>
      <c r="O69" s="87">
        <f t="shared" si="55"/>
        <v>112.50761670761671</v>
      </c>
      <c r="P69" s="87">
        <f t="shared" si="55"/>
        <v>103.0816167897396</v>
      </c>
      <c r="Q69" s="87">
        <f t="shared" si="55"/>
        <v>83.69026889220261</v>
      </c>
      <c r="R69" s="87">
        <f t="shared" si="55"/>
        <v>120.66486563344235</v>
      </c>
      <c r="S69" s="87">
        <f t="shared" si="55"/>
        <v>134.48581675904794</v>
      </c>
      <c r="T69" s="87">
        <f t="shared" si="55"/>
        <v>123.13240429597417</v>
      </c>
      <c r="U69" s="87">
        <f t="shared" si="55"/>
        <v>145.27083651934547</v>
      </c>
      <c r="V69" s="87">
        <f t="shared" si="55"/>
        <v>93.153635230577478</v>
      </c>
      <c r="W69" s="87">
        <f t="shared" ref="W69:Y69" si="56">IF(W37=0,0,W37/W27)</f>
        <v>131.52825035561878</v>
      </c>
      <c r="X69" s="87">
        <f t="shared" si="56"/>
        <v>166.01079498673496</v>
      </c>
      <c r="Y69" s="87">
        <f t="shared" si="56"/>
        <v>172.35549673548616</v>
      </c>
      <c r="DA69" s="171" t="s">
        <v>245</v>
      </c>
    </row>
    <row r="70" spans="1:105" ht="11.45" customHeight="1" x14ac:dyDescent="0.25">
      <c r="A70" s="12" t="s">
        <v>85</v>
      </c>
      <c r="B70" s="15">
        <f t="shared" si="48"/>
        <v>18.611913200490065</v>
      </c>
      <c r="C70" s="15">
        <f t="shared" si="48"/>
        <v>20.062600627927011</v>
      </c>
      <c r="D70" s="15">
        <f t="shared" ref="D70:V70" si="57">IF(D38=0,0,D38/D28)</f>
        <v>19.52505514981446</v>
      </c>
      <c r="E70" s="15">
        <f t="shared" si="57"/>
        <v>19.943233167453126</v>
      </c>
      <c r="F70" s="15">
        <f t="shared" si="57"/>
        <v>20.557213972818769</v>
      </c>
      <c r="G70" s="15">
        <f t="shared" si="57"/>
        <v>19.494573640809378</v>
      </c>
      <c r="H70" s="15">
        <f t="shared" si="57"/>
        <v>16.342905420436239</v>
      </c>
      <c r="I70" s="15">
        <f t="shared" si="57"/>
        <v>16.140618020136923</v>
      </c>
      <c r="J70" s="15">
        <f t="shared" si="57"/>
        <v>15.405557298614848</v>
      </c>
      <c r="K70" s="15">
        <f t="shared" si="57"/>
        <v>14.652190899399541</v>
      </c>
      <c r="L70" s="15">
        <f t="shared" si="57"/>
        <v>17.44403370248509</v>
      </c>
      <c r="M70" s="15">
        <f t="shared" si="57"/>
        <v>18.713899622886263</v>
      </c>
      <c r="N70" s="15">
        <f t="shared" si="57"/>
        <v>19.724237347658324</v>
      </c>
      <c r="O70" s="15">
        <f t="shared" si="57"/>
        <v>20.580924399711492</v>
      </c>
      <c r="P70" s="15">
        <f t="shared" si="57"/>
        <v>25.876052106466851</v>
      </c>
      <c r="Q70" s="15">
        <f t="shared" si="57"/>
        <v>26.641759104785223</v>
      </c>
      <c r="R70" s="15">
        <f t="shared" si="57"/>
        <v>31.657350190173076</v>
      </c>
      <c r="S70" s="15">
        <f t="shared" si="57"/>
        <v>31.319271656146856</v>
      </c>
      <c r="T70" s="15">
        <f t="shared" si="57"/>
        <v>31.639001988765646</v>
      </c>
      <c r="U70" s="15">
        <f t="shared" si="57"/>
        <v>32.473410577081538</v>
      </c>
      <c r="V70" s="15">
        <f t="shared" si="57"/>
        <v>23.304737795650478</v>
      </c>
      <c r="W70" s="15">
        <f t="shared" ref="W70:Y70" si="58">IF(W38=0,0,W38/W28)</f>
        <v>24.776600035666064</v>
      </c>
      <c r="X70" s="15">
        <f t="shared" si="58"/>
        <v>25.591411499965623</v>
      </c>
      <c r="Y70" s="15">
        <f t="shared" si="58"/>
        <v>26.890713026863988</v>
      </c>
      <c r="DA70" s="193" t="s">
        <v>246</v>
      </c>
    </row>
    <row r="71" spans="1:105" ht="11.45" customHeight="1" x14ac:dyDescent="0.25">
      <c r="A71" s="42" t="s">
        <v>27</v>
      </c>
      <c r="B71" s="41">
        <f t="shared" si="48"/>
        <v>10.023284561418631</v>
      </c>
      <c r="C71" s="41">
        <f t="shared" si="48"/>
        <v>9.9468444225812966</v>
      </c>
      <c r="D71" s="41">
        <f t="shared" ref="D71:V71" si="59">IF(D39=0,0,D39/D29)</f>
        <v>10.228618824365732</v>
      </c>
      <c r="E71" s="41">
        <f t="shared" si="59"/>
        <v>10.880110401352557</v>
      </c>
      <c r="F71" s="41">
        <f t="shared" si="59"/>
        <v>10.245291210092235</v>
      </c>
      <c r="G71" s="41">
        <f t="shared" si="59"/>
        <v>10.026386560137624</v>
      </c>
      <c r="H71" s="41">
        <f t="shared" si="59"/>
        <v>9.6442955326529347</v>
      </c>
      <c r="I71" s="41">
        <f t="shared" si="59"/>
        <v>9.6084865500782293</v>
      </c>
      <c r="J71" s="41">
        <f t="shared" si="59"/>
        <v>9.2442542001847308</v>
      </c>
      <c r="K71" s="41">
        <f t="shared" si="59"/>
        <v>9.3240998338960406</v>
      </c>
      <c r="L71" s="41">
        <f t="shared" si="59"/>
        <v>9.9726932495609368</v>
      </c>
      <c r="M71" s="41">
        <f t="shared" si="59"/>
        <v>10.895437219200758</v>
      </c>
      <c r="N71" s="41">
        <f t="shared" si="59"/>
        <v>11.19133112954926</v>
      </c>
      <c r="O71" s="41">
        <f t="shared" si="59"/>
        <v>11.472606557577453</v>
      </c>
      <c r="P71" s="41">
        <f t="shared" si="59"/>
        <v>12.867097049767036</v>
      </c>
      <c r="Q71" s="41">
        <f t="shared" si="59"/>
        <v>13.240298620670723</v>
      </c>
      <c r="R71" s="41">
        <f t="shared" si="59"/>
        <v>15.261225204177913</v>
      </c>
      <c r="S71" s="41">
        <f t="shared" si="59"/>
        <v>14.037407282807472</v>
      </c>
      <c r="T71" s="41">
        <f t="shared" si="59"/>
        <v>14.28777069472639</v>
      </c>
      <c r="U71" s="41">
        <f t="shared" si="59"/>
        <v>15.803408783848621</v>
      </c>
      <c r="V71" s="41">
        <f t="shared" si="59"/>
        <v>14.565549583941408</v>
      </c>
      <c r="W71" s="41">
        <f t="shared" ref="W71:Y71" si="60">IF(W39=0,0,W39/W29)</f>
        <v>14.733887425092286</v>
      </c>
      <c r="X71" s="41">
        <f t="shared" si="60"/>
        <v>14.903133727895911</v>
      </c>
      <c r="Y71" s="41">
        <f t="shared" si="60"/>
        <v>14.791343727721088</v>
      </c>
      <c r="DA71" s="196" t="s">
        <v>247</v>
      </c>
    </row>
    <row r="72" spans="1:105" ht="11.45" customHeight="1" x14ac:dyDescent="0.25">
      <c r="A72" s="42" t="s">
        <v>181</v>
      </c>
      <c r="B72" s="41">
        <f t="shared" si="48"/>
        <v>16.167807765431576</v>
      </c>
      <c r="C72" s="41">
        <f t="shared" si="48"/>
        <v>16.347531780245248</v>
      </c>
      <c r="D72" s="41">
        <f t="shared" ref="D72:V72" si="61">IF(D40=0,0,D40/D30)</f>
        <v>16.36514393507635</v>
      </c>
      <c r="E72" s="41">
        <f t="shared" si="61"/>
        <v>17.221696677308699</v>
      </c>
      <c r="F72" s="41">
        <f t="shared" si="61"/>
        <v>16.065947226318929</v>
      </c>
      <c r="G72" s="41">
        <f t="shared" si="61"/>
        <v>15.202475894043333</v>
      </c>
      <c r="H72" s="41">
        <f t="shared" si="61"/>
        <v>14.017847842266166</v>
      </c>
      <c r="I72" s="41">
        <f t="shared" si="61"/>
        <v>13.786843762306624</v>
      </c>
      <c r="J72" s="41">
        <f t="shared" si="61"/>
        <v>13.706049515651271</v>
      </c>
      <c r="K72" s="41">
        <f t="shared" si="61"/>
        <v>13.698894254303415</v>
      </c>
      <c r="L72" s="41">
        <f t="shared" si="61"/>
        <v>14.504774438576117</v>
      </c>
      <c r="M72" s="41">
        <f t="shared" si="61"/>
        <v>15.593990976967524</v>
      </c>
      <c r="N72" s="41">
        <f t="shared" si="61"/>
        <v>16.668272444699468</v>
      </c>
      <c r="O72" s="41">
        <f t="shared" si="61"/>
        <v>16.757006585050917</v>
      </c>
      <c r="P72" s="41">
        <f t="shared" si="61"/>
        <v>18.449412678664508</v>
      </c>
      <c r="Q72" s="41">
        <f t="shared" si="61"/>
        <v>18.477606558493594</v>
      </c>
      <c r="R72" s="41">
        <f t="shared" si="61"/>
        <v>20.847919403023049</v>
      </c>
      <c r="S72" s="41">
        <f t="shared" si="61"/>
        <v>19.377525185076976</v>
      </c>
      <c r="T72" s="41">
        <f t="shared" si="61"/>
        <v>19.225461196308377</v>
      </c>
      <c r="U72" s="41">
        <f t="shared" si="61"/>
        <v>19.702598617631956</v>
      </c>
      <c r="V72" s="41">
        <f t="shared" si="61"/>
        <v>17.640506114488737</v>
      </c>
      <c r="W72" s="41">
        <f t="shared" ref="W72:Y72" si="62">IF(W40=0,0,W40/W30)</f>
        <v>17.7683957554698</v>
      </c>
      <c r="X72" s="41">
        <f t="shared" si="62"/>
        <v>17.890474130141026</v>
      </c>
      <c r="Y72" s="41">
        <f t="shared" si="62"/>
        <v>17.970037243342702</v>
      </c>
      <c r="DA72" s="196" t="s">
        <v>248</v>
      </c>
    </row>
    <row r="73" spans="1:105" ht="11.45" customHeight="1" x14ac:dyDescent="0.25">
      <c r="A73" s="38" t="s">
        <v>182</v>
      </c>
      <c r="B73" s="40">
        <f t="shared" si="48"/>
        <v>52.13832275608636</v>
      </c>
      <c r="C73" s="40">
        <f t="shared" si="48"/>
        <v>53.867382020046904</v>
      </c>
      <c r="D73" s="40">
        <f t="shared" ref="D73:V73" si="63">IF(D41=0,0,D41/D31)</f>
        <v>52.903188435639549</v>
      </c>
      <c r="E73" s="40">
        <f t="shared" si="63"/>
        <v>48.726605018216752</v>
      </c>
      <c r="F73" s="40">
        <f t="shared" si="63"/>
        <v>48.059639068158532</v>
      </c>
      <c r="G73" s="40">
        <f t="shared" si="63"/>
        <v>44.215541300581251</v>
      </c>
      <c r="H73" s="40">
        <f t="shared" si="63"/>
        <v>45.164132697953747</v>
      </c>
      <c r="I73" s="40">
        <f t="shared" si="63"/>
        <v>45.185822139749781</v>
      </c>
      <c r="J73" s="40">
        <f t="shared" si="63"/>
        <v>44.913119763550647</v>
      </c>
      <c r="K73" s="40">
        <f t="shared" si="63"/>
        <v>49.899933457134011</v>
      </c>
      <c r="L73" s="40">
        <f t="shared" si="63"/>
        <v>52.527925633175627</v>
      </c>
      <c r="M73" s="40">
        <f t="shared" si="63"/>
        <v>55.066413538494707</v>
      </c>
      <c r="N73" s="40">
        <f t="shared" si="63"/>
        <v>59.082056024886235</v>
      </c>
      <c r="O73" s="40">
        <f t="shared" si="63"/>
        <v>59.664691083399624</v>
      </c>
      <c r="P73" s="40">
        <f t="shared" si="63"/>
        <v>66.461807942068631</v>
      </c>
      <c r="Q73" s="40">
        <f t="shared" si="63"/>
        <v>66.264429177726498</v>
      </c>
      <c r="R73" s="40">
        <f t="shared" si="63"/>
        <v>73.442316804529241</v>
      </c>
      <c r="S73" s="40">
        <f t="shared" si="63"/>
        <v>73.32593091987863</v>
      </c>
      <c r="T73" s="40">
        <f t="shared" si="63"/>
        <v>73.592740807573165</v>
      </c>
      <c r="U73" s="40">
        <f t="shared" si="63"/>
        <v>75.40152312606179</v>
      </c>
      <c r="V73" s="40">
        <f t="shared" si="63"/>
        <v>50.528235250360844</v>
      </c>
      <c r="W73" s="40">
        <f t="shared" ref="W73:Y73" si="64">IF(W41=0,0,W41/W31)</f>
        <v>53.587012042781261</v>
      </c>
      <c r="X73" s="40">
        <f t="shared" si="64"/>
        <v>60.501674061496317</v>
      </c>
      <c r="Y73" s="40">
        <f t="shared" si="64"/>
        <v>63.067440817812049</v>
      </c>
      <c r="DA73" s="197" t="s">
        <v>249</v>
      </c>
    </row>
    <row r="74" spans="1:105" x14ac:dyDescent="0.25">
      <c r="A74" s="50"/>
      <c r="B74" s="50"/>
      <c r="C74" s="50"/>
      <c r="D74" s="51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  <c r="DA74" s="181"/>
    </row>
    <row r="75" spans="1:105" ht="11.45" customHeight="1" x14ac:dyDescent="0.25">
      <c r="A75" s="53" t="s">
        <v>139</v>
      </c>
      <c r="B75" s="62">
        <f t="shared" ref="B75:C83" si="65">IF(B13=0,0,B13*1000000/B23)</f>
        <v>1131.6447038615486</v>
      </c>
      <c r="C75" s="62">
        <f t="shared" si="65"/>
        <v>1129.7152713381665</v>
      </c>
      <c r="D75" s="62">
        <f t="shared" ref="D75:V75" si="66">IF(D13=0,0,D13*1000000/D23)</f>
        <v>1059.2329268731175</v>
      </c>
      <c r="E75" s="62">
        <f t="shared" si="66"/>
        <v>1078.1749786231928</v>
      </c>
      <c r="F75" s="62">
        <f t="shared" si="66"/>
        <v>1139.4601332820796</v>
      </c>
      <c r="G75" s="62">
        <f t="shared" si="66"/>
        <v>1179.3646341733406</v>
      </c>
      <c r="H75" s="62">
        <f t="shared" si="66"/>
        <v>1226.1193573042558</v>
      </c>
      <c r="I75" s="62">
        <f t="shared" si="66"/>
        <v>1246.5906928495217</v>
      </c>
      <c r="J75" s="62">
        <f t="shared" si="66"/>
        <v>1223.9989414315828</v>
      </c>
      <c r="K75" s="62">
        <f t="shared" si="66"/>
        <v>1175.114911062125</v>
      </c>
      <c r="L75" s="62">
        <f t="shared" si="66"/>
        <v>1158.9942569216607</v>
      </c>
      <c r="M75" s="62">
        <f t="shared" si="66"/>
        <v>1137.9929086636771</v>
      </c>
      <c r="N75" s="62">
        <f t="shared" si="66"/>
        <v>1068.5061080858752</v>
      </c>
      <c r="O75" s="62">
        <f t="shared" si="66"/>
        <v>1120.1886281689096</v>
      </c>
      <c r="P75" s="62">
        <f t="shared" si="66"/>
        <v>1170.6790444420817</v>
      </c>
      <c r="Q75" s="62">
        <f t="shared" si="66"/>
        <v>1205.9322487224476</v>
      </c>
      <c r="R75" s="62">
        <f t="shared" si="66"/>
        <v>1181.2334606761888</v>
      </c>
      <c r="S75" s="62">
        <f t="shared" si="66"/>
        <v>1222.9010252267753</v>
      </c>
      <c r="T75" s="62">
        <f t="shared" si="66"/>
        <v>1302.247634287151</v>
      </c>
      <c r="U75" s="62">
        <f t="shared" si="66"/>
        <v>1287.0730228655036</v>
      </c>
      <c r="V75" s="62">
        <f t="shared" si="66"/>
        <v>1275.9367666528799</v>
      </c>
      <c r="W75" s="62">
        <f t="shared" ref="W75:Y75" si="67">IF(W13=0,0,W13*1000000/W23)</f>
        <v>1386.5413695058865</v>
      </c>
      <c r="X75" s="62">
        <f t="shared" si="67"/>
        <v>1387.4404733119509</v>
      </c>
      <c r="Y75" s="62">
        <f t="shared" si="67"/>
        <v>1441.1316444877959</v>
      </c>
      <c r="DA75" s="172" t="s">
        <v>250</v>
      </c>
    </row>
    <row r="76" spans="1:105" ht="11.45" customHeight="1" x14ac:dyDescent="0.25">
      <c r="A76" s="10" t="s">
        <v>33</v>
      </c>
      <c r="B76" s="14">
        <f t="shared" si="65"/>
        <v>1136.5806382335638</v>
      </c>
      <c r="C76" s="14">
        <f t="shared" si="65"/>
        <v>1133.3065668978709</v>
      </c>
      <c r="D76" s="14">
        <f t="shared" ref="D76:V76" si="68">IF(D14=0,0,D14*1000000/D24)</f>
        <v>1062.3748171704335</v>
      </c>
      <c r="E76" s="14">
        <f t="shared" si="68"/>
        <v>1081.2504216930122</v>
      </c>
      <c r="F76" s="14">
        <f t="shared" si="68"/>
        <v>1142.1723899664391</v>
      </c>
      <c r="G76" s="14">
        <f t="shared" si="68"/>
        <v>1181.6008591326722</v>
      </c>
      <c r="H76" s="14">
        <f t="shared" si="68"/>
        <v>1230.4662185957361</v>
      </c>
      <c r="I76" s="14">
        <f t="shared" si="68"/>
        <v>1250.8253641862102</v>
      </c>
      <c r="J76" s="14">
        <f t="shared" si="68"/>
        <v>1228.193414962346</v>
      </c>
      <c r="K76" s="14">
        <f t="shared" si="68"/>
        <v>1179.8917212769122</v>
      </c>
      <c r="L76" s="14">
        <f t="shared" si="68"/>
        <v>1160.0580469789907</v>
      </c>
      <c r="M76" s="14">
        <f t="shared" si="68"/>
        <v>1139.4195624689985</v>
      </c>
      <c r="N76" s="14">
        <f t="shared" si="68"/>
        <v>1069.6539872401222</v>
      </c>
      <c r="O76" s="14">
        <f t="shared" si="68"/>
        <v>1121.3092350522202</v>
      </c>
      <c r="P76" s="14">
        <f t="shared" si="68"/>
        <v>1169.7370625512331</v>
      </c>
      <c r="Q76" s="14">
        <f t="shared" si="68"/>
        <v>1204.7811522343623</v>
      </c>
      <c r="R76" s="14">
        <f t="shared" si="68"/>
        <v>1178.0964813007513</v>
      </c>
      <c r="S76" s="14">
        <f t="shared" si="68"/>
        <v>1219.2206319586221</v>
      </c>
      <c r="T76" s="14">
        <f t="shared" si="68"/>
        <v>1299.6022042925144</v>
      </c>
      <c r="U76" s="14">
        <f t="shared" si="68"/>
        <v>1279.8841899192357</v>
      </c>
      <c r="V76" s="14">
        <f t="shared" si="68"/>
        <v>1280.7815815083306</v>
      </c>
      <c r="W76" s="14">
        <f t="shared" ref="W76:Y76" si="69">IF(W14=0,0,W14*1000000/W24)</f>
        <v>1388.7097194514956</v>
      </c>
      <c r="X76" s="14">
        <f t="shared" si="69"/>
        <v>1376.4620081118392</v>
      </c>
      <c r="Y76" s="14">
        <f t="shared" si="69"/>
        <v>1427.9184839552154</v>
      </c>
      <c r="DA76" s="189" t="s">
        <v>251</v>
      </c>
    </row>
    <row r="77" spans="1:105" ht="11.45" customHeight="1" x14ac:dyDescent="0.25">
      <c r="A77" s="37" t="s">
        <v>27</v>
      </c>
      <c r="B77" s="39">
        <f t="shared" si="65"/>
        <v>349.25140346086965</v>
      </c>
      <c r="C77" s="39">
        <f t="shared" si="65"/>
        <v>349.25140346086971</v>
      </c>
      <c r="D77" s="39">
        <f t="shared" ref="D77:V77" si="70">IF(D15=0,0,D15*1000000/D25)</f>
        <v>349.25140346086971</v>
      </c>
      <c r="E77" s="39">
        <f t="shared" si="70"/>
        <v>349.25140346086971</v>
      </c>
      <c r="F77" s="39">
        <f t="shared" si="70"/>
        <v>349.25140346086965</v>
      </c>
      <c r="G77" s="39">
        <f t="shared" si="70"/>
        <v>357.64406779661022</v>
      </c>
      <c r="H77" s="39">
        <f t="shared" si="70"/>
        <v>346.88838071268191</v>
      </c>
      <c r="I77" s="39">
        <f t="shared" si="70"/>
        <v>343.9849545310293</v>
      </c>
      <c r="J77" s="39">
        <f t="shared" si="70"/>
        <v>343.65836932713069</v>
      </c>
      <c r="K77" s="39">
        <f t="shared" si="70"/>
        <v>341.82538952320726</v>
      </c>
      <c r="L77" s="39">
        <f t="shared" si="70"/>
        <v>355.74083566324941</v>
      </c>
      <c r="M77" s="39">
        <f t="shared" si="70"/>
        <v>360.05928327150866</v>
      </c>
      <c r="N77" s="39">
        <f t="shared" si="70"/>
        <v>371.65553517754341</v>
      </c>
      <c r="O77" s="39">
        <f t="shared" si="70"/>
        <v>373.05569211044877</v>
      </c>
      <c r="P77" s="39">
        <f t="shared" si="70"/>
        <v>378.2339845938144</v>
      </c>
      <c r="Q77" s="39">
        <f t="shared" si="70"/>
        <v>343.87114221713432</v>
      </c>
      <c r="R77" s="39">
        <f t="shared" si="70"/>
        <v>334.8876025134299</v>
      </c>
      <c r="S77" s="39">
        <f t="shared" si="70"/>
        <v>341.46913045193969</v>
      </c>
      <c r="T77" s="39">
        <f t="shared" si="70"/>
        <v>337.37745666772139</v>
      </c>
      <c r="U77" s="39">
        <f t="shared" si="70"/>
        <v>335.11141490088858</v>
      </c>
      <c r="V77" s="39">
        <f t="shared" si="70"/>
        <v>333.61012861736339</v>
      </c>
      <c r="W77" s="39">
        <f t="shared" ref="W77:Y77" si="71">IF(W15=0,0,W15*1000000/W25)</f>
        <v>339.58786698205097</v>
      </c>
      <c r="X77" s="39">
        <f t="shared" si="71"/>
        <v>342.56921865774444</v>
      </c>
      <c r="Y77" s="39">
        <f t="shared" si="71"/>
        <v>344.22092506115195</v>
      </c>
      <c r="DA77" s="198" t="s">
        <v>252</v>
      </c>
    </row>
    <row r="78" spans="1:105" ht="11.45" customHeight="1" x14ac:dyDescent="0.25">
      <c r="A78" s="37" t="s">
        <v>181</v>
      </c>
      <c r="B78" s="39">
        <f t="shared" si="65"/>
        <v>1029.1725794936142</v>
      </c>
      <c r="C78" s="39">
        <f t="shared" si="65"/>
        <v>1029.171404696154</v>
      </c>
      <c r="D78" s="39">
        <f t="shared" ref="D78:V78" si="72">IF(D16=0,0,D16*1000000/D26)</f>
        <v>1029.1716727646706</v>
      </c>
      <c r="E78" s="39">
        <f t="shared" si="72"/>
        <v>1029.173128744555</v>
      </c>
      <c r="F78" s="39">
        <f t="shared" si="72"/>
        <v>1029.1725235499723</v>
      </c>
      <c r="G78" s="39">
        <f t="shared" si="72"/>
        <v>1064.9943130581676</v>
      </c>
      <c r="H78" s="39">
        <f t="shared" si="72"/>
        <v>1121.3368182935101</v>
      </c>
      <c r="I78" s="39">
        <f t="shared" si="72"/>
        <v>1168.5540959681682</v>
      </c>
      <c r="J78" s="39">
        <f t="shared" si="72"/>
        <v>1157.1822333966677</v>
      </c>
      <c r="K78" s="39">
        <f t="shared" si="72"/>
        <v>1138.9294553832472</v>
      </c>
      <c r="L78" s="39">
        <f t="shared" si="72"/>
        <v>1133.064723519233</v>
      </c>
      <c r="M78" s="39">
        <f t="shared" si="72"/>
        <v>1142.7546890814058</v>
      </c>
      <c r="N78" s="39">
        <f t="shared" si="72"/>
        <v>1127.3926686237978</v>
      </c>
      <c r="O78" s="39">
        <f t="shared" si="72"/>
        <v>1139.9956840263403</v>
      </c>
      <c r="P78" s="39">
        <f t="shared" si="72"/>
        <v>1157.629665468673</v>
      </c>
      <c r="Q78" s="39">
        <f t="shared" si="72"/>
        <v>1177.1305198524583</v>
      </c>
      <c r="R78" s="39">
        <f t="shared" si="72"/>
        <v>1208.5137340901956</v>
      </c>
      <c r="S78" s="39">
        <f t="shared" si="72"/>
        <v>1222.5075717435745</v>
      </c>
      <c r="T78" s="39">
        <f t="shared" si="72"/>
        <v>1221.1484630518571</v>
      </c>
      <c r="U78" s="39">
        <f t="shared" si="72"/>
        <v>1190.1989324376073</v>
      </c>
      <c r="V78" s="39">
        <f t="shared" si="72"/>
        <v>1226.7000965446571</v>
      </c>
      <c r="W78" s="39">
        <f t="shared" ref="W78:Y78" si="73">IF(W16=0,0,W16*1000000/W26)</f>
        <v>1297.4427374235413</v>
      </c>
      <c r="X78" s="39">
        <f t="shared" si="73"/>
        <v>1258.7591840490288</v>
      </c>
      <c r="Y78" s="39">
        <f t="shared" si="73"/>
        <v>1278.3921270721721</v>
      </c>
      <c r="DA78" s="198" t="s">
        <v>253</v>
      </c>
    </row>
    <row r="79" spans="1:105" ht="11.45" customHeight="1" x14ac:dyDescent="0.25">
      <c r="A79" s="37" t="s">
        <v>182</v>
      </c>
      <c r="B79" s="39">
        <f t="shared" si="65"/>
        <v>3772.3025159540998</v>
      </c>
      <c r="C79" s="39">
        <f t="shared" si="65"/>
        <v>3772.3025159540998</v>
      </c>
      <c r="D79" s="39">
        <f t="shared" ref="D79:V79" si="74">IF(D17=0,0,D17*1000000/D27)</f>
        <v>3772.3025159540998</v>
      </c>
      <c r="E79" s="39">
        <f t="shared" si="74"/>
        <v>3772.3025159540998</v>
      </c>
      <c r="F79" s="39">
        <f t="shared" si="74"/>
        <v>3772.3025159540994</v>
      </c>
      <c r="G79" s="39">
        <f t="shared" si="74"/>
        <v>3776.4274468085109</v>
      </c>
      <c r="H79" s="39">
        <f t="shared" si="74"/>
        <v>3521.7956404587667</v>
      </c>
      <c r="I79" s="39">
        <f t="shared" si="74"/>
        <v>3338.5059247673198</v>
      </c>
      <c r="J79" s="39">
        <f t="shared" si="74"/>
        <v>3125.609086028177</v>
      </c>
      <c r="K79" s="39">
        <f t="shared" si="74"/>
        <v>2795.1216824535368</v>
      </c>
      <c r="L79" s="39">
        <f t="shared" si="74"/>
        <v>2521.9241202622261</v>
      </c>
      <c r="M79" s="39">
        <f t="shared" si="74"/>
        <v>2387.2186480722066</v>
      </c>
      <c r="N79" s="39">
        <f t="shared" si="74"/>
        <v>2349.2660020228291</v>
      </c>
      <c r="O79" s="39">
        <f t="shared" si="74"/>
        <v>2453.4388190442851</v>
      </c>
      <c r="P79" s="39">
        <f t="shared" si="74"/>
        <v>2474.403041958431</v>
      </c>
      <c r="Q79" s="39">
        <f t="shared" si="74"/>
        <v>2457.047993578768</v>
      </c>
      <c r="R79" s="39">
        <f t="shared" si="74"/>
        <v>2579.8145265782459</v>
      </c>
      <c r="S79" s="39">
        <f t="shared" si="74"/>
        <v>2638.9604082584428</v>
      </c>
      <c r="T79" s="39">
        <f t="shared" si="74"/>
        <v>2520.4277863834186</v>
      </c>
      <c r="U79" s="39">
        <f t="shared" si="74"/>
        <v>2477.3824581970753</v>
      </c>
      <c r="V79" s="39">
        <f t="shared" si="74"/>
        <v>2626.5238668271163</v>
      </c>
      <c r="W79" s="39">
        <f t="shared" ref="W79:Y79" si="75">IF(W17=0,0,W17*1000000/W27)</f>
        <v>2530.6134195995314</v>
      </c>
      <c r="X79" s="39">
        <f t="shared" si="75"/>
        <v>3154.6925905497333</v>
      </c>
      <c r="Y79" s="39">
        <f t="shared" si="75"/>
        <v>3122.0365957145887</v>
      </c>
      <c r="DA79" s="198" t="s">
        <v>254</v>
      </c>
    </row>
    <row r="80" spans="1:105" ht="11.45" customHeight="1" x14ac:dyDescent="0.25">
      <c r="A80" s="12" t="s">
        <v>34</v>
      </c>
      <c r="B80" s="15">
        <f t="shared" si="65"/>
        <v>711.57690738667202</v>
      </c>
      <c r="C80" s="15">
        <f t="shared" si="65"/>
        <v>749.00345177603447</v>
      </c>
      <c r="D80" s="15">
        <f t="shared" ref="D80:V80" si="76">IF(D18=0,0,D18*1000000/D28)</f>
        <v>734.33693476173278</v>
      </c>
      <c r="E80" s="15">
        <f t="shared" si="76"/>
        <v>747.45465894610732</v>
      </c>
      <c r="F80" s="15">
        <f t="shared" si="76"/>
        <v>805.00956240667006</v>
      </c>
      <c r="G80" s="15">
        <f t="shared" si="76"/>
        <v>890.73806588926846</v>
      </c>
      <c r="H80" s="15">
        <f t="shared" si="76"/>
        <v>807.06031650402451</v>
      </c>
      <c r="I80" s="15">
        <f t="shared" si="76"/>
        <v>886.95082233813525</v>
      </c>
      <c r="J80" s="15">
        <f t="shared" si="76"/>
        <v>901.18754222999428</v>
      </c>
      <c r="K80" s="15">
        <f t="shared" si="76"/>
        <v>848.2007405648003</v>
      </c>
      <c r="L80" s="15">
        <f t="shared" si="76"/>
        <v>1082.1148450580235</v>
      </c>
      <c r="M80" s="15">
        <f t="shared" si="76"/>
        <v>1033.0317212604882</v>
      </c>
      <c r="N80" s="15">
        <f t="shared" si="76"/>
        <v>978.74337218464177</v>
      </c>
      <c r="O80" s="15">
        <f t="shared" si="76"/>
        <v>1037.0480035241312</v>
      </c>
      <c r="P80" s="15">
        <f t="shared" si="76"/>
        <v>1248.4935953878801</v>
      </c>
      <c r="Q80" s="15">
        <f t="shared" si="76"/>
        <v>1301.2865588442376</v>
      </c>
      <c r="R80" s="15">
        <f t="shared" si="76"/>
        <v>1472.6728908306404</v>
      </c>
      <c r="S80" s="15">
        <f t="shared" si="76"/>
        <v>1567.854066282551</v>
      </c>
      <c r="T80" s="15">
        <f t="shared" si="76"/>
        <v>1553.8555371629243</v>
      </c>
      <c r="U80" s="15">
        <f t="shared" si="76"/>
        <v>1958.8145516768921</v>
      </c>
      <c r="V80" s="15">
        <f t="shared" si="76"/>
        <v>1094.9984133530318</v>
      </c>
      <c r="W80" s="15">
        <f t="shared" ref="W80:Y80" si="77">IF(W18=0,0,W18*1000000/W28)</f>
        <v>1310.9051568633604</v>
      </c>
      <c r="X80" s="15">
        <f t="shared" si="77"/>
        <v>1963.9398716599562</v>
      </c>
      <c r="Y80" s="15">
        <f t="shared" si="77"/>
        <v>2346.9773747654972</v>
      </c>
      <c r="DA80" s="193" t="s">
        <v>255</v>
      </c>
    </row>
    <row r="81" spans="1:105" ht="11.45" customHeight="1" x14ac:dyDescent="0.25">
      <c r="A81" s="42" t="s">
        <v>27</v>
      </c>
      <c r="B81" s="41">
        <f t="shared" si="65"/>
        <v>259.92240415741031</v>
      </c>
      <c r="C81" s="41">
        <f t="shared" si="65"/>
        <v>259.92240415741031</v>
      </c>
      <c r="D81" s="41">
        <f t="shared" ref="D81:V81" si="78">IF(D19=0,0,D19*1000000/D29)</f>
        <v>259.92240415741031</v>
      </c>
      <c r="E81" s="41">
        <f t="shared" si="78"/>
        <v>259.92240415741031</v>
      </c>
      <c r="F81" s="41">
        <f t="shared" si="78"/>
        <v>259.92240415741031</v>
      </c>
      <c r="G81" s="41">
        <f t="shared" si="78"/>
        <v>268.3150684931507</v>
      </c>
      <c r="H81" s="41">
        <f t="shared" si="78"/>
        <v>264.29380803039419</v>
      </c>
      <c r="I81" s="41">
        <f t="shared" si="78"/>
        <v>268.12480846991349</v>
      </c>
      <c r="J81" s="41">
        <f t="shared" si="78"/>
        <v>274.53264988718644</v>
      </c>
      <c r="K81" s="41">
        <f t="shared" si="78"/>
        <v>279.43409670443492</v>
      </c>
      <c r="L81" s="41">
        <f t="shared" si="78"/>
        <v>300.08396946564886</v>
      </c>
      <c r="M81" s="41">
        <f t="shared" si="78"/>
        <v>325.8749135698522</v>
      </c>
      <c r="N81" s="41">
        <f t="shared" si="78"/>
        <v>358.94366197183098</v>
      </c>
      <c r="O81" s="41">
        <f t="shared" si="78"/>
        <v>351.17962372292385</v>
      </c>
      <c r="P81" s="41">
        <f t="shared" si="78"/>
        <v>347.1937210244771</v>
      </c>
      <c r="Q81" s="41">
        <f t="shared" si="78"/>
        <v>303.66668346598436</v>
      </c>
      <c r="R81" s="41">
        <f t="shared" si="78"/>
        <v>285.51894858046768</v>
      </c>
      <c r="S81" s="41">
        <f t="shared" si="78"/>
        <v>282.93628133716481</v>
      </c>
      <c r="T81" s="41">
        <f t="shared" si="78"/>
        <v>269.68041237113403</v>
      </c>
      <c r="U81" s="41">
        <f t="shared" si="78"/>
        <v>259.32067510548524</v>
      </c>
      <c r="V81" s="41">
        <f t="shared" si="78"/>
        <v>402.75462962962962</v>
      </c>
      <c r="W81" s="41">
        <f t="shared" ref="W81:Y81" si="79">IF(W19=0,0,W19*1000000/W29)</f>
        <v>394.52644836272037</v>
      </c>
      <c r="X81" s="41">
        <f t="shared" si="79"/>
        <v>330.24742268041234</v>
      </c>
      <c r="Y81" s="41">
        <f t="shared" si="79"/>
        <v>331.21229050279334</v>
      </c>
      <c r="DA81" s="196" t="s">
        <v>256</v>
      </c>
    </row>
    <row r="82" spans="1:105" ht="11.45" customHeight="1" x14ac:dyDescent="0.25">
      <c r="A82" s="42" t="s">
        <v>181</v>
      </c>
      <c r="B82" s="41">
        <f t="shared" si="65"/>
        <v>765.8063788881376</v>
      </c>
      <c r="C82" s="41">
        <f t="shared" si="65"/>
        <v>770.5872538833039</v>
      </c>
      <c r="D82" s="41">
        <f t="shared" ref="D82:V82" si="80">IF(D20=0,0,D20*1000000/D30)</f>
        <v>769.20144031064478</v>
      </c>
      <c r="E82" s="41">
        <f t="shared" si="80"/>
        <v>767.18200414350622</v>
      </c>
      <c r="F82" s="41">
        <f t="shared" si="80"/>
        <v>772.40941691907415</v>
      </c>
      <c r="G82" s="41">
        <f t="shared" si="80"/>
        <v>857.59997625176197</v>
      </c>
      <c r="H82" s="41">
        <f t="shared" si="80"/>
        <v>860.69358108207985</v>
      </c>
      <c r="I82" s="41">
        <f t="shared" si="80"/>
        <v>913.04424087302834</v>
      </c>
      <c r="J82" s="41">
        <f t="shared" si="80"/>
        <v>865.80780087729113</v>
      </c>
      <c r="K82" s="41">
        <f t="shared" si="80"/>
        <v>872.39281236290776</v>
      </c>
      <c r="L82" s="41">
        <f t="shared" si="80"/>
        <v>884.07985035317188</v>
      </c>
      <c r="M82" s="41">
        <f t="shared" si="80"/>
        <v>874.61225847839239</v>
      </c>
      <c r="N82" s="41">
        <f t="shared" si="80"/>
        <v>853.61340281120806</v>
      </c>
      <c r="O82" s="41">
        <f t="shared" si="80"/>
        <v>841.48028201394368</v>
      </c>
      <c r="P82" s="41">
        <f t="shared" si="80"/>
        <v>851.48152598646186</v>
      </c>
      <c r="Q82" s="41">
        <f t="shared" si="80"/>
        <v>848.00521419861366</v>
      </c>
      <c r="R82" s="41">
        <f t="shared" si="80"/>
        <v>879.42063365573824</v>
      </c>
      <c r="S82" s="41">
        <f t="shared" si="80"/>
        <v>889.10330725932613</v>
      </c>
      <c r="T82" s="41">
        <f t="shared" si="80"/>
        <v>857.62837782411077</v>
      </c>
      <c r="U82" s="41">
        <f t="shared" si="80"/>
        <v>859.70446226028105</v>
      </c>
      <c r="V82" s="41">
        <f t="shared" si="80"/>
        <v>844.11356281030817</v>
      </c>
      <c r="W82" s="41">
        <f t="shared" ref="W82:Y82" si="81">IF(W20=0,0,W20*1000000/W30)</f>
        <v>887.90173865069903</v>
      </c>
      <c r="X82" s="41">
        <f t="shared" si="81"/>
        <v>1001.5234357092812</v>
      </c>
      <c r="Y82" s="41">
        <f t="shared" si="81"/>
        <v>976.16499151922801</v>
      </c>
      <c r="DA82" s="196" t="s">
        <v>257</v>
      </c>
    </row>
    <row r="83" spans="1:105" ht="11.45" customHeight="1" x14ac:dyDescent="0.25">
      <c r="A83" s="38" t="s">
        <v>182</v>
      </c>
      <c r="B83" s="40">
        <f t="shared" si="65"/>
        <v>1787.3146976285614</v>
      </c>
      <c r="C83" s="40">
        <f t="shared" si="65"/>
        <v>1787.3146976285614</v>
      </c>
      <c r="D83" s="40">
        <f t="shared" ref="D83:V83" si="82">IF(D21=0,0,D21*1000000/D31)</f>
        <v>1787.3146976285614</v>
      </c>
      <c r="E83" s="40">
        <f t="shared" si="82"/>
        <v>1787.3146976285611</v>
      </c>
      <c r="F83" s="40">
        <f t="shared" si="82"/>
        <v>1787.3146976285616</v>
      </c>
      <c r="G83" s="40">
        <f t="shared" si="82"/>
        <v>1791.4396284829725</v>
      </c>
      <c r="H83" s="40">
        <f t="shared" si="82"/>
        <v>2289.3594619495561</v>
      </c>
      <c r="I83" s="40">
        <f t="shared" si="82"/>
        <v>2858.6213860744383</v>
      </c>
      <c r="J83" s="40">
        <f t="shared" si="82"/>
        <v>3398.2761871516241</v>
      </c>
      <c r="K83" s="40">
        <f t="shared" si="82"/>
        <v>3820.340423393312</v>
      </c>
      <c r="L83" s="40">
        <f t="shared" si="82"/>
        <v>4299.6945010183299</v>
      </c>
      <c r="M83" s="40">
        <f t="shared" si="82"/>
        <v>3786.4042269835318</v>
      </c>
      <c r="N83" s="40">
        <f t="shared" si="82"/>
        <v>3369.8667790893765</v>
      </c>
      <c r="O83" s="40">
        <f t="shared" si="82"/>
        <v>3539.5652514265894</v>
      </c>
      <c r="P83" s="40">
        <f t="shared" si="82"/>
        <v>3626.0551296564909</v>
      </c>
      <c r="Q83" s="40">
        <f t="shared" si="82"/>
        <v>3674.2257365925852</v>
      </c>
      <c r="R83" s="40">
        <f t="shared" si="82"/>
        <v>3862.5179249078205</v>
      </c>
      <c r="S83" s="40">
        <f t="shared" si="82"/>
        <v>3987.1894619037744</v>
      </c>
      <c r="T83" s="40">
        <f t="shared" si="82"/>
        <v>3934.1824953445062</v>
      </c>
      <c r="U83" s="40">
        <f t="shared" si="82"/>
        <v>5681.8571428571431</v>
      </c>
      <c r="V83" s="40">
        <f t="shared" si="82"/>
        <v>2314.0720000000001</v>
      </c>
      <c r="W83" s="40">
        <f t="shared" ref="W83:Y83" si="83">IF(W21=0,0,W21*1000000/W31)</f>
        <v>3059.7105263157891</v>
      </c>
      <c r="X83" s="40">
        <f t="shared" si="83"/>
        <v>6340.6702127659573</v>
      </c>
      <c r="Y83" s="40">
        <f t="shared" si="83"/>
        <v>7911.8955453149001</v>
      </c>
      <c r="DA83" s="197" t="s">
        <v>258</v>
      </c>
    </row>
    <row r="84" spans="1:105" x14ac:dyDescent="0.25">
      <c r="A84" s="50"/>
      <c r="B84" s="50"/>
      <c r="C84" s="50"/>
      <c r="D84" s="51"/>
      <c r="E84" s="51"/>
      <c r="F84" s="51"/>
      <c r="G84" s="51"/>
      <c r="H84" s="51"/>
      <c r="I84" s="51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  <c r="DA84" s="181"/>
    </row>
    <row r="85" spans="1:105" ht="11.45" customHeight="1" x14ac:dyDescent="0.25">
      <c r="A85" s="53" t="s">
        <v>86</v>
      </c>
      <c r="B85" s="62"/>
      <c r="C85" s="62"/>
      <c r="D85" s="62"/>
      <c r="E85" s="62"/>
      <c r="F85" s="62"/>
      <c r="G85" s="62"/>
      <c r="H85" s="62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DA85" s="172"/>
    </row>
    <row r="86" spans="1:105" ht="11.45" customHeight="1" x14ac:dyDescent="0.25">
      <c r="A86" s="10" t="s">
        <v>87</v>
      </c>
      <c r="B86" s="11">
        <f t="shared" ref="B86:C93" si="84">IF(B4=0,0,B4*1000000/B24)</f>
        <v>93941.195385778468</v>
      </c>
      <c r="C86" s="11">
        <f t="shared" si="84"/>
        <v>95532.187605010389</v>
      </c>
      <c r="D86" s="11">
        <f t="shared" ref="D86:V86" si="85">IF(D4=0,0,D4*1000000/D24)</f>
        <v>88943.615447160177</v>
      </c>
      <c r="E86" s="11">
        <f t="shared" si="85"/>
        <v>91972.612195777067</v>
      </c>
      <c r="F86" s="11">
        <f t="shared" si="85"/>
        <v>99903.217508245827</v>
      </c>
      <c r="G86" s="11">
        <f t="shared" si="85"/>
        <v>104866.30489709695</v>
      </c>
      <c r="H86" s="11">
        <f t="shared" si="85"/>
        <v>108803.54994948246</v>
      </c>
      <c r="I86" s="11">
        <f t="shared" si="85"/>
        <v>125094.62847007703</v>
      </c>
      <c r="J86" s="11">
        <f t="shared" si="85"/>
        <v>133823.68095630201</v>
      </c>
      <c r="K86" s="11">
        <f t="shared" si="85"/>
        <v>126984.41788705243</v>
      </c>
      <c r="L86" s="11">
        <f t="shared" si="85"/>
        <v>129082.5567437602</v>
      </c>
      <c r="M86" s="11">
        <f t="shared" si="85"/>
        <v>126600.34104302201</v>
      </c>
      <c r="N86" s="11">
        <f t="shared" si="85"/>
        <v>122062.0860476864</v>
      </c>
      <c r="O86" s="11">
        <f t="shared" si="85"/>
        <v>132445.72927784061</v>
      </c>
      <c r="P86" s="11">
        <f t="shared" si="85"/>
        <v>141226.02614405387</v>
      </c>
      <c r="Q86" s="11">
        <f t="shared" si="85"/>
        <v>143511.59787322223</v>
      </c>
      <c r="R86" s="11">
        <f t="shared" si="85"/>
        <v>155675.54203423861</v>
      </c>
      <c r="S86" s="11">
        <f t="shared" si="85"/>
        <v>174302.02177161202</v>
      </c>
      <c r="T86" s="11">
        <f t="shared" si="85"/>
        <v>184950.50221608105</v>
      </c>
      <c r="U86" s="11">
        <f t="shared" si="85"/>
        <v>194633.14255795648</v>
      </c>
      <c r="V86" s="11">
        <f t="shared" si="85"/>
        <v>145002.31026354322</v>
      </c>
      <c r="W86" s="11">
        <f t="shared" ref="W86:Y86" si="86">IF(W4=0,0,W4*1000000/W24)</f>
        <v>177627.23015552186</v>
      </c>
      <c r="X86" s="11">
        <f t="shared" si="86"/>
        <v>220224.15768621973</v>
      </c>
      <c r="Y86" s="11">
        <f t="shared" si="86"/>
        <v>248573.58126135985</v>
      </c>
      <c r="DA86" s="189" t="s">
        <v>259</v>
      </c>
    </row>
    <row r="87" spans="1:105" ht="11.45" customHeight="1" x14ac:dyDescent="0.25">
      <c r="A87" s="37" t="s">
        <v>27</v>
      </c>
      <c r="B87" s="36">
        <f t="shared" si="84"/>
        <v>9975.4992150355265</v>
      </c>
      <c r="C87" s="36">
        <f t="shared" si="84"/>
        <v>10089.848822879074</v>
      </c>
      <c r="D87" s="36">
        <f t="shared" ref="D87:V87" si="87">IF(D5=0,0,D5*1000000/D25)</f>
        <v>10252.332382652203</v>
      </c>
      <c r="E87" s="36">
        <f t="shared" si="87"/>
        <v>10497.273817161098</v>
      </c>
      <c r="F87" s="36">
        <f t="shared" si="87"/>
        <v>10684.182924238708</v>
      </c>
      <c r="G87" s="36">
        <f t="shared" si="87"/>
        <v>11220.827969443748</v>
      </c>
      <c r="H87" s="36">
        <f t="shared" si="87"/>
        <v>11211.195288883046</v>
      </c>
      <c r="I87" s="36">
        <f t="shared" si="87"/>
        <v>12402.327460271843</v>
      </c>
      <c r="J87" s="36">
        <f t="shared" si="87"/>
        <v>11381.132918539408</v>
      </c>
      <c r="K87" s="36">
        <f t="shared" si="87"/>
        <v>11359.392719146084</v>
      </c>
      <c r="L87" s="36">
        <f t="shared" si="87"/>
        <v>12908.579529640298</v>
      </c>
      <c r="M87" s="36">
        <f t="shared" si="87"/>
        <v>14724.856471927284</v>
      </c>
      <c r="N87" s="36">
        <f t="shared" si="87"/>
        <v>18337.923174680167</v>
      </c>
      <c r="O87" s="36">
        <f t="shared" si="87"/>
        <v>16632.387811760967</v>
      </c>
      <c r="P87" s="36">
        <f t="shared" si="87"/>
        <v>19910.883211524131</v>
      </c>
      <c r="Q87" s="36">
        <f t="shared" si="87"/>
        <v>20601.065348264819</v>
      </c>
      <c r="R87" s="36">
        <f t="shared" si="87"/>
        <v>22041.464972681413</v>
      </c>
      <c r="S87" s="36">
        <f t="shared" si="87"/>
        <v>25183.278551794589</v>
      </c>
      <c r="T87" s="36">
        <f t="shared" si="87"/>
        <v>23586.783910332728</v>
      </c>
      <c r="U87" s="36">
        <f t="shared" si="87"/>
        <v>23411.78032108843</v>
      </c>
      <c r="V87" s="36">
        <f t="shared" si="87"/>
        <v>16180.921882817471</v>
      </c>
      <c r="W87" s="36">
        <f t="shared" ref="W87:Y87" si="88">IF(W5=0,0,W5*1000000/W25)</f>
        <v>19238.700365873057</v>
      </c>
      <c r="X87" s="36">
        <f t="shared" si="88"/>
        <v>22996.999324409386</v>
      </c>
      <c r="Y87" s="36">
        <f t="shared" si="88"/>
        <v>25655.471096470541</v>
      </c>
      <c r="DA87" s="198" t="s">
        <v>260</v>
      </c>
    </row>
    <row r="88" spans="1:105" ht="11.45" customHeight="1" x14ac:dyDescent="0.25">
      <c r="A88" s="37" t="s">
        <v>181</v>
      </c>
      <c r="B88" s="36">
        <f t="shared" si="84"/>
        <v>72419.265036267258</v>
      </c>
      <c r="C88" s="36">
        <f t="shared" si="84"/>
        <v>74113.175775147043</v>
      </c>
      <c r="D88" s="36">
        <f t="shared" ref="D88:V88" si="89">IF(D6=0,0,D6*1000000/D26)</f>
        <v>75095.302760632476</v>
      </c>
      <c r="E88" s="36">
        <f t="shared" si="89"/>
        <v>75193.375186342877</v>
      </c>
      <c r="F88" s="36">
        <f t="shared" si="89"/>
        <v>75332.861732056306</v>
      </c>
      <c r="G88" s="36">
        <f t="shared" si="89"/>
        <v>80447.340416726278</v>
      </c>
      <c r="H88" s="36">
        <f t="shared" si="89"/>
        <v>85672.617727041375</v>
      </c>
      <c r="I88" s="36">
        <f t="shared" si="89"/>
        <v>106491.54351509122</v>
      </c>
      <c r="J88" s="36">
        <f t="shared" si="89"/>
        <v>105462.85781276497</v>
      </c>
      <c r="K88" s="36">
        <f t="shared" si="89"/>
        <v>105566.36730735764</v>
      </c>
      <c r="L88" s="36">
        <f t="shared" si="89"/>
        <v>109077.50980739838</v>
      </c>
      <c r="M88" s="36">
        <f t="shared" si="89"/>
        <v>119829.31595899414</v>
      </c>
      <c r="N88" s="36">
        <f t="shared" si="89"/>
        <v>119598.03501978893</v>
      </c>
      <c r="O88" s="36">
        <f t="shared" si="89"/>
        <v>127916.96328957276</v>
      </c>
      <c r="P88" s="36">
        <f t="shared" si="89"/>
        <v>135776.0838718036</v>
      </c>
      <c r="Q88" s="36">
        <f t="shared" si="89"/>
        <v>145485.23210159686</v>
      </c>
      <c r="R88" s="36">
        <f t="shared" si="89"/>
        <v>151986.65740220595</v>
      </c>
      <c r="S88" s="36">
        <f t="shared" si="89"/>
        <v>163169.51282895691</v>
      </c>
      <c r="T88" s="36">
        <f t="shared" si="89"/>
        <v>166368.01429235414</v>
      </c>
      <c r="U88" s="36">
        <f t="shared" si="89"/>
        <v>163308.02699706104</v>
      </c>
      <c r="V88" s="36">
        <f t="shared" si="89"/>
        <v>135652.90653777315</v>
      </c>
      <c r="W88" s="36">
        <f t="shared" ref="W88:Y88" si="90">IF(W6=0,0,W6*1000000/W26)</f>
        <v>148962.93134936897</v>
      </c>
      <c r="X88" s="36">
        <f t="shared" si="90"/>
        <v>178005.59428505428</v>
      </c>
      <c r="Y88" s="36">
        <f t="shared" si="90"/>
        <v>193725.32443536684</v>
      </c>
      <c r="DA88" s="198" t="s">
        <v>261</v>
      </c>
    </row>
    <row r="89" spans="1:105" ht="11.45" customHeight="1" x14ac:dyDescent="0.25">
      <c r="A89" s="37" t="s">
        <v>182</v>
      </c>
      <c r="B89" s="36">
        <f t="shared" si="84"/>
        <v>433219.7972471008</v>
      </c>
      <c r="C89" s="36">
        <f t="shared" si="84"/>
        <v>441327.90912351123</v>
      </c>
      <c r="D89" s="36">
        <f t="shared" ref="D89:V89" si="91">IF(D7=0,0,D7*1000000/D27)</f>
        <v>446838.96599955962</v>
      </c>
      <c r="E89" s="36">
        <f t="shared" si="91"/>
        <v>454974.84786375629</v>
      </c>
      <c r="F89" s="36">
        <f t="shared" si="91"/>
        <v>464357.78248843492</v>
      </c>
      <c r="G89" s="36">
        <f t="shared" si="91"/>
        <v>469699.32577523391</v>
      </c>
      <c r="H89" s="36">
        <f t="shared" si="91"/>
        <v>429872.40380665293</v>
      </c>
      <c r="I89" s="36">
        <f t="shared" si="91"/>
        <v>431595.02721789398</v>
      </c>
      <c r="J89" s="36">
        <f t="shared" si="91"/>
        <v>503790.45123196382</v>
      </c>
      <c r="K89" s="36">
        <f t="shared" si="91"/>
        <v>437600.11872380343</v>
      </c>
      <c r="L89" s="36">
        <f t="shared" si="91"/>
        <v>408940.93075022119</v>
      </c>
      <c r="M89" s="36">
        <f t="shared" si="91"/>
        <v>342433.36627326219</v>
      </c>
      <c r="N89" s="36">
        <f t="shared" si="91"/>
        <v>371718.07015605114</v>
      </c>
      <c r="O89" s="36">
        <f t="shared" si="91"/>
        <v>386867.25455284974</v>
      </c>
      <c r="P89" s="36">
        <f t="shared" si="91"/>
        <v>360088.04496169207</v>
      </c>
      <c r="Q89" s="36">
        <f t="shared" si="91"/>
        <v>292823.25621633232</v>
      </c>
      <c r="R89" s="36">
        <f t="shared" si="91"/>
        <v>446821.63097311446</v>
      </c>
      <c r="S89" s="36">
        <f t="shared" si="91"/>
        <v>493750.92890479305</v>
      </c>
      <c r="T89" s="36">
        <f t="shared" si="91"/>
        <v>413836.45618324814</v>
      </c>
      <c r="U89" s="36">
        <f t="shared" si="91"/>
        <v>475458.49547723529</v>
      </c>
      <c r="V89" s="36">
        <f t="shared" si="91"/>
        <v>336877.28278111626</v>
      </c>
      <c r="W89" s="36">
        <f t="shared" ref="W89:Y89" si="92">IF(W7=0,0,W7*1000000/W27)</f>
        <v>404216.6349150496</v>
      </c>
      <c r="X89" s="36">
        <f t="shared" si="92"/>
        <v>663947.05349722004</v>
      </c>
      <c r="Y89" s="36">
        <f t="shared" si="92"/>
        <v>710893.01030766708</v>
      </c>
      <c r="DA89" s="198" t="s">
        <v>262</v>
      </c>
    </row>
    <row r="90" spans="1:105" ht="11.45" customHeight="1" x14ac:dyDescent="0.25">
      <c r="A90" s="12" t="s">
        <v>88</v>
      </c>
      <c r="B90" s="13">
        <f t="shared" si="84"/>
        <v>34292.283960967827</v>
      </c>
      <c r="C90" s="13">
        <f t="shared" si="84"/>
        <v>41263.364793491994</v>
      </c>
      <c r="D90" s="13">
        <f t="shared" ref="D90:V90" si="93">IF(D8=0,0,D8*1000000/D28)</f>
        <v>36794.868446538065</v>
      </c>
      <c r="E90" s="13">
        <f t="shared" si="93"/>
        <v>36237.062472581609</v>
      </c>
      <c r="F90" s="13">
        <f t="shared" si="93"/>
        <v>41124.404674510748</v>
      </c>
      <c r="G90" s="13">
        <f t="shared" si="93"/>
        <v>39603.395850369336</v>
      </c>
      <c r="H90" s="13">
        <f t="shared" si="93"/>
        <v>33061.843880902677</v>
      </c>
      <c r="I90" s="13">
        <f t="shared" si="93"/>
        <v>39013.296995714911</v>
      </c>
      <c r="J90" s="13">
        <f t="shared" si="93"/>
        <v>39733.717617981587</v>
      </c>
      <c r="K90" s="13">
        <f t="shared" si="93"/>
        <v>35733.806580771816</v>
      </c>
      <c r="L90" s="13">
        <f t="shared" si="93"/>
        <v>57033.594282432088</v>
      </c>
      <c r="M90" s="13">
        <f t="shared" si="93"/>
        <v>53198.006396636847</v>
      </c>
      <c r="N90" s="13">
        <f t="shared" si="93"/>
        <v>49730.720399015328</v>
      </c>
      <c r="O90" s="13">
        <f t="shared" si="93"/>
        <v>52434.617519466519</v>
      </c>
      <c r="P90" s="13">
        <f t="shared" si="93"/>
        <v>82266.039763615918</v>
      </c>
      <c r="Q90" s="13">
        <f t="shared" si="93"/>
        <v>88281.052394186743</v>
      </c>
      <c r="R90" s="13">
        <f t="shared" si="93"/>
        <v>114245.00543957458</v>
      </c>
      <c r="S90" s="13">
        <f t="shared" si="93"/>
        <v>118292.10443474303</v>
      </c>
      <c r="T90" s="13">
        <f t="shared" si="93"/>
        <v>117104.52231304778</v>
      </c>
      <c r="U90" s="13">
        <f t="shared" si="93"/>
        <v>167666.58966241672</v>
      </c>
      <c r="V90" s="13">
        <f t="shared" si="93"/>
        <v>47456.659333522926</v>
      </c>
      <c r="W90" s="13">
        <f t="shared" ref="W90:Y90" si="94">IF(W8=0,0,W8*1000000/W28)</f>
        <v>59711.701832856161</v>
      </c>
      <c r="X90" s="13">
        <f t="shared" si="94"/>
        <v>114356.93312974404</v>
      </c>
      <c r="Y90" s="13">
        <f t="shared" si="94"/>
        <v>158581.58458399656</v>
      </c>
      <c r="DA90" s="193" t="s">
        <v>263</v>
      </c>
    </row>
    <row r="91" spans="1:105" ht="11.45" customHeight="1" x14ac:dyDescent="0.25">
      <c r="A91" s="42" t="s">
        <v>27</v>
      </c>
      <c r="B91" s="34">
        <f t="shared" si="84"/>
        <v>2558.5916711073892</v>
      </c>
      <c r="C91" s="34">
        <f t="shared" si="84"/>
        <v>2539.0791947959497</v>
      </c>
      <c r="D91" s="34">
        <f t="shared" ref="D91:V91" si="95">IF(D9=0,0,D9*1000000/D29)</f>
        <v>2611.0062794875257</v>
      </c>
      <c r="E91" s="34">
        <f t="shared" si="95"/>
        <v>2777.3091428314733</v>
      </c>
      <c r="F91" s="34">
        <f t="shared" si="95"/>
        <v>2615.2621525993709</v>
      </c>
      <c r="G91" s="34">
        <f t="shared" si="95"/>
        <v>2642.0237297807766</v>
      </c>
      <c r="H91" s="34">
        <f t="shared" si="95"/>
        <v>2503.2527666084025</v>
      </c>
      <c r="I91" s="34">
        <f t="shared" si="95"/>
        <v>2530.1087706866392</v>
      </c>
      <c r="J91" s="34">
        <f t="shared" si="95"/>
        <v>2492.3732854012337</v>
      </c>
      <c r="K91" s="34">
        <f t="shared" si="95"/>
        <v>2558.7833672913303</v>
      </c>
      <c r="L91" s="34">
        <f t="shared" si="95"/>
        <v>2939.0194690749418</v>
      </c>
      <c r="M91" s="34">
        <f t="shared" si="95"/>
        <v>3529.2205641685678</v>
      </c>
      <c r="N91" s="34">
        <f t="shared" si="95"/>
        <v>4038.7614669724053</v>
      </c>
      <c r="O91" s="34">
        <f t="shared" si="95"/>
        <v>4051.5234399165129</v>
      </c>
      <c r="P91" s="34">
        <f t="shared" si="95"/>
        <v>4441.6708067794252</v>
      </c>
      <c r="Q91" s="34">
        <f t="shared" si="95"/>
        <v>4043.0744887669412</v>
      </c>
      <c r="R91" s="34">
        <f t="shared" si="95"/>
        <v>4354.7240981338464</v>
      </c>
      <c r="S91" s="34">
        <f t="shared" si="95"/>
        <v>4014.2959546356506</v>
      </c>
      <c r="T91" s="34">
        <f t="shared" si="95"/>
        <v>3924.8444116558962</v>
      </c>
      <c r="U91" s="34">
        <f t="shared" si="95"/>
        <v>4160.1161449215415</v>
      </c>
      <c r="V91" s="34">
        <f t="shared" si="95"/>
        <v>5953.9557536899347</v>
      </c>
      <c r="W91" s="34">
        <f t="shared" ref="W91:Y91" si="96">IF(W9=0,0,W9*1000000/W29)</f>
        <v>5986.1209858515758</v>
      </c>
      <c r="X91" s="34">
        <f t="shared" si="96"/>
        <v>5032.2591906889329</v>
      </c>
      <c r="Y91" s="34">
        <f t="shared" si="96"/>
        <v>4973.1506075000962</v>
      </c>
      <c r="DA91" s="196" t="s">
        <v>264</v>
      </c>
    </row>
    <row r="92" spans="1:105" ht="11.45" customHeight="1" x14ac:dyDescent="0.25">
      <c r="A92" s="42" t="s">
        <v>181</v>
      </c>
      <c r="B92" s="34">
        <f t="shared" si="84"/>
        <v>18044.522950101353</v>
      </c>
      <c r="C92" s="34">
        <f t="shared" si="84"/>
        <v>19103.481636207162</v>
      </c>
      <c r="D92" s="34">
        <f t="shared" ref="D92:V92" si="97">IF(D10=0,0,D10*1000000/D30)</f>
        <v>17992.315353068469</v>
      </c>
      <c r="E92" s="34">
        <f t="shared" si="97"/>
        <v>18317.137198429828</v>
      </c>
      <c r="F92" s="34">
        <f t="shared" si="97"/>
        <v>16591.421485972769</v>
      </c>
      <c r="G92" s="34">
        <f t="shared" si="97"/>
        <v>17243.141760097198</v>
      </c>
      <c r="H92" s="34">
        <f t="shared" si="97"/>
        <v>15716.651534585402</v>
      </c>
      <c r="I92" s="34">
        <f t="shared" si="97"/>
        <v>16301.565863051668</v>
      </c>
      <c r="J92" s="34">
        <f t="shared" si="97"/>
        <v>15495.833888857505</v>
      </c>
      <c r="K92" s="34">
        <f t="shared" si="97"/>
        <v>16058.620429925342</v>
      </c>
      <c r="L92" s="34">
        <f t="shared" si="97"/>
        <v>16562.42066033091</v>
      </c>
      <c r="M92" s="34">
        <f t="shared" si="97"/>
        <v>17470.843204543453</v>
      </c>
      <c r="N92" s="34">
        <f t="shared" si="97"/>
        <v>18654.822419567976</v>
      </c>
      <c r="O92" s="34">
        <f t="shared" si="97"/>
        <v>18554.116057199375</v>
      </c>
      <c r="P92" s="34">
        <f t="shared" si="97"/>
        <v>21628.589393299444</v>
      </c>
      <c r="Q92" s="34">
        <f t="shared" si="97"/>
        <v>22151.79469598689</v>
      </c>
      <c r="R92" s="34">
        <f t="shared" si="97"/>
        <v>24361.340849914119</v>
      </c>
      <c r="S92" s="34">
        <f t="shared" si="97"/>
        <v>23089.488866475887</v>
      </c>
      <c r="T92" s="34">
        <f t="shared" si="97"/>
        <v>22864.853723716606</v>
      </c>
      <c r="U92" s="34">
        <f t="shared" si="97"/>
        <v>24148.943978434021</v>
      </c>
      <c r="V92" s="34">
        <f t="shared" si="97"/>
        <v>19867.083910922978</v>
      </c>
      <c r="W92" s="34">
        <f t="shared" ref="W92:Y92" si="98">IF(W10=0,0,W10*1000000/W30)</f>
        <v>21294.962471673098</v>
      </c>
      <c r="X92" s="34">
        <f t="shared" si="98"/>
        <v>23527.7069665659</v>
      </c>
      <c r="Y92" s="34">
        <f t="shared" si="98"/>
        <v>22692.994787150561</v>
      </c>
      <c r="DA92" s="196" t="s">
        <v>265</v>
      </c>
    </row>
    <row r="93" spans="1:105" ht="11.45" customHeight="1" x14ac:dyDescent="0.25">
      <c r="A93" s="38" t="s">
        <v>182</v>
      </c>
      <c r="B93" s="35">
        <f t="shared" si="84"/>
        <v>185310.1220042659</v>
      </c>
      <c r="C93" s="35">
        <f t="shared" si="84"/>
        <v>194190.28915355384</v>
      </c>
      <c r="D93" s="35">
        <f t="shared" ref="D93:V93" si="99">IF(D11=0,0,D11*1000000/D31)</f>
        <v>183350.34838121981</v>
      </c>
      <c r="E93" s="35">
        <f t="shared" si="99"/>
        <v>166597.08788695524</v>
      </c>
      <c r="F93" s="35">
        <f t="shared" si="99"/>
        <v>161695.41527251442</v>
      </c>
      <c r="G93" s="35">
        <f t="shared" si="99"/>
        <v>152413.18081425919</v>
      </c>
      <c r="H93" s="35">
        <f t="shared" si="99"/>
        <v>188291.17125218315</v>
      </c>
      <c r="I93" s="35">
        <f t="shared" si="99"/>
        <v>231188.6907638704</v>
      </c>
      <c r="J93" s="35">
        <f t="shared" si="99"/>
        <v>269295.4809922956</v>
      </c>
      <c r="K93" s="35">
        <f t="shared" si="99"/>
        <v>341432.6770134847</v>
      </c>
      <c r="L93" s="35">
        <f t="shared" si="99"/>
        <v>390647.15942389675</v>
      </c>
      <c r="M93" s="35">
        <f t="shared" si="99"/>
        <v>352846.69113896595</v>
      </c>
      <c r="N93" s="35">
        <f t="shared" si="99"/>
        <v>331531.14346482145</v>
      </c>
      <c r="O93" s="35">
        <f t="shared" si="99"/>
        <v>324750.49094160384</v>
      </c>
      <c r="P93" s="35">
        <f t="shared" si="99"/>
        <v>384966.18051332934</v>
      </c>
      <c r="Q93" s="35">
        <f t="shared" si="99"/>
        <v>392629.24557692261</v>
      </c>
      <c r="R93" s="35">
        <f t="shared" si="99"/>
        <v>452809.3301997598</v>
      </c>
      <c r="S93" s="35">
        <f t="shared" si="99"/>
        <v>450715.40991975099</v>
      </c>
      <c r="T93" s="35">
        <f t="shared" si="99"/>
        <v>433975.83434373257</v>
      </c>
      <c r="U93" s="35">
        <f t="shared" si="99"/>
        <v>647528.38366361707</v>
      </c>
      <c r="V93" s="35">
        <f t="shared" si="99"/>
        <v>180011.72127453281</v>
      </c>
      <c r="W93" s="35">
        <f t="shared" ref="W93:Y93" si="100">IF(W11=0,0,W11*1000000/W31)</f>
        <v>217599.07189822485</v>
      </c>
      <c r="X93" s="35">
        <f t="shared" si="100"/>
        <v>525329.82843928691</v>
      </c>
      <c r="Y93" s="35">
        <f t="shared" si="100"/>
        <v>708532.69827307272</v>
      </c>
      <c r="DA93" s="197" t="s">
        <v>266</v>
      </c>
    </row>
    <row r="94" spans="1:105" x14ac:dyDescent="0.25">
      <c r="A94" s="50"/>
      <c r="B94" s="50"/>
      <c r="C94" s="50"/>
      <c r="D94" s="51"/>
      <c r="E94" s="51"/>
      <c r="F94" s="51"/>
      <c r="G94" s="51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DA94" s="181"/>
    </row>
    <row r="95" spans="1:105" ht="11.45" customHeight="1" x14ac:dyDescent="0.25">
      <c r="A95" s="53" t="s">
        <v>89</v>
      </c>
      <c r="B95" s="62">
        <f t="shared" ref="B95:C95" si="101">IF(B23=0,0,B23/B43)</f>
        <v>1256.8203646640336</v>
      </c>
      <c r="C95" s="62">
        <f t="shared" si="101"/>
        <v>1257.5097592086156</v>
      </c>
      <c r="D95" s="62">
        <f t="shared" ref="D95:V95" si="102">IF(D23=0,0,D23/D43)</f>
        <v>1313.8238415357548</v>
      </c>
      <c r="E95" s="62">
        <f t="shared" si="102"/>
        <v>1298.8073106127513</v>
      </c>
      <c r="F95" s="62">
        <f t="shared" si="102"/>
        <v>1211.1290805657407</v>
      </c>
      <c r="G95" s="62">
        <f t="shared" si="102"/>
        <v>1212.0825497060396</v>
      </c>
      <c r="H95" s="62">
        <f t="shared" si="102"/>
        <v>1201.0917209428542</v>
      </c>
      <c r="I95" s="62">
        <f t="shared" si="102"/>
        <v>1195.02351009224</v>
      </c>
      <c r="J95" s="62">
        <f t="shared" si="102"/>
        <v>1209.4234523302957</v>
      </c>
      <c r="K95" s="62">
        <f t="shared" si="102"/>
        <v>1175.3720806434851</v>
      </c>
      <c r="L95" s="62">
        <f t="shared" si="102"/>
        <v>1210.6117964875555</v>
      </c>
      <c r="M95" s="62">
        <f t="shared" si="102"/>
        <v>1253.8715945264335</v>
      </c>
      <c r="N95" s="62">
        <f t="shared" si="102"/>
        <v>1311.2982158429627</v>
      </c>
      <c r="O95" s="62">
        <f t="shared" si="102"/>
        <v>1250.8021763165843</v>
      </c>
      <c r="P95" s="62">
        <f t="shared" si="102"/>
        <v>1227.130257249753</v>
      </c>
      <c r="Q95" s="62">
        <f t="shared" si="102"/>
        <v>1203.9161242065868</v>
      </c>
      <c r="R95" s="62">
        <f t="shared" si="102"/>
        <v>1181.5652786677558</v>
      </c>
      <c r="S95" s="62">
        <f t="shared" si="102"/>
        <v>1223.8065645508477</v>
      </c>
      <c r="T95" s="62">
        <f t="shared" si="102"/>
        <v>1157.7126775902823</v>
      </c>
      <c r="U95" s="62">
        <f t="shared" si="102"/>
        <v>1162.834811731992</v>
      </c>
      <c r="V95" s="62">
        <f t="shared" si="102"/>
        <v>480.29718974558307</v>
      </c>
      <c r="W95" s="62">
        <f t="shared" ref="W95:Y95" si="103">IF(W23=0,0,W23/W43)</f>
        <v>586.79292446303873</v>
      </c>
      <c r="X95" s="62">
        <f t="shared" si="103"/>
        <v>1006.2985392928713</v>
      </c>
      <c r="Y95" s="62">
        <f t="shared" si="103"/>
        <v>1080.8890434947448</v>
      </c>
      <c r="DA95" s="172" t="s">
        <v>267</v>
      </c>
    </row>
    <row r="96" spans="1:105" ht="11.45" customHeight="1" x14ac:dyDescent="0.25">
      <c r="A96" s="10" t="s">
        <v>33</v>
      </c>
      <c r="B96" s="11">
        <f t="shared" ref="B96:C103" si="104">IF(B24=0,0,B24/B44)</f>
        <v>1258.0017937869129</v>
      </c>
      <c r="C96" s="11">
        <f t="shared" si="104"/>
        <v>1260.4391120575578</v>
      </c>
      <c r="D96" s="11">
        <f t="shared" ref="D96:V96" si="105">IF(D24=0,0,D24/D44)</f>
        <v>1315.6485930571557</v>
      </c>
      <c r="E96" s="11">
        <f t="shared" si="105"/>
        <v>1300.4887630836918</v>
      </c>
      <c r="F96" s="11">
        <f t="shared" si="105"/>
        <v>1213.418350345521</v>
      </c>
      <c r="G96" s="11">
        <f t="shared" si="105"/>
        <v>1213.8643135666623</v>
      </c>
      <c r="H96" s="11">
        <f t="shared" si="105"/>
        <v>1202.082550169966</v>
      </c>
      <c r="I96" s="11">
        <f t="shared" si="105"/>
        <v>1196.6632677580985</v>
      </c>
      <c r="J96" s="11">
        <f t="shared" si="105"/>
        <v>1211.8591038184197</v>
      </c>
      <c r="K96" s="11">
        <f t="shared" si="105"/>
        <v>1177.7810923743577</v>
      </c>
      <c r="L96" s="11">
        <f t="shared" si="105"/>
        <v>1215.1853027154341</v>
      </c>
      <c r="M96" s="11">
        <f t="shared" si="105"/>
        <v>1258.1595901105977</v>
      </c>
      <c r="N96" s="11">
        <f t="shared" si="105"/>
        <v>1316.3755579686738</v>
      </c>
      <c r="O96" s="11">
        <f t="shared" si="105"/>
        <v>1255.2492920365253</v>
      </c>
      <c r="P96" s="11">
        <f t="shared" si="105"/>
        <v>1233.8094443639491</v>
      </c>
      <c r="Q96" s="11">
        <f t="shared" si="105"/>
        <v>1210.6060746551234</v>
      </c>
      <c r="R96" s="11">
        <f t="shared" si="105"/>
        <v>1188.9387185195849</v>
      </c>
      <c r="S96" s="11">
        <f t="shared" si="105"/>
        <v>1232.6242537729368</v>
      </c>
      <c r="T96" s="11">
        <f t="shared" si="105"/>
        <v>1164.597811869111</v>
      </c>
      <c r="U96" s="11">
        <f t="shared" si="105"/>
        <v>1172.2262839733273</v>
      </c>
      <c r="V96" s="11">
        <f t="shared" si="105"/>
        <v>477.13812693218966</v>
      </c>
      <c r="W96" s="11">
        <f t="shared" ref="W96:Y96" si="106">IF(W24=0,0,W24/W44)</f>
        <v>583.50845979772282</v>
      </c>
      <c r="X96" s="11">
        <f t="shared" si="106"/>
        <v>1015.1736704290944</v>
      </c>
      <c r="Y96" s="11">
        <f t="shared" si="106"/>
        <v>1094.8944283442841</v>
      </c>
      <c r="DA96" s="189" t="s">
        <v>268</v>
      </c>
    </row>
    <row r="97" spans="1:105" ht="11.45" customHeight="1" x14ac:dyDescent="0.25">
      <c r="A97" s="37" t="s">
        <v>27</v>
      </c>
      <c r="B97" s="36">
        <f t="shared" si="104"/>
        <v>2351</v>
      </c>
      <c r="C97" s="36">
        <f t="shared" si="104"/>
        <v>2351</v>
      </c>
      <c r="D97" s="36">
        <f t="shared" ref="D97:V97" si="107">IF(D25=0,0,D25/D45)</f>
        <v>2351</v>
      </c>
      <c r="E97" s="36">
        <f t="shared" si="107"/>
        <v>2351</v>
      </c>
      <c r="F97" s="36">
        <f t="shared" si="107"/>
        <v>1907.6996693121691</v>
      </c>
      <c r="G97" s="36">
        <f t="shared" si="107"/>
        <v>2077.5511944164627</v>
      </c>
      <c r="H97" s="36">
        <f t="shared" si="107"/>
        <v>2280.1509940044175</v>
      </c>
      <c r="I97" s="36">
        <f t="shared" si="107"/>
        <v>2361</v>
      </c>
      <c r="J97" s="36">
        <f t="shared" si="107"/>
        <v>2362</v>
      </c>
      <c r="K97" s="36">
        <f t="shared" si="107"/>
        <v>2366</v>
      </c>
      <c r="L97" s="36">
        <f t="shared" si="107"/>
        <v>2339</v>
      </c>
      <c r="M97" s="36">
        <f t="shared" si="107"/>
        <v>2331</v>
      </c>
      <c r="N97" s="36">
        <f t="shared" si="107"/>
        <v>2310</v>
      </c>
      <c r="O97" s="36">
        <f t="shared" si="107"/>
        <v>1862.4092252001012</v>
      </c>
      <c r="P97" s="36">
        <f t="shared" si="107"/>
        <v>2043.5405656249877</v>
      </c>
      <c r="Q97" s="36">
        <f t="shared" si="107"/>
        <v>2106.1699499398842</v>
      </c>
      <c r="R97" s="36">
        <f t="shared" si="107"/>
        <v>2342.1559906719031</v>
      </c>
      <c r="S97" s="36">
        <f t="shared" si="107"/>
        <v>2366</v>
      </c>
      <c r="T97" s="36">
        <f t="shared" si="107"/>
        <v>2342.7879903224971</v>
      </c>
      <c r="U97" s="36">
        <f t="shared" si="107"/>
        <v>2378</v>
      </c>
      <c r="V97" s="36">
        <f t="shared" si="107"/>
        <v>1234.5126730247378</v>
      </c>
      <c r="W97" s="36">
        <f t="shared" ref="W97:Y97" si="108">IF(W25=0,0,W25/W45)</f>
        <v>1248.6604327919906</v>
      </c>
      <c r="X97" s="36">
        <f t="shared" si="108"/>
        <v>2363.312891638283</v>
      </c>
      <c r="Y97" s="36">
        <f t="shared" si="108"/>
        <v>2361</v>
      </c>
      <c r="DA97" s="198" t="s">
        <v>269</v>
      </c>
    </row>
    <row r="98" spans="1:105" ht="11.45" customHeight="1" x14ac:dyDescent="0.25">
      <c r="A98" s="37" t="s">
        <v>181</v>
      </c>
      <c r="B98" s="36">
        <f t="shared" si="104"/>
        <v>1390.5543857881066</v>
      </c>
      <c r="C98" s="36">
        <f t="shared" si="104"/>
        <v>1390.5551018390686</v>
      </c>
      <c r="D98" s="36">
        <f t="shared" ref="D98:V98" si="109">IF(D26=0,0,D26/D46)</f>
        <v>1390.5549359512288</v>
      </c>
      <c r="E98" s="36">
        <f t="shared" si="109"/>
        <v>1390.554047689204</v>
      </c>
      <c r="F98" s="36">
        <f t="shared" si="109"/>
        <v>1390.5544143030106</v>
      </c>
      <c r="G98" s="36">
        <f t="shared" si="109"/>
        <v>1368.9892511658866</v>
      </c>
      <c r="H98" s="36">
        <f t="shared" si="109"/>
        <v>1336.1777819033814</v>
      </c>
      <c r="I98" s="36">
        <f t="shared" si="109"/>
        <v>1309.9137804044237</v>
      </c>
      <c r="J98" s="36">
        <f t="shared" si="109"/>
        <v>1316.3735854048098</v>
      </c>
      <c r="K98" s="36">
        <f t="shared" si="109"/>
        <v>1258.7077240010231</v>
      </c>
      <c r="L98" s="36">
        <f t="shared" si="109"/>
        <v>1268.5369049935985</v>
      </c>
      <c r="M98" s="36">
        <f t="shared" si="109"/>
        <v>1306.874499184823</v>
      </c>
      <c r="N98" s="36">
        <f t="shared" si="109"/>
        <v>1322.1066204936885</v>
      </c>
      <c r="O98" s="36">
        <f t="shared" si="109"/>
        <v>1325.5496077512389</v>
      </c>
      <c r="P98" s="36">
        <f t="shared" si="109"/>
        <v>1315.8848890107402</v>
      </c>
      <c r="Q98" s="36">
        <f t="shared" si="109"/>
        <v>1303.0009230718665</v>
      </c>
      <c r="R98" s="36">
        <f t="shared" si="109"/>
        <v>1288.1540332163033</v>
      </c>
      <c r="S98" s="36">
        <f t="shared" si="109"/>
        <v>1281.2338498624595</v>
      </c>
      <c r="T98" s="36">
        <f t="shared" si="109"/>
        <v>1282.0482964672269</v>
      </c>
      <c r="U98" s="36">
        <f t="shared" si="109"/>
        <v>1298.9280235005954</v>
      </c>
      <c r="V98" s="36">
        <f t="shared" si="109"/>
        <v>510.5404216784616</v>
      </c>
      <c r="W98" s="36">
        <f t="shared" ref="W98:Y98" si="110">IF(W26=0,0,W26/W46)</f>
        <v>623.71596650274921</v>
      </c>
      <c r="X98" s="36">
        <f t="shared" si="110"/>
        <v>1148.9833979241275</v>
      </c>
      <c r="Y98" s="36">
        <f t="shared" si="110"/>
        <v>1244.9005483174124</v>
      </c>
      <c r="DA98" s="198" t="s">
        <v>270</v>
      </c>
    </row>
    <row r="99" spans="1:105" ht="11.45" customHeight="1" x14ac:dyDescent="0.25">
      <c r="A99" s="37" t="s">
        <v>182</v>
      </c>
      <c r="B99" s="36">
        <f t="shared" si="104"/>
        <v>459</v>
      </c>
      <c r="C99" s="36">
        <f t="shared" si="104"/>
        <v>459</v>
      </c>
      <c r="D99" s="36">
        <f t="shared" ref="D99:V99" si="111">IF(D27=0,0,D27/D47)</f>
        <v>459.00000000000006</v>
      </c>
      <c r="E99" s="36">
        <f t="shared" si="111"/>
        <v>459.00000000000006</v>
      </c>
      <c r="F99" s="36">
        <f t="shared" si="111"/>
        <v>459</v>
      </c>
      <c r="G99" s="36">
        <f t="shared" si="111"/>
        <v>457.99999999999994</v>
      </c>
      <c r="H99" s="36">
        <f t="shared" si="111"/>
        <v>484</v>
      </c>
      <c r="I99" s="36">
        <f t="shared" si="111"/>
        <v>505</v>
      </c>
      <c r="J99" s="36">
        <f t="shared" si="111"/>
        <v>532</v>
      </c>
      <c r="K99" s="36">
        <f t="shared" si="111"/>
        <v>538.00197953327188</v>
      </c>
      <c r="L99" s="36">
        <f t="shared" si="111"/>
        <v>624</v>
      </c>
      <c r="M99" s="36">
        <f t="shared" si="111"/>
        <v>650</v>
      </c>
      <c r="N99" s="36">
        <f t="shared" si="111"/>
        <v>657</v>
      </c>
      <c r="O99" s="36">
        <f t="shared" si="111"/>
        <v>634.59046067938573</v>
      </c>
      <c r="P99" s="36">
        <f t="shared" si="111"/>
        <v>633</v>
      </c>
      <c r="Q99" s="36">
        <f t="shared" si="111"/>
        <v>636</v>
      </c>
      <c r="R99" s="36">
        <f t="shared" si="111"/>
        <v>459.57562695227438</v>
      </c>
      <c r="S99" s="36">
        <f t="shared" si="111"/>
        <v>604</v>
      </c>
      <c r="T99" s="36">
        <f t="shared" si="111"/>
        <v>625</v>
      </c>
      <c r="U99" s="36">
        <f t="shared" si="111"/>
        <v>633</v>
      </c>
      <c r="V99" s="36">
        <f t="shared" si="111"/>
        <v>237.79620459310846</v>
      </c>
      <c r="W99" s="36">
        <f t="shared" ref="W99:Y99" si="112">IF(W27=0,0,W27/W47)</f>
        <v>354.54727099272424</v>
      </c>
      <c r="X99" s="36">
        <f t="shared" si="112"/>
        <v>450.48466498690721</v>
      </c>
      <c r="Y99" s="36">
        <f t="shared" si="112"/>
        <v>532</v>
      </c>
      <c r="DA99" s="198" t="s">
        <v>271</v>
      </c>
    </row>
    <row r="100" spans="1:105" ht="11.45" customHeight="1" x14ac:dyDescent="0.25">
      <c r="A100" s="12" t="s">
        <v>34</v>
      </c>
      <c r="B100" s="13">
        <f t="shared" si="104"/>
        <v>1163.8046133710791</v>
      </c>
      <c r="C100" s="13">
        <f t="shared" si="104"/>
        <v>1008.9344544820181</v>
      </c>
      <c r="D100" s="13">
        <f t="shared" ref="D100:V100" si="113">IF(D28=0,0,D28/D48)</f>
        <v>1149.0274925664642</v>
      </c>
      <c r="E100" s="13">
        <f t="shared" si="113"/>
        <v>1140.2676314484061</v>
      </c>
      <c r="F100" s="13">
        <f t="shared" si="113"/>
        <v>982.54754534041592</v>
      </c>
      <c r="G100" s="13">
        <f t="shared" si="113"/>
        <v>1019.0254236659587</v>
      </c>
      <c r="H100" s="13">
        <f t="shared" si="113"/>
        <v>1112.6754009136341</v>
      </c>
      <c r="I100" s="13">
        <f t="shared" si="113"/>
        <v>1070.4508947342888</v>
      </c>
      <c r="J100" s="13">
        <f t="shared" si="113"/>
        <v>1047.4099805956646</v>
      </c>
      <c r="K100" s="13">
        <f t="shared" si="113"/>
        <v>1031.0450322576478</v>
      </c>
      <c r="L100" s="13">
        <f t="shared" si="113"/>
        <v>951.74258826499567</v>
      </c>
      <c r="M100" s="13">
        <f t="shared" si="113"/>
        <v>1002.5014278938911</v>
      </c>
      <c r="N100" s="13">
        <f t="shared" si="113"/>
        <v>1007.4374534765541</v>
      </c>
      <c r="O100" s="13">
        <f t="shared" si="113"/>
        <v>990.4595951594232</v>
      </c>
      <c r="P100" s="13">
        <f t="shared" si="113"/>
        <v>847.93895370031612</v>
      </c>
      <c r="Q100" s="13">
        <f t="shared" si="113"/>
        <v>825.86071306155623</v>
      </c>
      <c r="R100" s="13">
        <f t="shared" si="113"/>
        <v>749.64539673861771</v>
      </c>
      <c r="S100" s="13">
        <f t="shared" si="113"/>
        <v>732.60502267552386</v>
      </c>
      <c r="T100" s="13">
        <f t="shared" si="113"/>
        <v>741.03319742738961</v>
      </c>
      <c r="U100" s="13">
        <f t="shared" si="113"/>
        <v>664.99841733139192</v>
      </c>
      <c r="V100" s="13">
        <f t="shared" si="113"/>
        <v>638.07181131377365</v>
      </c>
      <c r="W100" s="13">
        <f t="shared" ref="W100:Y100" si="114">IF(W28=0,0,W28/W48)</f>
        <v>730.15443377712381</v>
      </c>
      <c r="X100" s="13">
        <f t="shared" si="114"/>
        <v>689.67852433327414</v>
      </c>
      <c r="Y100" s="13">
        <f t="shared" si="114"/>
        <v>575.87803471793234</v>
      </c>
      <c r="DA100" s="193" t="s">
        <v>272</v>
      </c>
    </row>
    <row r="101" spans="1:105" ht="11.45" customHeight="1" x14ac:dyDescent="0.25">
      <c r="A101" s="42" t="s">
        <v>27</v>
      </c>
      <c r="B101" s="34">
        <f t="shared" si="104"/>
        <v>1482</v>
      </c>
      <c r="C101" s="34">
        <f t="shared" si="104"/>
        <v>1271.849957374254</v>
      </c>
      <c r="D101" s="34">
        <f t="shared" ref="D101:V101" si="115">IF(D29=0,0,D29/D49)</f>
        <v>1482</v>
      </c>
      <c r="E101" s="34">
        <f t="shared" si="115"/>
        <v>1482</v>
      </c>
      <c r="F101" s="34">
        <f t="shared" si="115"/>
        <v>1246.3072227873856</v>
      </c>
      <c r="G101" s="34">
        <f t="shared" si="115"/>
        <v>1152.9241594996092</v>
      </c>
      <c r="H101" s="34">
        <f t="shared" si="115"/>
        <v>1479</v>
      </c>
      <c r="I101" s="34">
        <f t="shared" si="115"/>
        <v>1476</v>
      </c>
      <c r="J101" s="34">
        <f t="shared" si="115"/>
        <v>1470.9999999999998</v>
      </c>
      <c r="K101" s="34">
        <f t="shared" si="115"/>
        <v>1466.9999999999998</v>
      </c>
      <c r="L101" s="34">
        <f t="shared" si="115"/>
        <v>1308.5896498357881</v>
      </c>
      <c r="M101" s="34">
        <f t="shared" si="115"/>
        <v>1407.76794545592</v>
      </c>
      <c r="N101" s="34">
        <f t="shared" si="115"/>
        <v>1398.6366137501168</v>
      </c>
      <c r="O101" s="34">
        <f t="shared" si="115"/>
        <v>1299.9434003797919</v>
      </c>
      <c r="P101" s="34">
        <f t="shared" si="115"/>
        <v>816.6845321277907</v>
      </c>
      <c r="Q101" s="34">
        <f t="shared" si="115"/>
        <v>669.76396000073908</v>
      </c>
      <c r="R101" s="34">
        <f t="shared" si="115"/>
        <v>378.52346539441373</v>
      </c>
      <c r="S101" s="34">
        <f t="shared" si="115"/>
        <v>147.95035532377946</v>
      </c>
      <c r="T101" s="34">
        <f t="shared" si="115"/>
        <v>155.15330417132921</v>
      </c>
      <c r="U101" s="34">
        <f t="shared" si="115"/>
        <v>222.80937436551889</v>
      </c>
      <c r="V101" s="34">
        <f t="shared" si="115"/>
        <v>71.212433222037959</v>
      </c>
      <c r="W101" s="34">
        <f t="shared" ref="W101:Y101" si="116">IF(W29=0,0,W29/W49)</f>
        <v>80.382722485418981</v>
      </c>
      <c r="X101" s="34">
        <f t="shared" si="116"/>
        <v>131.11672059073723</v>
      </c>
      <c r="Y101" s="34">
        <f t="shared" si="116"/>
        <v>108.04680301643283</v>
      </c>
      <c r="DA101" s="196" t="s">
        <v>273</v>
      </c>
    </row>
    <row r="102" spans="1:105" ht="11.45" customHeight="1" x14ac:dyDescent="0.25">
      <c r="A102" s="42" t="s">
        <v>181</v>
      </c>
      <c r="B102" s="34">
        <f t="shared" si="104"/>
        <v>1171.9757841100034</v>
      </c>
      <c r="C102" s="34">
        <f t="shared" si="104"/>
        <v>992.56981617657664</v>
      </c>
      <c r="D102" s="34">
        <f t="shared" ref="D102:V102" si="117">IF(D30=0,0,D30/D50)</f>
        <v>1170.332465400254</v>
      </c>
      <c r="E102" s="34">
        <f t="shared" si="117"/>
        <v>1171.3094434527723</v>
      </c>
      <c r="F102" s="34">
        <f t="shared" si="117"/>
        <v>994.5295132947615</v>
      </c>
      <c r="G102" s="34">
        <f t="shared" si="117"/>
        <v>1128.9064331389927</v>
      </c>
      <c r="H102" s="34">
        <f t="shared" si="117"/>
        <v>1127.5659685185321</v>
      </c>
      <c r="I102" s="34">
        <f t="shared" si="117"/>
        <v>1104.5395120673438</v>
      </c>
      <c r="J102" s="34">
        <f t="shared" si="117"/>
        <v>1084.8510481576664</v>
      </c>
      <c r="K102" s="34">
        <f t="shared" si="117"/>
        <v>1108.6875526638678</v>
      </c>
      <c r="L102" s="34">
        <f t="shared" si="117"/>
        <v>1098.9973812401438</v>
      </c>
      <c r="M102" s="34">
        <f t="shared" si="117"/>
        <v>1119.5920234213377</v>
      </c>
      <c r="N102" s="34">
        <f t="shared" si="117"/>
        <v>1130.9590511266172</v>
      </c>
      <c r="O102" s="34">
        <f t="shared" si="117"/>
        <v>1136.5367355819531</v>
      </c>
      <c r="P102" s="34">
        <f t="shared" si="117"/>
        <v>1128.4972477631975</v>
      </c>
      <c r="Q102" s="34">
        <f t="shared" si="117"/>
        <v>1130.7903947523009</v>
      </c>
      <c r="R102" s="34">
        <f t="shared" si="117"/>
        <v>1100.0289965356833</v>
      </c>
      <c r="S102" s="34">
        <f t="shared" si="117"/>
        <v>1115.1329674732062</v>
      </c>
      <c r="T102" s="34">
        <f t="shared" si="117"/>
        <v>1106.1893239575702</v>
      </c>
      <c r="U102" s="34">
        <f t="shared" si="117"/>
        <v>1110.0752163254972</v>
      </c>
      <c r="V102" s="34">
        <f t="shared" si="117"/>
        <v>1104.1930494445287</v>
      </c>
      <c r="W102" s="34">
        <f t="shared" ref="W102:Y102" si="118">IF(W30=0,0,W30/W50)</f>
        <v>1086.3619744796881</v>
      </c>
      <c r="X102" s="34">
        <f t="shared" si="118"/>
        <v>1056.6602513684797</v>
      </c>
      <c r="Y102" s="34">
        <f t="shared" si="118"/>
        <v>927.80723391267463</v>
      </c>
      <c r="DA102" s="196" t="s">
        <v>274</v>
      </c>
    </row>
    <row r="103" spans="1:105" ht="11.45" customHeight="1" x14ac:dyDescent="0.25">
      <c r="A103" s="38" t="s">
        <v>182</v>
      </c>
      <c r="B103" s="35">
        <f t="shared" si="104"/>
        <v>712</v>
      </c>
      <c r="C103" s="35">
        <f t="shared" si="104"/>
        <v>712</v>
      </c>
      <c r="D103" s="35">
        <f t="shared" ref="D103:V103" si="119">IF(D31=0,0,D31/D51)</f>
        <v>712</v>
      </c>
      <c r="E103" s="35">
        <f t="shared" si="119"/>
        <v>712</v>
      </c>
      <c r="F103" s="35">
        <f t="shared" si="119"/>
        <v>712</v>
      </c>
      <c r="G103" s="35">
        <f t="shared" si="119"/>
        <v>711</v>
      </c>
      <c r="H103" s="35">
        <f t="shared" si="119"/>
        <v>615</v>
      </c>
      <c r="I103" s="35">
        <f t="shared" si="119"/>
        <v>533</v>
      </c>
      <c r="J103" s="35">
        <f t="shared" si="119"/>
        <v>473</v>
      </c>
      <c r="K103" s="35">
        <f t="shared" si="119"/>
        <v>335.65231620113559</v>
      </c>
      <c r="L103" s="35">
        <f t="shared" si="119"/>
        <v>397.99999999999994</v>
      </c>
      <c r="M103" s="35">
        <f t="shared" si="119"/>
        <v>437</v>
      </c>
      <c r="N103" s="35">
        <f t="shared" si="119"/>
        <v>431.67241241623321</v>
      </c>
      <c r="O103" s="35">
        <f t="shared" si="119"/>
        <v>459</v>
      </c>
      <c r="P103" s="35">
        <f t="shared" si="119"/>
        <v>451</v>
      </c>
      <c r="Q103" s="35">
        <f t="shared" si="119"/>
        <v>447.00000000000006</v>
      </c>
      <c r="R103" s="35">
        <f t="shared" si="119"/>
        <v>431</v>
      </c>
      <c r="S103" s="35">
        <f t="shared" si="119"/>
        <v>421</v>
      </c>
      <c r="T103" s="35">
        <f t="shared" si="119"/>
        <v>425</v>
      </c>
      <c r="U103" s="35">
        <f t="shared" si="119"/>
        <v>320</v>
      </c>
      <c r="V103" s="35">
        <f t="shared" si="119"/>
        <v>240.37613816196875</v>
      </c>
      <c r="W103" s="35">
        <f t="shared" ref="W103:Y103" si="120">IF(W31=0,0,W31/W51)</f>
        <v>351.68609347951525</v>
      </c>
      <c r="X103" s="35">
        <f t="shared" si="120"/>
        <v>293</v>
      </c>
      <c r="Y103" s="35">
        <f t="shared" si="120"/>
        <v>244.00000000000003</v>
      </c>
      <c r="DA103" s="197" t="s">
        <v>275</v>
      </c>
    </row>
    <row r="104" spans="1:105" x14ac:dyDescent="0.25">
      <c r="A104" s="50"/>
      <c r="B104" s="50"/>
      <c r="C104" s="50"/>
      <c r="D104" s="51"/>
      <c r="E104" s="51"/>
      <c r="F104" s="51"/>
      <c r="G104" s="51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X104" s="51"/>
      <c r="Y104" s="51"/>
      <c r="DA104" s="181"/>
    </row>
    <row r="105" spans="1:105" ht="11.45" customHeight="1" x14ac:dyDescent="0.25">
      <c r="A105" s="53" t="s">
        <v>37</v>
      </c>
      <c r="B105" s="76"/>
      <c r="C105" s="76"/>
      <c r="D105" s="76"/>
      <c r="E105" s="76"/>
      <c r="F105" s="76"/>
      <c r="G105" s="76"/>
      <c r="H105" s="76"/>
      <c r="I105" s="76"/>
      <c r="J105" s="76"/>
      <c r="K105" s="76"/>
      <c r="L105" s="76"/>
      <c r="M105" s="76"/>
      <c r="N105" s="76"/>
      <c r="O105" s="76"/>
      <c r="P105" s="76"/>
      <c r="Q105" s="76"/>
      <c r="R105" s="76"/>
      <c r="S105" s="76"/>
      <c r="T105" s="76"/>
      <c r="U105" s="76"/>
      <c r="V105" s="76"/>
      <c r="W105" s="76"/>
      <c r="X105" s="76"/>
      <c r="Y105" s="76"/>
      <c r="DA105" s="183"/>
    </row>
    <row r="106" spans="1:105" ht="11.45" customHeight="1" x14ac:dyDescent="0.25">
      <c r="A106" s="10" t="s">
        <v>38</v>
      </c>
      <c r="B106" s="16">
        <f t="shared" ref="B106:C106" si="121">IF(B4=0,0,B4/B$4)</f>
        <v>1</v>
      </c>
      <c r="C106" s="16">
        <f t="shared" si="121"/>
        <v>1</v>
      </c>
      <c r="D106" s="16">
        <f t="shared" ref="D106:V106" si="122">IF(D4=0,0,D4/D$4)</f>
        <v>1</v>
      </c>
      <c r="E106" s="16">
        <f t="shared" si="122"/>
        <v>1</v>
      </c>
      <c r="F106" s="16">
        <f t="shared" si="122"/>
        <v>1</v>
      </c>
      <c r="G106" s="16">
        <f t="shared" si="122"/>
        <v>1</v>
      </c>
      <c r="H106" s="16">
        <f t="shared" si="122"/>
        <v>1</v>
      </c>
      <c r="I106" s="16">
        <f t="shared" si="122"/>
        <v>1</v>
      </c>
      <c r="J106" s="16">
        <f t="shared" si="122"/>
        <v>1</v>
      </c>
      <c r="K106" s="16">
        <f t="shared" si="122"/>
        <v>1</v>
      </c>
      <c r="L106" s="16">
        <f t="shared" si="122"/>
        <v>1</v>
      </c>
      <c r="M106" s="16">
        <f t="shared" si="122"/>
        <v>1</v>
      </c>
      <c r="N106" s="16">
        <f t="shared" si="122"/>
        <v>1</v>
      </c>
      <c r="O106" s="16">
        <f t="shared" si="122"/>
        <v>1</v>
      </c>
      <c r="P106" s="16">
        <f t="shared" si="122"/>
        <v>1</v>
      </c>
      <c r="Q106" s="16">
        <f t="shared" si="122"/>
        <v>1</v>
      </c>
      <c r="R106" s="16">
        <f t="shared" si="122"/>
        <v>1</v>
      </c>
      <c r="S106" s="16">
        <f t="shared" si="122"/>
        <v>1</v>
      </c>
      <c r="T106" s="16">
        <f t="shared" si="122"/>
        <v>1</v>
      </c>
      <c r="U106" s="16">
        <f t="shared" si="122"/>
        <v>1</v>
      </c>
      <c r="V106" s="16">
        <f t="shared" si="122"/>
        <v>1</v>
      </c>
      <c r="W106" s="16">
        <f t="shared" ref="W106:Y106" si="123">IF(W4=0,0,W4/W$4)</f>
        <v>1</v>
      </c>
      <c r="X106" s="16">
        <f t="shared" si="123"/>
        <v>1</v>
      </c>
      <c r="Y106" s="16">
        <f t="shared" si="123"/>
        <v>1</v>
      </c>
      <c r="DA106" s="190"/>
    </row>
    <row r="107" spans="1:105" ht="11.45" customHeight="1" x14ac:dyDescent="0.25">
      <c r="A107" s="37" t="s">
        <v>27</v>
      </c>
      <c r="B107" s="43">
        <f t="shared" ref="B107:C107" si="124">IF(B5=0,0,B5/B$4)</f>
        <v>2.9098356715438287E-2</v>
      </c>
      <c r="C107" s="43">
        <f t="shared" si="124"/>
        <v>2.9259856474425375E-2</v>
      </c>
      <c r="D107" s="43">
        <f t="shared" ref="D107:V107" si="125">IF(D5=0,0,D5/D$4)</f>
        <v>3.9474817208183799E-2</v>
      </c>
      <c r="E107" s="43">
        <f t="shared" si="125"/>
        <v>3.7101238583884831E-2</v>
      </c>
      <c r="F107" s="43">
        <f t="shared" si="125"/>
        <v>2.8758625708524218E-2</v>
      </c>
      <c r="G107" s="43">
        <f t="shared" si="125"/>
        <v>2.5422427394143209E-2</v>
      </c>
      <c r="H107" s="43">
        <f t="shared" si="125"/>
        <v>2.1074931451713505E-2</v>
      </c>
      <c r="I107" s="43">
        <f t="shared" si="125"/>
        <v>2.1133341949516413E-2</v>
      </c>
      <c r="J107" s="43">
        <f t="shared" si="125"/>
        <v>1.6867843039824155E-2</v>
      </c>
      <c r="K107" s="43">
        <f t="shared" si="125"/>
        <v>1.8009107579176106E-2</v>
      </c>
      <c r="L107" s="43">
        <f t="shared" si="125"/>
        <v>1.9784182324085513E-2</v>
      </c>
      <c r="M107" s="43">
        <f t="shared" si="125"/>
        <v>2.4553308234005519E-2</v>
      </c>
      <c r="N107" s="43">
        <f t="shared" si="125"/>
        <v>3.9504793778032489E-2</v>
      </c>
      <c r="O107" s="43">
        <f t="shared" si="125"/>
        <v>2.5835393782049604E-2</v>
      </c>
      <c r="P107" s="43">
        <f t="shared" si="125"/>
        <v>2.8251609178153864E-2</v>
      </c>
      <c r="Q107" s="43">
        <f t="shared" si="125"/>
        <v>2.5557697828392536E-2</v>
      </c>
      <c r="R107" s="43">
        <f t="shared" si="125"/>
        <v>2.501807708512678E-2</v>
      </c>
      <c r="S107" s="43">
        <f t="shared" si="125"/>
        <v>2.5419225117299587E-2</v>
      </c>
      <c r="T107" s="43">
        <f t="shared" si="125"/>
        <v>1.8169421087763076E-2</v>
      </c>
      <c r="U107" s="43">
        <f t="shared" si="125"/>
        <v>1.7072477551042371E-2</v>
      </c>
      <c r="V107" s="43">
        <f t="shared" si="125"/>
        <v>1.9729246604154073E-2</v>
      </c>
      <c r="W107" s="43">
        <f t="shared" ref="W107:Y107" si="126">IF(W5=0,0,W5/W$4)</f>
        <v>1.544316850535863E-2</v>
      </c>
      <c r="X107" s="43">
        <f t="shared" si="126"/>
        <v>1.5765661623294146E-2</v>
      </c>
      <c r="Y107" s="43">
        <f t="shared" si="126"/>
        <v>1.4171791177336555E-2</v>
      </c>
      <c r="DA107" s="199"/>
    </row>
    <row r="108" spans="1:105" ht="11.45" customHeight="1" x14ac:dyDescent="0.25">
      <c r="A108" s="37" t="s">
        <v>181</v>
      </c>
      <c r="B108" s="43">
        <f t="shared" ref="B108:C108" si="127">IF(B6=0,0,B6/B$4)</f>
        <v>0.47710937042548957</v>
      </c>
      <c r="C108" s="43">
        <f t="shared" si="127"/>
        <v>0.47814751702973829</v>
      </c>
      <c r="D108" s="43">
        <f t="shared" ref="D108:V108" si="128">IF(D6=0,0,D6/D$4)</f>
        <v>0.47327404842962928</v>
      </c>
      <c r="E108" s="43">
        <f t="shared" si="128"/>
        <v>0.4704079335175127</v>
      </c>
      <c r="F108" s="43">
        <f t="shared" si="128"/>
        <v>0.46996225812221071</v>
      </c>
      <c r="G108" s="43">
        <f t="shared" si="128"/>
        <v>0.5043366104092748</v>
      </c>
      <c r="H108" s="43">
        <f t="shared" si="128"/>
        <v>0.53860286256947154</v>
      </c>
      <c r="I108" s="43">
        <f t="shared" si="128"/>
        <v>0.56859899220249832</v>
      </c>
      <c r="J108" s="43">
        <f t="shared" si="128"/>
        <v>0.53873931298707589</v>
      </c>
      <c r="K108" s="43">
        <f t="shared" si="128"/>
        <v>0.56285754927946297</v>
      </c>
      <c r="L108" s="43">
        <f t="shared" si="128"/>
        <v>0.5678553231261112</v>
      </c>
      <c r="M108" s="43">
        <f t="shared" si="128"/>
        <v>0.62357070653590296</v>
      </c>
      <c r="N108" s="43">
        <f t="shared" si="128"/>
        <v>0.60911133009788132</v>
      </c>
      <c r="O108" s="43">
        <f t="shared" si="128"/>
        <v>0.66482988884351579</v>
      </c>
      <c r="P108" s="43">
        <f t="shared" si="128"/>
        <v>0.64588580345695634</v>
      </c>
      <c r="Q108" s="43">
        <f t="shared" si="128"/>
        <v>0.69385972708149224</v>
      </c>
      <c r="R108" s="43">
        <f t="shared" si="128"/>
        <v>0.71554429852313906</v>
      </c>
      <c r="S108" s="43">
        <f t="shared" si="128"/>
        <v>0.67116209663823889</v>
      </c>
      <c r="T108" s="43">
        <f t="shared" si="128"/>
        <v>0.6298820861397203</v>
      </c>
      <c r="U108" s="43">
        <f t="shared" si="128"/>
        <v>0.58239393839033027</v>
      </c>
      <c r="V108" s="43">
        <f t="shared" si="128"/>
        <v>0.62845293898596144</v>
      </c>
      <c r="W108" s="43">
        <f t="shared" ref="W108:Y108" si="129">IF(W6=0,0,W6/W$4)</f>
        <v>0.56410675710258762</v>
      </c>
      <c r="X108" s="43">
        <f t="shared" si="129"/>
        <v>0.57710947412806624</v>
      </c>
      <c r="Y108" s="43">
        <f t="shared" si="129"/>
        <v>0.55490572541833239</v>
      </c>
      <c r="DA108" s="199"/>
    </row>
    <row r="109" spans="1:105" ht="11.45" customHeight="1" x14ac:dyDescent="0.25">
      <c r="A109" s="37" t="s">
        <v>182</v>
      </c>
      <c r="B109" s="43">
        <f t="shared" ref="B109:C109" si="130">IF(B7=0,0,B7/B$4)</f>
        <v>0.49379227285907229</v>
      </c>
      <c r="C109" s="43">
        <f t="shared" si="130"/>
        <v>0.49259262649583641</v>
      </c>
      <c r="D109" s="43">
        <f t="shared" ref="D109:V109" si="131">IF(D7=0,0,D7/D$4)</f>
        <v>0.48725113436218703</v>
      </c>
      <c r="E109" s="43">
        <f t="shared" si="131"/>
        <v>0.49249082789860249</v>
      </c>
      <c r="F109" s="43">
        <f t="shared" si="131"/>
        <v>0.50127911616926513</v>
      </c>
      <c r="G109" s="43">
        <f t="shared" si="131"/>
        <v>0.47024096219658196</v>
      </c>
      <c r="H109" s="43">
        <f t="shared" si="131"/>
        <v>0.44032220597881488</v>
      </c>
      <c r="I109" s="43">
        <f t="shared" si="131"/>
        <v>0.4102676658479853</v>
      </c>
      <c r="J109" s="43">
        <f t="shared" si="131"/>
        <v>0.44439284397310008</v>
      </c>
      <c r="K109" s="43">
        <f t="shared" si="131"/>
        <v>0.41913334314136091</v>
      </c>
      <c r="L109" s="43">
        <f t="shared" si="131"/>
        <v>0.41236049454980339</v>
      </c>
      <c r="M109" s="43">
        <f t="shared" si="131"/>
        <v>0.35187598523009145</v>
      </c>
      <c r="N109" s="43">
        <f t="shared" si="131"/>
        <v>0.35138387612408623</v>
      </c>
      <c r="O109" s="43">
        <f t="shared" si="131"/>
        <v>0.30933471737443474</v>
      </c>
      <c r="P109" s="43">
        <f t="shared" si="131"/>
        <v>0.32586258736488988</v>
      </c>
      <c r="Q109" s="43">
        <f t="shared" si="131"/>
        <v>0.28058257509011536</v>
      </c>
      <c r="R109" s="43">
        <f t="shared" si="131"/>
        <v>0.25943762439173412</v>
      </c>
      <c r="S109" s="43">
        <f t="shared" si="131"/>
        <v>0.30341867824446145</v>
      </c>
      <c r="T109" s="43">
        <f t="shared" si="131"/>
        <v>0.35194849277251661</v>
      </c>
      <c r="U109" s="43">
        <f t="shared" si="131"/>
        <v>0.40053358405862738</v>
      </c>
      <c r="V109" s="43">
        <f t="shared" si="131"/>
        <v>0.35181781440988452</v>
      </c>
      <c r="W109" s="43">
        <f t="shared" ref="W109:Y109" si="132">IF(W7=0,0,W7/W$4)</f>
        <v>0.42045007439205379</v>
      </c>
      <c r="X109" s="43">
        <f t="shared" si="132"/>
        <v>0.40712486424863975</v>
      </c>
      <c r="Y109" s="43">
        <f t="shared" si="132"/>
        <v>0.43092248340433104</v>
      </c>
      <c r="DA109" s="199"/>
    </row>
    <row r="110" spans="1:105" ht="11.45" customHeight="1" x14ac:dyDescent="0.25">
      <c r="A110" s="12" t="s">
        <v>39</v>
      </c>
      <c r="B110" s="17">
        <f t="shared" ref="B110:C110" si="133">IF(B8=0,0,B8/B$8)</f>
        <v>1</v>
      </c>
      <c r="C110" s="17">
        <f t="shared" si="133"/>
        <v>1</v>
      </c>
      <c r="D110" s="17">
        <f t="shared" ref="D110:V110" si="134">IF(D8=0,0,D8/D$8)</f>
        <v>1</v>
      </c>
      <c r="E110" s="17">
        <f t="shared" si="134"/>
        <v>1</v>
      </c>
      <c r="F110" s="17">
        <f t="shared" si="134"/>
        <v>1</v>
      </c>
      <c r="G110" s="17">
        <f t="shared" si="134"/>
        <v>1</v>
      </c>
      <c r="H110" s="17">
        <f t="shared" si="134"/>
        <v>1</v>
      </c>
      <c r="I110" s="17">
        <f t="shared" si="134"/>
        <v>1</v>
      </c>
      <c r="J110" s="17">
        <f t="shared" si="134"/>
        <v>1</v>
      </c>
      <c r="K110" s="17">
        <f t="shared" si="134"/>
        <v>1</v>
      </c>
      <c r="L110" s="17">
        <f t="shared" si="134"/>
        <v>1</v>
      </c>
      <c r="M110" s="17">
        <f t="shared" si="134"/>
        <v>1</v>
      </c>
      <c r="N110" s="17">
        <f t="shared" si="134"/>
        <v>1</v>
      </c>
      <c r="O110" s="17">
        <f t="shared" si="134"/>
        <v>1</v>
      </c>
      <c r="P110" s="17">
        <f t="shared" si="134"/>
        <v>1</v>
      </c>
      <c r="Q110" s="17">
        <f t="shared" si="134"/>
        <v>1</v>
      </c>
      <c r="R110" s="17">
        <f t="shared" si="134"/>
        <v>1</v>
      </c>
      <c r="S110" s="17">
        <f t="shared" si="134"/>
        <v>1</v>
      </c>
      <c r="T110" s="17">
        <f t="shared" si="134"/>
        <v>1</v>
      </c>
      <c r="U110" s="17">
        <f t="shared" si="134"/>
        <v>1</v>
      </c>
      <c r="V110" s="17">
        <f t="shared" si="134"/>
        <v>1</v>
      </c>
      <c r="W110" s="17">
        <f t="shared" ref="W110:Y110" si="135">IF(W8=0,0,W8/W$8)</f>
        <v>1</v>
      </c>
      <c r="X110" s="17">
        <f t="shared" si="135"/>
        <v>1</v>
      </c>
      <c r="Y110" s="17">
        <f t="shared" si="135"/>
        <v>1</v>
      </c>
      <c r="DA110" s="194"/>
    </row>
    <row r="111" spans="1:105" ht="11.45" customHeight="1" x14ac:dyDescent="0.25">
      <c r="A111" s="42" t="s">
        <v>27</v>
      </c>
      <c r="B111" s="44">
        <f t="shared" ref="B111:C111" si="136">IF(B9=0,0,B9/B$8)</f>
        <v>2.7836847181691243E-2</v>
      </c>
      <c r="C111" s="44">
        <f t="shared" si="136"/>
        <v>2.2308663314441982E-2</v>
      </c>
      <c r="D111" s="44">
        <f t="shared" ref="D111:V111" si="137">IF(D9=0,0,D9/D$8)</f>
        <v>2.5783065254120871E-2</v>
      </c>
      <c r="E111" s="44">
        <f t="shared" si="137"/>
        <v>2.7378275860082485E-2</v>
      </c>
      <c r="F111" s="44">
        <f t="shared" si="137"/>
        <v>2.131255739413623E-2</v>
      </c>
      <c r="G111" s="44">
        <f t="shared" si="137"/>
        <v>1.6573905091567726E-2</v>
      </c>
      <c r="H111" s="44">
        <f t="shared" si="137"/>
        <v>3.066214680667647E-2</v>
      </c>
      <c r="I111" s="44">
        <f t="shared" si="137"/>
        <v>2.8886830125301029E-2</v>
      </c>
      <c r="J111" s="44">
        <f t="shared" si="137"/>
        <v>2.8062038193453862E-2</v>
      </c>
      <c r="K111" s="44">
        <f t="shared" si="137"/>
        <v>3.0802221636917891E-2</v>
      </c>
      <c r="L111" s="44">
        <f t="shared" si="137"/>
        <v>1.9227663188821614E-2</v>
      </c>
      <c r="M111" s="44">
        <f t="shared" si="137"/>
        <v>2.3541633952146524E-2</v>
      </c>
      <c r="N111" s="44">
        <f t="shared" si="137"/>
        <v>2.6873824703123966E-2</v>
      </c>
      <c r="O111" s="44">
        <f t="shared" si="137"/>
        <v>2.1948744163988801E-2</v>
      </c>
      <c r="P111" s="44">
        <f t="shared" si="137"/>
        <v>9.5577065613268453E-3</v>
      </c>
      <c r="Q111" s="44">
        <f t="shared" si="137"/>
        <v>5.7717725483556106E-3</v>
      </c>
      <c r="R111" s="44">
        <f t="shared" si="137"/>
        <v>2.7307997640313997E-3</v>
      </c>
      <c r="S111" s="44">
        <f t="shared" si="137"/>
        <v>7.9608532889728449E-4</v>
      </c>
      <c r="T111" s="44">
        <f t="shared" si="137"/>
        <v>6.772524549581182E-4</v>
      </c>
      <c r="U111" s="44">
        <f t="shared" si="137"/>
        <v>6.1622651236965798E-4</v>
      </c>
      <c r="V111" s="44">
        <f t="shared" si="137"/>
        <v>9.4331512674739298E-4</v>
      </c>
      <c r="W111" s="44">
        <f t="shared" ref="W111:Y111" si="138">IF(W9=0,0,W9/W$8)</f>
        <v>6.2495655047401768E-4</v>
      </c>
      <c r="X111" s="44">
        <f t="shared" si="138"/>
        <v>3.7110800737673712E-4</v>
      </c>
      <c r="Y111" s="44">
        <f t="shared" si="138"/>
        <v>2.2865623415031626E-4</v>
      </c>
      <c r="DA111" s="200"/>
    </row>
    <row r="112" spans="1:105" ht="11.45" customHeight="1" x14ac:dyDescent="0.25">
      <c r="A112" s="42" t="s">
        <v>181</v>
      </c>
      <c r="B112" s="44">
        <f t="shared" ref="B112:C112" si="139">IF(B10=0,0,B10/B$8)</f>
        <v>0.26058839370312936</v>
      </c>
      <c r="C112" s="44">
        <f t="shared" si="139"/>
        <v>0.22064464478941664</v>
      </c>
      <c r="D112" s="44">
        <f t="shared" ref="D112:V112" si="140">IF(D10=0,0,D10/D$8)</f>
        <v>0.23919132286546382</v>
      </c>
      <c r="E112" s="44">
        <f t="shared" si="140"/>
        <v>0.24490136446479469</v>
      </c>
      <c r="F112" s="44">
        <f t="shared" si="140"/>
        <v>0.18700205213945331</v>
      </c>
      <c r="G112" s="44">
        <f t="shared" si="140"/>
        <v>0.24351710372951069</v>
      </c>
      <c r="H112" s="44">
        <f t="shared" si="140"/>
        <v>0.2203405039311819</v>
      </c>
      <c r="I112" s="44">
        <f t="shared" si="140"/>
        <v>0.17563713258492791</v>
      </c>
      <c r="J112" s="44">
        <f t="shared" si="140"/>
        <v>0.16933865220650501</v>
      </c>
      <c r="K112" s="44">
        <f t="shared" si="140"/>
        <v>0.22088943123027197</v>
      </c>
      <c r="L112" s="44">
        <f t="shared" si="140"/>
        <v>0.1466795472123871</v>
      </c>
      <c r="M112" s="44">
        <f t="shared" si="140"/>
        <v>0.17204269340460934</v>
      </c>
      <c r="N112" s="44">
        <f t="shared" si="140"/>
        <v>0.20793141490393829</v>
      </c>
      <c r="O112" s="44">
        <f t="shared" si="140"/>
        <v>0.20942285806409069</v>
      </c>
      <c r="P112" s="44">
        <f t="shared" si="140"/>
        <v>0.17029067067768708</v>
      </c>
      <c r="Q112" s="44">
        <f t="shared" si="140"/>
        <v>0.1729653811774893</v>
      </c>
      <c r="R112" s="44">
        <f t="shared" si="140"/>
        <v>0.15251268685384942</v>
      </c>
      <c r="S112" s="44">
        <f t="shared" si="140"/>
        <v>0.14695189215581617</v>
      </c>
      <c r="T112" s="44">
        <f t="shared" si="140"/>
        <v>0.14636658076687178</v>
      </c>
      <c r="U112" s="44">
        <f t="shared" si="140"/>
        <v>0.10717850530392965</v>
      </c>
      <c r="V112" s="44">
        <f t="shared" si="140"/>
        <v>0.34309297033071673</v>
      </c>
      <c r="W112" s="44">
        <f t="shared" ref="W112:Y112" si="141">IF(W10=0,0,W10/W$8)</f>
        <v>0.2844405785285305</v>
      </c>
      <c r="X112" s="44">
        <f t="shared" si="141"/>
        <v>0.16670015821827922</v>
      </c>
      <c r="Y112" s="44">
        <f t="shared" si="141"/>
        <v>0.11367644485566124</v>
      </c>
      <c r="DA112" s="200"/>
    </row>
    <row r="113" spans="1:105" ht="11.45" customHeight="1" x14ac:dyDescent="0.25">
      <c r="A113" s="38" t="s">
        <v>182</v>
      </c>
      <c r="B113" s="45">
        <f t="shared" ref="B113:C113" si="142">IF(B11=0,0,B11/B$8)</f>
        <v>0.71157475911517942</v>
      </c>
      <c r="C113" s="45">
        <f t="shared" si="142"/>
        <v>0.75704669189614138</v>
      </c>
      <c r="D113" s="45">
        <f t="shared" ref="D113:V113" si="143">IF(D11=0,0,D11/D$8)</f>
        <v>0.73502561188041515</v>
      </c>
      <c r="E113" s="45">
        <f t="shared" si="143"/>
        <v>0.72772035967512272</v>
      </c>
      <c r="F113" s="45">
        <f t="shared" si="143"/>
        <v>0.7916853904664104</v>
      </c>
      <c r="G113" s="45">
        <f t="shared" si="143"/>
        <v>0.7399089911789215</v>
      </c>
      <c r="H113" s="45">
        <f t="shared" si="143"/>
        <v>0.74899734926214168</v>
      </c>
      <c r="I113" s="45">
        <f t="shared" si="143"/>
        <v>0.79547603728977112</v>
      </c>
      <c r="J113" s="45">
        <f t="shared" si="143"/>
        <v>0.802599309600041</v>
      </c>
      <c r="K113" s="45">
        <f t="shared" si="143"/>
        <v>0.74830834713281025</v>
      </c>
      <c r="L113" s="45">
        <f t="shared" si="143"/>
        <v>0.8340927895987913</v>
      </c>
      <c r="M113" s="45">
        <f t="shared" si="143"/>
        <v>0.8044156726432441</v>
      </c>
      <c r="N113" s="45">
        <f t="shared" si="143"/>
        <v>0.76519476039293788</v>
      </c>
      <c r="O113" s="45">
        <f t="shared" si="143"/>
        <v>0.76862839777192049</v>
      </c>
      <c r="P113" s="45">
        <f t="shared" si="143"/>
        <v>0.82015162276098619</v>
      </c>
      <c r="Q113" s="45">
        <f t="shared" si="143"/>
        <v>0.82126284627415502</v>
      </c>
      <c r="R113" s="45">
        <f t="shared" si="143"/>
        <v>0.84475651338211921</v>
      </c>
      <c r="S113" s="45">
        <f t="shared" si="143"/>
        <v>0.85225202251528653</v>
      </c>
      <c r="T113" s="45">
        <f t="shared" si="143"/>
        <v>0.8529561667781701</v>
      </c>
      <c r="U113" s="45">
        <f t="shared" si="143"/>
        <v>0.89220526818370072</v>
      </c>
      <c r="V113" s="45">
        <f t="shared" si="143"/>
        <v>0.65596371454253588</v>
      </c>
      <c r="W113" s="45">
        <f t="shared" ref="W113:Y113" si="144">IF(W11=0,0,W11/W$8)</f>
        <v>0.71493446492099555</v>
      </c>
      <c r="X113" s="45">
        <f t="shared" si="144"/>
        <v>0.83292873377434407</v>
      </c>
      <c r="Y113" s="45">
        <f t="shared" si="144"/>
        <v>0.88609489891018844</v>
      </c>
      <c r="DA113" s="201"/>
    </row>
    <row r="114" spans="1:105" x14ac:dyDescent="0.25">
      <c r="A114" s="50"/>
      <c r="B114" s="50"/>
      <c r="C114" s="50"/>
      <c r="D114" s="51"/>
      <c r="E114" s="51"/>
      <c r="F114" s="51"/>
      <c r="G114" s="51"/>
      <c r="H114" s="51"/>
      <c r="I114" s="51"/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X114" s="51"/>
      <c r="Y114" s="51"/>
      <c r="DA114" s="181"/>
    </row>
    <row r="115" spans="1:105" ht="11.45" customHeight="1" x14ac:dyDescent="0.25">
      <c r="A115" s="53" t="s">
        <v>66</v>
      </c>
      <c r="B115" s="76"/>
      <c r="C115" s="76"/>
      <c r="D115" s="76"/>
      <c r="E115" s="76"/>
      <c r="F115" s="76"/>
      <c r="G115" s="76"/>
      <c r="H115" s="76"/>
      <c r="I115" s="76"/>
      <c r="J115" s="76"/>
      <c r="K115" s="76"/>
      <c r="L115" s="76"/>
      <c r="M115" s="76"/>
      <c r="N115" s="76"/>
      <c r="O115" s="76"/>
      <c r="P115" s="76"/>
      <c r="Q115" s="76"/>
      <c r="R115" s="76"/>
      <c r="S115" s="76"/>
      <c r="T115" s="76"/>
      <c r="U115" s="76"/>
      <c r="V115" s="76"/>
      <c r="W115" s="76"/>
      <c r="X115" s="76"/>
      <c r="Y115" s="76"/>
      <c r="DA115" s="183"/>
    </row>
    <row r="116" spans="1:105" ht="11.45" customHeight="1" x14ac:dyDescent="0.25">
      <c r="A116" s="10" t="s">
        <v>33</v>
      </c>
      <c r="B116" s="16">
        <f t="shared" ref="B116:C116" si="145">IF(B14=0,0,B14/B$14)</f>
        <v>1</v>
      </c>
      <c r="C116" s="16">
        <f t="shared" si="145"/>
        <v>1</v>
      </c>
      <c r="D116" s="16">
        <f t="shared" ref="D116:V116" si="146">IF(D14=0,0,D14/D$14)</f>
        <v>1</v>
      </c>
      <c r="E116" s="16">
        <f t="shared" si="146"/>
        <v>1</v>
      </c>
      <c r="F116" s="16">
        <f t="shared" si="146"/>
        <v>1</v>
      </c>
      <c r="G116" s="16">
        <f t="shared" si="146"/>
        <v>1</v>
      </c>
      <c r="H116" s="16">
        <f t="shared" si="146"/>
        <v>1</v>
      </c>
      <c r="I116" s="16">
        <f t="shared" si="146"/>
        <v>1</v>
      </c>
      <c r="J116" s="16">
        <f t="shared" si="146"/>
        <v>1</v>
      </c>
      <c r="K116" s="16">
        <f t="shared" si="146"/>
        <v>1</v>
      </c>
      <c r="L116" s="16">
        <f t="shared" si="146"/>
        <v>1</v>
      </c>
      <c r="M116" s="16">
        <f t="shared" si="146"/>
        <v>1</v>
      </c>
      <c r="N116" s="16">
        <f t="shared" si="146"/>
        <v>1</v>
      </c>
      <c r="O116" s="16">
        <f t="shared" si="146"/>
        <v>1</v>
      </c>
      <c r="P116" s="16">
        <f t="shared" si="146"/>
        <v>1</v>
      </c>
      <c r="Q116" s="16">
        <f t="shared" si="146"/>
        <v>1</v>
      </c>
      <c r="R116" s="16">
        <f t="shared" si="146"/>
        <v>1</v>
      </c>
      <c r="S116" s="16">
        <f t="shared" si="146"/>
        <v>1</v>
      </c>
      <c r="T116" s="16">
        <f t="shared" si="146"/>
        <v>1</v>
      </c>
      <c r="U116" s="16">
        <f t="shared" si="146"/>
        <v>1</v>
      </c>
      <c r="V116" s="16">
        <f t="shared" si="146"/>
        <v>1</v>
      </c>
      <c r="W116" s="16">
        <f t="shared" ref="W116:Y116" si="147">IF(W14=0,0,W14/W$14)</f>
        <v>1</v>
      </c>
      <c r="X116" s="16">
        <f t="shared" si="147"/>
        <v>1</v>
      </c>
      <c r="Y116" s="16">
        <f t="shared" si="147"/>
        <v>1</v>
      </c>
      <c r="DA116" s="190"/>
    </row>
    <row r="117" spans="1:105" ht="11.45" customHeight="1" x14ac:dyDescent="0.25">
      <c r="A117" s="37" t="s">
        <v>27</v>
      </c>
      <c r="B117" s="43">
        <f t="shared" ref="B117:C117" si="148">IF(B15=0,0,B15/B$14)</f>
        <v>8.4203048193084565E-2</v>
      </c>
      <c r="C117" s="43">
        <f t="shared" si="148"/>
        <v>8.5374467878124055E-2</v>
      </c>
      <c r="D117" s="43">
        <f t="shared" ref="D117:V117" si="149">IF(D15=0,0,D15/D$14)</f>
        <v>0.11258294928169116</v>
      </c>
      <c r="E117" s="43">
        <f t="shared" si="149"/>
        <v>0.1049983015862619</v>
      </c>
      <c r="F117" s="43">
        <f t="shared" si="149"/>
        <v>8.2226686795894302E-2</v>
      </c>
      <c r="G117" s="43">
        <f t="shared" si="149"/>
        <v>7.1913148705237892E-2</v>
      </c>
      <c r="H117" s="43">
        <f t="shared" si="149"/>
        <v>5.7660363575925681E-2</v>
      </c>
      <c r="I117" s="43">
        <f t="shared" si="149"/>
        <v>5.8620081264537376E-2</v>
      </c>
      <c r="J117" s="43">
        <f t="shared" si="149"/>
        <v>5.5496703595482991E-2</v>
      </c>
      <c r="K117" s="43">
        <f t="shared" si="149"/>
        <v>5.8324318642417571E-2</v>
      </c>
      <c r="L117" s="43">
        <f t="shared" si="149"/>
        <v>6.0668213958751278E-2</v>
      </c>
      <c r="M117" s="43">
        <f t="shared" si="149"/>
        <v>6.6708958822283018E-2</v>
      </c>
      <c r="N117" s="43">
        <f t="shared" si="149"/>
        <v>9.1364551946647082E-2</v>
      </c>
      <c r="O117" s="43">
        <f t="shared" si="149"/>
        <v>6.8445785759555372E-2</v>
      </c>
      <c r="P117" s="43">
        <f t="shared" si="149"/>
        <v>6.479473248545653E-2</v>
      </c>
      <c r="Q117" s="43">
        <f t="shared" si="149"/>
        <v>5.0816718597475059E-2</v>
      </c>
      <c r="R117" s="43">
        <f t="shared" si="149"/>
        <v>5.0228715035521676E-2</v>
      </c>
      <c r="S117" s="43">
        <f t="shared" si="149"/>
        <v>4.9274429880292903E-2</v>
      </c>
      <c r="T117" s="43">
        <f t="shared" si="149"/>
        <v>3.6985670595756547E-2</v>
      </c>
      <c r="U117" s="43">
        <f t="shared" si="149"/>
        <v>3.7161860772337109E-2</v>
      </c>
      <c r="V117" s="43">
        <f t="shared" si="149"/>
        <v>4.6051768824910209E-2</v>
      </c>
      <c r="W117" s="43">
        <f t="shared" ref="W117:Y117" si="150">IF(W15=0,0,W15/W$14)</f>
        <v>3.4866705465909975E-2</v>
      </c>
      <c r="X117" s="43">
        <f t="shared" si="150"/>
        <v>3.7574230433645092E-2</v>
      </c>
      <c r="Y117" s="43">
        <f t="shared" si="150"/>
        <v>3.3100425141242347E-2</v>
      </c>
      <c r="DA117" s="199"/>
    </row>
    <row r="118" spans="1:105" ht="11.45" customHeight="1" x14ac:dyDescent="0.25">
      <c r="A118" s="37" t="s">
        <v>181</v>
      </c>
      <c r="B118" s="43">
        <f t="shared" ref="B118:C118" si="151">IF(B16=0,0,B16/B$14)</f>
        <v>0.56041257086685048</v>
      </c>
      <c r="C118" s="43">
        <f t="shared" si="151"/>
        <v>0.55970155052287429</v>
      </c>
      <c r="D118" s="43">
        <f t="shared" ref="D118:V118" si="152">IF(D16=0,0,D16/D$14)</f>
        <v>0.54303116389317974</v>
      </c>
      <c r="E118" s="43">
        <f t="shared" si="152"/>
        <v>0.54766593473248293</v>
      </c>
      <c r="F118" s="43">
        <f t="shared" si="152"/>
        <v>0.56158373002448536</v>
      </c>
      <c r="G118" s="43">
        <f t="shared" si="152"/>
        <v>0.59254489423088497</v>
      </c>
      <c r="H118" s="43">
        <f t="shared" si="152"/>
        <v>0.6233558977270548</v>
      </c>
      <c r="I118" s="43">
        <f t="shared" si="152"/>
        <v>0.62399594593980845</v>
      </c>
      <c r="J118" s="43">
        <f t="shared" si="152"/>
        <v>0.64409080102571759</v>
      </c>
      <c r="K118" s="43">
        <f t="shared" si="152"/>
        <v>0.65354880034809926</v>
      </c>
      <c r="L118" s="43">
        <f t="shared" si="152"/>
        <v>0.65636443842368219</v>
      </c>
      <c r="M118" s="43">
        <f t="shared" si="152"/>
        <v>0.66073428272059898</v>
      </c>
      <c r="N118" s="43">
        <f t="shared" si="152"/>
        <v>0.65521723592754788</v>
      </c>
      <c r="O118" s="43">
        <f t="shared" si="152"/>
        <v>0.69983903438637984</v>
      </c>
      <c r="P118" s="43">
        <f t="shared" si="152"/>
        <v>0.66485753711550655</v>
      </c>
      <c r="Q118" s="43">
        <f t="shared" si="152"/>
        <v>0.66873834314527481</v>
      </c>
      <c r="R118" s="43">
        <f t="shared" si="152"/>
        <v>0.75183437731901936</v>
      </c>
      <c r="S118" s="43">
        <f t="shared" si="152"/>
        <v>0.71888609631412592</v>
      </c>
      <c r="T118" s="43">
        <f t="shared" si="152"/>
        <v>0.65796526471592753</v>
      </c>
      <c r="U118" s="43">
        <f t="shared" si="152"/>
        <v>0.64546840830907481</v>
      </c>
      <c r="V118" s="43">
        <f t="shared" si="152"/>
        <v>0.64340125801919412</v>
      </c>
      <c r="W118" s="43">
        <f t="shared" ref="W118:Y118" si="153">IF(W16=0,0,W16/W$14)</f>
        <v>0.62844801657008909</v>
      </c>
      <c r="X118" s="43">
        <f t="shared" si="153"/>
        <v>0.65293196959862454</v>
      </c>
      <c r="Y118" s="43">
        <f t="shared" si="153"/>
        <v>0.63745341226648367</v>
      </c>
      <c r="DA118" s="199"/>
    </row>
    <row r="119" spans="1:105" ht="11.45" customHeight="1" x14ac:dyDescent="0.25">
      <c r="A119" s="37" t="s">
        <v>182</v>
      </c>
      <c r="B119" s="43">
        <f t="shared" ref="B119:C119" si="154">IF(B17=0,0,B17/B$14)</f>
        <v>0.35538438094006491</v>
      </c>
      <c r="C119" s="43">
        <f t="shared" si="154"/>
        <v>0.35492398159900174</v>
      </c>
      <c r="D119" s="43">
        <f t="shared" ref="D119:V119" si="155">IF(D17=0,0,D17/D$14)</f>
        <v>0.34438588682512922</v>
      </c>
      <c r="E119" s="43">
        <f t="shared" si="155"/>
        <v>0.34733576368125513</v>
      </c>
      <c r="F119" s="43">
        <f t="shared" si="155"/>
        <v>0.35618958317962046</v>
      </c>
      <c r="G119" s="43">
        <f t="shared" si="155"/>
        <v>0.33554195706387713</v>
      </c>
      <c r="H119" s="43">
        <f t="shared" si="155"/>
        <v>0.3189837386970194</v>
      </c>
      <c r="I119" s="43">
        <f t="shared" si="155"/>
        <v>0.31738397279565411</v>
      </c>
      <c r="J119" s="43">
        <f t="shared" si="155"/>
        <v>0.30041249537879938</v>
      </c>
      <c r="K119" s="43">
        <f t="shared" si="155"/>
        <v>0.28812688100948314</v>
      </c>
      <c r="L119" s="43">
        <f t="shared" si="155"/>
        <v>0.28296734761756648</v>
      </c>
      <c r="M119" s="43">
        <f t="shared" si="155"/>
        <v>0.27255675845711796</v>
      </c>
      <c r="N119" s="43">
        <f t="shared" si="155"/>
        <v>0.2534182121258049</v>
      </c>
      <c r="O119" s="43">
        <f t="shared" si="155"/>
        <v>0.23171517985406478</v>
      </c>
      <c r="P119" s="43">
        <f t="shared" si="155"/>
        <v>0.27034773039903687</v>
      </c>
      <c r="Q119" s="43">
        <f t="shared" si="155"/>
        <v>0.28044493825725014</v>
      </c>
      <c r="R119" s="43">
        <f t="shared" si="155"/>
        <v>0.19793690764545885</v>
      </c>
      <c r="S119" s="43">
        <f t="shared" si="155"/>
        <v>0.2318394738055812</v>
      </c>
      <c r="T119" s="43">
        <f t="shared" si="155"/>
        <v>0.30504906468831594</v>
      </c>
      <c r="U119" s="43">
        <f t="shared" si="155"/>
        <v>0.31736973091858806</v>
      </c>
      <c r="V119" s="43">
        <f t="shared" si="155"/>
        <v>0.31054697315589569</v>
      </c>
      <c r="W119" s="43">
        <f t="shared" ref="W119:Y119" si="156">IF(W17=0,0,W17/W$14)</f>
        <v>0.33668527796400088</v>
      </c>
      <c r="X119" s="43">
        <f t="shared" si="156"/>
        <v>0.30949379996773041</v>
      </c>
      <c r="Y119" s="43">
        <f t="shared" si="156"/>
        <v>0.32944616259227399</v>
      </c>
      <c r="DA119" s="199"/>
    </row>
    <row r="120" spans="1:105" ht="11.45" customHeight="1" x14ac:dyDescent="0.25">
      <c r="A120" s="12" t="s">
        <v>34</v>
      </c>
      <c r="B120" s="17">
        <f t="shared" ref="B120:C120" si="157">IF(B18=0,0,B18/B$18)</f>
        <v>1</v>
      </c>
      <c r="C120" s="17">
        <f t="shared" si="157"/>
        <v>1</v>
      </c>
      <c r="D120" s="17">
        <f t="shared" ref="D120:V120" si="158">IF(D18=0,0,D18/D$18)</f>
        <v>1</v>
      </c>
      <c r="E120" s="17">
        <f t="shared" si="158"/>
        <v>1</v>
      </c>
      <c r="F120" s="17">
        <f t="shared" si="158"/>
        <v>1</v>
      </c>
      <c r="G120" s="17">
        <f t="shared" si="158"/>
        <v>1</v>
      </c>
      <c r="H120" s="17">
        <f t="shared" si="158"/>
        <v>1</v>
      </c>
      <c r="I120" s="17">
        <f t="shared" si="158"/>
        <v>1</v>
      </c>
      <c r="J120" s="17">
        <f t="shared" si="158"/>
        <v>1</v>
      </c>
      <c r="K120" s="17">
        <f t="shared" si="158"/>
        <v>1</v>
      </c>
      <c r="L120" s="17">
        <f t="shared" si="158"/>
        <v>1</v>
      </c>
      <c r="M120" s="17">
        <f t="shared" si="158"/>
        <v>1</v>
      </c>
      <c r="N120" s="17">
        <f t="shared" si="158"/>
        <v>1</v>
      </c>
      <c r="O120" s="17">
        <f t="shared" si="158"/>
        <v>1</v>
      </c>
      <c r="P120" s="17">
        <f t="shared" si="158"/>
        <v>1</v>
      </c>
      <c r="Q120" s="17">
        <f t="shared" si="158"/>
        <v>1</v>
      </c>
      <c r="R120" s="17">
        <f t="shared" si="158"/>
        <v>1</v>
      </c>
      <c r="S120" s="17">
        <f t="shared" si="158"/>
        <v>1</v>
      </c>
      <c r="T120" s="17">
        <f t="shared" si="158"/>
        <v>1</v>
      </c>
      <c r="U120" s="17">
        <f t="shared" si="158"/>
        <v>1</v>
      </c>
      <c r="V120" s="17">
        <f t="shared" si="158"/>
        <v>1</v>
      </c>
      <c r="W120" s="17">
        <f t="shared" ref="W120:Y120" si="159">IF(W18=0,0,W18/W$18)</f>
        <v>1</v>
      </c>
      <c r="X120" s="17">
        <f t="shared" si="159"/>
        <v>1</v>
      </c>
      <c r="Y120" s="17">
        <f t="shared" si="159"/>
        <v>1</v>
      </c>
      <c r="DA120" s="194"/>
    </row>
    <row r="121" spans="1:105" ht="11.45" customHeight="1" x14ac:dyDescent="0.25">
      <c r="A121" s="42" t="s">
        <v>27</v>
      </c>
      <c r="B121" s="44">
        <f t="shared" ref="B121:C121" si="160">IF(B19=0,0,B19/B$18)</f>
        <v>0.1362816379085989</v>
      </c>
      <c r="C121" s="44">
        <f t="shared" si="160"/>
        <v>0.12581193380654981</v>
      </c>
      <c r="D121" s="44">
        <f t="shared" ref="D121:V121" si="161">IF(D19=0,0,D19/D$18)</f>
        <v>0.12860629562528647</v>
      </c>
      <c r="E121" s="44">
        <f t="shared" si="161"/>
        <v>0.12422062730829994</v>
      </c>
      <c r="F121" s="44">
        <f t="shared" si="161"/>
        <v>0.10820881404379842</v>
      </c>
      <c r="G121" s="44">
        <f t="shared" si="161"/>
        <v>7.4836869311111054E-2</v>
      </c>
      <c r="H121" s="44">
        <f t="shared" si="161"/>
        <v>0.13261905217449671</v>
      </c>
      <c r="I121" s="44">
        <f t="shared" si="161"/>
        <v>0.13465137972504174</v>
      </c>
      <c r="J121" s="44">
        <f t="shared" si="161"/>
        <v>0.13628377263573072</v>
      </c>
      <c r="K121" s="44">
        <f t="shared" si="161"/>
        <v>0.14171262912274266</v>
      </c>
      <c r="L121" s="44">
        <f t="shared" si="161"/>
        <v>0.10347232932550073</v>
      </c>
      <c r="M121" s="44">
        <f t="shared" si="161"/>
        <v>0.11194132166736877</v>
      </c>
      <c r="N121" s="44">
        <f t="shared" si="161"/>
        <v>0.12135662260748577</v>
      </c>
      <c r="O121" s="44">
        <f t="shared" si="161"/>
        <v>9.6192203725463291E-2</v>
      </c>
      <c r="P121" s="44">
        <f t="shared" si="161"/>
        <v>4.9228143704119952E-2</v>
      </c>
      <c r="Q121" s="44">
        <f t="shared" si="161"/>
        <v>2.9409603512594484E-2</v>
      </c>
      <c r="R121" s="44">
        <f t="shared" si="161"/>
        <v>1.3889770756891328E-2</v>
      </c>
      <c r="S121" s="44">
        <f t="shared" si="161"/>
        <v>4.233396975374025E-3</v>
      </c>
      <c r="T121" s="44">
        <f t="shared" si="161"/>
        <v>3.507038822923227E-3</v>
      </c>
      <c r="U121" s="44">
        <f t="shared" si="161"/>
        <v>3.2879505438430027E-3</v>
      </c>
      <c r="V121" s="44">
        <f t="shared" si="161"/>
        <v>2.765511128636519E-3</v>
      </c>
      <c r="W121" s="44">
        <f t="shared" ref="W121:Y121" si="162">IF(W19=0,0,W19/W$18)</f>
        <v>1.8761546513605396E-3</v>
      </c>
      <c r="X121" s="44">
        <f t="shared" si="162"/>
        <v>1.4181137664935526E-3</v>
      </c>
      <c r="Y121" s="44">
        <f t="shared" si="162"/>
        <v>1.0289676691596663E-3</v>
      </c>
      <c r="DA121" s="200"/>
    </row>
    <row r="122" spans="1:105" ht="11.45" customHeight="1" x14ac:dyDescent="0.25">
      <c r="A122" s="42" t="s">
        <v>181</v>
      </c>
      <c r="B122" s="44">
        <f t="shared" ref="B122:C122" si="163">IF(B20=0,0,B20/B$18)</f>
        <v>0.53297054628862328</v>
      </c>
      <c r="C122" s="44">
        <f t="shared" si="163"/>
        <v>0.49032440203983046</v>
      </c>
      <c r="D122" s="44">
        <f t="shared" ref="D122:V122" si="164">IF(D20=0,0,D20/D$18)</f>
        <v>0.51237783847423468</v>
      </c>
      <c r="E122" s="44">
        <f t="shared" si="164"/>
        <v>0.49727902915912531</v>
      </c>
      <c r="F122" s="44">
        <f t="shared" si="164"/>
        <v>0.4447427949013863</v>
      </c>
      <c r="G122" s="44">
        <f t="shared" si="164"/>
        <v>0.53849322775028785</v>
      </c>
      <c r="H122" s="44">
        <f t="shared" si="164"/>
        <v>0.4943151892734936</v>
      </c>
      <c r="I122" s="44">
        <f t="shared" si="164"/>
        <v>0.43270503620175788</v>
      </c>
      <c r="J122" s="44">
        <f t="shared" si="164"/>
        <v>0.41716384580391758</v>
      </c>
      <c r="K122" s="44">
        <f t="shared" si="164"/>
        <v>0.50554453238170705</v>
      </c>
      <c r="L122" s="44">
        <f t="shared" si="164"/>
        <v>0.41266214290620135</v>
      </c>
      <c r="M122" s="44">
        <f t="shared" si="164"/>
        <v>0.44352655456791595</v>
      </c>
      <c r="N122" s="44">
        <f t="shared" si="164"/>
        <v>0.4834439518626712</v>
      </c>
      <c r="O122" s="44">
        <f t="shared" si="164"/>
        <v>0.48022747329345511</v>
      </c>
      <c r="P122" s="44">
        <f t="shared" si="164"/>
        <v>0.44174552855933352</v>
      </c>
      <c r="Q122" s="44">
        <f t="shared" si="164"/>
        <v>0.44920372713834766</v>
      </c>
      <c r="R122" s="44">
        <f t="shared" si="164"/>
        <v>0.42710274779728857</v>
      </c>
      <c r="S122" s="44">
        <f t="shared" si="164"/>
        <v>0.4269364262957494</v>
      </c>
      <c r="T122" s="44">
        <f t="shared" si="164"/>
        <v>0.41374777387758738</v>
      </c>
      <c r="U122" s="44">
        <f t="shared" si="164"/>
        <v>0.32659681284688186</v>
      </c>
      <c r="V122" s="44">
        <f t="shared" si="164"/>
        <v>0.6317747221889114</v>
      </c>
      <c r="W122" s="44">
        <f t="shared" ref="W122:Y122" si="165">IF(W20=0,0,W20/W$18)</f>
        <v>0.54021639178976033</v>
      </c>
      <c r="X122" s="44">
        <f t="shared" si="165"/>
        <v>0.41319193721415537</v>
      </c>
      <c r="Y122" s="44">
        <f t="shared" si="165"/>
        <v>0.33040434360483045</v>
      </c>
      <c r="DA122" s="200"/>
    </row>
    <row r="123" spans="1:105" ht="11.45" customHeight="1" x14ac:dyDescent="0.25">
      <c r="A123" s="38" t="s">
        <v>182</v>
      </c>
      <c r="B123" s="45">
        <f t="shared" ref="B123:C123" si="166">IF(B21=0,0,B21/B$18)</f>
        <v>0.33074781580277779</v>
      </c>
      <c r="C123" s="45">
        <f t="shared" si="166"/>
        <v>0.38386366415361978</v>
      </c>
      <c r="D123" s="45">
        <f t="shared" ref="D123:V123" si="167">IF(D21=0,0,D21/D$18)</f>
        <v>0.35901586590047885</v>
      </c>
      <c r="E123" s="45">
        <f t="shared" si="167"/>
        <v>0.37850034353257489</v>
      </c>
      <c r="F123" s="45">
        <f t="shared" si="167"/>
        <v>0.44704839105481531</v>
      </c>
      <c r="G123" s="45">
        <f t="shared" si="167"/>
        <v>0.38666990293860121</v>
      </c>
      <c r="H123" s="45">
        <f t="shared" si="167"/>
        <v>0.37306575855200963</v>
      </c>
      <c r="I123" s="45">
        <f t="shared" si="167"/>
        <v>0.4326435840732003</v>
      </c>
      <c r="J123" s="45">
        <f t="shared" si="167"/>
        <v>0.4465523815603516</v>
      </c>
      <c r="K123" s="45">
        <f t="shared" si="167"/>
        <v>0.35274283849555033</v>
      </c>
      <c r="L123" s="45">
        <f t="shared" si="167"/>
        <v>0.48386552776829805</v>
      </c>
      <c r="M123" s="45">
        <f t="shared" si="167"/>
        <v>0.44453212376471529</v>
      </c>
      <c r="N123" s="45">
        <f t="shared" si="167"/>
        <v>0.39519942552984311</v>
      </c>
      <c r="O123" s="45">
        <f t="shared" si="167"/>
        <v>0.42358032298108161</v>
      </c>
      <c r="P123" s="45">
        <f t="shared" si="167"/>
        <v>0.50902632773654655</v>
      </c>
      <c r="Q123" s="45">
        <f t="shared" si="167"/>
        <v>0.52138666934905786</v>
      </c>
      <c r="R123" s="45">
        <f t="shared" si="167"/>
        <v>0.55900748144582002</v>
      </c>
      <c r="S123" s="45">
        <f t="shared" si="167"/>
        <v>0.56883017672887659</v>
      </c>
      <c r="T123" s="45">
        <f t="shared" si="167"/>
        <v>0.58274518729948943</v>
      </c>
      <c r="U123" s="45">
        <f t="shared" si="167"/>
        <v>0.67011523660927519</v>
      </c>
      <c r="V123" s="45">
        <f t="shared" si="167"/>
        <v>0.365459766682452</v>
      </c>
      <c r="W123" s="45">
        <f t="shared" ref="W123:Y123" si="168">IF(W21=0,0,W21/W$18)</f>
        <v>0.45790745355887907</v>
      </c>
      <c r="X123" s="45">
        <f t="shared" si="168"/>
        <v>0.58538994901935115</v>
      </c>
      <c r="Y123" s="45">
        <f t="shared" si="168"/>
        <v>0.66856668872600999</v>
      </c>
      <c r="DA123" s="201"/>
    </row>
    <row r="125" spans="1:105" x14ac:dyDescent="0.25">
      <c r="A125" s="18" t="s">
        <v>183</v>
      </c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DA77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276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Z1" s="49"/>
      <c r="AA1" s="49"/>
      <c r="AB1" s="49"/>
      <c r="AC1" s="49"/>
      <c r="AD1" s="49"/>
      <c r="AE1" s="49"/>
      <c r="AF1" s="49"/>
      <c r="DA1" s="170" t="s">
        <v>152</v>
      </c>
    </row>
    <row r="2" spans="1:105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DA2" s="181"/>
    </row>
    <row r="3" spans="1:105" ht="11.45" customHeight="1" x14ac:dyDescent="0.25">
      <c r="A3" s="53" t="s">
        <v>32</v>
      </c>
      <c r="B3" s="79">
        <f t="shared" ref="B3:C3" si="0">SUM(B4:B5)</f>
        <v>284.40816852966464</v>
      </c>
      <c r="C3" s="79">
        <f t="shared" si="0"/>
        <v>280.1949269131556</v>
      </c>
      <c r="D3" s="79">
        <f t="shared" ref="D3" si="1">SUM(D4:D5)</f>
        <v>275.9864144453997</v>
      </c>
      <c r="E3" s="79">
        <f t="shared" ref="E3" si="2">SUM(E4:E5)</f>
        <v>298.10593293207222</v>
      </c>
      <c r="F3" s="79">
        <f t="shared" ref="F3" si="3">SUM(F4:F5)</f>
        <v>291.78134135855544</v>
      </c>
      <c r="G3" s="79">
        <f t="shared" ref="G3" si="4">SUM(G4:G5)</f>
        <v>330.75382631126405</v>
      </c>
      <c r="H3" s="79">
        <f t="shared" ref="H3" si="5">SUM(H4:H5)</f>
        <v>440.29810834049869</v>
      </c>
      <c r="I3" s="79">
        <f t="shared" ref="I3" si="6">SUM(I4:I5)</f>
        <v>459.26242476354236</v>
      </c>
      <c r="J3" s="79">
        <f t="shared" ref="J3" si="7">SUM(J4:J5)</f>
        <v>549.84239036973338</v>
      </c>
      <c r="K3" s="79">
        <f t="shared" ref="K3" si="8">SUM(K4:K5)</f>
        <v>486.91126397248485</v>
      </c>
      <c r="L3" s="79">
        <f t="shared" ref="L3" si="9">SUM(L4:L5)</f>
        <v>512.58718830610496</v>
      </c>
      <c r="M3" s="79">
        <f t="shared" ref="M3" si="10">SUM(M4:M5)</f>
        <v>503.36775580395528</v>
      </c>
      <c r="N3" s="79">
        <f t="shared" ref="N3" si="11">SUM(N4:N5)</f>
        <v>556.77368873602745</v>
      </c>
      <c r="O3" s="79">
        <f t="shared" ref="O3" si="12">SUM(O4:O5)</f>
        <v>542.37128116938948</v>
      </c>
      <c r="P3" s="79">
        <f t="shared" ref="P3" si="13">SUM(P4:P5)</f>
        <v>611.20662080825446</v>
      </c>
      <c r="Q3" s="79">
        <f t="shared" ref="Q3" si="14">SUM(Q4:Q5)</f>
        <v>667.66981943250221</v>
      </c>
      <c r="R3" s="79">
        <f t="shared" ref="R3" si="15">SUM(R4:R5)</f>
        <v>707.72433361994842</v>
      </c>
      <c r="S3" s="79">
        <f t="shared" ref="S3" si="16">SUM(S4:S5)</f>
        <v>878.20240756663816</v>
      </c>
      <c r="T3" s="79">
        <f t="shared" ref="T3" si="17">SUM(T4:T5)</f>
        <v>1039.2325021496131</v>
      </c>
      <c r="U3" s="79">
        <f t="shared" ref="U3" si="18">SUM(U4:U5)</f>
        <v>1109.9375752364576</v>
      </c>
      <c r="V3" s="79">
        <f t="shared" ref="V3:W3" si="19">SUM(V4:V5)</f>
        <v>475.3942390369732</v>
      </c>
      <c r="W3" s="79">
        <f t="shared" si="19"/>
        <v>593.84926913155607</v>
      </c>
      <c r="X3" s="79">
        <f t="shared" ref="X3:Y3" si="20">SUM(X4:X5)</f>
        <v>1008.5648323301805</v>
      </c>
      <c r="Y3" s="79">
        <f t="shared" si="20"/>
        <v>1223.5291487532243</v>
      </c>
      <c r="DA3" s="172" t="s">
        <v>277</v>
      </c>
    </row>
    <row r="4" spans="1:105" ht="11.45" customHeight="1" x14ac:dyDescent="0.25">
      <c r="A4" s="95" t="s">
        <v>27</v>
      </c>
      <c r="B4" s="96">
        <f t="shared" ref="B4:C4" si="21">SUM(B7,B11)</f>
        <v>3.1742906276870162</v>
      </c>
      <c r="C4" s="96">
        <f t="shared" si="21"/>
        <v>3.1742906276870162</v>
      </c>
      <c r="D4" s="96">
        <f t="shared" ref="D4:V4" si="22">SUM(D7,D11)</f>
        <v>4.232330180567498</v>
      </c>
      <c r="E4" s="96">
        <f t="shared" si="22"/>
        <v>4.232330180567498</v>
      </c>
      <c r="F4" s="96">
        <f t="shared" si="22"/>
        <v>3.1742906276870162</v>
      </c>
      <c r="G4" s="96">
        <f t="shared" si="22"/>
        <v>3.1742906276870162</v>
      </c>
      <c r="H4" s="96">
        <f t="shared" si="22"/>
        <v>3.1742906276870162</v>
      </c>
      <c r="I4" s="96">
        <f t="shared" si="22"/>
        <v>4.232330180567498</v>
      </c>
      <c r="J4" s="96">
        <f t="shared" si="22"/>
        <v>3.1742906276870162</v>
      </c>
      <c r="K4" s="96">
        <f t="shared" si="22"/>
        <v>4.2036973344797932</v>
      </c>
      <c r="L4" s="96">
        <f t="shared" si="22"/>
        <v>4.2036973344797932</v>
      </c>
      <c r="M4" s="96">
        <f t="shared" si="22"/>
        <v>5.2546001719690452</v>
      </c>
      <c r="N4" s="96">
        <f t="shared" si="22"/>
        <v>18.606104901117796</v>
      </c>
      <c r="O4" s="96">
        <f t="shared" si="22"/>
        <v>16.528116938950983</v>
      </c>
      <c r="P4" s="96">
        <f t="shared" si="22"/>
        <v>26.822355975924335</v>
      </c>
      <c r="Q4" s="96">
        <f t="shared" si="22"/>
        <v>18.582201203783324</v>
      </c>
      <c r="R4" s="96">
        <f t="shared" si="22"/>
        <v>24.744453998280314</v>
      </c>
      <c r="S4" s="96">
        <f t="shared" si="22"/>
        <v>27.531470335339638</v>
      </c>
      <c r="T4" s="96">
        <f t="shared" si="22"/>
        <v>32.843594153052457</v>
      </c>
      <c r="U4" s="96">
        <f t="shared" si="22"/>
        <v>33.825451418744628</v>
      </c>
      <c r="V4" s="96">
        <f t="shared" si="22"/>
        <v>18.235769561478936</v>
      </c>
      <c r="W4" s="96">
        <f t="shared" ref="W4:Y4" si="23">SUM(W7,W11)</f>
        <v>30.038091143594155</v>
      </c>
      <c r="X4" s="96">
        <f t="shared" si="23"/>
        <v>30.632244196044706</v>
      </c>
      <c r="Y4" s="96">
        <f t="shared" si="23"/>
        <v>37.251246775580391</v>
      </c>
      <c r="DA4" s="171" t="s">
        <v>278</v>
      </c>
    </row>
    <row r="5" spans="1:105" ht="11.45" customHeight="1" x14ac:dyDescent="0.25">
      <c r="A5" s="95" t="s">
        <v>116</v>
      </c>
      <c r="B5" s="96">
        <f t="shared" ref="B5:C5" si="24">SUM(B8:B9,B12:B13)</f>
        <v>281.23387790197762</v>
      </c>
      <c r="C5" s="96">
        <f t="shared" si="24"/>
        <v>277.02063628546858</v>
      </c>
      <c r="D5" s="96">
        <f t="shared" ref="D5:V5" si="25">SUM(D8:D9,D12:D13)</f>
        <v>271.75408426483222</v>
      </c>
      <c r="E5" s="96">
        <f t="shared" si="25"/>
        <v>293.87360275150473</v>
      </c>
      <c r="F5" s="96">
        <f t="shared" si="25"/>
        <v>288.60705073086842</v>
      </c>
      <c r="G5" s="96">
        <f t="shared" si="25"/>
        <v>327.57953568357703</v>
      </c>
      <c r="H5" s="96">
        <f t="shared" si="25"/>
        <v>437.12381771281167</v>
      </c>
      <c r="I5" s="96">
        <f t="shared" si="25"/>
        <v>455.03009458297487</v>
      </c>
      <c r="J5" s="96">
        <f t="shared" si="25"/>
        <v>546.66809974204637</v>
      </c>
      <c r="K5" s="96">
        <f t="shared" si="25"/>
        <v>482.70756663800506</v>
      </c>
      <c r="L5" s="96">
        <f t="shared" si="25"/>
        <v>508.38349097162512</v>
      </c>
      <c r="M5" s="96">
        <f t="shared" si="25"/>
        <v>498.11315563198622</v>
      </c>
      <c r="N5" s="96">
        <f t="shared" si="25"/>
        <v>538.16758383490969</v>
      </c>
      <c r="O5" s="96">
        <f t="shared" si="25"/>
        <v>525.84316423043845</v>
      </c>
      <c r="P5" s="96">
        <f t="shared" si="25"/>
        <v>584.38426483233013</v>
      </c>
      <c r="Q5" s="96">
        <f t="shared" si="25"/>
        <v>649.08761822871884</v>
      </c>
      <c r="R5" s="96">
        <f t="shared" si="25"/>
        <v>682.97987962166815</v>
      </c>
      <c r="S5" s="96">
        <f t="shared" si="25"/>
        <v>850.67093723129847</v>
      </c>
      <c r="T5" s="96">
        <f t="shared" si="25"/>
        <v>1006.3889079965605</v>
      </c>
      <c r="U5" s="96">
        <f t="shared" si="25"/>
        <v>1076.1121238177129</v>
      </c>
      <c r="V5" s="96">
        <f t="shared" si="25"/>
        <v>457.15846947549426</v>
      </c>
      <c r="W5" s="96">
        <f t="shared" ref="W5:Y5" si="26">SUM(W8:W9,W12:W13)</f>
        <v>563.81117798796197</v>
      </c>
      <c r="X5" s="96">
        <f t="shared" si="26"/>
        <v>977.93258813413581</v>
      </c>
      <c r="Y5" s="96">
        <f t="shared" si="26"/>
        <v>1186.277901977644</v>
      </c>
      <c r="DA5" s="171" t="s">
        <v>279</v>
      </c>
    </row>
    <row r="6" spans="1:105" ht="11.45" customHeight="1" x14ac:dyDescent="0.25">
      <c r="A6" s="10" t="s">
        <v>33</v>
      </c>
      <c r="B6" s="21">
        <f t="shared" ref="B6:C6" si="27">SUM(B7:B9)</f>
        <v>282.43779683530545</v>
      </c>
      <c r="C6" s="21">
        <f t="shared" si="27"/>
        <v>278.61852524086311</v>
      </c>
      <c r="D6" s="21">
        <f t="shared" ref="D6:V6" si="28">SUM(D7:D9)</f>
        <v>274.23593373969004</v>
      </c>
      <c r="E6" s="21">
        <f t="shared" si="28"/>
        <v>296.32522036522738</v>
      </c>
      <c r="F6" s="21">
        <f t="shared" si="28"/>
        <v>290.34846834250249</v>
      </c>
      <c r="G6" s="21">
        <f t="shared" si="28"/>
        <v>328.86859774318538</v>
      </c>
      <c r="H6" s="21">
        <f t="shared" si="28"/>
        <v>437.70894226580396</v>
      </c>
      <c r="I6" s="21">
        <f t="shared" si="28"/>
        <v>456.13024818225159</v>
      </c>
      <c r="J6" s="21">
        <f t="shared" si="28"/>
        <v>545.6883895658849</v>
      </c>
      <c r="K6" s="21">
        <f t="shared" si="28"/>
        <v>482.22904524736032</v>
      </c>
      <c r="L6" s="21">
        <f t="shared" si="28"/>
        <v>505.48117541928946</v>
      </c>
      <c r="M6" s="21">
        <f t="shared" si="28"/>
        <v>496.83481673561141</v>
      </c>
      <c r="N6" s="21">
        <f t="shared" si="28"/>
        <v>549.93368923128219</v>
      </c>
      <c r="O6" s="21">
        <f t="shared" si="28"/>
        <v>535.16856215998973</v>
      </c>
      <c r="P6" s="21">
        <f t="shared" si="28"/>
        <v>602.96024479264429</v>
      </c>
      <c r="Q6" s="21">
        <f t="shared" si="28"/>
        <v>659.11603606027052</v>
      </c>
      <c r="R6" s="21">
        <f t="shared" si="28"/>
        <v>696.73668444841542</v>
      </c>
      <c r="S6" s="21">
        <f t="shared" si="28"/>
        <v>865.70094834212045</v>
      </c>
      <c r="T6" s="21">
        <f t="shared" si="28"/>
        <v>1028.0531965362511</v>
      </c>
      <c r="U6" s="21">
        <f t="shared" si="28"/>
        <v>1094.4332555594594</v>
      </c>
      <c r="V6" s="21">
        <f t="shared" si="28"/>
        <v>466.27222368580658</v>
      </c>
      <c r="W6" s="21">
        <f t="shared" ref="W6:Y6" si="29">SUM(W7:W9)</f>
        <v>580.2117904280002</v>
      </c>
      <c r="X6" s="21">
        <f t="shared" si="29"/>
        <v>985.92404194937012</v>
      </c>
      <c r="Y6" s="21">
        <f t="shared" si="29"/>
        <v>1199.7156298377549</v>
      </c>
      <c r="DA6" s="189" t="s">
        <v>280</v>
      </c>
    </row>
    <row r="7" spans="1:105" ht="11.45" customHeight="1" x14ac:dyDescent="0.25">
      <c r="A7" s="83" t="s">
        <v>27</v>
      </c>
      <c r="B7" s="96">
        <v>3.1271011748368092</v>
      </c>
      <c r="C7" s="96">
        <v>3.1377542195117267</v>
      </c>
      <c r="D7" s="96">
        <v>4.1917632157272822</v>
      </c>
      <c r="E7" s="96">
        <v>4.1919236020705766</v>
      </c>
      <c r="F7" s="96">
        <v>3.1443151549555144</v>
      </c>
      <c r="G7" s="96">
        <v>3.1502171071243077</v>
      </c>
      <c r="H7" s="96">
        <v>3.1136940111661984</v>
      </c>
      <c r="I7" s="96">
        <v>4.1354738698713023</v>
      </c>
      <c r="J7" s="96">
        <v>3.0877564321077666</v>
      </c>
      <c r="K7" s="96">
        <v>4.0812984482403172</v>
      </c>
      <c r="L7" s="96">
        <v>4.1004366838788391</v>
      </c>
      <c r="M7" s="96">
        <v>5.1395872197781225</v>
      </c>
      <c r="N7" s="96">
        <v>18.313140194603818</v>
      </c>
      <c r="O7" s="96">
        <v>16.229762671329059</v>
      </c>
      <c r="P7" s="96">
        <v>26.54373388724601</v>
      </c>
      <c r="Q7" s="96">
        <v>18.428611088664137</v>
      </c>
      <c r="R7" s="96">
        <v>24.640237585225961</v>
      </c>
      <c r="S7" s="96">
        <v>27.49380344744149</v>
      </c>
      <c r="T7" s="96">
        <v>32.796793040918431</v>
      </c>
      <c r="U7" s="96">
        <v>33.765304607658138</v>
      </c>
      <c r="V7" s="96">
        <v>18.214040664634087</v>
      </c>
      <c r="W7" s="96">
        <v>29.999080227707115</v>
      </c>
      <c r="X7" s="96">
        <v>30.599925886977552</v>
      </c>
      <c r="Y7" s="96">
        <v>37.222632678839318</v>
      </c>
      <c r="DA7" s="171" t="s">
        <v>281</v>
      </c>
    </row>
    <row r="8" spans="1:105" ht="11.45" customHeight="1" x14ac:dyDescent="0.25">
      <c r="A8" s="83" t="s">
        <v>181</v>
      </c>
      <c r="B8" s="96">
        <v>184.93402079000089</v>
      </c>
      <c r="C8" s="96">
        <v>182.39977080047396</v>
      </c>
      <c r="D8" s="96">
        <v>178.79475743769387</v>
      </c>
      <c r="E8" s="96">
        <v>193.41806254012323</v>
      </c>
      <c r="F8" s="96">
        <v>190.15007033449675</v>
      </c>
      <c r="G8" s="96">
        <v>223.23825382807971</v>
      </c>
      <c r="H8" s="96">
        <v>314.26553387710311</v>
      </c>
      <c r="I8" s="96">
        <v>337.27677367184128</v>
      </c>
      <c r="J8" s="96">
        <v>411.21349048082021</v>
      </c>
      <c r="K8" s="96">
        <v>351.36297659105657</v>
      </c>
      <c r="L8" s="96">
        <v>368.29046277770453</v>
      </c>
      <c r="M8" s="96">
        <v>360.43797506460805</v>
      </c>
      <c r="N8" s="96">
        <v>392.39950359519582</v>
      </c>
      <c r="O8" s="96">
        <v>390.66539177316656</v>
      </c>
      <c r="P8" s="96">
        <v>431.59363957536823</v>
      </c>
      <c r="Q8" s="96">
        <v>488.3947476866191</v>
      </c>
      <c r="R8" s="96">
        <v>523.95949673332109</v>
      </c>
      <c r="S8" s="96">
        <v>661.75997468714218</v>
      </c>
      <c r="T8" s="96">
        <v>789.43959069991786</v>
      </c>
      <c r="U8" s="96">
        <v>843.1086224708813</v>
      </c>
      <c r="V8" s="96">
        <v>315.91152880900972</v>
      </c>
      <c r="W8" s="96">
        <v>397.2832443087907</v>
      </c>
      <c r="X8" s="96">
        <v>753.52646140345746</v>
      </c>
      <c r="Y8" s="96">
        <v>922.14404928359897</v>
      </c>
      <c r="DA8" s="171" t="s">
        <v>282</v>
      </c>
    </row>
    <row r="9" spans="1:105" ht="11.45" customHeight="1" x14ac:dyDescent="0.25">
      <c r="A9" s="83" t="s">
        <v>182</v>
      </c>
      <c r="B9" s="96">
        <v>94.376674870467781</v>
      </c>
      <c r="C9" s="96">
        <v>93.081000220877414</v>
      </c>
      <c r="D9" s="96">
        <v>91.249413086268902</v>
      </c>
      <c r="E9" s="96">
        <v>98.715234223033576</v>
      </c>
      <c r="F9" s="96">
        <v>97.054082853050218</v>
      </c>
      <c r="G9" s="96">
        <v>102.48012680798134</v>
      </c>
      <c r="H9" s="96">
        <v>120.32971437753463</v>
      </c>
      <c r="I9" s="96">
        <v>114.71800064053902</v>
      </c>
      <c r="J9" s="96">
        <v>131.38714265295692</v>
      </c>
      <c r="K9" s="96">
        <v>126.78477020806346</v>
      </c>
      <c r="L9" s="96">
        <v>133.09027595770607</v>
      </c>
      <c r="M9" s="96">
        <v>131.25725445122521</v>
      </c>
      <c r="N9" s="96">
        <v>139.22104544148252</v>
      </c>
      <c r="O9" s="96">
        <v>128.2734077154941</v>
      </c>
      <c r="P9" s="96">
        <v>144.82287133003004</v>
      </c>
      <c r="Q9" s="96">
        <v>152.29267728498723</v>
      </c>
      <c r="R9" s="96">
        <v>148.13695012986844</v>
      </c>
      <c r="S9" s="96">
        <v>176.44717020753683</v>
      </c>
      <c r="T9" s="96">
        <v>205.81681279541468</v>
      </c>
      <c r="U9" s="96">
        <v>217.5593284809201</v>
      </c>
      <c r="V9" s="96">
        <v>132.14665421216282</v>
      </c>
      <c r="W9" s="96">
        <v>152.92946589150236</v>
      </c>
      <c r="X9" s="96">
        <v>201.79765465893519</v>
      </c>
      <c r="Y9" s="96">
        <v>240.3489478753167</v>
      </c>
      <c r="DA9" s="171" t="s">
        <v>283</v>
      </c>
    </row>
    <row r="10" spans="1:105" ht="11.45" customHeight="1" x14ac:dyDescent="0.25">
      <c r="A10" s="12" t="s">
        <v>34</v>
      </c>
      <c r="B10" s="22">
        <f t="shared" ref="B10:C10" si="30">SUM(B11:B13)</f>
        <v>1.9703716943591436</v>
      </c>
      <c r="C10" s="22">
        <f t="shared" si="30"/>
        <v>1.5764016722924823</v>
      </c>
      <c r="D10" s="22">
        <f t="shared" ref="D10:V10" si="31">SUM(D11:D13)</f>
        <v>1.7504807057096619</v>
      </c>
      <c r="E10" s="22">
        <f t="shared" si="31"/>
        <v>1.7807125668448276</v>
      </c>
      <c r="F10" s="22">
        <f t="shared" si="31"/>
        <v>1.4328730160529621</v>
      </c>
      <c r="G10" s="22">
        <f t="shared" si="31"/>
        <v>1.8852285680786878</v>
      </c>
      <c r="H10" s="22">
        <f t="shared" si="31"/>
        <v>2.5891660746947629</v>
      </c>
      <c r="I10" s="22">
        <f t="shared" si="31"/>
        <v>3.1321765812907802</v>
      </c>
      <c r="J10" s="22">
        <f t="shared" si="31"/>
        <v>4.1540008038484544</v>
      </c>
      <c r="K10" s="22">
        <f t="shared" si="31"/>
        <v>4.6822187251245317</v>
      </c>
      <c r="L10" s="22">
        <f t="shared" si="31"/>
        <v>7.1060128868154617</v>
      </c>
      <c r="M10" s="22">
        <f t="shared" si="31"/>
        <v>6.5329390683438415</v>
      </c>
      <c r="N10" s="22">
        <f t="shared" si="31"/>
        <v>6.8399995047453555</v>
      </c>
      <c r="O10" s="22">
        <f t="shared" si="31"/>
        <v>7.2027190093997859</v>
      </c>
      <c r="P10" s="22">
        <f t="shared" si="31"/>
        <v>8.2463760156102328</v>
      </c>
      <c r="Q10" s="22">
        <f t="shared" si="31"/>
        <v>8.5537833722317256</v>
      </c>
      <c r="R10" s="22">
        <f t="shared" si="31"/>
        <v>10.987649171532976</v>
      </c>
      <c r="S10" s="22">
        <f t="shared" si="31"/>
        <v>12.501459224517561</v>
      </c>
      <c r="T10" s="22">
        <f t="shared" si="31"/>
        <v>11.179305613361969</v>
      </c>
      <c r="U10" s="22">
        <f t="shared" si="31"/>
        <v>15.504319676998037</v>
      </c>
      <c r="V10" s="22">
        <f t="shared" si="31"/>
        <v>9.1220153511665671</v>
      </c>
      <c r="W10" s="22">
        <f t="shared" ref="W10:Y10" si="32">SUM(W11:W13)</f>
        <v>13.637478703556019</v>
      </c>
      <c r="X10" s="22">
        <f t="shared" si="32"/>
        <v>22.640790380810301</v>
      </c>
      <c r="Y10" s="22">
        <f t="shared" si="32"/>
        <v>23.813518915469288</v>
      </c>
      <c r="DA10" s="193" t="s">
        <v>284</v>
      </c>
    </row>
    <row r="11" spans="1:105" ht="11.45" customHeight="1" x14ac:dyDescent="0.25">
      <c r="A11" s="92" t="s">
        <v>27</v>
      </c>
      <c r="B11" s="97">
        <v>4.7189452850207217E-2</v>
      </c>
      <c r="C11" s="97">
        <v>3.6536408175289317E-2</v>
      </c>
      <c r="D11" s="97">
        <v>4.0566964840215929E-2</v>
      </c>
      <c r="E11" s="97">
        <v>4.0406578496921468E-2</v>
      </c>
      <c r="F11" s="97">
        <v>2.9975472731501834E-2</v>
      </c>
      <c r="G11" s="97">
        <v>2.4073520562708398E-2</v>
      </c>
      <c r="H11" s="97">
        <v>6.0596616520817936E-2</v>
      </c>
      <c r="I11" s="97">
        <v>9.6856310696195366E-2</v>
      </c>
      <c r="J11" s="97">
        <v>8.6534195579249379E-2</v>
      </c>
      <c r="K11" s="97">
        <v>0.12239888623947603</v>
      </c>
      <c r="L11" s="97">
        <v>0.10326065060095388</v>
      </c>
      <c r="M11" s="97">
        <v>0.11501295219092253</v>
      </c>
      <c r="N11" s="97">
        <v>0.29296470651397649</v>
      </c>
      <c r="O11" s="97">
        <v>0.29835426762192574</v>
      </c>
      <c r="P11" s="97">
        <v>0.27862208867832672</v>
      </c>
      <c r="Q11" s="97">
        <v>0.15359011511918735</v>
      </c>
      <c r="R11" s="97">
        <v>0.10421641305435121</v>
      </c>
      <c r="S11" s="97">
        <v>3.7666887898147421E-2</v>
      </c>
      <c r="T11" s="97">
        <v>4.6801112134028176E-2</v>
      </c>
      <c r="U11" s="97">
        <v>6.0146811086487569E-2</v>
      </c>
      <c r="V11" s="97">
        <v>2.1728896844848702E-2</v>
      </c>
      <c r="W11" s="97">
        <v>3.9010915887040941E-2</v>
      </c>
      <c r="X11" s="97">
        <v>3.2318309067153363E-2</v>
      </c>
      <c r="Y11" s="97">
        <v>2.8614096741074471E-2</v>
      </c>
      <c r="DA11" s="175" t="s">
        <v>285</v>
      </c>
    </row>
    <row r="12" spans="1:105" ht="11.45" customHeight="1" x14ac:dyDescent="0.25">
      <c r="A12" s="92" t="s">
        <v>181</v>
      </c>
      <c r="B12" s="97">
        <v>1.6034803547705108</v>
      </c>
      <c r="C12" s="97">
        <v>1.2293348071050163</v>
      </c>
      <c r="D12" s="97">
        <v>1.3953034364126058</v>
      </c>
      <c r="E12" s="97">
        <v>1.3981559202866616</v>
      </c>
      <c r="F12" s="97">
        <v>1.0584162372862891</v>
      </c>
      <c r="G12" s="97">
        <v>1.5202955729355514</v>
      </c>
      <c r="H12" s="97">
        <v>1.9764980312855891</v>
      </c>
      <c r="I12" s="97">
        <v>2.1204331614529268</v>
      </c>
      <c r="J12" s="97">
        <v>2.4208874565820286</v>
      </c>
      <c r="K12" s="97">
        <v>2.7202216002775019</v>
      </c>
      <c r="L12" s="97">
        <v>2.7372399877378832</v>
      </c>
      <c r="M12" s="97">
        <v>2.6913065257108326</v>
      </c>
      <c r="N12" s="97">
        <v>3.0287607359434814</v>
      </c>
      <c r="O12" s="97">
        <v>2.8431185369491918</v>
      </c>
      <c r="P12" s="97">
        <v>3.1059138778177258</v>
      </c>
      <c r="Q12" s="97">
        <v>3.3646047482655876</v>
      </c>
      <c r="R12" s="97">
        <v>3.1497080302029632</v>
      </c>
      <c r="S12" s="97">
        <v>4.3108842056424299</v>
      </c>
      <c r="T12" s="97">
        <v>4.5133768510417651</v>
      </c>
      <c r="U12" s="97">
        <v>4.7930090091083564</v>
      </c>
      <c r="V12" s="97">
        <v>6.3175481435729361</v>
      </c>
      <c r="W12" s="97">
        <v>7.9223473438068011</v>
      </c>
      <c r="X12" s="97">
        <v>9.2613797825615745</v>
      </c>
      <c r="Y12" s="97">
        <v>7.6308253266207906</v>
      </c>
      <c r="DA12" s="175" t="s">
        <v>286</v>
      </c>
    </row>
    <row r="13" spans="1:105" ht="11.45" customHeight="1" x14ac:dyDescent="0.25">
      <c r="A13" s="85" t="s">
        <v>182</v>
      </c>
      <c r="B13" s="98">
        <v>0.3197018867384257</v>
      </c>
      <c r="C13" s="98">
        <v>0.31053045701217674</v>
      </c>
      <c r="D13" s="98">
        <v>0.31461030445684035</v>
      </c>
      <c r="E13" s="98">
        <v>0.34215006806124465</v>
      </c>
      <c r="F13" s="98">
        <v>0.34448130603517119</v>
      </c>
      <c r="G13" s="98">
        <v>0.34085947458042781</v>
      </c>
      <c r="H13" s="98">
        <v>0.55207142688835609</v>
      </c>
      <c r="I13" s="98">
        <v>0.91488710914165838</v>
      </c>
      <c r="J13" s="98">
        <v>1.6465791516871766</v>
      </c>
      <c r="K13" s="98">
        <v>1.8395982386075533</v>
      </c>
      <c r="L13" s="98">
        <v>4.2655122484766252</v>
      </c>
      <c r="M13" s="98">
        <v>3.7266195904420862</v>
      </c>
      <c r="N13" s="98">
        <v>3.518274062287897</v>
      </c>
      <c r="O13" s="98">
        <v>4.0612462048286684</v>
      </c>
      <c r="P13" s="98">
        <v>4.8618400491141802</v>
      </c>
      <c r="Q13" s="98">
        <v>5.0355885088469501</v>
      </c>
      <c r="R13" s="98">
        <v>7.7337247282756616</v>
      </c>
      <c r="S13" s="98">
        <v>8.152908130976984</v>
      </c>
      <c r="T13" s="98">
        <v>6.6191276501861749</v>
      </c>
      <c r="U13" s="98">
        <v>10.651163856803194</v>
      </c>
      <c r="V13" s="98">
        <v>2.782738310748782</v>
      </c>
      <c r="W13" s="98">
        <v>5.6761204438621764</v>
      </c>
      <c r="X13" s="98">
        <v>13.347092289181573</v>
      </c>
      <c r="Y13" s="98">
        <v>16.154079492107421</v>
      </c>
      <c r="DA13" s="178" t="s">
        <v>287</v>
      </c>
    </row>
    <row r="14" spans="1:105" x14ac:dyDescent="0.25">
      <c r="A14" s="50"/>
      <c r="B14" s="50"/>
      <c r="C14" s="50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DA14" s="181"/>
    </row>
    <row r="15" spans="1:105" ht="11.45" customHeight="1" x14ac:dyDescent="0.25">
      <c r="A15" s="68" t="s">
        <v>36</v>
      </c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DA15" s="179"/>
    </row>
    <row r="16" spans="1:105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DA16" s="181"/>
    </row>
    <row r="17" spans="1:105" ht="11.45" customHeight="1" x14ac:dyDescent="0.25">
      <c r="A17" s="53" t="s">
        <v>73</v>
      </c>
      <c r="B17" s="62">
        <f>IF(B3=0,0,B3/TrAvia_act!B13*100)</f>
        <v>278.51418685274621</v>
      </c>
      <c r="C17" s="62">
        <f>IF(C3=0,0,C3/TrAvia_act!C13*100)</f>
        <v>278.24252810906592</v>
      </c>
      <c r="D17" s="62">
        <f>IF(D3=0,0,D3/TrAvia_act!D13*100)</f>
        <v>270.66514189021092</v>
      </c>
      <c r="E17" s="62">
        <f>IF(E3=0,0,E3/TrAvia_act!E13*100)</f>
        <v>272.45616069443463</v>
      </c>
      <c r="F17" s="62">
        <f>IF(F3=0,0,F3/TrAvia_act!F13*100)</f>
        <v>278.36700873966265</v>
      </c>
      <c r="G17" s="62">
        <f>IF(G3=0,0,G3/TrAvia_act!G13*100)</f>
        <v>269.18544928958903</v>
      </c>
      <c r="H17" s="62">
        <f>IF(H3=0,0,H3/TrAvia_act!H13*100)</f>
        <v>295.64224513157808</v>
      </c>
      <c r="I17" s="62">
        <f>IF(I3=0,0,I3/TrAvia_act!I13*100)</f>
        <v>290.67859455875328</v>
      </c>
      <c r="J17" s="62">
        <f>IF(J3=0,0,J3/TrAvia_act!J13*100)</f>
        <v>344.6218500005678</v>
      </c>
      <c r="K17" s="62">
        <f>IF(K3=0,0,K3/TrAvia_act!K13*100)</f>
        <v>348.75769547659104</v>
      </c>
      <c r="L17" s="62">
        <f>IF(L3=0,0,L3/TrAvia_act!L13*100)</f>
        <v>362.10001895405344</v>
      </c>
      <c r="M17" s="62">
        <f>IF(M3=0,0,M3/TrAvia_act!M13*100)</f>
        <v>333.04929601899596</v>
      </c>
      <c r="N17" s="62">
        <f>IF(N3=0,0,N3/TrAvia_act!N13*100)</f>
        <v>368.38489396925064</v>
      </c>
      <c r="O17" s="62">
        <f>IF(O3=0,0,O3/TrAvia_act!O13*100)</f>
        <v>355.16748928249882</v>
      </c>
      <c r="P17" s="62">
        <f>IF(P3=0,0,P3/TrAvia_act!P13*100)</f>
        <v>366.03881774994659</v>
      </c>
      <c r="Q17" s="62">
        <f>IF(Q3=0,0,Q3/TrAvia_act!Q13*100)</f>
        <v>361.85622773277163</v>
      </c>
      <c r="R17" s="62">
        <f>IF(R3=0,0,R3/TrAvia_act!R13*100)</f>
        <v>380.91429835810646</v>
      </c>
      <c r="S17" s="62">
        <f>IF(S3=0,0,S3/TrAvia_act!S13*100)</f>
        <v>413.5862033688922</v>
      </c>
      <c r="T17" s="62">
        <f>IF(T3=0,0,T3/TrAvia_act!T13*100)</f>
        <v>409.22929507653106</v>
      </c>
      <c r="U17" s="62">
        <f>IF(U3=0,0,U3/TrAvia_act!U13*100)</f>
        <v>427.89194617821443</v>
      </c>
      <c r="V17" s="62">
        <f>IF(V3=0,0,V3/TrAvia_act!V13*100)</f>
        <v>456.58743881135626</v>
      </c>
      <c r="W17" s="62">
        <f>IF(W3=0,0,W3/TrAvia_act!W13*100)</f>
        <v>437.7060650086645</v>
      </c>
      <c r="X17" s="62">
        <f>IF(X3=0,0,X3/TrAvia_act!X13*100)</f>
        <v>440.62188029969872</v>
      </c>
      <c r="Y17" s="62">
        <f>IF(Y3=0,0,Y3/TrAvia_act!Y13*100)</f>
        <v>444.98792757970324</v>
      </c>
      <c r="DA17" s="172" t="s">
        <v>288</v>
      </c>
    </row>
    <row r="18" spans="1:105" ht="11.45" customHeight="1" x14ac:dyDescent="0.25">
      <c r="A18" s="10" t="s">
        <v>33</v>
      </c>
      <c r="B18" s="14">
        <f>IF(B6=0,0,B6/TrAvia_act!B14*100)</f>
        <v>278.61934505914962</v>
      </c>
      <c r="C18" s="14">
        <f>IF(C6=0,0,C6/TrAvia_act!C14*100)</f>
        <v>278.40201284047345</v>
      </c>
      <c r="D18" s="14">
        <f>IF(D6=0,0,D6/TrAvia_act!D14*100)</f>
        <v>270.74617843828929</v>
      </c>
      <c r="E18" s="14">
        <f>IF(E6=0,0,E6/TrAvia_act!E14*100)</f>
        <v>272.56966999206378</v>
      </c>
      <c r="F18" s="14">
        <f>IF(F6=0,0,F6/TrAvia_act!F14*100)</f>
        <v>278.58325510959241</v>
      </c>
      <c r="G18" s="14">
        <f>IF(G6=0,0,G6/TrAvia_act!G14*100)</f>
        <v>269.21439442664092</v>
      </c>
      <c r="H18" s="14">
        <f>IF(H6=0,0,H6/TrAvia_act!H14*100)</f>
        <v>295.90332018542438</v>
      </c>
      <c r="I18" s="14">
        <f>IF(I6=0,0,I6/TrAvia_act!I14*100)</f>
        <v>291.10659901008728</v>
      </c>
      <c r="J18" s="14">
        <f>IF(J6=0,0,J6/TrAvia_act!J14*100)</f>
        <v>345.27908472397269</v>
      </c>
      <c r="K18" s="14">
        <f>IF(K6=0,0,K6/TrAvia_act!K14*100)</f>
        <v>349.03215791926675</v>
      </c>
      <c r="L18" s="14">
        <f>IF(L6=0,0,L6/TrAvia_act!L14*100)</f>
        <v>361.68919960793789</v>
      </c>
      <c r="M18" s="14">
        <f>IF(M6=0,0,M6/TrAvia_act!M14*100)</f>
        <v>332.77776097028016</v>
      </c>
      <c r="N18" s="14">
        <f>IF(N6=0,0,N6/TrAvia_act!N14*100)</f>
        <v>368.11680556051743</v>
      </c>
      <c r="O18" s="14">
        <f>IF(O6=0,0,O6/TrAvia_act!O14*100)</f>
        <v>354.81942928233832</v>
      </c>
      <c r="P18" s="14">
        <f>IF(P6=0,0,P6/TrAvia_act!P14*100)</f>
        <v>365.76583704591184</v>
      </c>
      <c r="Q18" s="14">
        <f>IF(Q6=0,0,Q6/TrAvia_act!Q14*100)</f>
        <v>361.87805293737597</v>
      </c>
      <c r="R18" s="14">
        <f>IF(R6=0,0,R6/TrAvia_act!R14*100)</f>
        <v>380.04617123424725</v>
      </c>
      <c r="S18" s="14">
        <f>IF(S6=0,0,S6/TrAvia_act!S14*100)</f>
        <v>413.29235769203052</v>
      </c>
      <c r="T18" s="14">
        <f>IF(T6=0,0,T6/TrAvia_act!T14*100)</f>
        <v>409.91621396429474</v>
      </c>
      <c r="U18" s="14">
        <f>IF(U6=0,0,U6/TrAvia_act!U14*100)</f>
        <v>428.82528498203197</v>
      </c>
      <c r="V18" s="14">
        <f>IF(V6=0,0,V6/TrAvia_act!V14*100)</f>
        <v>458.07796288582699</v>
      </c>
      <c r="W18" s="14">
        <f>IF(W6=0,0,W6/TrAvia_act!W14*100)</f>
        <v>439.22751276302296</v>
      </c>
      <c r="X18" s="14">
        <f>IF(X6=0,0,X6/TrAvia_act!X14*100)</f>
        <v>442.43398023699251</v>
      </c>
      <c r="Y18" s="14">
        <f>IF(Y6=0,0,Y6/TrAvia_act!Y14*100)</f>
        <v>446.78806533228965</v>
      </c>
      <c r="DA18" s="189" t="s">
        <v>289</v>
      </c>
    </row>
    <row r="19" spans="1:105" ht="11.45" customHeight="1" x14ac:dyDescent="0.25">
      <c r="A19" s="83" t="s">
        <v>27</v>
      </c>
      <c r="B19" s="87">
        <f>IF(B7=0,0,B7/TrAvia_act!B15*100)</f>
        <v>36.635537791802186</v>
      </c>
      <c r="C19" s="87">
        <f>IF(C7=0,0,C7/TrAvia_act!C15*100)</f>
        <v>36.724280359007153</v>
      </c>
      <c r="D19" s="87">
        <f>IF(D7=0,0,D7/TrAvia_act!D15*100)</f>
        <v>36.758865175855298</v>
      </c>
      <c r="E19" s="87">
        <f>IF(E7=0,0,E7/TrAvia_act!E15*100)</f>
        <v>36.723155970762903</v>
      </c>
      <c r="F19" s="87">
        <f>IF(F7=0,0,F7/TrAvia_act!F15*100)</f>
        <v>36.690087442457894</v>
      </c>
      <c r="G19" s="87">
        <f>IF(G7=0,0,G7/TrAvia_act!G15*100)</f>
        <v>35.859815561578046</v>
      </c>
      <c r="H19" s="87">
        <f>IF(H7=0,0,H7/TrAvia_act!H15*100)</f>
        <v>36.505892773793185</v>
      </c>
      <c r="I19" s="87">
        <f>IF(I7=0,0,I7/TrAvia_act!I15*100)</f>
        <v>45.023789158436124</v>
      </c>
      <c r="J19" s="87">
        <f>IF(J7=0,0,J7/TrAvia_act!J15*100)</f>
        <v>35.204761438944395</v>
      </c>
      <c r="K19" s="87">
        <f>IF(K7=0,0,K7/TrAvia_act!K15*100)</f>
        <v>50.64782005271671</v>
      </c>
      <c r="L19" s="87">
        <f>IF(L7=0,0,L7/TrAvia_act!L15*100)</f>
        <v>48.361465660408804</v>
      </c>
      <c r="M19" s="87">
        <f>IF(M7=0,0,M7/TrAvia_act!M15*100)</f>
        <v>51.604354644218176</v>
      </c>
      <c r="N19" s="87">
        <f>IF(N7=0,0,N7/TrAvia_act!N15*100)</f>
        <v>134.17154179976939</v>
      </c>
      <c r="O19" s="87">
        <f>IF(O7=0,0,O7/TrAvia_act!O15*100)</f>
        <v>157.21075565499845</v>
      </c>
      <c r="P19" s="87">
        <f>IF(P7=0,0,P7/TrAvia_act!P15*100)</f>
        <v>248.50594018658535</v>
      </c>
      <c r="Q19" s="87">
        <f>IF(Q7=0,0,Q7/TrAvia_act!Q15*100)</f>
        <v>199.10691991160704</v>
      </c>
      <c r="R19" s="87">
        <f>IF(R7=0,0,R7/TrAvia_act!R15*100)</f>
        <v>267.58422521426871</v>
      </c>
      <c r="S19" s="87">
        <f>IF(S7=0,0,S7/TrAvia_act!S15*100)</f>
        <v>266.38066387676332</v>
      </c>
      <c r="T19" s="87">
        <f>IF(T7=0,0,T7/TrAvia_act!T15*100)</f>
        <v>353.57161399024824</v>
      </c>
      <c r="U19" s="87">
        <f>IF(U7=0,0,U7/TrAvia_act!U15*100)</f>
        <v>356.01174344144817</v>
      </c>
      <c r="V19" s="87">
        <f>IF(V7=0,0,V7/TrAvia_act!V15*100)</f>
        <v>388.56156569336059</v>
      </c>
      <c r="W19" s="87">
        <f>IF(W7=0,0,W7/TrAvia_act!W15*100)</f>
        <v>651.32839608314828</v>
      </c>
      <c r="X19" s="87">
        <f>IF(X7=0,0,X7/TrAvia_act!X15*100)</f>
        <v>365.4561693725899</v>
      </c>
      <c r="Y19" s="87">
        <f>IF(Y7=0,0,Y7/TrAvia_act!Y15*100)</f>
        <v>418.79044225896519</v>
      </c>
      <c r="DA19" s="171" t="s">
        <v>290</v>
      </c>
    </row>
    <row r="20" spans="1:105" ht="11.45" customHeight="1" x14ac:dyDescent="0.25">
      <c r="A20" s="83" t="s">
        <v>181</v>
      </c>
      <c r="B20" s="87">
        <f>IF(B8=0,0,B8/TrAvia_act!B16*100)</f>
        <v>325.53478014096453</v>
      </c>
      <c r="C20" s="87">
        <f>IF(C8=0,0,C8/TrAvia_act!C16*100)</f>
        <v>325.63431191858797</v>
      </c>
      <c r="D20" s="87">
        <f>IF(D8=0,0,D8/TrAvia_act!D16*100)</f>
        <v>325.06334572286988</v>
      </c>
      <c r="E20" s="87">
        <f>IF(E8=0,0,E8/TrAvia_act!E16*100)</f>
        <v>324.85549151433003</v>
      </c>
      <c r="F20" s="87">
        <f>IF(F8=0,0,F8/TrAvia_act!F16*100)</f>
        <v>324.8758602682197</v>
      </c>
      <c r="G20" s="87">
        <f>IF(G8=0,0,G8/TrAvia_act!G16*100)</f>
        <v>308.40629009143771</v>
      </c>
      <c r="H20" s="87">
        <f>IF(H8=0,0,H8/TrAvia_act!H16*100)</f>
        <v>340.82002178425068</v>
      </c>
      <c r="I20" s="87">
        <f>IF(I8=0,0,I8/TrAvia_act!I16*100)</f>
        <v>344.95928882866383</v>
      </c>
      <c r="J20" s="87">
        <f>IF(J8=0,0,J8/TrAvia_act!J16*100)</f>
        <v>403.96693159639449</v>
      </c>
      <c r="K20" s="87">
        <f>IF(K8=0,0,K8/TrAvia_act!K16*100)</f>
        <v>389.12582387985515</v>
      </c>
      <c r="L20" s="87">
        <f>IF(L8=0,0,L8/TrAvia_act!L16*100)</f>
        <v>401.49115608912388</v>
      </c>
      <c r="M20" s="87">
        <f>IF(M8=0,0,M8/TrAvia_act!M16*100)</f>
        <v>365.38101095127803</v>
      </c>
      <c r="N20" s="87">
        <f>IF(N8=0,0,N8/TrAvia_act!N16*100)</f>
        <v>400.88375254149742</v>
      </c>
      <c r="O20" s="87">
        <f>IF(O8=0,0,O8/TrAvia_act!O16*100)</f>
        <v>370.10382810492979</v>
      </c>
      <c r="P20" s="87">
        <f>IF(P8=0,0,P8/TrAvia_act!P16*100)</f>
        <v>393.78656969377374</v>
      </c>
      <c r="Q20" s="87">
        <f>IF(Q8=0,0,Q8/TrAvia_act!Q16*100)</f>
        <v>400.97299725504183</v>
      </c>
      <c r="R20" s="87">
        <f>IF(R8=0,0,R8/TrAvia_act!R16*100)</f>
        <v>380.13969386219679</v>
      </c>
      <c r="S20" s="87">
        <f>IF(S8=0,0,S8/TrAvia_act!S16*100)</f>
        <v>439.47066751058202</v>
      </c>
      <c r="T20" s="87">
        <f>IF(T8=0,0,T8/TrAvia_act!T16*100)</f>
        <v>478.40470787231936</v>
      </c>
      <c r="U20" s="87">
        <f>IF(U8=0,0,U8/TrAvia_act!U16*100)</f>
        <v>511.79924816810177</v>
      </c>
      <c r="V20" s="87">
        <f>IF(V8=0,0,V8/TrAvia_act!V16*100)</f>
        <v>482.37348101466245</v>
      </c>
      <c r="W20" s="87">
        <f>IF(W8=0,0,W8/TrAvia_act!W16*100)</f>
        <v>478.55722252675906</v>
      </c>
      <c r="X20" s="87">
        <f>IF(X8=0,0,X8/TrAvia_act!X16*100)</f>
        <v>517.88769458285606</v>
      </c>
      <c r="Y20" s="87">
        <f>IF(Y8=0,0,Y8/TrAvia_act!Y16*100)</f>
        <v>538.73298216208764</v>
      </c>
      <c r="DA20" s="171" t="s">
        <v>291</v>
      </c>
    </row>
    <row r="21" spans="1:105" ht="11.45" customHeight="1" x14ac:dyDescent="0.25">
      <c r="A21" s="83" t="s">
        <v>182</v>
      </c>
      <c r="B21" s="87">
        <f>IF(B9=0,0,B9/TrAvia_act!B17*100)</f>
        <v>261.97194658145497</v>
      </c>
      <c r="C21" s="87">
        <f>IF(C9=0,0,C9/TrAvia_act!C17*100)</f>
        <v>262.05236187002919</v>
      </c>
      <c r="D21" s="87">
        <f>IF(D9=0,0,D9/TrAvia_act!D17*100)</f>
        <v>261.59094627297253</v>
      </c>
      <c r="E21" s="87">
        <f>IF(E9=0,0,E9/TrAvia_act!E17*100)</f>
        <v>261.42287684604162</v>
      </c>
      <c r="F21" s="87">
        <f>IF(F9=0,0,F9/TrAvia_act!F17*100)</f>
        <v>261.43761012137071</v>
      </c>
      <c r="G21" s="87">
        <f>IF(G9=0,0,G9/TrAvia_act!G17*100)</f>
        <v>250.0165117034166</v>
      </c>
      <c r="H21" s="87">
        <f>IF(H9=0,0,H9/TrAvia_act!H17*100)</f>
        <v>255.0167818116048</v>
      </c>
      <c r="I21" s="87">
        <f>IF(I9=0,0,I9/TrAvia_act!I17*100)</f>
        <v>230.67989994112014</v>
      </c>
      <c r="J21" s="87">
        <f>IF(J9=0,0,J9/TrAvia_act!J17*100)</f>
        <v>276.73267001959005</v>
      </c>
      <c r="K21" s="87">
        <f>IF(K9=0,0,K9/TrAvia_act!K17*100)</f>
        <v>318.48969669651513</v>
      </c>
      <c r="L21" s="87">
        <f>IF(L9=0,0,L9/TrAvia_act!L17*100)</f>
        <v>336.54299503165981</v>
      </c>
      <c r="M21" s="87">
        <f>IF(M9=0,0,M9/TrAvia_act!M17*100)</f>
        <v>322.55860580496483</v>
      </c>
      <c r="N21" s="87">
        <f>IF(N9=0,0,N9/TrAvia_act!N17*100)</f>
        <v>367.74128311355895</v>
      </c>
      <c r="O21" s="87">
        <f>IF(O9=0,0,O9/TrAvia_act!O17*100)</f>
        <v>367.0277879575433</v>
      </c>
      <c r="P21" s="87">
        <f>IF(P9=0,0,P9/TrAvia_act!P17*100)</f>
        <v>324.95923722029505</v>
      </c>
      <c r="Q21" s="87">
        <f>IF(Q9=0,0,Q9/TrAvia_act!Q17*100)</f>
        <v>298.14791918400647</v>
      </c>
      <c r="R21" s="87">
        <f>IF(R9=0,0,R9/TrAvia_act!R17*100)</f>
        <v>408.22942204172278</v>
      </c>
      <c r="S21" s="87">
        <f>IF(S9=0,0,S9/TrAvia_act!S17*100)</f>
        <v>363.34299916400028</v>
      </c>
      <c r="T21" s="87">
        <f>IF(T9=0,0,T9/TrAvia_act!T17*100)</f>
        <v>269.0237734199751</v>
      </c>
      <c r="U21" s="87">
        <f>IF(U9=0,0,U9/TrAvia_act!U17*100)</f>
        <v>268.59833104866971</v>
      </c>
      <c r="V21" s="87">
        <f>IF(V9=0,0,V9/TrAvia_act!V17*100)</f>
        <v>418.05047928503643</v>
      </c>
      <c r="W21" s="87">
        <f>IF(W9=0,0,W9/TrAvia_act!W17*100)</f>
        <v>343.85079384241482</v>
      </c>
      <c r="X21" s="87">
        <f>IF(X9=0,0,X9/TrAvia_act!X17*100)</f>
        <v>292.59653495532535</v>
      </c>
      <c r="Y21" s="87">
        <f>IF(Y9=0,0,Y9/TrAvia_act!Y17*100)</f>
        <v>271.69460759354649</v>
      </c>
      <c r="DA21" s="171" t="s">
        <v>292</v>
      </c>
    </row>
    <row r="22" spans="1:105" ht="11.45" customHeight="1" x14ac:dyDescent="0.25">
      <c r="A22" s="12" t="s">
        <v>34</v>
      </c>
      <c r="B22" s="15">
        <f>IF(B10=0,0,B10/TrAvia_act!B18*100)</f>
        <v>264.21960058560069</v>
      </c>
      <c r="C22" s="15">
        <f>IF(C10=0,0,C10/TrAvia_act!C18*100)</f>
        <v>252.66091602870074</v>
      </c>
      <c r="D22" s="15">
        <f>IF(D10=0,0,D10/TrAvia_act!D18*100)</f>
        <v>258.54195877343494</v>
      </c>
      <c r="E22" s="15">
        <f>IF(E10=0,0,E10/TrAvia_act!E18*100)</f>
        <v>254.79878896877614</v>
      </c>
      <c r="F22" s="15">
        <f>IF(F10=0,0,F10/TrAvia_act!F18*100)</f>
        <v>240.5331535154958</v>
      </c>
      <c r="G22" s="15">
        <f>IF(G10=0,0,G10/TrAvia_act!G18*100)</f>
        <v>264.22961003706638</v>
      </c>
      <c r="H22" s="15">
        <f>IF(H10=0,0,H10/TrAvia_act!H18*100)</f>
        <v>257.26900155288894</v>
      </c>
      <c r="I22" s="15">
        <f>IF(I10=0,0,I10/TrAvia_act!I18*100)</f>
        <v>239.41683046642063</v>
      </c>
      <c r="J22" s="15">
        <f>IF(J10=0,0,J10/TrAvia_act!J18*100)</f>
        <v>275.68626119579608</v>
      </c>
      <c r="K22" s="15">
        <f>IF(K10=0,0,K10/TrAvia_act!K18*100)</f>
        <v>322.62873151225131</v>
      </c>
      <c r="L22" s="15">
        <f>IF(L10=0,0,L10/TrAvia_act!L18*100)</f>
        <v>393.92816765437647</v>
      </c>
      <c r="M22" s="15">
        <f>IF(M10=0,0,M10/TrAvia_act!M18*100)</f>
        <v>355.08394033751847</v>
      </c>
      <c r="N22" s="15">
        <f>IF(N10=0,0,N10/TrAvia_act!N18*100)</f>
        <v>391.29633625982024</v>
      </c>
      <c r="O22" s="15">
        <f>IF(O10=0,0,O10/TrAvia_act!O18*100)</f>
        <v>383.08911187627268</v>
      </c>
      <c r="P22" s="15">
        <f>IF(P10=0,0,P10/TrAvia_act!P18*100)</f>
        <v>387.16651392983289</v>
      </c>
      <c r="Q22" s="15">
        <f>IF(Q10=0,0,Q10/TrAvia_act!Q18*100)</f>
        <v>360.18235612047545</v>
      </c>
      <c r="R22" s="15">
        <f>IF(R10=0,0,R10/TrAvia_act!R18*100)</f>
        <v>445.43432496193935</v>
      </c>
      <c r="S22" s="15">
        <f>IF(S10=0,0,S10/TrAvia_act!S18*100)</f>
        <v>435.00335554816678</v>
      </c>
      <c r="T22" s="15">
        <f>IF(T10=0,0,T10/TrAvia_act!T18*100)</f>
        <v>354.58645520874194</v>
      </c>
      <c r="U22" s="15">
        <f>IF(U10=0,0,U10/TrAvia_act!U18*100)</f>
        <v>370.90695550046553</v>
      </c>
      <c r="V22" s="15">
        <f>IF(V10=0,0,V10/TrAvia_act!V18*100)</f>
        <v>391.47648955089153</v>
      </c>
      <c r="W22" s="15">
        <f>IF(W10=0,0,W10/TrAvia_act!W18*100)</f>
        <v>381.48518393437723</v>
      </c>
      <c r="X22" s="15">
        <f>IF(X10=0,0,X10/TrAvia_act!X18*100)</f>
        <v>373.92962318428789</v>
      </c>
      <c r="Y22" s="15">
        <f>IF(Y10=0,0,Y10/TrAvia_act!Y18*100)</f>
        <v>369.90386159497615</v>
      </c>
      <c r="DA22" s="193" t="s">
        <v>293</v>
      </c>
    </row>
    <row r="23" spans="1:105" ht="11.45" customHeight="1" x14ac:dyDescent="0.25">
      <c r="A23" s="92" t="s">
        <v>27</v>
      </c>
      <c r="B23" s="101">
        <f>IF(B11=0,0,B11/TrAvia_act!B19*100)</f>
        <v>46.432756774296834</v>
      </c>
      <c r="C23" s="101">
        <f>IF(C11=0,0,C11/TrAvia_act!C19*100)</f>
        <v>46.545231226343162</v>
      </c>
      <c r="D23" s="101">
        <f>IF(D11=0,0,D11/TrAvia_act!D19*100)</f>
        <v>46.589064850348336</v>
      </c>
      <c r="E23" s="101">
        <f>IF(E11=0,0,E11/TrAvia_act!E19*100)</f>
        <v>46.543806149791479</v>
      </c>
      <c r="F23" s="101">
        <f>IF(F11=0,0,F11/TrAvia_act!F19*100)</f>
        <v>46.501894306149474</v>
      </c>
      <c r="G23" s="101">
        <f>IF(G11=0,0,G11/TrAvia_act!G19*100)</f>
        <v>45.085975162936577</v>
      </c>
      <c r="H23" s="101">
        <f>IF(H11=0,0,H11/TrAvia_act!H19*100)</f>
        <v>45.401479866461422</v>
      </c>
      <c r="I23" s="101">
        <f>IF(I11=0,0,I11/TrAvia_act!I19*100)</f>
        <v>54.982635563214323</v>
      </c>
      <c r="J23" s="101">
        <f>IF(J11=0,0,J11/TrAvia_act!J19*100)</f>
        <v>42.139770002775691</v>
      </c>
      <c r="K23" s="101">
        <f>IF(K11=0,0,K11/TrAvia_act!K19*100)</f>
        <v>59.514152541093978</v>
      </c>
      <c r="L23" s="101">
        <f>IF(L11=0,0,L11/TrAvia_act!L19*100)</f>
        <v>55.322484574631446</v>
      </c>
      <c r="M23" s="101">
        <f>IF(M11=0,0,M11/TrAvia_act!M19*100)</f>
        <v>55.844286169768608</v>
      </c>
      <c r="N23" s="101">
        <f>IF(N11=0,0,N11/TrAvia_act!N19*100)</f>
        <v>138.10249791933165</v>
      </c>
      <c r="O23" s="101">
        <f>IF(O11=0,0,O11/TrAvia_act!O19*100)</f>
        <v>164.96648320664337</v>
      </c>
      <c r="P23" s="101">
        <f>IF(P11=0,0,P11/TrAvia_act!P19*100)</f>
        <v>265.72764475349226</v>
      </c>
      <c r="Q23" s="101">
        <f>IF(Q11=0,0,Q11/TrAvia_act!Q19*100)</f>
        <v>219.90660996851196</v>
      </c>
      <c r="R23" s="101">
        <f>IF(R11=0,0,R11/TrAvia_act!R19*100)</f>
        <v>304.17249471675586</v>
      </c>
      <c r="S23" s="101">
        <f>IF(S11=0,0,S11/TrAvia_act!S19*100)</f>
        <v>309.60120527008439</v>
      </c>
      <c r="T23" s="101">
        <f>IF(T11=0,0,T11/TrAvia_act!T19*100)</f>
        <v>423.27528715115841</v>
      </c>
      <c r="U23" s="101">
        <f>IF(U11=0,0,U11/TrAvia_act!U19*100)</f>
        <v>437.62245017149201</v>
      </c>
      <c r="V23" s="101">
        <f>IF(V11=0,0,V11/TrAvia_act!V19*100)</f>
        <v>337.19191609340476</v>
      </c>
      <c r="W23" s="101">
        <f>IF(W11=0,0,W11/TrAvia_act!W19*100)</f>
        <v>581.64915624401226</v>
      </c>
      <c r="X23" s="101">
        <f>IF(X11=0,0,X11/TrAvia_act!X19*100)</f>
        <v>376.38806598684533</v>
      </c>
      <c r="Y23" s="101">
        <f>IF(Y11=0,0,Y11/TrAvia_act!Y19*100)</f>
        <v>431.96006853545714</v>
      </c>
      <c r="DA23" s="175" t="s">
        <v>294</v>
      </c>
    </row>
    <row r="24" spans="1:105" ht="11.45" customHeight="1" x14ac:dyDescent="0.25">
      <c r="A24" s="92" t="s">
        <v>181</v>
      </c>
      <c r="B24" s="101">
        <f>IF(B12=0,0,B12/TrAvia_act!B20*100)</f>
        <v>403.43846810577412</v>
      </c>
      <c r="C24" s="101">
        <f>IF(C12=0,0,C12/TrAvia_act!C20*100)</f>
        <v>401.84433513011538</v>
      </c>
      <c r="D24" s="101">
        <f>IF(D12=0,0,D12/TrAvia_act!D20*100)</f>
        <v>402.20923046765006</v>
      </c>
      <c r="E24" s="101">
        <f>IF(E12=0,0,E12/TrAvia_act!E20*100)</f>
        <v>402.30830408630692</v>
      </c>
      <c r="F24" s="101">
        <f>IF(F12=0,0,F12/TrAvia_act!F20*100)</f>
        <v>399.49818802696763</v>
      </c>
      <c r="G24" s="101">
        <f>IF(G12=0,0,G12/TrAvia_act!G20*100)</f>
        <v>395.69927680102671</v>
      </c>
      <c r="H24" s="101">
        <f>IF(H12=0,0,H12/TrAvia_act!H20*100)</f>
        <v>397.30129770817706</v>
      </c>
      <c r="I24" s="101">
        <f>IF(I12=0,0,I12/TrAvia_act!I20*100)</f>
        <v>374.57697372300765</v>
      </c>
      <c r="J24" s="101">
        <f>IF(J12=0,0,J12/TrAvia_act!J20*100)</f>
        <v>385.13810131311089</v>
      </c>
      <c r="K24" s="101">
        <f>IF(K12=0,0,K12/TrAvia_act!K20*100)</f>
        <v>370.76284866443837</v>
      </c>
      <c r="L24" s="101">
        <f>IF(L12=0,0,L12/TrAvia_act!L20*100)</f>
        <v>367.71326074174613</v>
      </c>
      <c r="M24" s="101">
        <f>IF(M12=0,0,M12/TrAvia_act!M20*100)</f>
        <v>329.81162598248545</v>
      </c>
      <c r="N24" s="101">
        <f>IF(N12=0,0,N12/TrAvia_act!N20*100)</f>
        <v>358.40045021029511</v>
      </c>
      <c r="O24" s="101">
        <f>IF(O12=0,0,O12/TrAvia_act!O20*100)</f>
        <v>314.88451294614987</v>
      </c>
      <c r="P24" s="101">
        <f>IF(P12=0,0,P12/TrAvia_act!P20*100)</f>
        <v>330.10484715143247</v>
      </c>
      <c r="Q24" s="101">
        <f>IF(Q12=0,0,Q12/TrAvia_act!Q20*100)</f>
        <v>315.3950621725474</v>
      </c>
      <c r="R24" s="101">
        <f>IF(R12=0,0,R12/TrAvia_act!R20*100)</f>
        <v>298.96257704980781</v>
      </c>
      <c r="S24" s="101">
        <f>IF(S12=0,0,S12/TrAvia_act!S20*100)</f>
        <v>351.3460257113145</v>
      </c>
      <c r="T24" s="101">
        <f>IF(T12=0,0,T12/TrAvia_act!T20*100)</f>
        <v>345.99772258536916</v>
      </c>
      <c r="U24" s="101">
        <f>IF(U12=0,0,U12/TrAvia_act!U20*100)</f>
        <v>351.08200206872425</v>
      </c>
      <c r="V24" s="101">
        <f>IF(V12=0,0,V12/TrAvia_act!V20*100)</f>
        <v>429.14217821238833</v>
      </c>
      <c r="W24" s="101">
        <f>IF(W12=0,0,W12/TrAvia_act!W20*100)</f>
        <v>410.23216762836358</v>
      </c>
      <c r="X24" s="101">
        <f>IF(X12=0,0,X12/TrAvia_act!X20*100)</f>
        <v>370.18783536910951</v>
      </c>
      <c r="Y24" s="101">
        <f>IF(Y12=0,0,Y12/TrAvia_act!Y20*100)</f>
        <v>358.74929297381016</v>
      </c>
      <c r="DA24" s="175" t="s">
        <v>295</v>
      </c>
    </row>
    <row r="25" spans="1:105" ht="11.45" customHeight="1" x14ac:dyDescent="0.25">
      <c r="A25" s="85" t="s">
        <v>182</v>
      </c>
      <c r="B25" s="88">
        <f>IF(B13=0,0,B13/TrAvia_act!B21*100)</f>
        <v>129.61793140055605</v>
      </c>
      <c r="C25" s="88">
        <f>IF(C13=0,0,C13/TrAvia_act!C21*100)</f>
        <v>129.65771910872093</v>
      </c>
      <c r="D25" s="88">
        <f>IF(D13=0,0,D13/TrAvia_act!D21*100)</f>
        <v>129.42942086539034</v>
      </c>
      <c r="E25" s="88">
        <f>IF(E13=0,0,E13/TrAvia_act!E21*100)</f>
        <v>129.34626382611671</v>
      </c>
      <c r="F25" s="88">
        <f>IF(F13=0,0,F13/TrAvia_act!F21*100)</f>
        <v>129.3535535252461</v>
      </c>
      <c r="G25" s="88">
        <f>IF(G13=0,0,G13/TrAvia_act!G21*100)</f>
        <v>123.55276596373773</v>
      </c>
      <c r="H25" s="88">
        <f>IF(H13=0,0,H13/TrAvia_act!H21*100)</f>
        <v>147.04065675544874</v>
      </c>
      <c r="I25" s="88">
        <f>IF(I13=0,0,I13/TrAvia_act!I21*100)</f>
        <v>161.63882310091941</v>
      </c>
      <c r="J25" s="88">
        <f>IF(J13=0,0,J13/TrAvia_act!J21*100)</f>
        <v>244.71396271716165</v>
      </c>
      <c r="K25" s="88">
        <f>IF(K13=0,0,K13/TrAvia_act!K21*100)</f>
        <v>359.34873709609491</v>
      </c>
      <c r="L25" s="88">
        <f>IF(L13=0,0,L13/TrAvia_act!L21*100)</f>
        <v>488.69461779860677</v>
      </c>
      <c r="M25" s="88">
        <f>IF(M13=0,0,M13/TrAvia_act!M21*100)</f>
        <v>455.65310621928887</v>
      </c>
      <c r="N25" s="88">
        <f>IF(N13=0,0,N13/TrAvia_act!N21*100)</f>
        <v>509.2875660682065</v>
      </c>
      <c r="O25" s="88">
        <f>IF(O13=0,0,O13/TrAvia_act!O21*100)</f>
        <v>509.94915619360262</v>
      </c>
      <c r="P25" s="88">
        <f>IF(P13=0,0,P13/TrAvia_act!P21*100)</f>
        <v>448.4304300680173</v>
      </c>
      <c r="Q25" s="88">
        <f>IF(Q13=0,0,Q13/TrAvia_act!Q21*100)</f>
        <v>406.68157612715675</v>
      </c>
      <c r="R25" s="88">
        <f>IF(R13=0,0,R13/TrAvia_act!R21*100)</f>
        <v>560.85421215176962</v>
      </c>
      <c r="S25" s="88">
        <f>IF(S13=0,0,S13/TrAvia_act!S21*100)</f>
        <v>498.72578097595789</v>
      </c>
      <c r="T25" s="88">
        <f>IF(T13=0,0,T13/TrAvia_act!T21*100)</f>
        <v>360.27105745896091</v>
      </c>
      <c r="U25" s="88">
        <f>IF(U13=0,0,U13/TrAvia_act!U21*100)</f>
        <v>380.24178183617164</v>
      </c>
      <c r="V25" s="88">
        <f>IF(V13=0,0,V13/TrAvia_act!V21*100)</f>
        <v>326.77414047204661</v>
      </c>
      <c r="W25" s="88">
        <f>IF(W13=0,0,W13/TrAvia_act!W21*100)</f>
        <v>346.75080638696573</v>
      </c>
      <c r="X25" s="88">
        <f>IF(X13=0,0,X13/TrAvia_act!X21*100)</f>
        <v>376.56477297973549</v>
      </c>
      <c r="Y25" s="88">
        <f>IF(Y13=0,0,Y13/TrAvia_act!Y21*100)</f>
        <v>375.32091894158157</v>
      </c>
      <c r="DA25" s="178" t="s">
        <v>296</v>
      </c>
    </row>
    <row r="26" spans="1:105" x14ac:dyDescent="0.25">
      <c r="A26" s="50"/>
      <c r="B26" s="50"/>
      <c r="C26" s="50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DA26" s="181"/>
    </row>
    <row r="27" spans="1:105" ht="11.45" customHeight="1" x14ac:dyDescent="0.25">
      <c r="A27" s="53" t="s">
        <v>74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DA27" s="172"/>
    </row>
    <row r="28" spans="1:105" ht="11.45" customHeight="1" x14ac:dyDescent="0.25">
      <c r="A28" s="10" t="s">
        <v>155</v>
      </c>
      <c r="B28" s="14">
        <f>IF(B6=0,0,B6/TrAvia_act!B4*1000)</f>
        <v>33.709742752484317</v>
      </c>
      <c r="C28" s="14">
        <f>IF(C6=0,0,C6/TrAvia_act!C4*1000)</f>
        <v>33.027070487931134</v>
      </c>
      <c r="D28" s="14">
        <f>IF(D6=0,0,D6/TrAvia_act!D4*1000)</f>
        <v>32.338905988013195</v>
      </c>
      <c r="E28" s="14">
        <f>IF(E6=0,0,E6/TrAvia_act!E4*1000)</f>
        <v>32.043894762094844</v>
      </c>
      <c r="F28" s="14">
        <f>IF(F6=0,0,F6/TrAvia_act!F4*1000)</f>
        <v>31.849835293532024</v>
      </c>
      <c r="G28" s="14">
        <f>IF(G6=0,0,G6/TrAvia_act!G4*1000)</f>
        <v>30.334239397254397</v>
      </c>
      <c r="H28" s="14">
        <f>IF(H6=0,0,H6/TrAvia_act!H4*1000)</f>
        <v>33.463893377333171</v>
      </c>
      <c r="I28" s="14">
        <f>IF(I6=0,0,I6/TrAvia_act!I4*1000)</f>
        <v>29.107845970452743</v>
      </c>
      <c r="J28" s="14">
        <f>IF(J6=0,0,J6/TrAvia_act!J4*1000)</f>
        <v>31.688673869364145</v>
      </c>
      <c r="K28" s="14">
        <f>IF(K6=0,0,K6/TrAvia_act!K4*1000)</f>
        <v>32.43076280072853</v>
      </c>
      <c r="L28" s="14">
        <f>IF(L6=0,0,L6/TrAvia_act!L4*1000)</f>
        <v>32.504815297661125</v>
      </c>
      <c r="M28" s="14">
        <f>IF(M6=0,0,M6/TrAvia_act!M4*1000)</f>
        <v>29.950432019398487</v>
      </c>
      <c r="N28" s="14">
        <f>IF(N6=0,0,N6/TrAvia_act!N4*1000)</f>
        <v>32.258797271748548</v>
      </c>
      <c r="O28" s="14">
        <f>IF(O6=0,0,O6/TrAvia_act!O4*1000)</f>
        <v>30.039647559765466</v>
      </c>
      <c r="P28" s="14">
        <f>IF(P6=0,0,P6/TrAvia_act!P4*1000)</f>
        <v>30.295397207541683</v>
      </c>
      <c r="Q28" s="14">
        <f>IF(Q6=0,0,Q6/TrAvia_act!Q4*1000)</f>
        <v>30.379695024465295</v>
      </c>
      <c r="R28" s="14">
        <f>IF(R6=0,0,R6/TrAvia_act!R4*1000)</f>
        <v>28.760526619166509</v>
      </c>
      <c r="S28" s="14">
        <f>IF(S6=0,0,S6/TrAvia_act!S4*1000)</f>
        <v>28.909278527428651</v>
      </c>
      <c r="T28" s="14">
        <f>IF(T6=0,0,T6/TrAvia_act!T4*1000)</f>
        <v>28.803815553895799</v>
      </c>
      <c r="U28" s="14">
        <f>IF(U6=0,0,U6/TrAvia_act!U4*1000)</f>
        <v>28.199036159665443</v>
      </c>
      <c r="V28" s="14">
        <f>IF(V6=0,0,V6/TrAvia_act!V4*1000)</f>
        <v>40.461273802651448</v>
      </c>
      <c r="W28" s="14">
        <f>IF(W6=0,0,W6/TrAvia_act!W4*1000)</f>
        <v>34.339302340663906</v>
      </c>
      <c r="X28" s="14">
        <f>IF(X6=0,0,X6/TrAvia_act!X4*1000)</f>
        <v>27.653349718409732</v>
      </c>
      <c r="Y28" s="14">
        <f>IF(Y6=0,0,Y6/TrAvia_act!Y4*1000)</f>
        <v>25.665516571037905</v>
      </c>
      <c r="DA28" s="189" t="s">
        <v>297</v>
      </c>
    </row>
    <row r="29" spans="1:105" ht="11.45" customHeight="1" x14ac:dyDescent="0.25">
      <c r="A29" s="83" t="s">
        <v>27</v>
      </c>
      <c r="B29" s="87">
        <f>IF(B7=0,0,B7/TrAvia_act!B5*1000)</f>
        <v>12.826438772152292</v>
      </c>
      <c r="C29" s="87">
        <f>IF(C7=0,0,C7/TrAvia_act!C5*1000)</f>
        <v>12.711792497217894</v>
      </c>
      <c r="D29" s="87">
        <f>IF(D7=0,0,D7/TrAvia_act!D5*1000)</f>
        <v>12.522111821130046</v>
      </c>
      <c r="E29" s="87">
        <f>IF(E7=0,0,E7/TrAvia_act!E5*1000)</f>
        <v>12.218042499123779</v>
      </c>
      <c r="F29" s="87">
        <f>IF(F7=0,0,F7/TrAvia_act!F5*1000)</f>
        <v>11.993490399073735</v>
      </c>
      <c r="G29" s="87">
        <f>IF(G7=0,0,G7/TrAvia_act!G5*1000)</f>
        <v>11.429682678322653</v>
      </c>
      <c r="H29" s="87">
        <f>IF(H7=0,0,H7/TrAvia_act!H5*1000)</f>
        <v>11.295379042526299</v>
      </c>
      <c r="I29" s="87">
        <f>IF(I7=0,0,I7/TrAvia_act!I5*1000)</f>
        <v>12.487580348196865</v>
      </c>
      <c r="J29" s="87">
        <f>IF(J7=0,0,J7/TrAvia_act!J5*1000)</f>
        <v>10.630234261608926</v>
      </c>
      <c r="K29" s="87">
        <f>IF(K7=0,0,K7/TrAvia_act!K5*1000)</f>
        <v>15.240877083896295</v>
      </c>
      <c r="L29" s="87">
        <f>IF(L7=0,0,L7/TrAvia_act!L5*1000)</f>
        <v>13.327685024080083</v>
      </c>
      <c r="M29" s="87">
        <f>IF(M7=0,0,M7/TrAvia_act!M5*1000)</f>
        <v>12.618545370754299</v>
      </c>
      <c r="N29" s="87">
        <f>IF(N7=0,0,N7/TrAvia_act!N5*1000)</f>
        <v>27.19260828949303</v>
      </c>
      <c r="O29" s="87">
        <f>IF(O7=0,0,O7/TrAvia_act!O5*1000)</f>
        <v>35.261543875625073</v>
      </c>
      <c r="P29" s="87">
        <f>IF(P7=0,0,P7/TrAvia_act!P5*1000)</f>
        <v>47.207042979189531</v>
      </c>
      <c r="Q29" s="87">
        <f>IF(Q7=0,0,Q7/TrAvia_act!Q5*1000)</f>
        <v>33.234749182088592</v>
      </c>
      <c r="R29" s="87">
        <f>IF(R7=0,0,R7/TrAvia_act!R5*1000)</f>
        <v>40.655482638511167</v>
      </c>
      <c r="S29" s="87">
        <f>IF(S7=0,0,S7/TrAvia_act!S5*1000)</f>
        <v>36.119512189856167</v>
      </c>
      <c r="T29" s="87">
        <f>IF(T7=0,0,T7/TrAvia_act!T5*1000)</f>
        <v>50.573699378182226</v>
      </c>
      <c r="U29" s="87">
        <f>IF(U7=0,0,U7/TrAvia_act!U5*1000)</f>
        <v>50.958789733103615</v>
      </c>
      <c r="V29" s="87">
        <f>IF(V7=0,0,V7/TrAvia_act!V5*1000)</f>
        <v>80.111674010600254</v>
      </c>
      <c r="W29" s="87">
        <f>IF(W7=0,0,W7/TrAvia_act!W5*1000)</f>
        <v>114.96785984726229</v>
      </c>
      <c r="X29" s="87">
        <f>IF(X7=0,0,X7/TrAvia_act!X5*1000)</f>
        <v>54.43929124385263</v>
      </c>
      <c r="Y29" s="87">
        <f>IF(Y7=0,0,Y7/TrAvia_act!Y5*1000)</f>
        <v>56.189353490757654</v>
      </c>
      <c r="DA29" s="171" t="s">
        <v>298</v>
      </c>
    </row>
    <row r="30" spans="1:105" ht="11.45" customHeight="1" x14ac:dyDescent="0.25">
      <c r="A30" s="83" t="s">
        <v>181</v>
      </c>
      <c r="B30" s="87">
        <f>IF(B8=0,0,B8/TrAvia_act!B6*1000)</f>
        <v>46.262754699979453</v>
      </c>
      <c r="C30" s="87">
        <f>IF(C8=0,0,C8/TrAvia_act!C6*1000)</f>
        <v>45.219155529279277</v>
      </c>
      <c r="D30" s="87">
        <f>IF(D8=0,0,D8/TrAvia_act!D6*1000)</f>
        <v>44.549522403346231</v>
      </c>
      <c r="E30" s="87">
        <f>IF(E8=0,0,E8/TrAvia_act!E6*1000)</f>
        <v>44.463031718301821</v>
      </c>
      <c r="F30" s="87">
        <f>IF(F8=0,0,F8/TrAvia_act!F6*1000)</f>
        <v>44.383460453412567</v>
      </c>
      <c r="G30" s="87">
        <f>IF(G8=0,0,G8/TrAvia_act!G6*1000)</f>
        <v>40.828067572816678</v>
      </c>
      <c r="H30" s="87">
        <f>IF(H8=0,0,H8/TrAvia_act!H6*1000)</f>
        <v>44.608656648721549</v>
      </c>
      <c r="I30" s="87">
        <f>IF(I8=0,0,I8/TrAvia_act!I6*1000)</f>
        <v>37.853108011893596</v>
      </c>
      <c r="J30" s="87">
        <f>IF(J8=0,0,J8/TrAvia_act!J6*1000)</f>
        <v>44.32492782938165</v>
      </c>
      <c r="K30" s="87">
        <f>IF(K8=0,0,K8/TrAvia_act!K6*1000)</f>
        <v>41.98182375421684</v>
      </c>
      <c r="L30" s="87">
        <f>IF(L8=0,0,L8/TrAvia_act!L6*1000)</f>
        <v>41.705706939294735</v>
      </c>
      <c r="M30" s="87">
        <f>IF(M8=0,0,M8/TrAvia_act!M6*1000)</f>
        <v>34.844633821389827</v>
      </c>
      <c r="N30" s="87">
        <f>IF(N8=0,0,N8/TrAvia_act!N6*1000)</f>
        <v>37.789366983404022</v>
      </c>
      <c r="O30" s="87">
        <f>IF(O8=0,0,O8/TrAvia_act!O6*1000)</f>
        <v>32.983644688791586</v>
      </c>
      <c r="P30" s="87">
        <f>IF(P8=0,0,P8/TrAvia_act!P6*1000)</f>
        <v>33.574323396384763</v>
      </c>
      <c r="Q30" s="87">
        <f>IF(Q8=0,0,Q8/TrAvia_act!Q6*1000)</f>
        <v>32.442987228835364</v>
      </c>
      <c r="R30" s="87">
        <f>IF(R8=0,0,R8/TrAvia_act!R6*1000)</f>
        <v>30.226603358318179</v>
      </c>
      <c r="S30" s="87">
        <f>IF(S8=0,0,S8/TrAvia_act!S6*1000)</f>
        <v>32.926262343754765</v>
      </c>
      <c r="T30" s="87">
        <f>IF(T8=0,0,T8/TrAvia_act!T6*1000)</f>
        <v>35.115113696581759</v>
      </c>
      <c r="U30" s="87">
        <f>IF(U8=0,0,U8/TrAvia_act!U6*1000)</f>
        <v>37.300243594456454</v>
      </c>
      <c r="V30" s="87">
        <f>IF(V8=0,0,V8/TrAvia_act!V6*1000)</f>
        <v>43.620708972166369</v>
      </c>
      <c r="W30" s="87">
        <f>IF(W8=0,0,W8/TrAvia_act!W6*1000)</f>
        <v>41.681550382000808</v>
      </c>
      <c r="X30" s="87">
        <f>IF(X8=0,0,X8/TrAvia_act!X6*1000)</f>
        <v>36.622213727632442</v>
      </c>
      <c r="Y30" s="87">
        <f>IF(Y8=0,0,Y8/TrAvia_act!Y6*1000)</f>
        <v>35.550953650352653</v>
      </c>
      <c r="DA30" s="171" t="s">
        <v>299</v>
      </c>
    </row>
    <row r="31" spans="1:105" ht="11.45" customHeight="1" x14ac:dyDescent="0.25">
      <c r="A31" s="83" t="s">
        <v>182</v>
      </c>
      <c r="B31" s="87">
        <f>IF(B9=0,0,B9/TrAvia_act!B7*1000)</f>
        <v>22.811455974043184</v>
      </c>
      <c r="C31" s="87">
        <f>IF(C9=0,0,C9/TrAvia_act!C7*1000)</f>
        <v>22.399235660334583</v>
      </c>
      <c r="D31" s="87">
        <f>IF(D9=0,0,D9/TrAvia_act!D7*1000)</f>
        <v>22.084022653864089</v>
      </c>
      <c r="E31" s="87">
        <f>IF(E9=0,0,E9/TrAvia_act!E7*1000)</f>
        <v>21.6751800826931</v>
      </c>
      <c r="F31" s="87">
        <f>IF(F9=0,0,F9/TrAvia_act!F7*1000)</f>
        <v>21.238402620083921</v>
      </c>
      <c r="G31" s="87">
        <f>IF(G9=0,0,G9/TrAvia_act!G7*1000)</f>
        <v>20.101566366819071</v>
      </c>
      <c r="H31" s="87">
        <f>IF(H9=0,0,H9/TrAvia_act!H7*1000)</f>
        <v>20.892641222717039</v>
      </c>
      <c r="I31" s="87">
        <f>IF(I9=0,0,I9/TrAvia_act!I7*1000)</f>
        <v>17.843723029954141</v>
      </c>
      <c r="J31" s="87">
        <f>IF(J9=0,0,J9/TrAvia_act!J7*1000)</f>
        <v>17.169006393410363</v>
      </c>
      <c r="K31" s="87">
        <f>IF(K9=0,0,K9/TrAvia_act!K7*1000)</f>
        <v>20.343172197271535</v>
      </c>
      <c r="L31" s="87">
        <f>IF(L9=0,0,L9/TrAvia_act!L7*1000)</f>
        <v>20.754486353777008</v>
      </c>
      <c r="M31" s="87">
        <f>IF(M9=0,0,M9/TrAvia_act!M7*1000)</f>
        <v>22.486649804426733</v>
      </c>
      <c r="N31" s="87">
        <f>IF(N9=0,0,N9/TrAvia_act!N7*1000)</f>
        <v>23.241326244813774</v>
      </c>
      <c r="O31" s="87">
        <f>IF(O9=0,0,O9/TrAvia_act!O7*1000)</f>
        <v>23.276206813724446</v>
      </c>
      <c r="P31" s="87">
        <f>IF(P9=0,0,P9/TrAvia_act!P7*1000)</f>
        <v>22.330097773058014</v>
      </c>
      <c r="Q31" s="87">
        <f>IF(Q9=0,0,Q9/TrAvia_act!Q7*1000)</f>
        <v>25.01726659577692</v>
      </c>
      <c r="R31" s="87">
        <f>IF(R9=0,0,R9/TrAvia_act!R7*1000)</f>
        <v>23.569946487734992</v>
      </c>
      <c r="S31" s="87">
        <f>IF(S9=0,0,S9/TrAvia_act!S7*1000)</f>
        <v>19.419665529309128</v>
      </c>
      <c r="T31" s="87">
        <f>IF(T9=0,0,T9/TrAvia_act!T7*1000)</f>
        <v>16.384612413778676</v>
      </c>
      <c r="U31" s="87">
        <f>IF(U9=0,0,U9/TrAvia_act!U7*1000)</f>
        <v>13.995349751255945</v>
      </c>
      <c r="V31" s="87">
        <f>IF(V9=0,0,V9/TrAvia_act!V7*1000)</f>
        <v>32.594051825515763</v>
      </c>
      <c r="W31" s="87">
        <f>IF(W9=0,0,W9/TrAvia_act!W7*1000)</f>
        <v>21.526908050690164</v>
      </c>
      <c r="X31" s="87">
        <f>IF(X9=0,0,X9/TrAvia_act!X7*1000)</f>
        <v>13.902495929187161</v>
      </c>
      <c r="Y31" s="87">
        <f>IF(Y9=0,0,Y9/TrAvia_act!Y7*1000)</f>
        <v>11.93204174842368</v>
      </c>
      <c r="DA31" s="171" t="s">
        <v>300</v>
      </c>
    </row>
    <row r="32" spans="1:105" ht="11.45" customHeight="1" x14ac:dyDescent="0.25">
      <c r="A32" s="12" t="s">
        <v>156</v>
      </c>
      <c r="B32" s="15">
        <f>IF(B10=0,0,B10/TrAvia_act!B8*1000)</f>
        <v>54.826492883834504</v>
      </c>
      <c r="C32" s="15">
        <f>IF(C10=0,0,C10/TrAvia_act!C8*1000)</f>
        <v>45.862449458857249</v>
      </c>
      <c r="D32" s="15">
        <f>IF(D10=0,0,D10/TrAvia_act!D8*1000)</f>
        <v>51.598746653717591</v>
      </c>
      <c r="E32" s="15">
        <f>IF(E10=0,0,E10/TrAvia_act!E8*1000)</f>
        <v>52.556837920468894</v>
      </c>
      <c r="F32" s="15">
        <f>IF(F10=0,0,F10/TrAvia_act!F8*1000)</f>
        <v>47.084326250641169</v>
      </c>
      <c r="G32" s="15">
        <f>IF(G10=0,0,G10/TrAvia_act!G8*1000)</f>
        <v>59.429088526734816</v>
      </c>
      <c r="H32" s="15">
        <f>IF(H10=0,0,H10/TrAvia_act!H8*1000)</f>
        <v>62.80097461227259</v>
      </c>
      <c r="I32" s="15">
        <f>IF(I10=0,0,I10/TrAvia_act!I8*1000)</f>
        <v>54.430404763561931</v>
      </c>
      <c r="J32" s="15">
        <f>IF(J10=0,0,J10/TrAvia_act!J8*1000)</f>
        <v>62.527505365161538</v>
      </c>
      <c r="K32" s="15">
        <f>IF(K10=0,0,K10/TrAvia_act!K8*1000)</f>
        <v>76.58124201730736</v>
      </c>
      <c r="L32" s="15">
        <f>IF(L10=0,0,L10/TrAvia_act!L8*1000)</f>
        <v>74.741128183922157</v>
      </c>
      <c r="M32" s="15">
        <f>IF(M10=0,0,M10/TrAvia_act!M8*1000)</f>
        <v>68.952391062160743</v>
      </c>
      <c r="N32" s="15">
        <f>IF(N10=0,0,N10/TrAvia_act!N8*1000)</f>
        <v>77.010486194769655</v>
      </c>
      <c r="O32" s="15">
        <f>IF(O10=0,0,O10/TrAvia_act!O8*1000)</f>
        <v>75.767082404220645</v>
      </c>
      <c r="P32" s="15">
        <f>IF(P10=0,0,P10/TrAvia_act!P8*1000)</f>
        <v>58.757527939716475</v>
      </c>
      <c r="Q32" s="15">
        <f>IF(Q10=0,0,Q10/TrAvia_act!Q8*1000)</f>
        <v>53.091852219841336</v>
      </c>
      <c r="R32" s="15">
        <f>IF(R10=0,0,R10/TrAvia_act!R8*1000)</f>
        <v>57.41861996442799</v>
      </c>
      <c r="S32" s="15">
        <f>IF(S10=0,0,S10/TrAvia_act!S8*1000)</f>
        <v>57.655731386450334</v>
      </c>
      <c r="T32" s="15">
        <f>IF(T10=0,0,T10/TrAvia_act!T8*1000)</f>
        <v>47.049944438199297</v>
      </c>
      <c r="U32" s="15">
        <f>IF(U10=0,0,U10/TrAvia_act!U8*1000)</f>
        <v>43.332302709520803</v>
      </c>
      <c r="V32" s="15">
        <f>IF(V10=0,0,V10/TrAvia_act!V8*1000)</f>
        <v>90.327920452764644</v>
      </c>
      <c r="W32" s="15">
        <f>IF(W10=0,0,W10/TrAvia_act!W8*1000)</f>
        <v>83.750903011672222</v>
      </c>
      <c r="X32" s="15">
        <f>IF(X10=0,0,X10/TrAvia_act!X8*1000)</f>
        <v>64.217820124051258</v>
      </c>
      <c r="Y32" s="15">
        <f>IF(Y10=0,0,Y10/TrAvia_act!Y8*1000)</f>
        <v>54.745069944862166</v>
      </c>
      <c r="DA32" s="193" t="s">
        <v>301</v>
      </c>
    </row>
    <row r="33" spans="1:105" ht="11.45" customHeight="1" x14ac:dyDescent="0.25">
      <c r="A33" s="92" t="s">
        <v>27</v>
      </c>
      <c r="B33" s="101">
        <f>IF(B11=0,0,B11/TrAvia_act!B9*1000)</f>
        <v>47.170144062917018</v>
      </c>
      <c r="C33" s="101">
        <f>IF(C11=0,0,C11/TrAvia_act!C9*1000)</f>
        <v>47.647778876727536</v>
      </c>
      <c r="D33" s="101">
        <f>IF(D11=0,0,D11/TrAvia_act!D9*1000)</f>
        <v>46.378830409112737</v>
      </c>
      <c r="E33" s="101">
        <f>IF(E11=0,0,E11/TrAvia_act!E9*1000)</f>
        <v>43.559349611172728</v>
      </c>
      <c r="F33" s="101">
        <f>IF(F11=0,0,F11/TrAvia_act!F9*1000)</f>
        <v>46.216721157053875</v>
      </c>
      <c r="G33" s="101">
        <f>IF(G11=0,0,G11/TrAvia_act!G9*1000)</f>
        <v>45.787804165285053</v>
      </c>
      <c r="H33" s="101">
        <f>IF(H11=0,0,H11/TrAvia_act!H9*1000)</f>
        <v>47.934951532601204</v>
      </c>
      <c r="I33" s="101">
        <f>IF(I11=0,0,I11/TrAvia_act!I9*1000)</f>
        <v>58.267094286057301</v>
      </c>
      <c r="J33" s="101">
        <f>IF(J11=0,0,J11/TrAvia_act!J9*1000)</f>
        <v>46.416573280820536</v>
      </c>
      <c r="K33" s="101">
        <f>IF(K11=0,0,K11/TrAvia_act!K9*1000)</f>
        <v>64.992932457799213</v>
      </c>
      <c r="L33" s="101">
        <f>IF(L11=0,0,L11/TrAvia_act!L9*1000)</f>
        <v>56.486154469343603</v>
      </c>
      <c r="M33" s="101">
        <f>IF(M11=0,0,M11/TrAvia_act!M9*1000)</f>
        <v>51.564507227761425</v>
      </c>
      <c r="N33" s="101">
        <f>IF(N11=0,0,N11/TrAvia_act!N9*1000)</f>
        <v>122.73816301357907</v>
      </c>
      <c r="O33" s="101">
        <f>IF(O11=0,0,O11/TrAvia_act!O9*1000)</f>
        <v>142.99033032521919</v>
      </c>
      <c r="P33" s="101">
        <f>IF(P11=0,0,P11/TrAvia_act!P9*1000)</f>
        <v>207.71230866596042</v>
      </c>
      <c r="Q33" s="101">
        <f>IF(Q11=0,0,Q11/TrAvia_act!Q9*1000)</f>
        <v>165.16715461691106</v>
      </c>
      <c r="R33" s="101">
        <f>IF(R11=0,0,R11/TrAvia_act!R9*1000)</f>
        <v>199.43171811009341</v>
      </c>
      <c r="S33" s="101">
        <f>IF(S11=0,0,S11/TrAvia_act!S9*1000)</f>
        <v>218.21364121264077</v>
      </c>
      <c r="T33" s="101">
        <f>IF(T11=0,0,T11/TrAvia_act!T9*1000)</f>
        <v>290.83714413350452</v>
      </c>
      <c r="U33" s="101">
        <f>IF(U11=0,0,U11/TrAvia_act!U9*1000)</f>
        <v>272.79178096583684</v>
      </c>
      <c r="V33" s="101">
        <f>IF(V11=0,0,V11/TrAvia_act!V9*1000)</f>
        <v>228.09307105807687</v>
      </c>
      <c r="W33" s="101">
        <f>IF(W11=0,0,W11/TrAvia_act!W9*1000)</f>
        <v>383.3467054015419</v>
      </c>
      <c r="X33" s="101">
        <f>IF(X11=0,0,X11/TrAvia_act!X9*1000)</f>
        <v>247.00871717778784</v>
      </c>
      <c r="Y33" s="101">
        <f>IF(Y11=0,0,Y11/TrAvia_act!Y9*1000)</f>
        <v>287.68580523100434</v>
      </c>
      <c r="DA33" s="175" t="s">
        <v>302</v>
      </c>
    </row>
    <row r="34" spans="1:105" ht="11.45" customHeight="1" x14ac:dyDescent="0.25">
      <c r="A34" s="92" t="s">
        <v>181</v>
      </c>
      <c r="B34" s="101">
        <f>IF(B12=0,0,B12/TrAvia_act!B10*1000)</f>
        <v>171.21857597378317</v>
      </c>
      <c r="C34" s="101">
        <f>IF(C12=0,0,C12/TrAvia_act!C10*1000)</f>
        <v>162.09407719144821</v>
      </c>
      <c r="D34" s="101">
        <f>IF(D12=0,0,D12/TrAvia_act!D10*1000)</f>
        <v>171.95114320247276</v>
      </c>
      <c r="E34" s="101">
        <f>IF(E12=0,0,E12/TrAvia_act!E10*1000)</f>
        <v>168.4999613580257</v>
      </c>
      <c r="F34" s="101">
        <f>IF(F12=0,0,F12/TrAvia_act!F10*1000)</f>
        <v>185.98536764015233</v>
      </c>
      <c r="G34" s="101">
        <f>IF(G12=0,0,G12/TrAvia_act!G10*1000)</f>
        <v>196.80386272338285</v>
      </c>
      <c r="H34" s="101">
        <f>IF(H12=0,0,H12/TrAvia_act!H10*1000)</f>
        <v>217.57476517215989</v>
      </c>
      <c r="I34" s="101">
        <f>IF(I12=0,0,I12/TrAvia_act!I10*1000)</f>
        <v>209.79907788896057</v>
      </c>
      <c r="J34" s="101">
        <f>IF(J12=0,0,J12/TrAvia_act!J10*1000)</f>
        <v>215.19046662712083</v>
      </c>
      <c r="K34" s="101">
        <f>IF(K12=0,0,K12/TrAvia_act!K10*1000)</f>
        <v>201.4188240375243</v>
      </c>
      <c r="L34" s="101">
        <f>IF(L12=0,0,L12/TrAvia_act!L10*1000)</f>
        <v>196.28041769767773</v>
      </c>
      <c r="M34" s="101">
        <f>IF(M12=0,0,M12/TrAvia_act!M10*1000)</f>
        <v>165.10782433097242</v>
      </c>
      <c r="N34" s="101">
        <f>IF(N12=0,0,N12/TrAvia_act!N10*1000)</f>
        <v>163.99803814383566</v>
      </c>
      <c r="O34" s="101">
        <f>IF(O12=0,0,O12/TrAvia_act!O10*1000)</f>
        <v>142.80880206790346</v>
      </c>
      <c r="P34" s="101">
        <f>IF(P12=0,0,P12/TrAvia_act!P10*1000)</f>
        <v>129.95677798345361</v>
      </c>
      <c r="Q34" s="101">
        <f>IF(Q12=0,0,Q12/TrAvia_act!Q10*1000)</f>
        <v>120.73814376009442</v>
      </c>
      <c r="R34" s="101">
        <f>IF(R12=0,0,R12/TrAvia_act!R10*1000)</f>
        <v>107.92257313267766</v>
      </c>
      <c r="S34" s="101">
        <f>IF(S12=0,0,S12/TrAvia_act!S10*1000)</f>
        <v>135.29226015301938</v>
      </c>
      <c r="T34" s="101">
        <f>IF(T12=0,0,T12/TrAvia_act!T10*1000)</f>
        <v>129.77886022683603</v>
      </c>
      <c r="U34" s="101">
        <f>IF(U12=0,0,U12/TrAvia_act!U10*1000)</f>
        <v>124.98549173301279</v>
      </c>
      <c r="V34" s="101">
        <f>IF(V12=0,0,V12/TrAvia_act!V10*1000)</f>
        <v>182.33412343110513</v>
      </c>
      <c r="W34" s="101">
        <f>IF(W12=0,0,W12/TrAvia_act!W10*1000)</f>
        <v>171.04789706588809</v>
      </c>
      <c r="X34" s="101">
        <f>IF(X12=0,0,X12/TrAvia_act!X10*1000)</f>
        <v>157.5809292692696</v>
      </c>
      <c r="Y34" s="101">
        <f>IF(Y12=0,0,Y12/TrAvia_act!Y10*1000)</f>
        <v>154.32009032655358</v>
      </c>
      <c r="DA34" s="175" t="s">
        <v>303</v>
      </c>
    </row>
    <row r="35" spans="1:105" ht="11.45" customHeight="1" x14ac:dyDescent="0.25">
      <c r="A35" s="85" t="s">
        <v>182</v>
      </c>
      <c r="B35" s="88">
        <f>IF(B13=0,0,B13/TrAvia_act!B11*1000)</f>
        <v>12.501639487512255</v>
      </c>
      <c r="C35" s="88">
        <f>IF(C13=0,0,C13/TrAvia_act!C11*1000)</f>
        <v>11.933611512405097</v>
      </c>
      <c r="D35" s="88">
        <f>IF(D13=0,0,D13/TrAvia_act!D11*1000)</f>
        <v>12.616889373849681</v>
      </c>
      <c r="E35" s="88">
        <f>IF(E13=0,0,E13/TrAvia_act!E11*1000)</f>
        <v>13.876741865777943</v>
      </c>
      <c r="F35" s="88">
        <f>IF(F13=0,0,F13/TrAvia_act!F11*1000)</f>
        <v>14.298210435744782</v>
      </c>
      <c r="G35" s="88">
        <f>IF(G13=0,0,G13/TrAvia_act!G11*1000)</f>
        <v>14.522190270791494</v>
      </c>
      <c r="H35" s="88">
        <f>IF(H13=0,0,H13/TrAvia_act!H11*1000)</f>
        <v>17.878104246508073</v>
      </c>
      <c r="I35" s="88">
        <f>IF(I13=0,0,I13/TrAvia_act!I11*1000)</f>
        <v>19.986453273708381</v>
      </c>
      <c r="J35" s="88">
        <f>IF(J13=0,0,J13/TrAvia_act!J11*1000)</f>
        <v>30.880786751450628</v>
      </c>
      <c r="K35" s="88">
        <f>IF(K13=0,0,K13/TrAvia_act!K11*1000)</f>
        <v>40.20805853826721</v>
      </c>
      <c r="L35" s="88">
        <f>IF(L13=0,0,L13/TrAvia_act!L11*1000)</f>
        <v>53.78863022899499</v>
      </c>
      <c r="M35" s="88">
        <f>IF(M13=0,0,M13/TrAvia_act!M11*1000)</f>
        <v>48.896217273790477</v>
      </c>
      <c r="N35" s="88">
        <f>IF(N13=0,0,N13/TrAvia_act!N11*1000)</f>
        <v>51.766818403853613</v>
      </c>
      <c r="O35" s="88">
        <f>IF(O13=0,0,O13/TrAvia_act!O11*1000)</f>
        <v>55.581080355680143</v>
      </c>
      <c r="P35" s="88">
        <f>IF(P13=0,0,P13/TrAvia_act!P11*1000)</f>
        <v>42.238345692444526</v>
      </c>
      <c r="Q35" s="88">
        <f>IF(Q13=0,0,Q13/TrAvia_act!Q11*1000)</f>
        <v>38.057274908516462</v>
      </c>
      <c r="R35" s="88">
        <f>IF(R13=0,0,R13/TrAvia_act!R11*1000)</f>
        <v>47.841537336268715</v>
      </c>
      <c r="S35" s="88">
        <f>IF(S13=0,0,S13/TrAvia_act!S11*1000)</f>
        <v>44.119063482677909</v>
      </c>
      <c r="T35" s="88">
        <f>IF(T13=0,0,T13/TrAvia_act!T11*1000)</f>
        <v>32.660161595810486</v>
      </c>
      <c r="U35" s="88">
        <f>IF(U13=0,0,U13/TrAvia_act!U11*1000)</f>
        <v>33.365015938219031</v>
      </c>
      <c r="V35" s="88">
        <f>IF(V13=0,0,V13/TrAvia_act!V11*1000)</f>
        <v>42.007202833041873</v>
      </c>
      <c r="W35" s="88">
        <f>IF(W13=0,0,W13/TrAvia_act!W11*1000)</f>
        <v>48.757427274640065</v>
      </c>
      <c r="X35" s="88">
        <f>IF(X13=0,0,X13/TrAvia_act!X11*1000)</f>
        <v>45.450932156340151</v>
      </c>
      <c r="Y35" s="88">
        <f>IF(Y13=0,0,Y13/TrAvia_act!Y11*1000)</f>
        <v>41.910555629613739</v>
      </c>
      <c r="DA35" s="178" t="s">
        <v>304</v>
      </c>
    </row>
    <row r="36" spans="1:105" x14ac:dyDescent="0.25">
      <c r="A36" s="50"/>
      <c r="B36" s="50"/>
      <c r="C36" s="50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DA36" s="181"/>
    </row>
    <row r="37" spans="1:105" ht="11.45" customHeight="1" x14ac:dyDescent="0.25">
      <c r="A37" s="53" t="s">
        <v>75</v>
      </c>
      <c r="B37" s="62">
        <f>IF(B3=0,0,B3/TrAvia_act!B23*1000000)</f>
        <v>3151.7910450221598</v>
      </c>
      <c r="C37" s="62">
        <f>IF(C3=0,0,C3/TrAvia_act!C23*1000000)</f>
        <v>3143.3483314055084</v>
      </c>
      <c r="D37" s="62">
        <f>IF(D3=0,0,D3/TrAvia_act!D23*1000000)</f>
        <v>2866.9743044689576</v>
      </c>
      <c r="E37" s="62">
        <f>IF(E3=0,0,E3/TrAvia_act!E23*1000000)</f>
        <v>2937.5541523247921</v>
      </c>
      <c r="F37" s="62">
        <f>IF(F3=0,0,F3/TrAvia_act!F23*1000000)</f>
        <v>3171.8810887982982</v>
      </c>
      <c r="G37" s="62">
        <f>IF(G3=0,0,G3/TrAvia_act!G23*1000000)</f>
        <v>3174.6779892620248</v>
      </c>
      <c r="H37" s="62">
        <f>IF(H3=0,0,H3/TrAvia_act!H23*1000000)</f>
        <v>3624.9267959271774</v>
      </c>
      <c r="I37" s="62">
        <f>IF(I3=0,0,I3/TrAvia_act!I23*1000000)</f>
        <v>3623.5723058752146</v>
      </c>
      <c r="J37" s="62">
        <f>IF(J3=0,0,J3/TrAvia_act!J23*1000000)</f>
        <v>4218.167795948887</v>
      </c>
      <c r="K37" s="62">
        <f>IF(K3=0,0,K3/TrAvia_act!K23*1000000)</f>
        <v>4098.303683022059</v>
      </c>
      <c r="L37" s="62">
        <f>IF(L3=0,0,L3/TrAvia_act!L23*1000000)</f>
        <v>4196.7184239897251</v>
      </c>
      <c r="M37" s="62">
        <f>IF(M3=0,0,M3/TrAvia_act!M23*1000000)</f>
        <v>3790.0773710504718</v>
      </c>
      <c r="N37" s="62">
        <f>IF(N3=0,0,N3/TrAvia_act!N23*1000000)</f>
        <v>3936.2150933271178</v>
      </c>
      <c r="O37" s="62">
        <f>IF(O3=0,0,O3/TrAvia_act!O23*1000000)</f>
        <v>3978.5458258955828</v>
      </c>
      <c r="P37" s="62">
        <f>IF(P3=0,0,P3/TrAvia_act!P23*1000000)</f>
        <v>4285.1397339221676</v>
      </c>
      <c r="Q37" s="62">
        <f>IF(Q3=0,0,Q3/TrAvia_act!Q23*1000000)</f>
        <v>4363.740944240034</v>
      </c>
      <c r="R37" s="62">
        <f>IF(R3=0,0,R3/TrAvia_act!R23*1000000)</f>
        <v>4499.4871487058836</v>
      </c>
      <c r="S37" s="62">
        <f>IF(S3=0,0,S3/TrAvia_act!S23*1000000)</f>
        <v>5057.7499211946788</v>
      </c>
      <c r="T37" s="62">
        <f>IF(T3=0,0,T3/TrAvia_act!T23*1000000)</f>
        <v>5329.1788139441105</v>
      </c>
      <c r="U37" s="62">
        <f>IF(U3=0,0,U3/TrAvia_act!U23*1000000)</f>
        <v>5507.281806273978</v>
      </c>
      <c r="V37" s="62">
        <f>IF(V3=0,0,V3/TrAvia_act!V23*1000000)</f>
        <v>5825.7670037128155</v>
      </c>
      <c r="W37" s="62">
        <f>IF(W3=0,0,W3/TrAvia_act!W23*1000000)</f>
        <v>6068.9756681814624</v>
      </c>
      <c r="X37" s="62">
        <f>IF(X3=0,0,X3/TrAvia_act!X23*1000000)</f>
        <v>6113.366301546158</v>
      </c>
      <c r="Y37" s="62">
        <f>IF(Y3=0,0,Y3/TrAvia_act!Y23*1000000)</f>
        <v>6412.8618385015398</v>
      </c>
      <c r="DA37" s="172" t="s">
        <v>305</v>
      </c>
    </row>
    <row r="38" spans="1:105" ht="11.45" customHeight="1" x14ac:dyDescent="0.25">
      <c r="A38" s="10" t="s">
        <v>33</v>
      </c>
      <c r="B38" s="14">
        <f>IF(B6=0,0,B6/TrAvia_act!B24*1000000)</f>
        <v>3166.7335303154587</v>
      </c>
      <c r="C38" s="14">
        <f>IF(C6=0,0,C6/TrAvia_act!C24*1000000)</f>
        <v>3155.1482938969393</v>
      </c>
      <c r="D38" s="14">
        <f>IF(D6=0,0,D6/TrAvia_act!D24*1000000)</f>
        <v>2876.3392181797112</v>
      </c>
      <c r="E38" s="14">
        <f>IF(E6=0,0,E6/TrAvia_act!E24*1000000)</f>
        <v>2947.160706196441</v>
      </c>
      <c r="F38" s="14">
        <f>IF(F6=0,0,F6/TrAvia_act!F24*1000000)</f>
        <v>3181.9010229315345</v>
      </c>
      <c r="G38" s="14">
        <f>IF(G6=0,0,G6/TrAvia_act!G24*1000000)</f>
        <v>3181.0395974540102</v>
      </c>
      <c r="H38" s="14">
        <f>IF(H6=0,0,H6/TrAvia_act!H24*1000000)</f>
        <v>3640.9903945848255</v>
      </c>
      <c r="I38" s="14">
        <f>IF(I6=0,0,I6/TrAvia_act!I24*1000000)</f>
        <v>3641.2351772380143</v>
      </c>
      <c r="J38" s="14">
        <f>IF(J6=0,0,J6/TrAvia_act!J24*1000000)</f>
        <v>4240.694981822091</v>
      </c>
      <c r="K38" s="14">
        <f>IF(K6=0,0,K6/TrAvia_act!K24*1000000)</f>
        <v>4118.201535883587</v>
      </c>
      <c r="L38" s="14">
        <f>IF(L6=0,0,L6/TrAvia_act!L24*1000000)</f>
        <v>4195.8046651057866</v>
      </c>
      <c r="M38" s="14">
        <f>IF(M6=0,0,M6/TrAvia_act!M24*1000000)</f>
        <v>3791.7349080416952</v>
      </c>
      <c r="N38" s="14">
        <f>IF(N6=0,0,N6/TrAvia_act!N24*1000000)</f>
        <v>3937.5760883790426</v>
      </c>
      <c r="O38" s="14">
        <f>IF(O6=0,0,O6/TrAvia_act!O24*1000000)</f>
        <v>3978.6230283024415</v>
      </c>
      <c r="P38" s="14">
        <f>IF(P6=0,0,P6/TrAvia_act!P24*1000000)</f>
        <v>4278.4985580767789</v>
      </c>
      <c r="Q38" s="14">
        <f>IF(Q6=0,0,Q6/TrAvia_act!Q24*1000000)</f>
        <v>4359.8385758621935</v>
      </c>
      <c r="R38" s="14">
        <f>IF(R6=0,0,R6/TrAvia_act!R24*1000000)</f>
        <v>4477.3105706288952</v>
      </c>
      <c r="S38" s="14">
        <f>IF(S6=0,0,S6/TrAvia_act!S24*1000000)</f>
        <v>5038.9456952894634</v>
      </c>
      <c r="T38" s="14">
        <f>IF(T6=0,0,T6/TrAvia_act!T24*1000000)</f>
        <v>5327.280152432395</v>
      </c>
      <c r="U38" s="14">
        <f>IF(U6=0,0,U6/TrAvia_act!U24*1000000)</f>
        <v>5488.4670248611355</v>
      </c>
      <c r="V38" s="14">
        <f>IF(V6=0,0,V6/TrAvia_act!V24*1000000)</f>
        <v>5866.9781775902375</v>
      </c>
      <c r="W38" s="14">
        <f>IF(W6=0,0,W6/TrAvia_act!W24*1000000)</f>
        <v>6099.5951602451587</v>
      </c>
      <c r="X38" s="14">
        <f>IF(X6=0,0,X6/TrAvia_act!X24*1000000)</f>
        <v>6089.9356489392449</v>
      </c>
      <c r="Y38" s="14">
        <f>IF(Y6=0,0,Y6/TrAvia_act!Y24*1000000)</f>
        <v>6379.7693689856678</v>
      </c>
      <c r="DA38" s="189" t="s">
        <v>306</v>
      </c>
    </row>
    <row r="39" spans="1:105" ht="11.45" customHeight="1" x14ac:dyDescent="0.25">
      <c r="A39" s="83" t="s">
        <v>27</v>
      </c>
      <c r="B39" s="87">
        <f>IF(B7=0,0,B7/TrAvia_act!B25*1000000)</f>
        <v>127.95012990330642</v>
      </c>
      <c r="C39" s="87">
        <f>IF(C7=0,0,C7/TrAvia_act!C25*1000000)</f>
        <v>128.26006456473704</v>
      </c>
      <c r="D39" s="87">
        <f>IF(D7=0,0,D7/TrAvia_act!D25*1000000)</f>
        <v>128.38085252296352</v>
      </c>
      <c r="E39" s="87">
        <f>IF(E7=0,0,E7/TrAvia_act!E25*1000000)</f>
        <v>128.25613762301361</v>
      </c>
      <c r="F39" s="87">
        <f>IF(F7=0,0,F7/TrAvia_act!F25*1000000)</f>
        <v>128.14064532380448</v>
      </c>
      <c r="G39" s="87">
        <f>IF(G7=0,0,G7/TrAvia_act!G25*1000000)</f>
        <v>128.25050307878954</v>
      </c>
      <c r="H39" s="87">
        <f>IF(H7=0,0,H7/TrAvia_act!H25*1000000)</f>
        <v>126.63470030771916</v>
      </c>
      <c r="I39" s="87">
        <f>IF(I7=0,0,I7/TrAvia_act!I25*1000000)</f>
        <v>154.87506066479298</v>
      </c>
      <c r="J39" s="87">
        <f>IF(J7=0,0,J7/TrAvia_act!J25*1000000)</f>
        <v>120.98410908658282</v>
      </c>
      <c r="K39" s="87">
        <f>IF(K7=0,0,K7/TrAvia_act!K25*1000000)</f>
        <v>173.12710818021196</v>
      </c>
      <c r="L39" s="87">
        <f>IF(L7=0,0,L7/TrAvia_act!L25*1000000)</f>
        <v>172.04148207933366</v>
      </c>
      <c r="M39" s="87">
        <f>IF(M7=0,0,M7/TrAvia_act!M25*1000000)</f>
        <v>185.80626946885951</v>
      </c>
      <c r="N39" s="87">
        <f>IF(N7=0,0,N7/TrAvia_act!N25*1000000)</f>
        <v>498.65596173189431</v>
      </c>
      <c r="O39" s="87">
        <f>IF(O7=0,0,O7/TrAvia_act!O25*1000000)</f>
        <v>586.48367258082101</v>
      </c>
      <c r="P39" s="87">
        <f>IF(P7=0,0,P7/TrAvia_act!P25*1000000)</f>
        <v>939.93391952004276</v>
      </c>
      <c r="Q39" s="87">
        <f>IF(Q7=0,0,Q7/TrAvia_act!Q25*1000000)</f>
        <v>684.6712397333979</v>
      </c>
      <c r="R39" s="87">
        <f>IF(R7=0,0,R7/TrAvia_act!R25*1000000)</f>
        <v>896.10639652420116</v>
      </c>
      <c r="S39" s="87">
        <f>IF(S7=0,0,S7/TrAvia_act!S25*1000000)</f>
        <v>909.60773663208795</v>
      </c>
      <c r="T39" s="87">
        <f>IF(T7=0,0,T7/TrAvia_act!T25*1000000)</f>
        <v>1192.8709187793131</v>
      </c>
      <c r="U39" s="87">
        <f>IF(U7=0,0,U7/TrAvia_act!U25*1000000)</f>
        <v>1193.0359906599583</v>
      </c>
      <c r="V39" s="87">
        <f>IF(V7=0,0,V7/TrAvia_act!V25*1000000)</f>
        <v>1296.2807390672613</v>
      </c>
      <c r="W39" s="87">
        <f>IF(W7=0,0,W7/TrAvia_act!W25*1000000)</f>
        <v>2211.8322073071677</v>
      </c>
      <c r="X39" s="87">
        <f>IF(X7=0,0,X7/TrAvia_act!X25*1000000)</f>
        <v>1251.9403439562045</v>
      </c>
      <c r="Y39" s="87">
        <f>IF(Y7=0,0,Y7/TrAvia_act!Y25*1000000)</f>
        <v>1441.5643344114992</v>
      </c>
      <c r="DA39" s="171" t="s">
        <v>307</v>
      </c>
    </row>
    <row r="40" spans="1:105" ht="11.45" customHeight="1" x14ac:dyDescent="0.25">
      <c r="A40" s="83" t="s">
        <v>181</v>
      </c>
      <c r="B40" s="87">
        <f>IF(B8=0,0,B8/TrAvia_act!B26*1000000)</f>
        <v>3350.3146939256308</v>
      </c>
      <c r="C40" s="87">
        <f>IF(C8=0,0,C8/TrAvia_act!C26*1000000)</f>
        <v>3351.3352221451873</v>
      </c>
      <c r="D40" s="87">
        <f>IF(D8=0,0,D8/TrAvia_act!D26*1000000)</f>
        <v>3345.459872720864</v>
      </c>
      <c r="E40" s="87">
        <f>IF(E8=0,0,E8/TrAvia_act!E26*1000000)</f>
        <v>3343.3254259165324</v>
      </c>
      <c r="F40" s="87">
        <f>IF(F8=0,0,F8/TrAvia_act!F26*1000000)</f>
        <v>3343.5330895271186</v>
      </c>
      <c r="G40" s="87">
        <f>IF(G8=0,0,G8/TrAvia_act!G26*1000000)</f>
        <v>3284.5094505874868</v>
      </c>
      <c r="H40" s="87">
        <f>IF(H8=0,0,H8/TrAvia_act!H26*1000000)</f>
        <v>3821.7403883827646</v>
      </c>
      <c r="I40" s="87">
        <f>IF(I8=0,0,I8/TrAvia_act!I26*1000000)</f>
        <v>4031.0358990300142</v>
      </c>
      <c r="J40" s="87">
        <f>IF(J8=0,0,J8/TrAvia_act!J26*1000000)</f>
        <v>4674.6335612311459</v>
      </c>
      <c r="K40" s="87">
        <f>IF(K8=0,0,K8/TrAvia_act!K26*1000000)</f>
        <v>4431.868626670408</v>
      </c>
      <c r="L40" s="87">
        <f>IF(L8=0,0,L8/TrAvia_act!L26*1000000)</f>
        <v>4549.1546576954042</v>
      </c>
      <c r="M40" s="87">
        <f>IF(M8=0,0,M8/TrAvia_act!M26*1000000)</f>
        <v>4175.4086356587741</v>
      </c>
      <c r="N40" s="87">
        <f>IF(N8=0,0,N8/TrAvia_act!N26*1000000)</f>
        <v>4519.5340358568101</v>
      </c>
      <c r="O40" s="87">
        <f>IF(O8=0,0,O8/TrAvia_act!O26*1000000)</f>
        <v>4219.1676668124646</v>
      </c>
      <c r="P40" s="87">
        <f>IF(P8=0,0,P8/TrAvia_act!P26*1000000)</f>
        <v>4558.5901494065947</v>
      </c>
      <c r="Q40" s="87">
        <f>IF(Q8=0,0,Q8/TrAvia_act!Q26*1000000)</f>
        <v>4719.9755270562564</v>
      </c>
      <c r="R40" s="87">
        <f>IF(R8=0,0,R8/TrAvia_act!R26*1000000)</f>
        <v>4594.0404090530728</v>
      </c>
      <c r="S40" s="87">
        <f>IF(S8=0,0,S8/TrAvia_act!S26*1000000)</f>
        <v>5372.5621859088942</v>
      </c>
      <c r="T40" s="87">
        <f>IF(T8=0,0,T8/TrAvia_act!T26*1000000)</f>
        <v>5842.031737350555</v>
      </c>
      <c r="U40" s="87">
        <f>IF(U8=0,0,U8/TrAvia_act!U26*1000000)</f>
        <v>6091.4291879204484</v>
      </c>
      <c r="V40" s="87">
        <f>IF(V8=0,0,V8/TrAvia_act!V26*1000000)</f>
        <v>5917.2759573126868</v>
      </c>
      <c r="W40" s="87">
        <f>IF(W8=0,0,W8/TrAvia_act!W26*1000000)</f>
        <v>6209.0059280892501</v>
      </c>
      <c r="X40" s="87">
        <f>IF(X8=0,0,X8/TrAvia_act!X26*1000000)</f>
        <v>6518.9589186214853</v>
      </c>
      <c r="Y40" s="87">
        <f>IF(Y8=0,0,Y8/TrAvia_act!Y26*1000000)</f>
        <v>6887.120029901258</v>
      </c>
      <c r="DA40" s="171" t="s">
        <v>308</v>
      </c>
    </row>
    <row r="41" spans="1:105" ht="11.45" customHeight="1" x14ac:dyDescent="0.25">
      <c r="A41" s="83" t="s">
        <v>182</v>
      </c>
      <c r="B41" s="87">
        <f>IF(B9=0,0,B9/TrAvia_act!B27*1000000)</f>
        <v>9882.3743319861551</v>
      </c>
      <c r="C41" s="87">
        <f>IF(C9=0,0,C9/TrAvia_act!C27*1000000)</f>
        <v>9885.4078399402515</v>
      </c>
      <c r="D41" s="87">
        <f>IF(D9=0,0,D9/TrAvia_act!D27*1000000)</f>
        <v>9868.0018477634803</v>
      </c>
      <c r="E41" s="87">
        <f>IF(E9=0,0,E9/TrAvia_act!E27*1000000)</f>
        <v>9861.6617605428146</v>
      </c>
      <c r="F41" s="87">
        <f>IF(F9=0,0,F9/TrAvia_act!F27*1000000)</f>
        <v>9862.2175442587359</v>
      </c>
      <c r="G41" s="87">
        <f>IF(G9=0,0,G9/TrAvia_act!G27*1000000)</f>
        <v>9441.6921695210385</v>
      </c>
      <c r="H41" s="87">
        <f>IF(H9=0,0,H9/TrAvia_act!H27*1000000)</f>
        <v>8981.1699042793425</v>
      </c>
      <c r="I41" s="87">
        <f>IF(I9=0,0,I9/TrAvia_act!I27*1000000)</f>
        <v>7701.2621267816203</v>
      </c>
      <c r="J41" s="87">
        <f>IF(J9=0,0,J9/TrAvia_act!J27*1000000)</f>
        <v>8649.5814781406789</v>
      </c>
      <c r="K41" s="87">
        <f>IF(K9=0,0,K9/TrAvia_act!K27*1000000)</f>
        <v>8902.1745687448019</v>
      </c>
      <c r="L41" s="87">
        <f>IF(L9=0,0,L9/TrAvia_act!L27*1000000)</f>
        <v>8487.3589667563338</v>
      </c>
      <c r="M41" s="87">
        <f>IF(M9=0,0,M9/TrAvia_act!M27*1000000)</f>
        <v>7700.1791887378395</v>
      </c>
      <c r="N41" s="87">
        <f>IF(N9=0,0,N9/TrAvia_act!N27*1000000)</f>
        <v>8639.2209395893587</v>
      </c>
      <c r="O41" s="87">
        <f>IF(O9=0,0,O9/TrAvia_act!O27*1000000)</f>
        <v>9004.8022264299125</v>
      </c>
      <c r="P41" s="87">
        <f>IF(P9=0,0,P9/TrAvia_act!P27*1000000)</f>
        <v>8040.8012509038954</v>
      </c>
      <c r="Q41" s="87">
        <f>IF(Q9=0,0,Q9/TrAvia_act!Q27*1000000)</f>
        <v>7325.6374662074768</v>
      </c>
      <c r="R41" s="87">
        <f>IF(R9=0,0,R9/TrAvia_act!R27*1000000)</f>
        <v>10531.561931598779</v>
      </c>
      <c r="S41" s="87">
        <f>IF(S9=0,0,S9/TrAvia_act!S27*1000000)</f>
        <v>9588.4778941167715</v>
      </c>
      <c r="T41" s="87">
        <f>IF(T9=0,0,T9/TrAvia_act!T27*1000000)</f>
        <v>6780.5499372542226</v>
      </c>
      <c r="U41" s="87">
        <f>IF(U9=0,0,U9/TrAvia_act!U27*1000000)</f>
        <v>6654.2079364098518</v>
      </c>
      <c r="V41" s="87">
        <f>IF(V9=0,0,V9/TrAvia_act!V27*1000000)</f>
        <v>10980.195613806633</v>
      </c>
      <c r="W41" s="87">
        <f>IF(W9=0,0,W9/TrAvia_act!W27*1000000)</f>
        <v>8701.5343323756679</v>
      </c>
      <c r="X41" s="87">
        <f>IF(X9=0,0,X9/TrAvia_act!X27*1000000)</f>
        <v>9230.5212084409104</v>
      </c>
      <c r="Y41" s="87">
        <f>IF(Y9=0,0,Y9/TrAvia_act!Y27*1000000)</f>
        <v>8482.4050776536678</v>
      </c>
      <c r="DA41" s="171" t="s">
        <v>309</v>
      </c>
    </row>
    <row r="42" spans="1:105" ht="11.45" customHeight="1" x14ac:dyDescent="0.25">
      <c r="A42" s="12" t="s">
        <v>34</v>
      </c>
      <c r="B42" s="15">
        <f>IF(B10=0,0,B10/TrAvia_act!B28*1000000)</f>
        <v>1880.1256625564347</v>
      </c>
      <c r="C42" s="15">
        <f>IF(C10=0,0,C10/TrAvia_act!C28*1000000)</f>
        <v>1892.4389823439162</v>
      </c>
      <c r="D42" s="15">
        <f>IF(D10=0,0,D10/TrAvia_act!D28*1000000)</f>
        <v>1898.569095129785</v>
      </c>
      <c r="E42" s="15">
        <f>IF(E10=0,0,E10/TrAvia_act!E28*1000000)</f>
        <v>1904.5054190853773</v>
      </c>
      <c r="F42" s="15">
        <f>IF(F10=0,0,F10/TrAvia_act!F28*1000000)</f>
        <v>1936.314886558057</v>
      </c>
      <c r="G42" s="15">
        <f>IF(G10=0,0,G10/TrAvia_act!G28*1000000)</f>
        <v>2353.593717950921</v>
      </c>
      <c r="H42" s="15">
        <f>IF(H10=0,0,H10/TrAvia_act!H28*1000000)</f>
        <v>2076.316018199489</v>
      </c>
      <c r="I42" s="15">
        <f>IF(I10=0,0,I10/TrAvia_act!I28*1000000)</f>
        <v>2123.509546637817</v>
      </c>
      <c r="J42" s="15">
        <f>IF(J10=0,0,J10/TrAvia_act!J28*1000000)</f>
        <v>2484.4502415361571</v>
      </c>
      <c r="K42" s="15">
        <f>IF(K10=0,0,K10/TrAvia_act!K28*1000000)</f>
        <v>2736.5392899617368</v>
      </c>
      <c r="L42" s="15">
        <f>IF(L10=0,0,L10/TrAvia_act!L28*1000000)</f>
        <v>4262.7551810530667</v>
      </c>
      <c r="M42" s="15">
        <f>IF(M10=0,0,M10/TrAvia_act!M28*1000000)</f>
        <v>3668.1297407882321</v>
      </c>
      <c r="N42" s="15">
        <f>IF(N10=0,0,N10/TrAvia_act!N28*1000000)</f>
        <v>3829.7869567443199</v>
      </c>
      <c r="O42" s="15">
        <f>IF(O10=0,0,O10/TrAvia_act!O28*1000000)</f>
        <v>3972.817986431211</v>
      </c>
      <c r="P42" s="15">
        <f>IF(P10=0,0,P10/TrAvia_act!P28*1000000)</f>
        <v>4833.7491299004878</v>
      </c>
      <c r="Q42" s="15">
        <f>IF(Q10=0,0,Q10/TrAvia_act!Q28*1000000)</f>
        <v>4687.0045875242331</v>
      </c>
      <c r="R42" s="15">
        <f>IF(R10=0,0,R10/TrAvia_act!R28*1000000)</f>
        <v>6559.7905501689411</v>
      </c>
      <c r="S42" s="15">
        <f>IF(S10=0,0,S10/TrAvia_act!S28*1000000)</f>
        <v>6820.217798427474</v>
      </c>
      <c r="T42" s="15">
        <f>IF(T10=0,0,T10/TrAvia_act!T28*1000000)</f>
        <v>5509.7612682907684</v>
      </c>
      <c r="U42" s="15">
        <f>IF(U10=0,0,U10/TrAvia_act!U28*1000000)</f>
        <v>7265.3794175248531</v>
      </c>
      <c r="V42" s="15">
        <f>IF(V10=0,0,V10/TrAvia_act!V28*1000000)</f>
        <v>4286.6613492324095</v>
      </c>
      <c r="W42" s="15">
        <f>IF(W10=0,0,W10/TrAvia_act!W28*1000000)</f>
        <v>5000.9089488654263</v>
      </c>
      <c r="X42" s="15">
        <f>IF(X10=0,0,X10/TrAvia_act!X28*1000000)</f>
        <v>7343.7529616640613</v>
      </c>
      <c r="Y42" s="15">
        <f>IF(Y10=0,0,Y10/TrAvia_act!Y28*1000000)</f>
        <v>8681.559940017969</v>
      </c>
      <c r="DA42" s="193" t="s">
        <v>310</v>
      </c>
    </row>
    <row r="43" spans="1:105" ht="11.45" customHeight="1" x14ac:dyDescent="0.25">
      <c r="A43" s="92" t="s">
        <v>27</v>
      </c>
      <c r="B43" s="101">
        <f>IF(B11=0,0,B11/TrAvia_act!B29*1000000)</f>
        <v>120.68913772431513</v>
      </c>
      <c r="C43" s="101">
        <f>IF(C11=0,0,C11/TrAvia_act!C29*1000000)</f>
        <v>120.9814840241368</v>
      </c>
      <c r="D43" s="101">
        <f>IF(D11=0,0,D11/TrAvia_act!D29*1000000)</f>
        <v>121.09541743348038</v>
      </c>
      <c r="E43" s="101">
        <f>IF(E11=0,0,E11/TrAvia_act!E29*1000000)</f>
        <v>120.9777799309026</v>
      </c>
      <c r="F43" s="101">
        <f>IF(F11=0,0,F11/TrAvia_act!F29*1000000)</f>
        <v>120.86884165928159</v>
      </c>
      <c r="G43" s="101">
        <f>IF(G11=0,0,G11/TrAvia_act!G29*1000000)</f>
        <v>120.97246513923818</v>
      </c>
      <c r="H43" s="101">
        <f>IF(H11=0,0,H11/TrAvia_act!H29*1000000)</f>
        <v>119.99330004122363</v>
      </c>
      <c r="I43" s="101">
        <f>IF(I11=0,0,I11/TrAvia_act!I29*1000000)</f>
        <v>147.42208629557894</v>
      </c>
      <c r="J43" s="101">
        <f>IF(J11=0,0,J11/TrAvia_act!J29*1000000)</f>
        <v>115.6874272449858</v>
      </c>
      <c r="K43" s="101">
        <f>IF(K11=0,0,K11/TrAvia_act!K29*1000000)</f>
        <v>166.30283456450547</v>
      </c>
      <c r="L43" s="101">
        <f>IF(L11=0,0,L11/TrAvia_act!L29*1000000)</f>
        <v>166.01390771857535</v>
      </c>
      <c r="M43" s="101">
        <f>IF(M11=0,0,M11/TrAvia_act!M29*1000000)</f>
        <v>181.98251928943438</v>
      </c>
      <c r="N43" s="101">
        <f>IF(N11=0,0,N11/TrAvia_act!N29*1000000)</f>
        <v>495.71016330622075</v>
      </c>
      <c r="O43" s="101">
        <f>IF(O11=0,0,O11/TrAvia_act!O29*1000000)</f>
        <v>579.32867499403051</v>
      </c>
      <c r="P43" s="101">
        <f>IF(P11=0,0,P11/TrAvia_act!P29*1000000)</f>
        <v>922.58969761035337</v>
      </c>
      <c r="Q43" s="101">
        <f>IF(Q11=0,0,Q11/TrAvia_act!Q29*1000000)</f>
        <v>667.78310921385798</v>
      </c>
      <c r="R43" s="101">
        <f>IF(R11=0,0,R11/TrAvia_act!R29*1000000)</f>
        <v>868.4701087862602</v>
      </c>
      <c r="S43" s="101">
        <f>IF(S11=0,0,S11/TrAvia_act!S29*1000000)</f>
        <v>875.97413716621907</v>
      </c>
      <c r="T43" s="101">
        <f>IF(T11=0,0,T11/TrAvia_act!T29*1000000)</f>
        <v>1141.4905398543458</v>
      </c>
      <c r="U43" s="101">
        <f>IF(U11=0,0,U11/TrAvia_act!U29*1000000)</f>
        <v>1134.8454921978787</v>
      </c>
      <c r="V43" s="101">
        <f>IF(V11=0,0,V11/TrAvia_act!V29*1000000)</f>
        <v>1358.0560528030439</v>
      </c>
      <c r="W43" s="101">
        <f>IF(W11=0,0,W11/TrAvia_act!W29*1000000)</f>
        <v>2294.7597580612319</v>
      </c>
      <c r="X43" s="101">
        <f>IF(X11=0,0,X11/TrAvia_act!X29*1000000)</f>
        <v>1243.0118871982063</v>
      </c>
      <c r="Y43" s="101">
        <f>IF(Y11=0,0,Y11/TrAvia_act!Y29*1000000)</f>
        <v>1430.7048370537236</v>
      </c>
      <c r="DA43" s="175" t="s">
        <v>311</v>
      </c>
    </row>
    <row r="44" spans="1:105" ht="11.45" customHeight="1" x14ac:dyDescent="0.25">
      <c r="A44" s="92" t="s">
        <v>181</v>
      </c>
      <c r="B44" s="101">
        <f>IF(B12=0,0,B12/TrAvia_act!B30*1000000)</f>
        <v>3089.5575236426025</v>
      </c>
      <c r="C44" s="101">
        <f>IF(C12=0,0,C12/TrAvia_act!C30*1000000)</f>
        <v>3096.5612269647768</v>
      </c>
      <c r="D44" s="101">
        <f>IF(D12=0,0,D12/TrAvia_act!D30*1000000)</f>
        <v>3093.799193819525</v>
      </c>
      <c r="E44" s="101">
        <f>IF(E12=0,0,E12/TrAvia_act!E30*1000000)</f>
        <v>3086.4369101250809</v>
      </c>
      <c r="F44" s="101">
        <f>IF(F12=0,0,F12/TrAvia_act!F30*1000000)</f>
        <v>3085.761624741368</v>
      </c>
      <c r="G44" s="101">
        <f>IF(G12=0,0,G12/TrAvia_act!G30*1000000)</f>
        <v>3393.5169038739987</v>
      </c>
      <c r="H44" s="101">
        <f>IF(H12=0,0,H12/TrAvia_act!H30*1000000)</f>
        <v>3419.5467669300847</v>
      </c>
      <c r="I44" s="101">
        <f>IF(I12=0,0,I12/TrAvia_act!I30*1000000)</f>
        <v>3420.0534862143977</v>
      </c>
      <c r="J44" s="101">
        <f>IF(J12=0,0,J12/TrAvia_act!J30*1000000)</f>
        <v>3334.5557253195984</v>
      </c>
      <c r="K44" s="101">
        <f>IF(K12=0,0,K12/TrAvia_act!K30*1000000)</f>
        <v>3234.5084426605254</v>
      </c>
      <c r="L44" s="101">
        <f>IF(L12=0,0,L12/TrAvia_act!L30*1000000)</f>
        <v>3250.8788452943982</v>
      </c>
      <c r="M44" s="101">
        <f>IF(M12=0,0,M12/TrAvia_act!M30*1000000)</f>
        <v>2884.5729107297238</v>
      </c>
      <c r="N44" s="101">
        <f>IF(N12=0,0,N12/TrAvia_act!N30*1000000)</f>
        <v>3059.3542787307892</v>
      </c>
      <c r="O44" s="101">
        <f>IF(O12=0,0,O12/TrAvia_act!O30*1000000)</f>
        <v>2649.6910875574945</v>
      </c>
      <c r="P44" s="101">
        <f>IF(P12=0,0,P12/TrAvia_act!P30*1000000)</f>
        <v>2810.781789880295</v>
      </c>
      <c r="Q44" s="101">
        <f>IF(Q12=0,0,Q12/TrAvia_act!Q30*1000000)</f>
        <v>2674.5665725481617</v>
      </c>
      <c r="R44" s="101">
        <f>IF(R12=0,0,R12/TrAvia_act!R30*1000000)</f>
        <v>2629.1385894849445</v>
      </c>
      <c r="S44" s="101">
        <f>IF(S12=0,0,S12/TrAvia_act!S30*1000000)</f>
        <v>3123.8291345234998</v>
      </c>
      <c r="T44" s="101">
        <f>IF(T12=0,0,T12/TrAvia_act!T30*1000000)</f>
        <v>2967.3746555172679</v>
      </c>
      <c r="U44" s="101">
        <f>IF(U12=0,0,U12/TrAvia_act!U30*1000000)</f>
        <v>3018.2676379775544</v>
      </c>
      <c r="V44" s="101">
        <f>IF(V12=0,0,V12/TrAvia_act!V30*1000000)</f>
        <v>3622.4473300303534</v>
      </c>
      <c r="W44" s="101">
        <f>IF(W12=0,0,W12/TrAvia_act!W30*1000000)</f>
        <v>3642.4585488766902</v>
      </c>
      <c r="X44" s="101">
        <f>IF(X12=0,0,X12/TrAvia_act!X30*1000000)</f>
        <v>3707.5179273665231</v>
      </c>
      <c r="Y44" s="101">
        <f>IF(Y12=0,0,Y12/TrAvia_act!Y30*1000000)</f>
        <v>3501.9850053330842</v>
      </c>
      <c r="DA44" s="175" t="s">
        <v>312</v>
      </c>
    </row>
    <row r="45" spans="1:105" ht="11.45" customHeight="1" x14ac:dyDescent="0.25">
      <c r="A45" s="85" t="s">
        <v>182</v>
      </c>
      <c r="B45" s="88">
        <f>IF(B13=0,0,B13/TrAvia_act!B31*1000000)</f>
        <v>2316.6803386842439</v>
      </c>
      <c r="C45" s="88">
        <f>IF(C13=0,0,C13/TrAvia_act!C31*1000000)</f>
        <v>2317.3914702401248</v>
      </c>
      <c r="D45" s="88">
        <f>IF(D13=0,0,D13/TrAvia_act!D31*1000000)</f>
        <v>2313.3110621826499</v>
      </c>
      <c r="E45" s="88">
        <f>IF(E13=0,0,E13/TrAvia_act!E31*1000000)</f>
        <v>2311.824784197599</v>
      </c>
      <c r="F45" s="88">
        <f>IF(F13=0,0,F13/TrAvia_act!F31*1000000)</f>
        <v>2311.9550740615518</v>
      </c>
      <c r="G45" s="88">
        <f>IF(G13=0,0,G13/TrAvia_act!G31*1000000)</f>
        <v>2213.3732115612197</v>
      </c>
      <c r="H45" s="88">
        <f>IF(H13=0,0,H13/TrAvia_act!H31*1000000)</f>
        <v>3366.2891883436346</v>
      </c>
      <c r="I45" s="88">
        <f>IF(I13=0,0,I13/TrAvia_act!I31*1000000)</f>
        <v>4620.6419653619114</v>
      </c>
      <c r="J45" s="88">
        <f>IF(J13=0,0,J13/TrAvia_act!J31*1000000)</f>
        <v>8316.056321652406</v>
      </c>
      <c r="K45" s="88">
        <f>IF(K13=0,0,K13/TrAvia_act!K31*1000000)</f>
        <v>13728.345064235473</v>
      </c>
      <c r="L45" s="88">
        <f>IF(L13=0,0,L13/TrAvia_act!L31*1000000)</f>
        <v>21012.375608259237</v>
      </c>
      <c r="M45" s="88">
        <f>IF(M13=0,0,M13/TrAvia_act!M31*1000000)</f>
        <v>17252.868474268918</v>
      </c>
      <c r="N45" s="88">
        <f>IF(N13=0,0,N13/TrAvia_act!N31*1000000)</f>
        <v>17162.312498965352</v>
      </c>
      <c r="O45" s="88">
        <f>IF(O13=0,0,O13/TrAvia_act!O31*1000000)</f>
        <v>18049.983132571859</v>
      </c>
      <c r="P45" s="88">
        <f>IF(P13=0,0,P13/TrAvia_act!P31*1000000)</f>
        <v>16260.334612422006</v>
      </c>
      <c r="Q45" s="88">
        <f>IF(Q13=0,0,Q13/TrAvia_act!Q31*1000000)</f>
        <v>14942.399136044362</v>
      </c>
      <c r="R45" s="88">
        <f>IF(R13=0,0,R13/TrAvia_act!R31*1000000)</f>
        <v>21663.094476962637</v>
      </c>
      <c r="S45" s="88">
        <f>IF(S13=0,0,S13/TrAvia_act!S31*1000000)</f>
        <v>19885.141782870694</v>
      </c>
      <c r="T45" s="88">
        <f>IF(T13=0,0,T13/TrAvia_act!T31*1000000)</f>
        <v>14173.720878342987</v>
      </c>
      <c r="U45" s="88">
        <f>IF(U13=0,0,U13/TrAvia_act!U31*1000000)</f>
        <v>21604.794841385792</v>
      </c>
      <c r="V45" s="88">
        <f>IF(V13=0,0,V13/TrAvia_act!V31*1000000)</f>
        <v>7561.7888879042985</v>
      </c>
      <c r="W45" s="88">
        <f>IF(W13=0,0,W13/TrAvia_act!W31*1000000)</f>
        <v>10609.57092310687</v>
      </c>
      <c r="X45" s="88">
        <f>IF(X13=0,0,X13/TrAvia_act!X31*1000000)</f>
        <v>23876.730392095837</v>
      </c>
      <c r="Y45" s="88">
        <f>IF(Y13=0,0,Y13/TrAvia_act!Y31*1000000)</f>
        <v>29694.999066373934</v>
      </c>
      <c r="DA45" s="178" t="s">
        <v>313</v>
      </c>
    </row>
    <row r="46" spans="1:105" x14ac:dyDescent="0.25">
      <c r="A46" s="50"/>
      <c r="B46" s="50"/>
      <c r="C46" s="50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DA46" s="181"/>
    </row>
    <row r="47" spans="1:105" ht="11.45" customHeight="1" x14ac:dyDescent="0.25">
      <c r="A47" s="53" t="s">
        <v>40</v>
      </c>
      <c r="B47" s="76">
        <f t="shared" ref="B47:C47" si="33">IF(B3=0,0,B3/B$3)</f>
        <v>1</v>
      </c>
      <c r="C47" s="76">
        <f t="shared" si="33"/>
        <v>1</v>
      </c>
      <c r="D47" s="76">
        <f t="shared" ref="D47:V47" si="34">IF(D3=0,0,D3/D$3)</f>
        <v>1</v>
      </c>
      <c r="E47" s="76">
        <f t="shared" si="34"/>
        <v>1</v>
      </c>
      <c r="F47" s="76">
        <f t="shared" si="34"/>
        <v>1</v>
      </c>
      <c r="G47" s="76">
        <f t="shared" si="34"/>
        <v>1</v>
      </c>
      <c r="H47" s="76">
        <f t="shared" si="34"/>
        <v>1</v>
      </c>
      <c r="I47" s="76">
        <f t="shared" si="34"/>
        <v>1</v>
      </c>
      <c r="J47" s="76">
        <f t="shared" si="34"/>
        <v>1</v>
      </c>
      <c r="K47" s="76">
        <f t="shared" si="34"/>
        <v>1</v>
      </c>
      <c r="L47" s="76">
        <f t="shared" si="34"/>
        <v>1</v>
      </c>
      <c r="M47" s="76">
        <f t="shared" si="34"/>
        <v>1</v>
      </c>
      <c r="N47" s="76">
        <f t="shared" si="34"/>
        <v>1</v>
      </c>
      <c r="O47" s="76">
        <f t="shared" si="34"/>
        <v>1</v>
      </c>
      <c r="P47" s="76">
        <f t="shared" si="34"/>
        <v>1</v>
      </c>
      <c r="Q47" s="76">
        <f t="shared" si="34"/>
        <v>1</v>
      </c>
      <c r="R47" s="76">
        <f t="shared" si="34"/>
        <v>1</v>
      </c>
      <c r="S47" s="76">
        <f t="shared" si="34"/>
        <v>1</v>
      </c>
      <c r="T47" s="76">
        <f t="shared" si="34"/>
        <v>1</v>
      </c>
      <c r="U47" s="76">
        <f t="shared" si="34"/>
        <v>1</v>
      </c>
      <c r="V47" s="76">
        <f t="shared" si="34"/>
        <v>1</v>
      </c>
      <c r="W47" s="76">
        <f t="shared" ref="W47:Y47" si="35">IF(W3=0,0,W3/W$3)</f>
        <v>1</v>
      </c>
      <c r="X47" s="76">
        <f t="shared" si="35"/>
        <v>1</v>
      </c>
      <c r="Y47" s="76">
        <f t="shared" si="35"/>
        <v>1</v>
      </c>
      <c r="DA47" s="183"/>
    </row>
    <row r="48" spans="1:105" ht="11.45" customHeight="1" x14ac:dyDescent="0.25">
      <c r="A48" s="10" t="s">
        <v>33</v>
      </c>
      <c r="B48" s="16">
        <f t="shared" ref="B48:C48" si="36">IF(B6=0,0,B6/B$3)</f>
        <v>0.99307202847039999</v>
      </c>
      <c r="C48" s="16">
        <f t="shared" si="36"/>
        <v>0.99437391072829417</v>
      </c>
      <c r="D48" s="16">
        <f t="shared" ref="D48:V48" si="37">IF(D6=0,0,D6/D$3)</f>
        <v>0.99365736639889579</v>
      </c>
      <c r="E48" s="16">
        <f t="shared" si="37"/>
        <v>0.9940265779035985</v>
      </c>
      <c r="F48" s="16">
        <f t="shared" si="37"/>
        <v>0.99508922328829741</v>
      </c>
      <c r="G48" s="16">
        <f t="shared" si="37"/>
        <v>0.99430020632231619</v>
      </c>
      <c r="H48" s="16">
        <f t="shared" si="37"/>
        <v>0.99411951578794333</v>
      </c>
      <c r="I48" s="16">
        <f t="shared" si="37"/>
        <v>0.99317998509696626</v>
      </c>
      <c r="J48" s="16">
        <f t="shared" si="37"/>
        <v>0.99244510631300142</v>
      </c>
      <c r="K48" s="16">
        <f t="shared" si="37"/>
        <v>0.99038383567690658</v>
      </c>
      <c r="L48" s="16">
        <f t="shared" si="37"/>
        <v>0.98613696742929136</v>
      </c>
      <c r="M48" s="16">
        <f t="shared" si="37"/>
        <v>0.98702153844179041</v>
      </c>
      <c r="N48" s="16">
        <f t="shared" si="37"/>
        <v>0.98771493760728302</v>
      </c>
      <c r="O48" s="16">
        <f t="shared" si="37"/>
        <v>0.98671994764569726</v>
      </c>
      <c r="P48" s="16">
        <f t="shared" si="37"/>
        <v>0.98650803879593907</v>
      </c>
      <c r="Q48" s="16">
        <f t="shared" si="37"/>
        <v>0.9871886026247193</v>
      </c>
      <c r="R48" s="16">
        <f t="shared" si="37"/>
        <v>0.98447467658017052</v>
      </c>
      <c r="S48" s="16">
        <f t="shared" si="37"/>
        <v>0.98576471765870322</v>
      </c>
      <c r="T48" s="16">
        <f t="shared" si="37"/>
        <v>0.98924272904259825</v>
      </c>
      <c r="U48" s="16">
        <f t="shared" si="37"/>
        <v>0.98603135885935278</v>
      </c>
      <c r="V48" s="16">
        <f t="shared" si="37"/>
        <v>0.98081168301566823</v>
      </c>
      <c r="W48" s="16">
        <f t="shared" ref="W48:Y48" si="38">IF(W6=0,0,W6/W$3)</f>
        <v>0.97703545426013694</v>
      </c>
      <c r="X48" s="16">
        <f t="shared" si="38"/>
        <v>0.97755147745088311</v>
      </c>
      <c r="Y48" s="16">
        <f t="shared" si="38"/>
        <v>0.98053702362568529</v>
      </c>
      <c r="DA48" s="190"/>
    </row>
    <row r="49" spans="1:105" ht="11.45" customHeight="1" x14ac:dyDescent="0.25">
      <c r="A49" s="83" t="s">
        <v>27</v>
      </c>
      <c r="B49" s="103">
        <f t="shared" ref="B49:C49" si="39">IF(B7=0,0,B7/B$3)</f>
        <v>1.0995117302724879E-2</v>
      </c>
      <c r="C49" s="103">
        <f t="shared" si="39"/>
        <v>1.119846905894999E-2</v>
      </c>
      <c r="D49" s="103">
        <f t="shared" ref="D49:V49" si="40">IF(D7=0,0,D7/D$3)</f>
        <v>1.5188295496902322E-2</v>
      </c>
      <c r="E49" s="103">
        <f t="shared" si="40"/>
        <v>1.4061859020517271E-2</v>
      </c>
      <c r="F49" s="103">
        <f t="shared" si="40"/>
        <v>1.0776272191756166E-2</v>
      </c>
      <c r="G49" s="103">
        <f t="shared" si="40"/>
        <v>9.5243557489784504E-3</v>
      </c>
      <c r="H49" s="103">
        <f t="shared" si="40"/>
        <v>7.0717860290198309E-3</v>
      </c>
      <c r="I49" s="103">
        <f t="shared" si="40"/>
        <v>9.0045987803171763E-3</v>
      </c>
      <c r="J49" s="103">
        <f t="shared" si="40"/>
        <v>5.6157118588682307E-3</v>
      </c>
      <c r="K49" s="103">
        <f t="shared" si="40"/>
        <v>8.3820169099044495E-3</v>
      </c>
      <c r="L49" s="103">
        <f t="shared" si="40"/>
        <v>7.9994911644770857E-3</v>
      </c>
      <c r="M49" s="103">
        <f t="shared" si="40"/>
        <v>1.0210402157304286E-2</v>
      </c>
      <c r="N49" s="103">
        <f t="shared" si="40"/>
        <v>3.2891533068270189E-2</v>
      </c>
      <c r="O49" s="103">
        <f t="shared" si="40"/>
        <v>2.992371321050883E-2</v>
      </c>
      <c r="P49" s="103">
        <f t="shared" si="40"/>
        <v>4.3428413540653077E-2</v>
      </c>
      <c r="Q49" s="103">
        <f t="shared" si="40"/>
        <v>2.7601384025906492E-2</v>
      </c>
      <c r="R49" s="103">
        <f t="shared" si="40"/>
        <v>3.4816151451502721E-2</v>
      </c>
      <c r="S49" s="103">
        <f t="shared" si="40"/>
        <v>3.130690967202257E-2</v>
      </c>
      <c r="T49" s="103">
        <f t="shared" si="40"/>
        <v>3.1558667548483625E-2</v>
      </c>
      <c r="U49" s="103">
        <f t="shared" si="40"/>
        <v>3.0420904167033792E-2</v>
      </c>
      <c r="V49" s="103">
        <f t="shared" si="40"/>
        <v>3.8313549405922673E-2</v>
      </c>
      <c r="W49" s="103">
        <f t="shared" ref="W49:Y49" si="41">IF(W7=0,0,W7/W$3)</f>
        <v>5.0516320869734684E-2</v>
      </c>
      <c r="X49" s="103">
        <f t="shared" si="41"/>
        <v>3.0340068289194375E-2</v>
      </c>
      <c r="Y49" s="103">
        <f t="shared" si="41"/>
        <v>3.0422350555987299E-2</v>
      </c>
      <c r="DA49" s="191"/>
    </row>
    <row r="50" spans="1:105" ht="11.45" customHeight="1" x14ac:dyDescent="0.25">
      <c r="A50" s="83" t="s">
        <v>181</v>
      </c>
      <c r="B50" s="103">
        <f t="shared" ref="B50:C50" si="42">IF(B8=0,0,B8/B$3)</f>
        <v>0.6502415937842928</v>
      </c>
      <c r="C50" s="103">
        <f t="shared" si="42"/>
        <v>0.6509745654924276</v>
      </c>
      <c r="D50" s="103">
        <f t="shared" ref="D50:V50" si="43">IF(D8=0,0,D8/D$3)</f>
        <v>0.64783898075919988</v>
      </c>
      <c r="E50" s="103">
        <f t="shared" si="43"/>
        <v>0.64882325768469817</v>
      </c>
      <c r="F50" s="103">
        <f t="shared" si="43"/>
        <v>0.65168687431877581</v>
      </c>
      <c r="G50" s="103">
        <f t="shared" si="43"/>
        <v>0.67493778172650931</v>
      </c>
      <c r="H50" s="103">
        <f t="shared" si="43"/>
        <v>0.71375626632052214</v>
      </c>
      <c r="I50" s="103">
        <f t="shared" si="43"/>
        <v>0.73438791306624507</v>
      </c>
      <c r="J50" s="103">
        <f t="shared" si="43"/>
        <v>0.74787520511888106</v>
      </c>
      <c r="K50" s="103">
        <f t="shared" si="43"/>
        <v>0.72161603682044195</v>
      </c>
      <c r="L50" s="103">
        <f t="shared" si="43"/>
        <v>0.71849330451421689</v>
      </c>
      <c r="M50" s="103">
        <f t="shared" si="43"/>
        <v>0.71605296705772004</v>
      </c>
      <c r="N50" s="103">
        <f t="shared" si="43"/>
        <v>0.70477379145916641</v>
      </c>
      <c r="O50" s="103">
        <f t="shared" si="43"/>
        <v>0.72029144118926303</v>
      </c>
      <c r="P50" s="103">
        <f t="shared" si="43"/>
        <v>0.70613377683087342</v>
      </c>
      <c r="Q50" s="103">
        <f t="shared" si="43"/>
        <v>0.73149142506057685</v>
      </c>
      <c r="R50" s="103">
        <f t="shared" si="43"/>
        <v>0.74034404618153205</v>
      </c>
      <c r="S50" s="103">
        <f t="shared" si="43"/>
        <v>0.75353923991255711</v>
      </c>
      <c r="T50" s="103">
        <f t="shared" si="43"/>
        <v>0.75963712553927243</v>
      </c>
      <c r="U50" s="103">
        <f t="shared" si="43"/>
        <v>0.75960003632750972</v>
      </c>
      <c r="V50" s="103">
        <f t="shared" si="43"/>
        <v>0.66452536204259738</v>
      </c>
      <c r="W50" s="103">
        <f t="shared" ref="W50:Y50" si="44">IF(W8=0,0,W8/W$3)</f>
        <v>0.66899677234557664</v>
      </c>
      <c r="X50" s="103">
        <f t="shared" si="44"/>
        <v>0.74712744014930177</v>
      </c>
      <c r="Y50" s="103">
        <f t="shared" si="44"/>
        <v>0.7536755869063384</v>
      </c>
      <c r="DA50" s="191"/>
    </row>
    <row r="51" spans="1:105" ht="11.45" customHeight="1" x14ac:dyDescent="0.25">
      <c r="A51" s="83" t="s">
        <v>182</v>
      </c>
      <c r="B51" s="103">
        <f t="shared" ref="B51:C51" si="45">IF(B9=0,0,B9/B$3)</f>
        <v>0.3318353173833824</v>
      </c>
      <c r="C51" s="103">
        <f t="shared" si="45"/>
        <v>0.33220087617691663</v>
      </c>
      <c r="D51" s="103">
        <f t="shared" ref="D51:V51" si="46">IF(D9=0,0,D9/D$3)</f>
        <v>0.3306300901427936</v>
      </c>
      <c r="E51" s="103">
        <f t="shared" si="46"/>
        <v>0.33114146119838306</v>
      </c>
      <c r="F51" s="103">
        <f t="shared" si="46"/>
        <v>0.33262607677776534</v>
      </c>
      <c r="G51" s="103">
        <f t="shared" si="46"/>
        <v>0.30983806884682835</v>
      </c>
      <c r="H51" s="103">
        <f t="shared" si="46"/>
        <v>0.27329146343840127</v>
      </c>
      <c r="I51" s="103">
        <f t="shared" si="46"/>
        <v>0.24978747325040401</v>
      </c>
      <c r="J51" s="103">
        <f t="shared" si="46"/>
        <v>0.2389541893352522</v>
      </c>
      <c r="K51" s="103">
        <f t="shared" si="46"/>
        <v>0.2603857819465602</v>
      </c>
      <c r="L51" s="103">
        <f t="shared" si="46"/>
        <v>0.25964417175059729</v>
      </c>
      <c r="M51" s="103">
        <f t="shared" si="46"/>
        <v>0.26075816922676603</v>
      </c>
      <c r="N51" s="103">
        <f t="shared" si="46"/>
        <v>0.25004961307984641</v>
      </c>
      <c r="O51" s="103">
        <f t="shared" si="46"/>
        <v>0.23650479324592535</v>
      </c>
      <c r="P51" s="103">
        <f t="shared" si="46"/>
        <v>0.23694584842441252</v>
      </c>
      <c r="Q51" s="103">
        <f t="shared" si="46"/>
        <v>0.22809579353823586</v>
      </c>
      <c r="R51" s="103">
        <f t="shared" si="46"/>
        <v>0.20931447894713584</v>
      </c>
      <c r="S51" s="103">
        <f t="shared" si="46"/>
        <v>0.20091856807412359</v>
      </c>
      <c r="T51" s="103">
        <f t="shared" si="46"/>
        <v>0.19804693595484205</v>
      </c>
      <c r="U51" s="103">
        <f t="shared" si="46"/>
        <v>0.19601041836480934</v>
      </c>
      <c r="V51" s="103">
        <f t="shared" si="46"/>
        <v>0.27797277156714822</v>
      </c>
      <c r="W51" s="103">
        <f t="shared" ref="W51:Y51" si="47">IF(W9=0,0,W9/W$3)</f>
        <v>0.25752236104482557</v>
      </c>
      <c r="X51" s="103">
        <f t="shared" si="47"/>
        <v>0.20008396901238706</v>
      </c>
      <c r="Y51" s="103">
        <f t="shared" si="47"/>
        <v>0.19643908616335964</v>
      </c>
      <c r="DA51" s="191"/>
    </row>
    <row r="52" spans="1:105" ht="11.45" customHeight="1" x14ac:dyDescent="0.25">
      <c r="A52" s="12" t="s">
        <v>34</v>
      </c>
      <c r="B52" s="17">
        <f t="shared" ref="B52:C52" si="48">IF(B10=0,0,B10/B$3)</f>
        <v>6.9279715295998186E-3</v>
      </c>
      <c r="C52" s="17">
        <f t="shared" si="48"/>
        <v>5.6260892717057533E-3</v>
      </c>
      <c r="D52" s="17">
        <f t="shared" ref="D52:V52" si="49">IF(D10=0,0,D10/D$3)</f>
        <v>6.3426336011042006E-3</v>
      </c>
      <c r="E52" s="17">
        <f t="shared" si="49"/>
        <v>5.9734220964015126E-3</v>
      </c>
      <c r="F52" s="17">
        <f t="shared" si="49"/>
        <v>4.9107767117026737E-3</v>
      </c>
      <c r="G52" s="17">
        <f t="shared" si="49"/>
        <v>5.6997936776838586E-3</v>
      </c>
      <c r="H52" s="17">
        <f t="shared" si="49"/>
        <v>5.880484212056768E-3</v>
      </c>
      <c r="I52" s="17">
        <f t="shared" si="49"/>
        <v>6.8200149030337607E-3</v>
      </c>
      <c r="J52" s="17">
        <f t="shared" si="49"/>
        <v>7.5548936869984833E-3</v>
      </c>
      <c r="K52" s="17">
        <f t="shared" si="49"/>
        <v>9.6161643230934218E-3</v>
      </c>
      <c r="L52" s="17">
        <f t="shared" si="49"/>
        <v>1.3863032570708573E-2</v>
      </c>
      <c r="M52" s="17">
        <f t="shared" si="49"/>
        <v>1.2978461558209541E-2</v>
      </c>
      <c r="N52" s="17">
        <f t="shared" si="49"/>
        <v>1.2285062392717115E-2</v>
      </c>
      <c r="O52" s="17">
        <f t="shared" si="49"/>
        <v>1.3280052354302817E-2</v>
      </c>
      <c r="P52" s="17">
        <f t="shared" si="49"/>
        <v>1.3491961204061067E-2</v>
      </c>
      <c r="Q52" s="17">
        <f t="shared" si="49"/>
        <v>1.2811397375280741E-2</v>
      </c>
      <c r="R52" s="17">
        <f t="shared" si="49"/>
        <v>1.552532341982945E-2</v>
      </c>
      <c r="S52" s="17">
        <f t="shared" si="49"/>
        <v>1.4235282341296642E-2</v>
      </c>
      <c r="T52" s="17">
        <f t="shared" si="49"/>
        <v>1.0757270957401735E-2</v>
      </c>
      <c r="U52" s="17">
        <f t="shared" si="49"/>
        <v>1.3968641140647073E-2</v>
      </c>
      <c r="V52" s="17">
        <f t="shared" si="49"/>
        <v>1.9188316984331637E-2</v>
      </c>
      <c r="W52" s="17">
        <f t="shared" ref="W52:Y52" si="50">IF(W10=0,0,W10/W$3)</f>
        <v>2.2964545739863312E-2</v>
      </c>
      <c r="X52" s="17">
        <f t="shared" si="50"/>
        <v>2.2448522549116841E-2</v>
      </c>
      <c r="Y52" s="17">
        <f t="shared" si="50"/>
        <v>1.9462976374314624E-2</v>
      </c>
      <c r="DA52" s="194"/>
    </row>
    <row r="53" spans="1:105" ht="11.45" customHeight="1" x14ac:dyDescent="0.25">
      <c r="A53" s="92" t="s">
        <v>27</v>
      </c>
      <c r="B53" s="104">
        <f t="shared" ref="B53:C53" si="51">IF(B11=0,0,B11/B$3)</f>
        <v>1.6592158057262415E-4</v>
      </c>
      <c r="C53" s="104">
        <f t="shared" si="51"/>
        <v>1.3039639431663771E-4</v>
      </c>
      <c r="D53" s="104">
        <f t="shared" ref="D53:V53" si="52">IF(D11=0,0,D11/D$3)</f>
        <v>1.4698899191011291E-4</v>
      </c>
      <c r="E53" s="104">
        <f t="shared" si="52"/>
        <v>1.3554436203095863E-4</v>
      </c>
      <c r="F53" s="104">
        <f t="shared" si="52"/>
        <v>1.027326579277956E-4</v>
      </c>
      <c r="G53" s="104">
        <f t="shared" si="52"/>
        <v>7.2783800662833205E-5</v>
      </c>
      <c r="H53" s="104">
        <f t="shared" si="52"/>
        <v>1.3762633854869154E-4</v>
      </c>
      <c r="I53" s="104">
        <f t="shared" si="52"/>
        <v>2.1089535192447581E-4</v>
      </c>
      <c r="J53" s="104">
        <f t="shared" si="52"/>
        <v>1.5738000033256938E-4</v>
      </c>
      <c r="K53" s="104">
        <f t="shared" si="52"/>
        <v>2.5137821877620957E-4</v>
      </c>
      <c r="L53" s="104">
        <f t="shared" si="52"/>
        <v>2.0144992492338504E-4</v>
      </c>
      <c r="M53" s="104">
        <f t="shared" si="52"/>
        <v>2.2848692802587099E-4</v>
      </c>
      <c r="N53" s="104">
        <f t="shared" si="52"/>
        <v>5.261827425413313E-4</v>
      </c>
      <c r="O53" s="104">
        <f t="shared" si="52"/>
        <v>5.5009230388941978E-4</v>
      </c>
      <c r="P53" s="104">
        <f t="shared" si="52"/>
        <v>4.558558091368173E-4</v>
      </c>
      <c r="Q53" s="104">
        <f t="shared" si="52"/>
        <v>2.3003902625063087E-4</v>
      </c>
      <c r="R53" s="104">
        <f t="shared" si="52"/>
        <v>1.4725565888245402E-4</v>
      </c>
      <c r="S53" s="104">
        <f t="shared" si="52"/>
        <v>4.2890895736116787E-5</v>
      </c>
      <c r="T53" s="104">
        <f t="shared" si="52"/>
        <v>4.5034303716658061E-5</v>
      </c>
      <c r="U53" s="104">
        <f t="shared" si="52"/>
        <v>5.4189363824063784E-5</v>
      </c>
      <c r="V53" s="104">
        <f t="shared" si="52"/>
        <v>4.5707110142659439E-5</v>
      </c>
      <c r="W53" s="104">
        <f t="shared" ref="W53:Y53" si="53">IF(W11=0,0,W11/W$3)</f>
        <v>6.5691612189891925E-5</v>
      </c>
      <c r="X53" s="104">
        <f t="shared" si="53"/>
        <v>3.2043858789410087E-5</v>
      </c>
      <c r="Y53" s="104">
        <f t="shared" si="53"/>
        <v>2.3386526402114917E-5</v>
      </c>
      <c r="DA53" s="195"/>
    </row>
    <row r="54" spans="1:105" ht="11.45" customHeight="1" x14ac:dyDescent="0.25">
      <c r="A54" s="92" t="s">
        <v>181</v>
      </c>
      <c r="B54" s="104">
        <f t="shared" ref="B54:C54" si="54">IF(B12=0,0,B12/B$3)</f>
        <v>5.637954644763527E-3</v>
      </c>
      <c r="C54" s="104">
        <f t="shared" si="54"/>
        <v>4.3874270696058672E-3</v>
      </c>
      <c r="D54" s="104">
        <f t="shared" ref="D54:V54" si="55">IF(D12=0,0,D12/D$3)</f>
        <v>5.0556960900285481E-3</v>
      </c>
      <c r="E54" s="104">
        <f t="shared" si="55"/>
        <v>4.690131144103233E-3</v>
      </c>
      <c r="F54" s="104">
        <f t="shared" si="55"/>
        <v>3.6274294728998952E-3</v>
      </c>
      <c r="G54" s="104">
        <f t="shared" si="55"/>
        <v>4.596456494217061E-3</v>
      </c>
      <c r="H54" s="104">
        <f t="shared" si="55"/>
        <v>4.4889995978749254E-3</v>
      </c>
      <c r="I54" s="104">
        <f t="shared" si="55"/>
        <v>4.617040382837027E-3</v>
      </c>
      <c r="J54" s="104">
        <f t="shared" si="55"/>
        <v>4.4028752584065745E-3</v>
      </c>
      <c r="K54" s="104">
        <f t="shared" si="55"/>
        <v>5.5866885848654766E-3</v>
      </c>
      <c r="L54" s="104">
        <f t="shared" si="55"/>
        <v>5.3400476059172752E-3</v>
      </c>
      <c r="M54" s="104">
        <f t="shared" si="55"/>
        <v>5.3466009586021351E-3</v>
      </c>
      <c r="N54" s="104">
        <f t="shared" si="55"/>
        <v>5.4398417116643784E-3</v>
      </c>
      <c r="O54" s="104">
        <f t="shared" si="55"/>
        <v>5.2420152682480427E-3</v>
      </c>
      <c r="P54" s="104">
        <f t="shared" si="55"/>
        <v>5.0816103295976923E-3</v>
      </c>
      <c r="Q54" s="104">
        <f t="shared" si="55"/>
        <v>5.0393243042277892E-3</v>
      </c>
      <c r="R54" s="104">
        <f t="shared" si="55"/>
        <v>4.4504729886741074E-3</v>
      </c>
      <c r="S54" s="104">
        <f t="shared" si="55"/>
        <v>4.9087592660867528E-3</v>
      </c>
      <c r="T54" s="104">
        <f t="shared" si="55"/>
        <v>4.3429904681637809E-3</v>
      </c>
      <c r="U54" s="104">
        <f t="shared" si="55"/>
        <v>4.3182689874133404E-3</v>
      </c>
      <c r="V54" s="104">
        <f t="shared" si="55"/>
        <v>1.3289071732065304E-2</v>
      </c>
      <c r="W54" s="104">
        <f t="shared" ref="W54:Y54" si="56">IF(W12=0,0,W12/W$3)</f>
        <v>1.3340670361340051E-2</v>
      </c>
      <c r="X54" s="104">
        <f t="shared" si="56"/>
        <v>9.1827312292499363E-3</v>
      </c>
      <c r="Y54" s="104">
        <f t="shared" si="56"/>
        <v>6.2367335787599327E-3</v>
      </c>
      <c r="DA54" s="195"/>
    </row>
    <row r="55" spans="1:105" ht="11.45" customHeight="1" x14ac:dyDescent="0.25">
      <c r="A55" s="85" t="s">
        <v>182</v>
      </c>
      <c r="B55" s="105">
        <f t="shared" ref="B55:C55" si="57">IF(B13=0,0,B13/B$3)</f>
        <v>1.1240953042636671E-3</v>
      </c>
      <c r="C55" s="105">
        <f t="shared" si="57"/>
        <v>1.1082658077832487E-3</v>
      </c>
      <c r="D55" s="105">
        <f t="shared" ref="D55:V55" si="58">IF(D13=0,0,D13/D$3)</f>
        <v>1.1399485191655398E-3</v>
      </c>
      <c r="E55" s="105">
        <f t="shared" si="58"/>
        <v>1.1477465902673212E-3</v>
      </c>
      <c r="F55" s="105">
        <f t="shared" si="58"/>
        <v>1.1806145808749826E-3</v>
      </c>
      <c r="G55" s="105">
        <f t="shared" si="58"/>
        <v>1.0305533828039637E-3</v>
      </c>
      <c r="H55" s="105">
        <f t="shared" si="58"/>
        <v>1.2538582756331513E-3</v>
      </c>
      <c r="I55" s="105">
        <f t="shared" si="58"/>
        <v>1.9920791682722589E-3</v>
      </c>
      <c r="J55" s="105">
        <f t="shared" si="58"/>
        <v>2.9946384282593394E-3</v>
      </c>
      <c r="K55" s="105">
        <f t="shared" si="58"/>
        <v>3.7780975194517336E-3</v>
      </c>
      <c r="L55" s="105">
        <f t="shared" si="58"/>
        <v>8.3215350398679142E-3</v>
      </c>
      <c r="M55" s="105">
        <f t="shared" si="58"/>
        <v>7.4033736715815356E-3</v>
      </c>
      <c r="N55" s="105">
        <f t="shared" si="58"/>
        <v>6.3190379385114036E-3</v>
      </c>
      <c r="O55" s="105">
        <f t="shared" si="58"/>
        <v>7.4879447821653549E-3</v>
      </c>
      <c r="P55" s="105">
        <f t="shared" si="58"/>
        <v>7.9544950653265573E-3</v>
      </c>
      <c r="Q55" s="105">
        <f t="shared" si="58"/>
        <v>7.5420340448023211E-3</v>
      </c>
      <c r="R55" s="105">
        <f t="shared" si="58"/>
        <v>1.0927594772272889E-2</v>
      </c>
      <c r="S55" s="105">
        <f t="shared" si="58"/>
        <v>9.2836321794737726E-3</v>
      </c>
      <c r="T55" s="105">
        <f t="shared" si="58"/>
        <v>6.3692461855212957E-3</v>
      </c>
      <c r="U55" s="105">
        <f t="shared" si="58"/>
        <v>9.5961827894096696E-3</v>
      </c>
      <c r="V55" s="105">
        <f t="shared" si="58"/>
        <v>5.8535381421236741E-3</v>
      </c>
      <c r="W55" s="105">
        <f t="shared" ref="W55:Y55" si="59">IF(W13=0,0,W13/W$3)</f>
        <v>9.5581837663333714E-3</v>
      </c>
      <c r="X55" s="105">
        <f t="shared" si="59"/>
        <v>1.3233747461077493E-2</v>
      </c>
      <c r="Y55" s="105">
        <f t="shared" si="59"/>
        <v>1.3202856269152576E-2</v>
      </c>
      <c r="DA55" s="192"/>
    </row>
    <row r="56" spans="1:105" x14ac:dyDescent="0.25">
      <c r="A56" s="50"/>
      <c r="B56" s="50"/>
      <c r="C56" s="50"/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DA56" s="181"/>
    </row>
    <row r="57" spans="1:105" ht="11.45" customHeight="1" x14ac:dyDescent="0.25">
      <c r="A57" s="53" t="s">
        <v>76</v>
      </c>
      <c r="B57" s="62">
        <v>459.24868362539843</v>
      </c>
      <c r="C57" s="62">
        <v>459.50469548789408</v>
      </c>
      <c r="D57" s="62">
        <v>463.80589718166436</v>
      </c>
      <c r="E57" s="62">
        <v>462.61829223878766</v>
      </c>
      <c r="F57" s="62">
        <v>459.0396864298404</v>
      </c>
      <c r="G57" s="62">
        <v>447.60722040710885</v>
      </c>
      <c r="H57" s="62">
        <v>427.57166400794432</v>
      </c>
      <c r="I57" s="62">
        <v>421.81384864955822</v>
      </c>
      <c r="J57" s="62">
        <v>412.87133543702458</v>
      </c>
      <c r="K57" s="62">
        <v>403.34359061826126</v>
      </c>
      <c r="L57" s="62">
        <v>399.5222536283685</v>
      </c>
      <c r="M57" s="62">
        <v>395.94619972988602</v>
      </c>
      <c r="N57" s="62">
        <v>399.79807150170615</v>
      </c>
      <c r="O57" s="62">
        <v>395.55085400723345</v>
      </c>
      <c r="P57" s="62">
        <v>404.43150734529297</v>
      </c>
      <c r="Q57" s="62">
        <v>406.59973344417261</v>
      </c>
      <c r="R57" s="62">
        <v>396.05866833807028</v>
      </c>
      <c r="S57" s="62">
        <v>407.32802875461084</v>
      </c>
      <c r="T57" s="62">
        <v>418.97715283055607</v>
      </c>
      <c r="U57" s="62">
        <v>421.28062588771922</v>
      </c>
      <c r="V57" s="62">
        <v>431.34175405548734</v>
      </c>
      <c r="W57" s="62">
        <v>422.75921674264981</v>
      </c>
      <c r="X57" s="62">
        <v>423.19076430776693</v>
      </c>
      <c r="Y57" s="62">
        <v>423.69863601932445</v>
      </c>
      <c r="DA57" s="172" t="s">
        <v>314</v>
      </c>
    </row>
    <row r="58" spans="1:105" ht="11.45" customHeight="1" x14ac:dyDescent="0.25">
      <c r="A58" s="10" t="s">
        <v>33</v>
      </c>
      <c r="B58" s="14">
        <v>459.84557561395559</v>
      </c>
      <c r="C58" s="14">
        <v>460.03104670025942</v>
      </c>
      <c r="D58" s="14">
        <v>464.3875132146872</v>
      </c>
      <c r="E58" s="14">
        <v>463.17669075986436</v>
      </c>
      <c r="F58" s="14">
        <v>459.54110623872441</v>
      </c>
      <c r="G58" s="14">
        <v>448.11452907190881</v>
      </c>
      <c r="H58" s="14">
        <v>427.93029911588741</v>
      </c>
      <c r="I58" s="14">
        <v>421.97852278019656</v>
      </c>
      <c r="J58" s="14">
        <v>412.52117151016171</v>
      </c>
      <c r="K58" s="14">
        <v>402.6709320398495</v>
      </c>
      <c r="L58" s="14">
        <v>397.1825794777115</v>
      </c>
      <c r="M58" s="14">
        <v>394.1139056872575</v>
      </c>
      <c r="N58" s="14">
        <v>398.38780883418639</v>
      </c>
      <c r="O58" s="14">
        <v>393.68815368165758</v>
      </c>
      <c r="P58" s="14">
        <v>402.10072455518269</v>
      </c>
      <c r="Q58" s="14">
        <v>404.22608796083887</v>
      </c>
      <c r="R58" s="14">
        <v>392.96612694808562</v>
      </c>
      <c r="S58" s="14">
        <v>404.087954170675</v>
      </c>
      <c r="T58" s="14">
        <v>416.30247905789412</v>
      </c>
      <c r="U58" s="14">
        <v>416.69063756586957</v>
      </c>
      <c r="V58" s="14">
        <v>431.68850581755061</v>
      </c>
      <c r="W58" s="14">
        <v>421.30376293795899</v>
      </c>
      <c r="X58" s="14">
        <v>417.89239590934841</v>
      </c>
      <c r="Y58" s="14">
        <v>417.43027413492723</v>
      </c>
      <c r="DA58" s="189" t="s">
        <v>315</v>
      </c>
    </row>
    <row r="59" spans="1:105" ht="11.45" customHeight="1" x14ac:dyDescent="0.25">
      <c r="A59" s="83" t="s">
        <v>27</v>
      </c>
      <c r="B59" s="87">
        <v>606.26928365824256</v>
      </c>
      <c r="C59" s="87">
        <v>606.26928365824244</v>
      </c>
      <c r="D59" s="87">
        <v>606.26928365824256</v>
      </c>
      <c r="E59" s="87">
        <v>606.26928365824244</v>
      </c>
      <c r="F59" s="87">
        <v>606.26928365824244</v>
      </c>
      <c r="G59" s="87">
        <v>595.27055121308922</v>
      </c>
      <c r="H59" s="87">
        <v>609.49834524959704</v>
      </c>
      <c r="I59" s="87">
        <v>613.52084646356093</v>
      </c>
      <c r="J59" s="87">
        <v>614.00718967397927</v>
      </c>
      <c r="K59" s="87">
        <v>616.60035874351036</v>
      </c>
      <c r="L59" s="87">
        <v>597.87953643857929</v>
      </c>
      <c r="M59" s="87">
        <v>592.4468277079759</v>
      </c>
      <c r="N59" s="87">
        <v>578.37130053532348</v>
      </c>
      <c r="O59" s="87">
        <v>576.66084022095754</v>
      </c>
      <c r="P59" s="87">
        <v>570.61546539126937</v>
      </c>
      <c r="Q59" s="87">
        <v>613.7498752485493</v>
      </c>
      <c r="R59" s="87">
        <v>626.48817529000746</v>
      </c>
      <c r="S59" s="87">
        <v>616.97179448585894</v>
      </c>
      <c r="T59" s="87">
        <v>622.73325986133273</v>
      </c>
      <c r="U59" s="87">
        <v>626.07770901087918</v>
      </c>
      <c r="V59" s="87">
        <v>628.47100903239436</v>
      </c>
      <c r="W59" s="87">
        <v>619.88300723380939</v>
      </c>
      <c r="X59" s="87">
        <v>615.5256765846807</v>
      </c>
      <c r="Y59" s="87">
        <v>613.11416708752665</v>
      </c>
      <c r="DA59" s="171" t="s">
        <v>316</v>
      </c>
    </row>
    <row r="60" spans="1:105" ht="11.45" customHeight="1" x14ac:dyDescent="0.25">
      <c r="A60" s="83" t="s">
        <v>181</v>
      </c>
      <c r="B60" s="87">
        <v>333.35302210019785</v>
      </c>
      <c r="C60" s="87">
        <v>333.35279215079493</v>
      </c>
      <c r="D60" s="87">
        <v>333.35322979069684</v>
      </c>
      <c r="E60" s="87">
        <v>333.35312922967415</v>
      </c>
      <c r="F60" s="87">
        <v>333.35370227307595</v>
      </c>
      <c r="G60" s="87">
        <v>329.74503945112906</v>
      </c>
      <c r="H60" s="87">
        <v>326.33077835187242</v>
      </c>
      <c r="I60" s="87">
        <v>323.91782823352037</v>
      </c>
      <c r="J60" s="87">
        <v>326.01386993807921</v>
      </c>
      <c r="K60" s="87">
        <v>329.31853677141675</v>
      </c>
      <c r="L60" s="87">
        <v>331.58155729505376</v>
      </c>
      <c r="M60" s="87">
        <v>332.71587429582331</v>
      </c>
      <c r="N60" s="87">
        <v>336.15990174222389</v>
      </c>
      <c r="O60" s="87">
        <v>336.03311746039464</v>
      </c>
      <c r="P60" s="87">
        <v>336.21511928667536</v>
      </c>
      <c r="Q60" s="87">
        <v>336.03385758144572</v>
      </c>
      <c r="R60" s="87">
        <v>335.24318776120748</v>
      </c>
      <c r="S60" s="87">
        <v>336.19719038204573</v>
      </c>
      <c r="T60" s="87">
        <v>338.30740882789843</v>
      </c>
      <c r="U60" s="87">
        <v>336.17933427996138</v>
      </c>
      <c r="V60" s="87">
        <v>332.84305874979754</v>
      </c>
      <c r="W60" s="87">
        <v>336.53493703272665</v>
      </c>
      <c r="X60" s="87">
        <v>334.15764788165529</v>
      </c>
      <c r="Y60" s="87">
        <v>335.03986494527936</v>
      </c>
      <c r="DA60" s="171" t="s">
        <v>317</v>
      </c>
    </row>
    <row r="61" spans="1:105" ht="11.45" customHeight="1" x14ac:dyDescent="0.25">
      <c r="A61" s="83" t="s">
        <v>182</v>
      </c>
      <c r="B61" s="87">
        <v>624.62123179275159</v>
      </c>
      <c r="C61" s="87">
        <v>624.62123179275147</v>
      </c>
      <c r="D61" s="87">
        <v>624.62123179275159</v>
      </c>
      <c r="E61" s="87">
        <v>624.62123179275159</v>
      </c>
      <c r="F61" s="87">
        <v>624.62123179275159</v>
      </c>
      <c r="G61" s="87">
        <v>625.60882613551246</v>
      </c>
      <c r="H61" s="87">
        <v>593.65467471129114</v>
      </c>
      <c r="I61" s="87">
        <v>579.39431423674239</v>
      </c>
      <c r="J61" s="87">
        <v>560.77315177252319</v>
      </c>
      <c r="K61" s="87">
        <v>525.74893766030607</v>
      </c>
      <c r="L61" s="87">
        <v>506.31973759570457</v>
      </c>
      <c r="M61" s="87">
        <v>494.41302011187355</v>
      </c>
      <c r="N61" s="87">
        <v>494.38993118049581</v>
      </c>
      <c r="O61" s="87">
        <v>513.77323223113331</v>
      </c>
      <c r="P61" s="87">
        <v>523.74285430161808</v>
      </c>
      <c r="Q61" s="87">
        <v>528.8689074691556</v>
      </c>
      <c r="R61" s="87">
        <v>552.95941974336711</v>
      </c>
      <c r="S61" s="87">
        <v>569.35746442528193</v>
      </c>
      <c r="T61" s="87">
        <v>559.50261053651013</v>
      </c>
      <c r="U61" s="87">
        <v>555.91717772263166</v>
      </c>
      <c r="V61" s="87">
        <v>607.29834059332859</v>
      </c>
      <c r="W61" s="87">
        <v>558.96643938432214</v>
      </c>
      <c r="X61" s="87">
        <v>570.55191777712184</v>
      </c>
      <c r="Y61" s="87">
        <v>557.18854924627396</v>
      </c>
      <c r="DA61" s="171" t="s">
        <v>318</v>
      </c>
    </row>
    <row r="62" spans="1:105" ht="11.45" customHeight="1" x14ac:dyDescent="0.25">
      <c r="A62" s="12" t="s">
        <v>34</v>
      </c>
      <c r="B62" s="15">
        <v>365.30836752727566</v>
      </c>
      <c r="C62" s="15">
        <v>362.92639655032565</v>
      </c>
      <c r="D62" s="15">
        <v>363.95368658529372</v>
      </c>
      <c r="E62" s="15">
        <v>363.43370942215705</v>
      </c>
      <c r="F62" s="15">
        <v>360.66800760889339</v>
      </c>
      <c r="G62" s="15">
        <v>353.7223602000189</v>
      </c>
      <c r="H62" s="15">
        <v>366.79931022766431</v>
      </c>
      <c r="I62" s="15">
        <v>399.02200087256477</v>
      </c>
      <c r="J62" s="15">
        <v>455.39427840774147</v>
      </c>
      <c r="K62" s="15">
        <v>477.95431021547341</v>
      </c>
      <c r="L62" s="15">
        <v>601.70876090850243</v>
      </c>
      <c r="M62" s="15">
        <v>563.37634607379414</v>
      </c>
      <c r="N62" s="15">
        <v>536.96889998981521</v>
      </c>
      <c r="O62" s="15">
        <v>560.88153087957892</v>
      </c>
      <c r="P62" s="15">
        <v>594.16573269127377</v>
      </c>
      <c r="Q62" s="15">
        <v>594.16122843958328</v>
      </c>
      <c r="R62" s="15">
        <v>629.13666100359853</v>
      </c>
      <c r="S62" s="15">
        <v>644.48716938169889</v>
      </c>
      <c r="T62" s="15">
        <v>632.4901848615624</v>
      </c>
      <c r="U62" s="15">
        <v>702.44677414259343</v>
      </c>
      <c r="V62" s="15">
        <v>416.15250095990763</v>
      </c>
      <c r="W62" s="15">
        <v>476.64256798257907</v>
      </c>
      <c r="X62" s="15">
        <v>618.46805379909313</v>
      </c>
      <c r="Y62" s="15">
        <v>685.42243096037441</v>
      </c>
      <c r="DA62" s="193" t="s">
        <v>319</v>
      </c>
    </row>
    <row r="63" spans="1:105" ht="11.45" customHeight="1" x14ac:dyDescent="0.25">
      <c r="A63" s="92" t="s">
        <v>27</v>
      </c>
      <c r="B63" s="101">
        <v>768.40018966855587</v>
      </c>
      <c r="C63" s="101">
        <v>768.40018966855587</v>
      </c>
      <c r="D63" s="101">
        <v>768.40018966855598</v>
      </c>
      <c r="E63" s="101">
        <v>768.40018966855587</v>
      </c>
      <c r="F63" s="101">
        <v>768.40018966855598</v>
      </c>
      <c r="G63" s="101">
        <v>748.42418643047404</v>
      </c>
      <c r="H63" s="101">
        <v>758.01808277803218</v>
      </c>
      <c r="I63" s="101">
        <v>749.22599234898428</v>
      </c>
      <c r="J63" s="101">
        <v>734.96086027413173</v>
      </c>
      <c r="K63" s="101">
        <v>724.54150581326314</v>
      </c>
      <c r="L63" s="101">
        <v>683.93670415967085</v>
      </c>
      <c r="M63" s="101">
        <v>641.12361088508749</v>
      </c>
      <c r="N63" s="101">
        <v>595.31641551813743</v>
      </c>
      <c r="O63" s="101">
        <v>605.10943044509736</v>
      </c>
      <c r="P63" s="101">
        <v>610.15967491357765</v>
      </c>
      <c r="Q63" s="101">
        <v>677.86521178884266</v>
      </c>
      <c r="R63" s="101">
        <v>712.15136481202546</v>
      </c>
      <c r="S63" s="101">
        <v>717.07611359824091</v>
      </c>
      <c r="T63" s="101">
        <v>745.49989014008497</v>
      </c>
      <c r="U63" s="101">
        <v>769.5972564459986</v>
      </c>
      <c r="V63" s="101">
        <v>545.38421309539626</v>
      </c>
      <c r="W63" s="101">
        <v>553.56780127473201</v>
      </c>
      <c r="X63" s="101">
        <v>633.93790662418257</v>
      </c>
      <c r="Y63" s="101">
        <v>632.39465592058468</v>
      </c>
      <c r="DA63" s="175" t="s">
        <v>320</v>
      </c>
    </row>
    <row r="64" spans="1:105" ht="11.45" customHeight="1" x14ac:dyDescent="0.25">
      <c r="A64" s="92" t="s">
        <v>181</v>
      </c>
      <c r="B64" s="101">
        <v>378.91186962031668</v>
      </c>
      <c r="C64" s="101">
        <v>378.22291692144</v>
      </c>
      <c r="D64" s="101">
        <v>378.36409331414359</v>
      </c>
      <c r="E64" s="101">
        <v>378.69170684708894</v>
      </c>
      <c r="F64" s="101">
        <v>378.03805944013237</v>
      </c>
      <c r="G64" s="101">
        <v>361.05273707908401</v>
      </c>
      <c r="H64" s="101">
        <v>356.58788100338961</v>
      </c>
      <c r="I64" s="101">
        <v>346.95677972041801</v>
      </c>
      <c r="J64" s="101">
        <v>353.06493572392026</v>
      </c>
      <c r="K64" s="101">
        <v>351.55458114240218</v>
      </c>
      <c r="L64" s="101">
        <v>349.36398485847616</v>
      </c>
      <c r="M64" s="101">
        <v>350.25026597977603</v>
      </c>
      <c r="N64" s="101">
        <v>354.02690669841093</v>
      </c>
      <c r="O64" s="101">
        <v>356.00869305376978</v>
      </c>
      <c r="P64" s="101">
        <v>353.46869027547586</v>
      </c>
      <c r="Q64" s="101">
        <v>353.45206518117936</v>
      </c>
      <c r="R64" s="101">
        <v>347.77844126241547</v>
      </c>
      <c r="S64" s="101">
        <v>346.24216303019426</v>
      </c>
      <c r="T64" s="101">
        <v>350.74731402158113</v>
      </c>
      <c r="U64" s="101">
        <v>349.57341476538573</v>
      </c>
      <c r="V64" s="101">
        <v>351.77269404872965</v>
      </c>
      <c r="W64" s="101">
        <v>349.77727909224268</v>
      </c>
      <c r="X64" s="101">
        <v>338.79284209346559</v>
      </c>
      <c r="Y64" s="101">
        <v>341.8261388261061</v>
      </c>
      <c r="DA64" s="175" t="s">
        <v>321</v>
      </c>
    </row>
    <row r="65" spans="1:105" ht="11.45" customHeight="1" x14ac:dyDescent="0.25">
      <c r="A65" s="85" t="s">
        <v>182</v>
      </c>
      <c r="B65" s="88">
        <v>343.38753964707053</v>
      </c>
      <c r="C65" s="88">
        <v>343.38753964707053</v>
      </c>
      <c r="D65" s="88">
        <v>343.38753964707053</v>
      </c>
      <c r="E65" s="88">
        <v>343.38753964707058</v>
      </c>
      <c r="F65" s="88">
        <v>343.38753964707058</v>
      </c>
      <c r="G65" s="88">
        <v>343.51376036787559</v>
      </c>
      <c r="H65" s="88">
        <v>380.3295376849947</v>
      </c>
      <c r="I65" s="88">
        <v>451.09461730059542</v>
      </c>
      <c r="J65" s="88">
        <v>550.9891154197137</v>
      </c>
      <c r="K65" s="88">
        <v>659.10807140863301</v>
      </c>
      <c r="L65" s="88">
        <v>816.91966158224113</v>
      </c>
      <c r="M65" s="88">
        <v>776.02031697992697</v>
      </c>
      <c r="N65" s="88">
        <v>760.76021770202192</v>
      </c>
      <c r="O65" s="88">
        <v>793.15286152857686</v>
      </c>
      <c r="P65" s="88">
        <v>803.04852800253298</v>
      </c>
      <c r="Q65" s="88">
        <v>801.54561252255837</v>
      </c>
      <c r="R65" s="88">
        <v>844.10492664470792</v>
      </c>
      <c r="S65" s="88">
        <v>868.33545025965748</v>
      </c>
      <c r="T65" s="88">
        <v>832.52699023806736</v>
      </c>
      <c r="U65" s="88">
        <v>874.4281114037932</v>
      </c>
      <c r="V65" s="88">
        <v>527.44665242043345</v>
      </c>
      <c r="W65" s="88">
        <v>626.31191290161871</v>
      </c>
      <c r="X65" s="88">
        <v>815.87414645410615</v>
      </c>
      <c r="Y65" s="88">
        <v>855.22704324820154</v>
      </c>
      <c r="DA65" s="178" t="s">
        <v>322</v>
      </c>
    </row>
    <row r="66" spans="1:105" x14ac:dyDescent="0.25">
      <c r="A66" s="50"/>
      <c r="B66" s="50"/>
      <c r="C66" s="50"/>
      <c r="D66" s="51"/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DA66" s="181"/>
    </row>
    <row r="67" spans="1:105" ht="11.45" customHeight="1" x14ac:dyDescent="0.25">
      <c r="A67" s="53" t="s">
        <v>77</v>
      </c>
      <c r="B67" s="59">
        <f t="shared" ref="B67" si="60">IF(B3=0,0,B17/B57)</f>
        <v>0.60645614627373789</v>
      </c>
      <c r="C67" s="59">
        <f t="shared" ref="C67:W67" si="61">IF(C3=0,0,C17/C57)</f>
        <v>0.60552706172813497</v>
      </c>
      <c r="D67" s="59">
        <f t="shared" si="61"/>
        <v>0.58357417086526675</v>
      </c>
      <c r="E67" s="59">
        <f t="shared" si="61"/>
        <v>0.58894376911884438</v>
      </c>
      <c r="F67" s="59">
        <f t="shared" si="61"/>
        <v>0.60641163927382613</v>
      </c>
      <c r="G67" s="59">
        <f t="shared" si="61"/>
        <v>0.60138763857463873</v>
      </c>
      <c r="H67" s="59">
        <f t="shared" si="61"/>
        <v>0.69144489688653699</v>
      </c>
      <c r="I67" s="59">
        <f t="shared" si="61"/>
        <v>0.68911581611026773</v>
      </c>
      <c r="J67" s="59">
        <f t="shared" si="61"/>
        <v>0.83469551025087596</v>
      </c>
      <c r="K67" s="59">
        <f t="shared" si="61"/>
        <v>0.86466651160119146</v>
      </c>
      <c r="L67" s="59">
        <f t="shared" si="61"/>
        <v>0.90633254009143416</v>
      </c>
      <c r="M67" s="59">
        <f t="shared" si="61"/>
        <v>0.84114785353717691</v>
      </c>
      <c r="N67" s="59">
        <f t="shared" si="61"/>
        <v>0.92142739104652871</v>
      </c>
      <c r="O67" s="59">
        <f t="shared" si="61"/>
        <v>0.89790601052779895</v>
      </c>
      <c r="P67" s="59">
        <f t="shared" si="61"/>
        <v>0.9050699836732361</v>
      </c>
      <c r="Q67" s="59">
        <f t="shared" si="61"/>
        <v>0.88995687396941103</v>
      </c>
      <c r="R67" s="59">
        <f t="shared" si="61"/>
        <v>0.96176230646961425</v>
      </c>
      <c r="S67" s="59">
        <f t="shared" si="61"/>
        <v>1.0153639675458019</v>
      </c>
      <c r="T67" s="59">
        <f t="shared" si="61"/>
        <v>0.97673415438486388</v>
      </c>
      <c r="U67" s="59">
        <f t="shared" si="61"/>
        <v>1.015693387932483</v>
      </c>
      <c r="V67" s="59">
        <f t="shared" si="61"/>
        <v>1.0585282656235069</v>
      </c>
      <c r="W67" s="59">
        <f t="shared" si="61"/>
        <v>1.0353554639948002</v>
      </c>
      <c r="X67" s="59">
        <f t="shared" ref="X67:Y67" si="62">IF(X3=0,0,X17/X57)</f>
        <v>1.0411897363129952</v>
      </c>
      <c r="Y67" s="59">
        <f t="shared" si="62"/>
        <v>1.0502463065739203</v>
      </c>
      <c r="DA67" s="172"/>
    </row>
    <row r="68" spans="1:105" ht="11.45" customHeight="1" x14ac:dyDescent="0.25">
      <c r="A68" s="10" t="s">
        <v>33</v>
      </c>
      <c r="B68" s="23">
        <f t="shared" ref="B68:B75" si="63">IF(B6=0,0,B18/B58)</f>
        <v>0.60589763136712882</v>
      </c>
      <c r="C68" s="23">
        <f t="shared" ref="C68:W68" si="64">IF(C6=0,0,C18/C58)</f>
        <v>0.60518092167346849</v>
      </c>
      <c r="D68" s="23">
        <f t="shared" si="64"/>
        <v>0.5830177830667097</v>
      </c>
      <c r="E68" s="23">
        <f t="shared" si="64"/>
        <v>0.58847881473676855</v>
      </c>
      <c r="F68" s="23">
        <f t="shared" si="64"/>
        <v>0.60622053463237469</v>
      </c>
      <c r="G68" s="23">
        <f t="shared" si="64"/>
        <v>0.60077140320402367</v>
      </c>
      <c r="H68" s="23">
        <f t="shared" si="64"/>
        <v>0.69147550616716458</v>
      </c>
      <c r="I68" s="23">
        <f t="shared" si="64"/>
        <v>0.68986117372073252</v>
      </c>
      <c r="J68" s="23">
        <f t="shared" si="64"/>
        <v>0.83699724661396524</v>
      </c>
      <c r="K68" s="23">
        <f t="shared" si="64"/>
        <v>0.86679253491465214</v>
      </c>
      <c r="L68" s="23">
        <f t="shared" si="64"/>
        <v>0.9106371182833678</v>
      </c>
      <c r="M68" s="23">
        <f t="shared" si="64"/>
        <v>0.84436949868587075</v>
      </c>
      <c r="N68" s="23">
        <f t="shared" si="64"/>
        <v>0.92401624095312596</v>
      </c>
      <c r="O68" s="23">
        <f t="shared" si="64"/>
        <v>0.90127027182344654</v>
      </c>
      <c r="P68" s="23">
        <f t="shared" si="64"/>
        <v>0.90963734882729763</v>
      </c>
      <c r="Q68" s="23">
        <f t="shared" si="64"/>
        <v>0.89523675911890788</v>
      </c>
      <c r="R68" s="23">
        <f t="shared" si="64"/>
        <v>0.96712196083112989</v>
      </c>
      <c r="S68" s="23">
        <f t="shared" si="64"/>
        <v>1.0227782180249496</v>
      </c>
      <c r="T68" s="23">
        <f t="shared" si="64"/>
        <v>0.98465955545580297</v>
      </c>
      <c r="U68" s="23">
        <f t="shared" si="64"/>
        <v>1.0291214784355316</v>
      </c>
      <c r="V68" s="23">
        <f t="shared" si="64"/>
        <v>1.0611307846112299</v>
      </c>
      <c r="W68" s="23">
        <f t="shared" si="64"/>
        <v>1.0425435312993001</v>
      </c>
      <c r="X68" s="23">
        <f t="shared" ref="X68:Y68" si="65">IF(X6=0,0,X18/X58)</f>
        <v>1.0587270420995356</v>
      </c>
      <c r="Y68" s="23">
        <f t="shared" si="65"/>
        <v>1.0703298083930373</v>
      </c>
      <c r="DA68" s="189"/>
    </row>
    <row r="69" spans="1:105" ht="11.45" customHeight="1" x14ac:dyDescent="0.25">
      <c r="A69" s="83" t="s">
        <v>27</v>
      </c>
      <c r="B69" s="91">
        <f t="shared" si="63"/>
        <v>6.0427830964390153E-2</v>
      </c>
      <c r="C69" s="91">
        <f t="shared" ref="C69:W69" si="66">IF(C7=0,0,C19/C59)</f>
        <v>6.0574205800782155E-2</v>
      </c>
      <c r="D69" s="91">
        <f t="shared" si="66"/>
        <v>6.0631251106853828E-2</v>
      </c>
      <c r="E69" s="91">
        <f t="shared" si="66"/>
        <v>6.0572351198752074E-2</v>
      </c>
      <c r="F69" s="91">
        <f t="shared" si="66"/>
        <v>6.0517806907632012E-2</v>
      </c>
      <c r="G69" s="91">
        <f t="shared" si="66"/>
        <v>6.0241205429195324E-2</v>
      </c>
      <c r="H69" s="91">
        <f t="shared" si="66"/>
        <v>5.9894982584150533E-2</v>
      </c>
      <c r="I69" s="91">
        <f t="shared" si="66"/>
        <v>7.3385915764657292E-2</v>
      </c>
      <c r="J69" s="91">
        <f t="shared" si="66"/>
        <v>5.733607363398651E-2</v>
      </c>
      <c r="K69" s="91">
        <f t="shared" si="66"/>
        <v>8.2140432347339712E-2</v>
      </c>
      <c r="L69" s="91">
        <f t="shared" si="66"/>
        <v>8.0888310626060403E-2</v>
      </c>
      <c r="M69" s="91">
        <f t="shared" si="66"/>
        <v>8.7103774095410591E-2</v>
      </c>
      <c r="N69" s="91">
        <f t="shared" si="66"/>
        <v>0.23198167280358509</v>
      </c>
      <c r="O69" s="91">
        <f t="shared" si="66"/>
        <v>0.27262256198073109</v>
      </c>
      <c r="P69" s="91">
        <f t="shared" si="66"/>
        <v>0.43550509100938151</v>
      </c>
      <c r="Q69" s="91">
        <f t="shared" si="66"/>
        <v>0.32441052608112553</v>
      </c>
      <c r="R69" s="91">
        <f t="shared" si="66"/>
        <v>0.42711775859201395</v>
      </c>
      <c r="S69" s="91">
        <f t="shared" si="66"/>
        <v>0.43175501093813584</v>
      </c>
      <c r="T69" s="91">
        <f t="shared" si="66"/>
        <v>0.56777377535444284</v>
      </c>
      <c r="U69" s="91">
        <f t="shared" si="66"/>
        <v>0.56863826697152364</v>
      </c>
      <c r="V69" s="91">
        <f t="shared" si="66"/>
        <v>0.6182649002244307</v>
      </c>
      <c r="W69" s="91">
        <f t="shared" si="66"/>
        <v>1.0507279413734247</v>
      </c>
      <c r="X69" s="91">
        <f t="shared" ref="X69:Y69" si="67">IF(X7=0,0,X19/X59)</f>
        <v>0.59373017775695081</v>
      </c>
      <c r="Y69" s="91">
        <f t="shared" si="67"/>
        <v>0.68305458386052875</v>
      </c>
      <c r="DA69" s="171"/>
    </row>
    <row r="70" spans="1:105" ht="11.45" customHeight="1" x14ac:dyDescent="0.25">
      <c r="A70" s="83" t="s">
        <v>181</v>
      </c>
      <c r="B70" s="91">
        <f t="shared" si="63"/>
        <v>0.97654665942436436</v>
      </c>
      <c r="C70" s="91">
        <f t="shared" ref="C70:W70" si="68">IF(C8=0,0,C20/C60)</f>
        <v>0.97684591095695561</v>
      </c>
      <c r="D70" s="91">
        <f t="shared" si="68"/>
        <v>0.9751318321618424</v>
      </c>
      <c r="E70" s="91">
        <f t="shared" si="68"/>
        <v>0.97450860072926027</v>
      </c>
      <c r="F70" s="91">
        <f t="shared" si="68"/>
        <v>0.97456802805234366</v>
      </c>
      <c r="G70" s="91">
        <f t="shared" si="68"/>
        <v>0.93528712548576809</v>
      </c>
      <c r="H70" s="91">
        <f t="shared" si="68"/>
        <v>1.0444004807194587</v>
      </c>
      <c r="I70" s="91">
        <f t="shared" si="68"/>
        <v>1.0649592543574791</v>
      </c>
      <c r="J70" s="91">
        <f t="shared" si="68"/>
        <v>1.2391096479211794</v>
      </c>
      <c r="K70" s="91">
        <f t="shared" si="68"/>
        <v>1.181609233706608</v>
      </c>
      <c r="L70" s="91">
        <f t="shared" si="68"/>
        <v>1.2108368130132821</v>
      </c>
      <c r="M70" s="91">
        <f t="shared" si="68"/>
        <v>1.0981772712966849</v>
      </c>
      <c r="N70" s="91">
        <f t="shared" si="68"/>
        <v>1.1925388794553653</v>
      </c>
      <c r="O70" s="91">
        <f t="shared" si="68"/>
        <v>1.1013909310547367</v>
      </c>
      <c r="P70" s="91">
        <f t="shared" si="68"/>
        <v>1.1712339722533709</v>
      </c>
      <c r="Q70" s="91">
        <f t="shared" si="68"/>
        <v>1.1932517757019665</v>
      </c>
      <c r="R70" s="91">
        <f t="shared" si="68"/>
        <v>1.1339222025682709</v>
      </c>
      <c r="S70" s="91">
        <f t="shared" si="68"/>
        <v>1.3071812617207745</v>
      </c>
      <c r="T70" s="91">
        <f t="shared" si="68"/>
        <v>1.4141124178444768</v>
      </c>
      <c r="U70" s="91">
        <f t="shared" si="68"/>
        <v>1.522399493307012</v>
      </c>
      <c r="V70" s="91">
        <f t="shared" si="68"/>
        <v>1.4492520373611544</v>
      </c>
      <c r="W70" s="91">
        <f t="shared" si="68"/>
        <v>1.4220134965666917</v>
      </c>
      <c r="X70" s="91">
        <f t="shared" ref="X70:Y70" si="69">IF(X8=0,0,X20/X60)</f>
        <v>1.549830440410181</v>
      </c>
      <c r="Y70" s="91">
        <f t="shared" si="69"/>
        <v>1.6079668079202354</v>
      </c>
      <c r="DA70" s="171"/>
    </row>
    <row r="71" spans="1:105" ht="11.45" customHeight="1" x14ac:dyDescent="0.25">
      <c r="A71" s="83" t="s">
        <v>182</v>
      </c>
      <c r="B71" s="91">
        <f t="shared" si="63"/>
        <v>0.41940928877738964</v>
      </c>
      <c r="C71" s="91">
        <f t="shared" ref="C71:W71" si="70">IF(C9=0,0,C21/C61)</f>
        <v>0.41953803126080386</v>
      </c>
      <c r="D71" s="91">
        <f t="shared" si="70"/>
        <v>0.41879931862413544</v>
      </c>
      <c r="E71" s="91">
        <f t="shared" si="70"/>
        <v>0.41853024447427262</v>
      </c>
      <c r="F71" s="91">
        <f t="shared" si="70"/>
        <v>0.41855383200953267</v>
      </c>
      <c r="G71" s="91">
        <f t="shared" si="70"/>
        <v>0.39963712348466895</v>
      </c>
      <c r="H71" s="91">
        <f t="shared" si="70"/>
        <v>0.42957091500311312</v>
      </c>
      <c r="I71" s="91">
        <f t="shared" si="70"/>
        <v>0.39813973708907263</v>
      </c>
      <c r="J71" s="91">
        <f t="shared" si="70"/>
        <v>0.49348416404187312</v>
      </c>
      <c r="K71" s="91">
        <f t="shared" si="70"/>
        <v>0.6057828630407921</v>
      </c>
      <c r="L71" s="91">
        <f t="shared" si="70"/>
        <v>0.66468472398441003</v>
      </c>
      <c r="M71" s="91">
        <f t="shared" si="70"/>
        <v>0.65240718323311497</v>
      </c>
      <c r="N71" s="91">
        <f t="shared" si="70"/>
        <v>0.74382842351880551</v>
      </c>
      <c r="O71" s="91">
        <f t="shared" si="70"/>
        <v>0.71437701486251615</v>
      </c>
      <c r="P71" s="91">
        <f t="shared" si="70"/>
        <v>0.62045569605643613</v>
      </c>
      <c r="Q71" s="91">
        <f t="shared" si="70"/>
        <v>0.56374635561534669</v>
      </c>
      <c r="R71" s="91">
        <f t="shared" si="70"/>
        <v>0.73826289500807374</v>
      </c>
      <c r="S71" s="91">
        <f t="shared" si="70"/>
        <v>0.63816323112715179</v>
      </c>
      <c r="T71" s="91">
        <f t="shared" si="70"/>
        <v>0.48082666345739966</v>
      </c>
      <c r="U71" s="91">
        <f t="shared" si="70"/>
        <v>0.483162495803797</v>
      </c>
      <c r="V71" s="91">
        <f t="shared" si="70"/>
        <v>0.68837744373976462</v>
      </c>
      <c r="W71" s="91">
        <f t="shared" si="70"/>
        <v>0.61515463114592694</v>
      </c>
      <c r="X71" s="91">
        <f t="shared" ref="X71:Y71" si="71">IF(X9=0,0,X21/X61)</f>
        <v>0.51283069224495026</v>
      </c>
      <c r="Y71" s="91">
        <f t="shared" si="71"/>
        <v>0.48761699780276552</v>
      </c>
      <c r="DA71" s="171"/>
    </row>
    <row r="72" spans="1:105" ht="11.45" customHeight="1" x14ac:dyDescent="0.25">
      <c r="A72" s="12" t="s">
        <v>34</v>
      </c>
      <c r="B72" s="24">
        <f t="shared" si="63"/>
        <v>0.72327826042986221</v>
      </c>
      <c r="C72" s="24">
        <f t="shared" ref="C72:W72" si="72">IF(C10=0,0,C22/C62)</f>
        <v>0.696176741152707</v>
      </c>
      <c r="D72" s="24">
        <f t="shared" si="72"/>
        <v>0.71037049026523547</v>
      </c>
      <c r="E72" s="24">
        <f t="shared" si="72"/>
        <v>0.7010873850251661</v>
      </c>
      <c r="F72" s="24">
        <f t="shared" si="72"/>
        <v>0.6669101457324953</v>
      </c>
      <c r="G72" s="24">
        <f t="shared" si="72"/>
        <v>0.74699719262206898</v>
      </c>
      <c r="H72" s="24">
        <f t="shared" si="72"/>
        <v>0.70138900041335328</v>
      </c>
      <c r="I72" s="24">
        <f t="shared" si="72"/>
        <v>0.60000909709959305</v>
      </c>
      <c r="J72" s="24">
        <f t="shared" si="72"/>
        <v>0.60537928179448453</v>
      </c>
      <c r="K72" s="24">
        <f t="shared" si="72"/>
        <v>0.67502002726328059</v>
      </c>
      <c r="L72" s="24">
        <f t="shared" si="72"/>
        <v>0.65468245311834228</v>
      </c>
      <c r="M72" s="24">
        <f t="shared" si="72"/>
        <v>0.63027839704687849</v>
      </c>
      <c r="N72" s="24">
        <f t="shared" si="72"/>
        <v>0.72871322020184415</v>
      </c>
      <c r="O72" s="24">
        <f t="shared" si="72"/>
        <v>0.6830125272185541</v>
      </c>
      <c r="P72" s="24">
        <f t="shared" si="72"/>
        <v>0.65161367044201979</v>
      </c>
      <c r="Q72" s="24">
        <f t="shared" si="72"/>
        <v>0.60620306219980868</v>
      </c>
      <c r="R72" s="24">
        <f t="shared" si="72"/>
        <v>0.70800885176740891</v>
      </c>
      <c r="S72" s="24">
        <f t="shared" si="72"/>
        <v>0.67496045881797084</v>
      </c>
      <c r="T72" s="24">
        <f t="shared" si="72"/>
        <v>0.56061969607694828</v>
      </c>
      <c r="U72" s="24">
        <f t="shared" si="72"/>
        <v>0.52802143757182829</v>
      </c>
      <c r="V72" s="24">
        <f t="shared" si="72"/>
        <v>0.94070440198701721</v>
      </c>
      <c r="W72" s="24">
        <f t="shared" si="72"/>
        <v>0.80035903118984586</v>
      </c>
      <c r="X72" s="24">
        <f t="shared" ref="X72:Y72" si="73">IF(X10=0,0,X22/X62)</f>
        <v>0.60460620542537746</v>
      </c>
      <c r="Y72" s="24">
        <f t="shared" si="73"/>
        <v>0.53967282785987636</v>
      </c>
      <c r="DA72" s="193"/>
    </row>
    <row r="73" spans="1:105" ht="11.45" customHeight="1" x14ac:dyDescent="0.25">
      <c r="A73" s="92" t="s">
        <v>27</v>
      </c>
      <c r="B73" s="93">
        <f t="shared" si="63"/>
        <v>6.042783096439016E-2</v>
      </c>
      <c r="C73" s="93">
        <f t="shared" ref="C73:W73" si="74">IF(C11=0,0,C23/C63)</f>
        <v>6.0574205800782176E-2</v>
      </c>
      <c r="D73" s="93">
        <f t="shared" si="74"/>
        <v>6.0631251106853842E-2</v>
      </c>
      <c r="E73" s="93">
        <f t="shared" si="74"/>
        <v>6.0572351198752081E-2</v>
      </c>
      <c r="F73" s="93">
        <f t="shared" si="74"/>
        <v>6.0517806907631998E-2</v>
      </c>
      <c r="G73" s="93">
        <f t="shared" si="74"/>
        <v>6.0241205429195338E-2</v>
      </c>
      <c r="H73" s="93">
        <f t="shared" si="74"/>
        <v>5.989498258415054E-2</v>
      </c>
      <c r="I73" s="93">
        <f t="shared" si="74"/>
        <v>7.3385915764657278E-2</v>
      </c>
      <c r="J73" s="93">
        <f t="shared" si="74"/>
        <v>5.7336073633986517E-2</v>
      </c>
      <c r="K73" s="93">
        <f t="shared" si="74"/>
        <v>8.2140432347339698E-2</v>
      </c>
      <c r="L73" s="93">
        <f t="shared" si="74"/>
        <v>8.0888310626060417E-2</v>
      </c>
      <c r="M73" s="93">
        <f t="shared" si="74"/>
        <v>8.7103774095410633E-2</v>
      </c>
      <c r="N73" s="93">
        <f t="shared" si="74"/>
        <v>0.23198167280358509</v>
      </c>
      <c r="O73" s="93">
        <f t="shared" si="74"/>
        <v>0.27262256198073098</v>
      </c>
      <c r="P73" s="93">
        <f t="shared" si="74"/>
        <v>0.43550509100938151</v>
      </c>
      <c r="Q73" s="93">
        <f t="shared" si="74"/>
        <v>0.32441052608112542</v>
      </c>
      <c r="R73" s="93">
        <f t="shared" si="74"/>
        <v>0.42711775859201384</v>
      </c>
      <c r="S73" s="93">
        <f t="shared" si="74"/>
        <v>0.43175501093813579</v>
      </c>
      <c r="T73" s="93">
        <f t="shared" si="74"/>
        <v>0.56777377535444284</v>
      </c>
      <c r="U73" s="93">
        <f t="shared" si="74"/>
        <v>0.56863826697152375</v>
      </c>
      <c r="V73" s="93">
        <f t="shared" si="74"/>
        <v>0.61826490022443059</v>
      </c>
      <c r="W73" s="93">
        <f t="shared" si="74"/>
        <v>1.0507279413734247</v>
      </c>
      <c r="X73" s="93">
        <f t="shared" ref="X73:Y73" si="75">IF(X11=0,0,X23/X63)</f>
        <v>0.59373017775695103</v>
      </c>
      <c r="Y73" s="93">
        <f t="shared" si="75"/>
        <v>0.68305458386052864</v>
      </c>
      <c r="DA73" s="175"/>
    </row>
    <row r="74" spans="1:105" ht="11.45" customHeight="1" x14ac:dyDescent="0.25">
      <c r="A74" s="92" t="s">
        <v>181</v>
      </c>
      <c r="B74" s="93">
        <f t="shared" si="63"/>
        <v>1.0647290318723295</v>
      </c>
      <c r="C74" s="93">
        <f t="shared" ref="C74:W74" si="76">IF(C12=0,0,C24/C64)</f>
        <v>1.0624536937130695</v>
      </c>
      <c r="D74" s="93">
        <f t="shared" si="76"/>
        <v>1.0630216703298763</v>
      </c>
      <c r="E74" s="93">
        <f t="shared" si="76"/>
        <v>1.0623636504634471</v>
      </c>
      <c r="F74" s="93">
        <f t="shared" si="76"/>
        <v>1.0567671112760904</v>
      </c>
      <c r="G74" s="93">
        <f t="shared" si="76"/>
        <v>1.0959597758549988</v>
      </c>
      <c r="H74" s="93">
        <f t="shared" si="76"/>
        <v>1.1141749870753472</v>
      </c>
      <c r="I74" s="93">
        <f t="shared" si="76"/>
        <v>1.0796070162538582</v>
      </c>
      <c r="J74" s="93">
        <f t="shared" si="76"/>
        <v>1.0908421152710286</v>
      </c>
      <c r="K74" s="93">
        <f t="shared" si="76"/>
        <v>1.0546380805495907</v>
      </c>
      <c r="L74" s="93">
        <f t="shared" si="76"/>
        <v>1.0525219446724112</v>
      </c>
      <c r="M74" s="93">
        <f t="shared" si="76"/>
        <v>0.94164561177386585</v>
      </c>
      <c r="N74" s="93">
        <f t="shared" si="76"/>
        <v>1.0123537037132884</v>
      </c>
      <c r="O74" s="93">
        <f t="shared" si="76"/>
        <v>0.88448546086089896</v>
      </c>
      <c r="P74" s="93">
        <f t="shared" si="76"/>
        <v>0.93390123717652396</v>
      </c>
      <c r="Q74" s="93">
        <f t="shared" si="76"/>
        <v>0.89232768242809968</v>
      </c>
      <c r="R74" s="93">
        <f t="shared" si="76"/>
        <v>0.85963516302100573</v>
      </c>
      <c r="S74" s="93">
        <f t="shared" si="76"/>
        <v>1.0147407312744727</v>
      </c>
      <c r="T74" s="93">
        <f t="shared" si="76"/>
        <v>0.98645865200860883</v>
      </c>
      <c r="U74" s="93">
        <f t="shared" si="76"/>
        <v>1.0043155092453211</v>
      </c>
      <c r="V74" s="93">
        <f t="shared" si="76"/>
        <v>1.2199416994911521</v>
      </c>
      <c r="W74" s="93">
        <f t="shared" si="76"/>
        <v>1.1728382377866742</v>
      </c>
      <c r="X74" s="93">
        <f t="shared" ref="X74:Y74" si="77">IF(X12=0,0,X24/X64)</f>
        <v>1.0926672272107294</v>
      </c>
      <c r="Y74" s="93">
        <f t="shared" si="77"/>
        <v>1.0495080750870056</v>
      </c>
      <c r="DA74" s="175"/>
    </row>
    <row r="75" spans="1:105" ht="11.45" customHeight="1" x14ac:dyDescent="0.25">
      <c r="A75" s="85" t="s">
        <v>182</v>
      </c>
      <c r="B75" s="94">
        <f t="shared" si="63"/>
        <v>0.37746835989965088</v>
      </c>
      <c r="C75" s="94">
        <f t="shared" ref="C75:W75" si="78">IF(C13=0,0,C25/C65)</f>
        <v>0.37758422813472359</v>
      </c>
      <c r="D75" s="94">
        <f t="shared" si="78"/>
        <v>0.37691938676172204</v>
      </c>
      <c r="E75" s="94">
        <f t="shared" si="78"/>
        <v>0.37667722002684545</v>
      </c>
      <c r="F75" s="94">
        <f t="shared" si="78"/>
        <v>0.37669844880857956</v>
      </c>
      <c r="G75" s="94">
        <f t="shared" si="78"/>
        <v>0.3596734111362021</v>
      </c>
      <c r="H75" s="94">
        <f t="shared" si="78"/>
        <v>0.38661382350280177</v>
      </c>
      <c r="I75" s="94">
        <f t="shared" si="78"/>
        <v>0.35832576338016536</v>
      </c>
      <c r="J75" s="94">
        <f t="shared" si="78"/>
        <v>0.44413574763768571</v>
      </c>
      <c r="K75" s="94">
        <f t="shared" si="78"/>
        <v>0.54520457673671296</v>
      </c>
      <c r="L75" s="94">
        <f t="shared" si="78"/>
        <v>0.59821625158596914</v>
      </c>
      <c r="M75" s="94">
        <f t="shared" si="78"/>
        <v>0.58716646490980351</v>
      </c>
      <c r="N75" s="94">
        <f t="shared" si="78"/>
        <v>0.6694455811669251</v>
      </c>
      <c r="O75" s="94">
        <f t="shared" si="78"/>
        <v>0.64293931337626453</v>
      </c>
      <c r="P75" s="94">
        <f t="shared" si="78"/>
        <v>0.55841012645079258</v>
      </c>
      <c r="Q75" s="94">
        <f t="shared" si="78"/>
        <v>0.50737172005381204</v>
      </c>
      <c r="R75" s="94">
        <f t="shared" si="78"/>
        <v>0.66443660550726613</v>
      </c>
      <c r="S75" s="94">
        <f t="shared" si="78"/>
        <v>0.57434690801443666</v>
      </c>
      <c r="T75" s="94">
        <f t="shared" si="78"/>
        <v>0.43274399711165962</v>
      </c>
      <c r="U75" s="94">
        <f t="shared" si="78"/>
        <v>0.43484624622341733</v>
      </c>
      <c r="V75" s="94">
        <f t="shared" si="78"/>
        <v>0.61953969936578801</v>
      </c>
      <c r="W75" s="94">
        <f t="shared" si="78"/>
        <v>0.55363916803133439</v>
      </c>
      <c r="X75" s="94">
        <f t="shared" ref="X75:Y75" si="79">IF(X13=0,0,X25/X65)</f>
        <v>0.46154762302045527</v>
      </c>
      <c r="Y75" s="94">
        <f t="shared" si="79"/>
        <v>0.43885529802248902</v>
      </c>
      <c r="DA75" s="178"/>
    </row>
    <row r="76" spans="1:105" x14ac:dyDescent="0.25">
      <c r="A76" s="50"/>
      <c r="B76" s="50"/>
      <c r="C76" s="50"/>
      <c r="D76" s="51"/>
      <c r="E76" s="51"/>
      <c r="F76" s="51"/>
      <c r="G76" s="51"/>
      <c r="H76" s="51"/>
      <c r="I76" s="51"/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X76" s="51"/>
      <c r="Y76" s="51"/>
      <c r="DA76" s="181"/>
    </row>
    <row r="77" spans="1:105" ht="11.45" customHeight="1" x14ac:dyDescent="0.25">
      <c r="A77" s="52" t="s">
        <v>78</v>
      </c>
      <c r="B77" s="50"/>
      <c r="C77" s="50"/>
      <c r="D77" s="51"/>
      <c r="E77" s="51"/>
      <c r="F77" s="51"/>
      <c r="G77" s="51"/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X77" s="51"/>
      <c r="Y77" s="51"/>
      <c r="DA77" s="181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Y5" formulaRange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DA59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323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Z1" s="49"/>
      <c r="AA1" s="49"/>
      <c r="AB1" s="49"/>
      <c r="AC1" s="49"/>
      <c r="AD1" s="49"/>
      <c r="AE1" s="49"/>
      <c r="AF1" s="49"/>
      <c r="DA1" s="170" t="s">
        <v>152</v>
      </c>
    </row>
    <row r="2" spans="1:105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DA2" s="181"/>
    </row>
    <row r="3" spans="1:105" ht="11.45" customHeight="1" x14ac:dyDescent="0.25">
      <c r="A3" s="53" t="s">
        <v>44</v>
      </c>
      <c r="B3" s="79">
        <f t="shared" ref="B3:C3" si="0">SUM(B4:B5)</f>
        <v>855.90401400000007</v>
      </c>
      <c r="C3" s="79">
        <f t="shared" si="0"/>
        <v>843.22085400000003</v>
      </c>
      <c r="D3" s="79">
        <f t="shared" ref="D3" si="1">SUM(D4:D5)</f>
        <v>830.46776400000022</v>
      </c>
      <c r="E3" s="79">
        <f t="shared" ref="E3" si="2">SUM(E4:E5)</f>
        <v>897.0543540000001</v>
      </c>
      <c r="F3" s="79">
        <f t="shared" ref="F3" si="3">SUM(F4:F5)</f>
        <v>878.09954399999992</v>
      </c>
      <c r="G3" s="79">
        <f t="shared" ref="G3" si="4">SUM(G4:G5)</f>
        <v>995.4187740000001</v>
      </c>
      <c r="H3" s="79">
        <f t="shared" ref="H3" si="5">SUM(H4:H5)</f>
        <v>1325.1809339999998</v>
      </c>
      <c r="I3" s="79">
        <f t="shared" ref="I3" si="6">SUM(I4:I5)</f>
        <v>1382.1852240000001</v>
      </c>
      <c r="J3" s="79">
        <f t="shared" ref="J3" si="7">SUM(J4:J5)</f>
        <v>1654.9430940000002</v>
      </c>
      <c r="K3" s="79">
        <f t="shared" ref="K3" si="8">SUM(K4:K5)</f>
        <v>1465.4190567600003</v>
      </c>
      <c r="L3" s="79">
        <f t="shared" ref="L3" si="9">SUM(L4:L5)</f>
        <v>1542.7115280000003</v>
      </c>
      <c r="M3" s="79">
        <f t="shared" ref="M3" si="10">SUM(M4:M5)</f>
        <v>1514.8745870399998</v>
      </c>
      <c r="N3" s="79">
        <f t="shared" ref="N3" si="11">SUM(N4:N5)</f>
        <v>1675.6429582800008</v>
      </c>
      <c r="O3" s="79">
        <f t="shared" ref="O3" si="12">SUM(O4:O5)</f>
        <v>1632.3708567600002</v>
      </c>
      <c r="P3" s="79">
        <f t="shared" ref="P3" si="13">SUM(P4:P5)</f>
        <v>1839.5029144800001</v>
      </c>
      <c r="Q3" s="79">
        <f t="shared" ref="Q3" si="14">SUM(Q4:Q5)</f>
        <v>2009.5581992400005</v>
      </c>
      <c r="R3" s="79">
        <f t="shared" ref="R3" si="15">SUM(R4:R5)</f>
        <v>2130.1346718</v>
      </c>
      <c r="S3" s="79">
        <f t="shared" ref="S3" si="16">SUM(S4:S5)</f>
        <v>2643.3761266799997</v>
      </c>
      <c r="T3" s="79">
        <f t="shared" ref="T3" si="17">SUM(T4:T5)</f>
        <v>3128.0729173199989</v>
      </c>
      <c r="U3" s="79">
        <f t="shared" ref="U3" si="18">SUM(U4:U5)</f>
        <v>3340.9178906399993</v>
      </c>
      <c r="V3" s="79">
        <f t="shared" ref="V3:W3" si="19">SUM(V4:V5)</f>
        <v>1430.7809335200004</v>
      </c>
      <c r="W3" s="79">
        <f t="shared" si="19"/>
        <v>1787.3502372000005</v>
      </c>
      <c r="X3" s="79">
        <f t="shared" ref="X3:Y3" si="20">SUM(X4:X5)</f>
        <v>3035.7620251200005</v>
      </c>
      <c r="Y3" s="79">
        <f t="shared" si="20"/>
        <v>3683.0248271999994</v>
      </c>
      <c r="DA3" s="172" t="s">
        <v>324</v>
      </c>
    </row>
    <row r="4" spans="1:105" ht="11.45" customHeight="1" x14ac:dyDescent="0.25">
      <c r="A4" s="95" t="s">
        <v>27</v>
      </c>
      <c r="B4" s="96">
        <f t="shared" ref="B4:C4" si="21">SUM(B7,B11)</f>
        <v>9.3030840000000001</v>
      </c>
      <c r="C4" s="96">
        <f t="shared" si="21"/>
        <v>9.3030840000000001</v>
      </c>
      <c r="D4" s="96">
        <f t="shared" ref="D4:V4" si="22">SUM(D7,D11)</f>
        <v>12.403944000000003</v>
      </c>
      <c r="E4" s="96">
        <f t="shared" si="22"/>
        <v>12.403944000000003</v>
      </c>
      <c r="F4" s="96">
        <f t="shared" si="22"/>
        <v>9.3030840000000001</v>
      </c>
      <c r="G4" s="96">
        <f t="shared" si="22"/>
        <v>9.3030840000000001</v>
      </c>
      <c r="H4" s="96">
        <f t="shared" si="22"/>
        <v>9.3030840000000001</v>
      </c>
      <c r="I4" s="96">
        <f t="shared" si="22"/>
        <v>12.403944000000001</v>
      </c>
      <c r="J4" s="96">
        <f t="shared" si="22"/>
        <v>9.3030840000000001</v>
      </c>
      <c r="K4" s="96">
        <f t="shared" si="22"/>
        <v>12.320028000000001</v>
      </c>
      <c r="L4" s="96">
        <f t="shared" si="22"/>
        <v>12.320028000000001</v>
      </c>
      <c r="M4" s="96">
        <f t="shared" si="22"/>
        <v>15.399971999999998</v>
      </c>
      <c r="N4" s="96">
        <f t="shared" si="22"/>
        <v>55.592129519999993</v>
      </c>
      <c r="O4" s="96">
        <f t="shared" si="22"/>
        <v>49.420341719999989</v>
      </c>
      <c r="P4" s="96">
        <f t="shared" si="22"/>
        <v>80.325585720000035</v>
      </c>
      <c r="Q4" s="96">
        <f t="shared" si="22"/>
        <v>55.60377048000003</v>
      </c>
      <c r="R4" s="96">
        <f t="shared" si="22"/>
        <v>74.154056760000017</v>
      </c>
      <c r="S4" s="96">
        <f t="shared" si="22"/>
        <v>82.599180120000014</v>
      </c>
      <c r="T4" s="96">
        <f t="shared" si="22"/>
        <v>98.535143880000021</v>
      </c>
      <c r="U4" s="96">
        <f t="shared" si="22"/>
        <v>101.49083784</v>
      </c>
      <c r="V4" s="96">
        <f t="shared" si="22"/>
        <v>54.594344880000016</v>
      </c>
      <c r="W4" s="96">
        <f t="shared" ref="W4:Y4" si="23">SUM(W7,W11)</f>
        <v>90.106265160000021</v>
      </c>
      <c r="X4" s="96">
        <f t="shared" si="23"/>
        <v>91.885820760000016</v>
      </c>
      <c r="Y4" s="96">
        <f t="shared" si="23"/>
        <v>111.96321408</v>
      </c>
      <c r="DA4" s="171" t="s">
        <v>325</v>
      </c>
    </row>
    <row r="5" spans="1:105" ht="11.45" customHeight="1" x14ac:dyDescent="0.25">
      <c r="A5" s="95" t="s">
        <v>116</v>
      </c>
      <c r="B5" s="96">
        <f t="shared" ref="B5:C5" si="24">SUM(B8:B9,B12:B13)</f>
        <v>846.60093000000006</v>
      </c>
      <c r="C5" s="96">
        <f t="shared" si="24"/>
        <v>833.91777000000002</v>
      </c>
      <c r="D5" s="96">
        <f t="shared" ref="D5:V5" si="25">SUM(D8:D9,D12:D13)</f>
        <v>818.06382000000019</v>
      </c>
      <c r="E5" s="96">
        <f t="shared" si="25"/>
        <v>884.65041000000008</v>
      </c>
      <c r="F5" s="96">
        <f t="shared" si="25"/>
        <v>868.79645999999991</v>
      </c>
      <c r="G5" s="96">
        <f t="shared" si="25"/>
        <v>986.11569000000009</v>
      </c>
      <c r="H5" s="96">
        <f t="shared" si="25"/>
        <v>1315.8778499999999</v>
      </c>
      <c r="I5" s="96">
        <f t="shared" si="25"/>
        <v>1369.7812800000002</v>
      </c>
      <c r="J5" s="96">
        <f t="shared" si="25"/>
        <v>1645.6400100000003</v>
      </c>
      <c r="K5" s="96">
        <f t="shared" si="25"/>
        <v>1453.0990287600002</v>
      </c>
      <c r="L5" s="96">
        <f t="shared" si="25"/>
        <v>1530.3915000000002</v>
      </c>
      <c r="M5" s="96">
        <f t="shared" si="25"/>
        <v>1499.4746150399999</v>
      </c>
      <c r="N5" s="96">
        <f t="shared" si="25"/>
        <v>1620.0508287600007</v>
      </c>
      <c r="O5" s="96">
        <f t="shared" si="25"/>
        <v>1582.9505150400003</v>
      </c>
      <c r="P5" s="96">
        <f t="shared" si="25"/>
        <v>1759.1773287600001</v>
      </c>
      <c r="Q5" s="96">
        <f t="shared" si="25"/>
        <v>1953.9544287600004</v>
      </c>
      <c r="R5" s="96">
        <f t="shared" si="25"/>
        <v>2055.98061504</v>
      </c>
      <c r="S5" s="96">
        <f t="shared" si="25"/>
        <v>2560.7769465599999</v>
      </c>
      <c r="T5" s="96">
        <f t="shared" si="25"/>
        <v>3029.537773439999</v>
      </c>
      <c r="U5" s="96">
        <f t="shared" si="25"/>
        <v>3239.4270527999993</v>
      </c>
      <c r="V5" s="96">
        <f t="shared" si="25"/>
        <v>1376.1865886400003</v>
      </c>
      <c r="W5" s="96">
        <f t="shared" ref="W5:Y5" si="26">SUM(W8:W9,W12:W13)</f>
        <v>1697.2439720400005</v>
      </c>
      <c r="X5" s="96">
        <f t="shared" si="26"/>
        <v>2943.8762043600004</v>
      </c>
      <c r="Y5" s="96">
        <f t="shared" si="26"/>
        <v>3571.0616131199995</v>
      </c>
      <c r="DA5" s="171" t="s">
        <v>326</v>
      </c>
    </row>
    <row r="6" spans="1:105" ht="11.45" customHeight="1" x14ac:dyDescent="0.25">
      <c r="A6" s="10" t="s">
        <v>33</v>
      </c>
      <c r="B6" s="21">
        <f t="shared" ref="B6:C6" si="27">SUM(B7:B9)</f>
        <v>849.97633984427375</v>
      </c>
      <c r="C6" s="21">
        <f t="shared" si="27"/>
        <v>838.47830398504379</v>
      </c>
      <c r="D6" s="21">
        <f t="shared" ref="D6:V6" si="28">SUM(D7:D9)</f>
        <v>825.2015028967794</v>
      </c>
      <c r="E6" s="21">
        <f t="shared" si="28"/>
        <v>891.69707288846575</v>
      </c>
      <c r="F6" s="21">
        <f t="shared" si="28"/>
        <v>873.7885377022194</v>
      </c>
      <c r="G6" s="21">
        <f t="shared" si="28"/>
        <v>989.74556812671199</v>
      </c>
      <c r="H6" s="21">
        <f t="shared" si="28"/>
        <v>1317.3915639573852</v>
      </c>
      <c r="I6" s="21">
        <f t="shared" si="28"/>
        <v>1372.7641088633468</v>
      </c>
      <c r="J6" s="21">
        <f t="shared" si="28"/>
        <v>1642.4451508893987</v>
      </c>
      <c r="K6" s="21">
        <f t="shared" si="28"/>
        <v>1451.3338673888268</v>
      </c>
      <c r="L6" s="21">
        <f t="shared" si="28"/>
        <v>1521.3284463336479</v>
      </c>
      <c r="M6" s="21">
        <f t="shared" si="28"/>
        <v>1495.2175696478614</v>
      </c>
      <c r="N6" s="21">
        <f t="shared" si="28"/>
        <v>1655.0590265011658</v>
      </c>
      <c r="O6" s="21">
        <f t="shared" si="28"/>
        <v>1610.6944818348973</v>
      </c>
      <c r="P6" s="21">
        <f t="shared" si="28"/>
        <v>1814.6831149364862</v>
      </c>
      <c r="Q6" s="21">
        <f t="shared" si="28"/>
        <v>1983.8114304300098</v>
      </c>
      <c r="R6" s="21">
        <f t="shared" si="28"/>
        <v>2097.0598588108933</v>
      </c>
      <c r="S6" s="21">
        <f t="shared" si="28"/>
        <v>2605.7433328320271</v>
      </c>
      <c r="T6" s="21">
        <f t="shared" si="28"/>
        <v>3094.4202714637568</v>
      </c>
      <c r="U6" s="21">
        <f t="shared" si="28"/>
        <v>3294.2457343373235</v>
      </c>
      <c r="V6" s="21">
        <f t="shared" si="28"/>
        <v>1403.3212403885186</v>
      </c>
      <c r="W6" s="21">
        <f t="shared" ref="W6:Y6" si="29">SUM(W7:W9)</f>
        <v>1746.2976705027122</v>
      </c>
      <c r="X6" s="21">
        <f t="shared" si="29"/>
        <v>2967.606665658453</v>
      </c>
      <c r="Y6" s="21">
        <f t="shared" si="29"/>
        <v>3611.3389396707867</v>
      </c>
      <c r="DA6" s="189" t="s">
        <v>327</v>
      </c>
    </row>
    <row r="7" spans="1:105" ht="11.45" customHeight="1" x14ac:dyDescent="0.25">
      <c r="A7" s="83" t="s">
        <v>27</v>
      </c>
      <c r="B7" s="96">
        <v>9.1647830391647265</v>
      </c>
      <c r="C7" s="96">
        <v>9.1960045563761899</v>
      </c>
      <c r="D7" s="96">
        <v>12.285051962124891</v>
      </c>
      <c r="E7" s="96">
        <v>12.285522016004364</v>
      </c>
      <c r="F7" s="96">
        <v>9.2152330835374237</v>
      </c>
      <c r="G7" s="96">
        <v>9.2325302888756369</v>
      </c>
      <c r="H7" s="96">
        <v>9.1254898601654482</v>
      </c>
      <c r="I7" s="96">
        <v>12.12008139886402</v>
      </c>
      <c r="J7" s="96">
        <v>9.0494730409641591</v>
      </c>
      <c r="K7" s="96">
        <v>11.961306240164793</v>
      </c>
      <c r="L7" s="96">
        <v>12.017395815644749</v>
      </c>
      <c r="M7" s="96">
        <v>15.06289664023693</v>
      </c>
      <c r="N7" s="96">
        <v>54.716796827001183</v>
      </c>
      <c r="O7" s="96">
        <v>48.52823949722665</v>
      </c>
      <c r="P7" s="96">
        <v>79.491189126065294</v>
      </c>
      <c r="Q7" s="96">
        <v>55.144180713673244</v>
      </c>
      <c r="R7" s="96">
        <v>73.841741531323194</v>
      </c>
      <c r="S7" s="96">
        <v>82.486172931493073</v>
      </c>
      <c r="T7" s="96">
        <v>98.394734328707301</v>
      </c>
      <c r="U7" s="96">
        <v>101.31037165271982</v>
      </c>
      <c r="V7" s="96">
        <v>54.529292791893162</v>
      </c>
      <c r="W7" s="96">
        <v>89.989242812799318</v>
      </c>
      <c r="X7" s="96">
        <v>91.788877345237267</v>
      </c>
      <c r="Y7" s="96">
        <v>111.87721088503507</v>
      </c>
      <c r="DA7" s="171" t="s">
        <v>328</v>
      </c>
    </row>
    <row r="8" spans="1:105" ht="11.45" customHeight="1" x14ac:dyDescent="0.25">
      <c r="A8" s="83" t="s">
        <v>181</v>
      </c>
      <c r="B8" s="96">
        <v>556.708584177131</v>
      </c>
      <c r="C8" s="96">
        <v>549.07970811855819</v>
      </c>
      <c r="D8" s="96">
        <v>538.22750322645868</v>
      </c>
      <c r="E8" s="96">
        <v>582.24817311070842</v>
      </c>
      <c r="F8" s="96">
        <v>572.41050610858269</v>
      </c>
      <c r="G8" s="96">
        <v>672.01616929060356</v>
      </c>
      <c r="H8" s="96">
        <v>946.03642787315505</v>
      </c>
      <c r="I8" s="96">
        <v>1015.3073747306621</v>
      </c>
      <c r="J8" s="96">
        <v>1237.8797535585259</v>
      </c>
      <c r="K8" s="96">
        <v>1057.7112009714426</v>
      </c>
      <c r="L8" s="96">
        <v>1108.6681683719817</v>
      </c>
      <c r="M8" s="96">
        <v>1085.0297523663603</v>
      </c>
      <c r="N8" s="96">
        <v>1181.2438357480517</v>
      </c>
      <c r="O8" s="96">
        <v>1176.0236229763677</v>
      </c>
      <c r="P8" s="96">
        <v>1299.230303875215</v>
      </c>
      <c r="Q8" s="96">
        <v>1470.2192021927083</v>
      </c>
      <c r="R8" s="96">
        <v>1577.2800934436862</v>
      </c>
      <c r="S8" s="96">
        <v>1992.0977820759776</v>
      </c>
      <c r="T8" s="96">
        <v>2376.4541131872124</v>
      </c>
      <c r="U8" s="96">
        <v>2538.0151562568599</v>
      </c>
      <c r="V8" s="96">
        <v>950.99016680696764</v>
      </c>
      <c r="W8" s="96">
        <v>1195.9439931678448</v>
      </c>
      <c r="X8" s="96">
        <v>2268.345125213239</v>
      </c>
      <c r="Y8" s="96">
        <v>2775.9374179303868</v>
      </c>
      <c r="DA8" s="171" t="s">
        <v>329</v>
      </c>
    </row>
    <row r="9" spans="1:105" ht="11.45" customHeight="1" x14ac:dyDescent="0.25">
      <c r="A9" s="83" t="s">
        <v>182</v>
      </c>
      <c r="B9" s="96">
        <v>284.10297262797803</v>
      </c>
      <c r="C9" s="96">
        <v>280.20259131010937</v>
      </c>
      <c r="D9" s="96">
        <v>274.68894770819583</v>
      </c>
      <c r="E9" s="96">
        <v>297.16337776175288</v>
      </c>
      <c r="F9" s="96">
        <v>292.16279851009932</v>
      </c>
      <c r="G9" s="96">
        <v>308.49686854723279</v>
      </c>
      <c r="H9" s="96">
        <v>362.22964622406482</v>
      </c>
      <c r="I9" s="96">
        <v>345.33665273382064</v>
      </c>
      <c r="J9" s="96">
        <v>395.5159242899087</v>
      </c>
      <c r="K9" s="96">
        <v>381.66136017721948</v>
      </c>
      <c r="L9" s="96">
        <v>400.64288214602146</v>
      </c>
      <c r="M9" s="96">
        <v>395.12492064126423</v>
      </c>
      <c r="N9" s="96">
        <v>419.09839392611298</v>
      </c>
      <c r="O9" s="96">
        <v>386.14261936130293</v>
      </c>
      <c r="P9" s="96">
        <v>435.9616219352057</v>
      </c>
      <c r="Q9" s="96">
        <v>458.44804752362819</v>
      </c>
      <c r="R9" s="96">
        <v>445.93802383588411</v>
      </c>
      <c r="S9" s="96">
        <v>531.15937782455649</v>
      </c>
      <c r="T9" s="96">
        <v>619.57142394783693</v>
      </c>
      <c r="U9" s="96">
        <v>654.92020642774355</v>
      </c>
      <c r="V9" s="96">
        <v>397.80178078965787</v>
      </c>
      <c r="W9" s="96">
        <v>460.36443452206811</v>
      </c>
      <c r="X9" s="96">
        <v>607.47266309997678</v>
      </c>
      <c r="Y9" s="96">
        <v>723.524310855365</v>
      </c>
      <c r="DA9" s="171" t="s">
        <v>330</v>
      </c>
    </row>
    <row r="10" spans="1:105" ht="11.45" customHeight="1" x14ac:dyDescent="0.25">
      <c r="A10" s="12" t="s">
        <v>34</v>
      </c>
      <c r="B10" s="22">
        <f t="shared" ref="B10:C10" si="30">SUM(B11:B13)</f>
        <v>5.9276741557262476</v>
      </c>
      <c r="C10" s="22">
        <f t="shared" si="30"/>
        <v>4.7425500149562279</v>
      </c>
      <c r="D10" s="22">
        <f t="shared" ref="D10:V10" si="31">SUM(D11:D13)</f>
        <v>5.266261103220824</v>
      </c>
      <c r="E10" s="22">
        <f t="shared" si="31"/>
        <v>5.3572811115344336</v>
      </c>
      <c r="F10" s="22">
        <f t="shared" si="31"/>
        <v>4.3110062977805672</v>
      </c>
      <c r="G10" s="22">
        <f t="shared" si="31"/>
        <v>5.6732058732881523</v>
      </c>
      <c r="H10" s="22">
        <f t="shared" si="31"/>
        <v>7.7893700426145962</v>
      </c>
      <c r="I10" s="22">
        <f t="shared" si="31"/>
        <v>9.4211151366533556</v>
      </c>
      <c r="J10" s="22">
        <f t="shared" si="31"/>
        <v>12.497943110601428</v>
      </c>
      <c r="K10" s="22">
        <f t="shared" si="31"/>
        <v>14.08518937117341</v>
      </c>
      <c r="L10" s="22">
        <f t="shared" si="31"/>
        <v>21.383081666352364</v>
      </c>
      <c r="M10" s="22">
        <f t="shared" si="31"/>
        <v>19.657017392138471</v>
      </c>
      <c r="N10" s="22">
        <f t="shared" si="31"/>
        <v>20.583931778834874</v>
      </c>
      <c r="O10" s="22">
        <f t="shared" si="31"/>
        <v>21.676374925102863</v>
      </c>
      <c r="P10" s="22">
        <f t="shared" si="31"/>
        <v>24.819799543513984</v>
      </c>
      <c r="Q10" s="22">
        <f t="shared" si="31"/>
        <v>25.746768809990627</v>
      </c>
      <c r="R10" s="22">
        <f t="shared" si="31"/>
        <v>33.074812989106398</v>
      </c>
      <c r="S10" s="22">
        <f t="shared" si="31"/>
        <v>37.632793847972806</v>
      </c>
      <c r="T10" s="22">
        <f t="shared" si="31"/>
        <v>33.652645856242273</v>
      </c>
      <c r="U10" s="22">
        <f t="shared" si="31"/>
        <v>46.672156302676015</v>
      </c>
      <c r="V10" s="22">
        <f t="shared" si="31"/>
        <v>27.459693131481707</v>
      </c>
      <c r="W10" s="22">
        <f t="shared" ref="W10:Y10" si="32">SUM(W11:W13)</f>
        <v>41.052566697288199</v>
      </c>
      <c r="X10" s="22">
        <f t="shared" si="32"/>
        <v>68.155359461547775</v>
      </c>
      <c r="Y10" s="22">
        <f t="shared" si="32"/>
        <v>71.685887529212522</v>
      </c>
      <c r="DA10" s="193" t="s">
        <v>331</v>
      </c>
    </row>
    <row r="11" spans="1:105" ht="11.45" customHeight="1" x14ac:dyDescent="0.25">
      <c r="A11" s="92" t="s">
        <v>27</v>
      </c>
      <c r="B11" s="97">
        <v>0.13830096083527332</v>
      </c>
      <c r="C11" s="97">
        <v>0.10707944362381093</v>
      </c>
      <c r="D11" s="97">
        <v>0.11889203787511123</v>
      </c>
      <c r="E11" s="97">
        <v>0.11842198399563755</v>
      </c>
      <c r="F11" s="97">
        <v>8.7850916462576326E-2</v>
      </c>
      <c r="G11" s="97">
        <v>7.0553711124363275E-2</v>
      </c>
      <c r="H11" s="97">
        <v>0.17759413983455241</v>
      </c>
      <c r="I11" s="97">
        <v>0.28386260113598155</v>
      </c>
      <c r="J11" s="97">
        <v>0.25361095903584097</v>
      </c>
      <c r="K11" s="97">
        <v>0.35872175983520682</v>
      </c>
      <c r="L11" s="97">
        <v>0.30263218435525163</v>
      </c>
      <c r="M11" s="97">
        <v>0.33707535976306813</v>
      </c>
      <c r="N11" s="97">
        <v>0.87533269299880834</v>
      </c>
      <c r="O11" s="97">
        <v>0.89210222277334206</v>
      </c>
      <c r="P11" s="97">
        <v>0.83439659393473986</v>
      </c>
      <c r="Q11" s="97">
        <v>0.45958976632678467</v>
      </c>
      <c r="R11" s="97">
        <v>0.31231522867681988</v>
      </c>
      <c r="S11" s="97">
        <v>0.11300718850693908</v>
      </c>
      <c r="T11" s="97">
        <v>0.14040955129272559</v>
      </c>
      <c r="U11" s="97">
        <v>0.1804661872801808</v>
      </c>
      <c r="V11" s="97">
        <v>6.505208810685402E-2</v>
      </c>
      <c r="W11" s="97">
        <v>0.11702234720070737</v>
      </c>
      <c r="X11" s="97">
        <v>9.6943414762741292E-2</v>
      </c>
      <c r="Y11" s="97">
        <v>8.6003194964924382E-2</v>
      </c>
      <c r="DA11" s="175" t="s">
        <v>332</v>
      </c>
    </row>
    <row r="12" spans="1:105" ht="11.45" customHeight="1" x14ac:dyDescent="0.25">
      <c r="A12" s="92" t="s">
        <v>181</v>
      </c>
      <c r="B12" s="97">
        <v>4.8269716639849332</v>
      </c>
      <c r="C12" s="97">
        <v>3.7006778797084565</v>
      </c>
      <c r="D12" s="97">
        <v>4.2002947714244847</v>
      </c>
      <c r="E12" s="97">
        <v>4.2088816298734049</v>
      </c>
      <c r="F12" s="97">
        <v>3.1861601365322993</v>
      </c>
      <c r="G12" s="97">
        <v>4.5765597499271609</v>
      </c>
      <c r="H12" s="97">
        <v>5.949870207360898</v>
      </c>
      <c r="I12" s="97">
        <v>6.3831594539068348</v>
      </c>
      <c r="J12" s="97">
        <v>7.2876197827134828</v>
      </c>
      <c r="K12" s="97">
        <v>8.1887081093540885</v>
      </c>
      <c r="L12" s="97">
        <v>8.2399387176952388</v>
      </c>
      <c r="M12" s="97">
        <v>8.1016647943673572</v>
      </c>
      <c r="N12" s="97">
        <v>9.1175063080094354</v>
      </c>
      <c r="O12" s="97">
        <v>8.5586658884686937</v>
      </c>
      <c r="P12" s="97">
        <v>9.3497611208023752</v>
      </c>
      <c r="Q12" s="97">
        <v>10.128500628067584</v>
      </c>
      <c r="R12" s="97">
        <v>9.4815950606338575</v>
      </c>
      <c r="S12" s="97">
        <v>12.977065995728472</v>
      </c>
      <c r="T12" s="97">
        <v>13.586641851230972</v>
      </c>
      <c r="U12" s="97">
        <v>14.428424979858182</v>
      </c>
      <c r="V12" s="97">
        <v>19.017749005607445</v>
      </c>
      <c r="W12" s="97">
        <v>23.848686933926469</v>
      </c>
      <c r="X12" s="97">
        <v>27.879585865364533</v>
      </c>
      <c r="Y12" s="97">
        <v>22.97113294860392</v>
      </c>
      <c r="DA12" s="175" t="s">
        <v>333</v>
      </c>
    </row>
    <row r="13" spans="1:105" ht="11.45" customHeight="1" x14ac:dyDescent="0.25">
      <c r="A13" s="85" t="s">
        <v>182</v>
      </c>
      <c r="B13" s="98">
        <v>0.96240153090604108</v>
      </c>
      <c r="C13" s="98">
        <v>0.93479269162396017</v>
      </c>
      <c r="D13" s="98">
        <v>0.94707429392122799</v>
      </c>
      <c r="E13" s="98">
        <v>1.029977497665391</v>
      </c>
      <c r="F13" s="98">
        <v>1.0369952447856914</v>
      </c>
      <c r="G13" s="98">
        <v>1.0260924122366277</v>
      </c>
      <c r="H13" s="98">
        <v>1.6619056954191458</v>
      </c>
      <c r="I13" s="98">
        <v>2.7540930816105393</v>
      </c>
      <c r="J13" s="98">
        <v>4.956712368852104</v>
      </c>
      <c r="K13" s="98">
        <v>5.537759501984115</v>
      </c>
      <c r="L13" s="98">
        <v>12.840510764301873</v>
      </c>
      <c r="M13" s="98">
        <v>11.218277238008046</v>
      </c>
      <c r="N13" s="98">
        <v>10.591092777826631</v>
      </c>
      <c r="O13" s="98">
        <v>12.225606813860827</v>
      </c>
      <c r="P13" s="98">
        <v>14.635641828776869</v>
      </c>
      <c r="Q13" s="98">
        <v>15.158678415596258</v>
      </c>
      <c r="R13" s="98">
        <v>23.280902699795721</v>
      </c>
      <c r="S13" s="98">
        <v>24.542720663737391</v>
      </c>
      <c r="T13" s="98">
        <v>19.925594453718574</v>
      </c>
      <c r="U13" s="98">
        <v>32.063265135537648</v>
      </c>
      <c r="V13" s="98">
        <v>8.3768920377674085</v>
      </c>
      <c r="W13" s="98">
        <v>17.08685741616102</v>
      </c>
      <c r="X13" s="98">
        <v>40.178830181420501</v>
      </c>
      <c r="Y13" s="98">
        <v>48.628751385643675</v>
      </c>
      <c r="DA13" s="178" t="s">
        <v>334</v>
      </c>
    </row>
    <row r="14" spans="1:105" x14ac:dyDescent="0.25">
      <c r="A14" s="50"/>
      <c r="B14" s="50"/>
      <c r="C14" s="50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DA14" s="181"/>
    </row>
    <row r="15" spans="1:105" ht="11.45" customHeight="1" x14ac:dyDescent="0.25">
      <c r="A15" s="68" t="s">
        <v>36</v>
      </c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DA15" s="179"/>
    </row>
    <row r="16" spans="1:105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DA16" s="181"/>
    </row>
    <row r="17" spans="1:105" ht="11.45" customHeight="1" x14ac:dyDescent="0.25">
      <c r="A17" s="53" t="s">
        <v>48</v>
      </c>
      <c r="B17" s="79"/>
      <c r="C17" s="79"/>
      <c r="D17" s="79"/>
      <c r="E17" s="79"/>
      <c r="F17" s="79"/>
      <c r="G17" s="79"/>
      <c r="H17" s="79"/>
      <c r="I17" s="79"/>
      <c r="J17" s="79"/>
      <c r="K17" s="79"/>
      <c r="L17" s="79"/>
      <c r="M17" s="79"/>
      <c r="N17" s="79"/>
      <c r="O17" s="79"/>
      <c r="P17" s="79"/>
      <c r="Q17" s="79"/>
      <c r="R17" s="79"/>
      <c r="S17" s="79"/>
      <c r="T17" s="79"/>
      <c r="U17" s="79"/>
      <c r="V17" s="79"/>
      <c r="W17" s="79"/>
      <c r="X17" s="79"/>
      <c r="Y17" s="79"/>
      <c r="DA17" s="172"/>
    </row>
    <row r="18" spans="1:105" ht="11.45" customHeight="1" x14ac:dyDescent="0.25">
      <c r="A18" s="99" t="s">
        <v>27</v>
      </c>
      <c r="B18" s="97">
        <f>IF(B4=0,0,B4/TrAvia_ene!B4)</f>
        <v>2.9307600000000003</v>
      </c>
      <c r="C18" s="97">
        <f>IF(C4=0,0,C4/TrAvia_ene!C4)</f>
        <v>2.9307600000000003</v>
      </c>
      <c r="D18" s="97">
        <f>IF(D4=0,0,D4/TrAvia_ene!D4)</f>
        <v>2.9307600000000007</v>
      </c>
      <c r="E18" s="97">
        <f>IF(E4=0,0,E4/TrAvia_ene!E4)</f>
        <v>2.9307600000000007</v>
      </c>
      <c r="F18" s="97">
        <f>IF(F4=0,0,F4/TrAvia_ene!F4)</f>
        <v>2.9307600000000003</v>
      </c>
      <c r="G18" s="97">
        <f>IF(G4=0,0,G4/TrAvia_ene!G4)</f>
        <v>2.9307600000000003</v>
      </c>
      <c r="H18" s="97">
        <f>IF(H4=0,0,H4/TrAvia_ene!H4)</f>
        <v>2.9307600000000003</v>
      </c>
      <c r="I18" s="97">
        <f>IF(I4=0,0,I4/TrAvia_ene!I4)</f>
        <v>2.9307600000000003</v>
      </c>
      <c r="J18" s="97">
        <f>IF(J4=0,0,J4/TrAvia_ene!J4)</f>
        <v>2.9307600000000003</v>
      </c>
      <c r="K18" s="97">
        <f>IF(K4=0,0,K4/TrAvia_ene!K4)</f>
        <v>2.9307600000000003</v>
      </c>
      <c r="L18" s="97">
        <f>IF(L4=0,0,L4/TrAvia_ene!L4)</f>
        <v>2.9307600000000003</v>
      </c>
      <c r="M18" s="97">
        <f>IF(M4=0,0,M4/TrAvia_ene!M4)</f>
        <v>2.9307599999999998</v>
      </c>
      <c r="N18" s="97">
        <f>IF(N4=0,0,N4/TrAvia_ene!N4)</f>
        <v>2.9878434962849316</v>
      </c>
      <c r="O18" s="97">
        <f>IF(O4=0,0,O4/TrAvia_ene!O4)</f>
        <v>2.9900769641539475</v>
      </c>
      <c r="P18" s="97">
        <f>IF(P4=0,0,P4/TrAvia_ene!P4)</f>
        <v>2.9947252132549442</v>
      </c>
      <c r="Q18" s="97">
        <f>IF(Q4=0,0,Q4/TrAvia_ene!Q4)</f>
        <v>2.9923134439357559</v>
      </c>
      <c r="R18" s="97">
        <f>IF(R4=0,0,R4/TrAvia_ene!R4)</f>
        <v>2.9967950299147263</v>
      </c>
      <c r="S18" s="97">
        <f>IF(S4=0,0,S4/TrAvia_ene!S4)</f>
        <v>3.0001732240931203</v>
      </c>
      <c r="T18" s="97">
        <f>IF(T4=0,0,T4/TrAvia_ene!T4)</f>
        <v>3.0001327936529214</v>
      </c>
      <c r="U18" s="97">
        <f>IF(U4=0,0,U4/TrAvia_ene!U4)</f>
        <v>3.0004281859711734</v>
      </c>
      <c r="V18" s="97">
        <f>IF(V4=0,0,V4/TrAvia_ene!V4)</f>
        <v>2.993805372235268</v>
      </c>
      <c r="W18" s="97">
        <f>IF(W4=0,0,W4/TrAvia_ene!W4)</f>
        <v>2.9997333961487711</v>
      </c>
      <c r="X18" s="97">
        <f>IF(X4=0,0,X4/TrAvia_ene!X4)</f>
        <v>2.999643779670067</v>
      </c>
      <c r="Y18" s="97">
        <f>IF(Y4=0,0,Y4/TrAvia_ene!Y4)</f>
        <v>3.0056232682498063</v>
      </c>
      <c r="DA18" s="175"/>
    </row>
    <row r="19" spans="1:105" ht="11.45" customHeight="1" x14ac:dyDescent="0.25">
      <c r="A19" s="100" t="s">
        <v>116</v>
      </c>
      <c r="B19" s="98">
        <f>IF(B5=0,0,B5/TrAvia_ene!B5)</f>
        <v>3.0103092000000005</v>
      </c>
      <c r="C19" s="98">
        <f>IF(C5=0,0,C5/TrAvia_ene!C5)</f>
        <v>3.0103092000000005</v>
      </c>
      <c r="D19" s="98">
        <f>IF(D5=0,0,D5/TrAvia_ene!D5)</f>
        <v>3.0103092000000018</v>
      </c>
      <c r="E19" s="98">
        <f>IF(E5=0,0,E5/TrAvia_ene!E5)</f>
        <v>3.0103092</v>
      </c>
      <c r="F19" s="98">
        <f>IF(F5=0,0,F5/TrAvia_ene!F5)</f>
        <v>3.0103092</v>
      </c>
      <c r="G19" s="98">
        <f>IF(G5=0,0,G5/TrAvia_ene!G5)</f>
        <v>3.0103091999999996</v>
      </c>
      <c r="H19" s="98">
        <f>IF(H5=0,0,H5/TrAvia_ene!H5)</f>
        <v>3.0103092</v>
      </c>
      <c r="I19" s="98">
        <f>IF(I5=0,0,I5/TrAvia_ene!I5)</f>
        <v>3.0103092000000018</v>
      </c>
      <c r="J19" s="98">
        <f>IF(J5=0,0,J5/TrAvia_ene!J5)</f>
        <v>3.0103092000000009</v>
      </c>
      <c r="K19" s="98">
        <f>IF(K5=0,0,K5/TrAvia_ene!K5)</f>
        <v>3.0103092000000009</v>
      </c>
      <c r="L19" s="98">
        <f>IF(L5=0,0,L5/TrAvia_ene!L5)</f>
        <v>3.0103092000000005</v>
      </c>
      <c r="M19" s="98">
        <f>IF(M5=0,0,M5/TrAvia_ene!M5)</f>
        <v>3.0103092</v>
      </c>
      <c r="N19" s="98">
        <f>IF(N5=0,0,N5/TrAvia_ene!N5)</f>
        <v>3.0103092000000014</v>
      </c>
      <c r="O19" s="98">
        <f>IF(O5=0,0,O5/TrAvia_ene!O5)</f>
        <v>3.0103092000000009</v>
      </c>
      <c r="P19" s="98">
        <f>IF(P5=0,0,P5/TrAvia_ene!P5)</f>
        <v>3.0103092000000005</v>
      </c>
      <c r="Q19" s="98">
        <f>IF(Q5=0,0,Q5/TrAvia_ene!Q5)</f>
        <v>3.0103092000000005</v>
      </c>
      <c r="R19" s="98">
        <f>IF(R5=0,0,R5/TrAvia_ene!R5)</f>
        <v>3.0103091999999996</v>
      </c>
      <c r="S19" s="98">
        <f>IF(S5=0,0,S5/TrAvia_ene!S5)</f>
        <v>3.0103026146568843</v>
      </c>
      <c r="T19" s="98">
        <f>IF(T5=0,0,T5/TrAvia_ene!T5)</f>
        <v>3.0103052104091281</v>
      </c>
      <c r="U19" s="98">
        <f>IF(U5=0,0,U5/TrAvia_ene!U5)</f>
        <v>3.010306250716249</v>
      </c>
      <c r="V19" s="98">
        <f>IF(V5=0,0,V5/TrAvia_ene!V5)</f>
        <v>3.0103053547688239</v>
      </c>
      <c r="W19" s="98">
        <f>IF(W5=0,0,W5/TrAvia_ene!W5)</f>
        <v>3.0103056454057011</v>
      </c>
      <c r="X19" s="98">
        <f>IF(X5=0,0,X5/TrAvia_ene!X5)</f>
        <v>3.0103058636964151</v>
      </c>
      <c r="Y19" s="98">
        <f>IF(Y5=0,0,Y5/TrAvia_ene!Y5)</f>
        <v>3.0103077931121218</v>
      </c>
      <c r="DA19" s="178"/>
    </row>
    <row r="20" spans="1:105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DA20" s="181"/>
    </row>
    <row r="21" spans="1:105" ht="11.45" customHeight="1" x14ac:dyDescent="0.25">
      <c r="A21" s="53" t="s">
        <v>129</v>
      </c>
      <c r="B21" s="54">
        <f>IF(B3=0,0,B3/TrAvia_act!B13*1000)</f>
        <v>8381.6653971507731</v>
      </c>
      <c r="C21" s="54">
        <f>IF(C3=0,0,C3/TrAvia_act!C13*1000)</f>
        <v>8373.4528942404559</v>
      </c>
      <c r="D21" s="54">
        <f>IF(D3=0,0,D3/TrAvia_act!D13*1000)</f>
        <v>8144.5557974295043</v>
      </c>
      <c r="E21" s="54">
        <f>IF(E3=0,0,E3/TrAvia_act!E13*1000)</f>
        <v>8198.6957730478389</v>
      </c>
      <c r="F21" s="54">
        <f>IF(F3=0,0,F3/TrAvia_act!F13*1000)</f>
        <v>8377.2986408534307</v>
      </c>
      <c r="G21" s="54">
        <f>IF(G3=0,0,G3/TrAvia_act!G13*1000)</f>
        <v>8101.2592627823087</v>
      </c>
      <c r="H21" s="54">
        <f>IF(H3=0,0,H3/TrAvia_act!H13*1000)</f>
        <v>8898.0501871778215</v>
      </c>
      <c r="I21" s="54">
        <f>IF(I3=0,0,I3/TrAvia_act!I13*1000)</f>
        <v>8748.1935527177811</v>
      </c>
      <c r="J21" s="54">
        <f>IF(J3=0,0,J3/TrAvia_act!J13*1000)</f>
        <v>10372.600597717357</v>
      </c>
      <c r="K21" s="54">
        <f>IF(K3=0,0,K3/TrAvia_act!K13*1000)</f>
        <v>10496.289795669591</v>
      </c>
      <c r="L21" s="54">
        <f>IF(L3=0,0,L3/TrAvia_act!L13*1000)</f>
        <v>10897.967921817131</v>
      </c>
      <c r="M21" s="54">
        <f>IF(M3=0,0,M3/TrAvia_act!M13*1000)</f>
        <v>10023.047939670489</v>
      </c>
      <c r="N21" s="54">
        <f>IF(N3=0,0,N3/TrAvia_act!N13*1000)</f>
        <v>11086.758695757255</v>
      </c>
      <c r="O21" s="54">
        <f>IF(O3=0,0,O3/TrAvia_act!O13*1000)</f>
        <v>10689.449808687468</v>
      </c>
      <c r="P21" s="54">
        <f>IF(P3=0,0,P3/TrAvia_act!P13*1000)</f>
        <v>11016.396896575419</v>
      </c>
      <c r="Q21" s="54">
        <f>IF(Q3=0,0,Q3/TrAvia_act!Q13*1000)</f>
        <v>10891.178966341779</v>
      </c>
      <c r="R21" s="54">
        <f>IF(R3=0,0,R3/TrAvia_act!R13*1000)</f>
        <v>11464.898342080995</v>
      </c>
      <c r="S21" s="54">
        <f>IF(S3=0,0,S3/TrAvia_act!S13*1000)</f>
        <v>12448.882932794648</v>
      </c>
      <c r="T21" s="54">
        <f>IF(T3=0,0,T3/TrAvia_act!T13*1000)</f>
        <v>12317.735177210247</v>
      </c>
      <c r="U21" s="54">
        <f>IF(U3=0,0,U3/TrAvia_act!U13*1000)</f>
        <v>12879.569897820758</v>
      </c>
      <c r="V21" s="54">
        <f>IF(V3=0,0,V3/TrAvia_act!V13*1000)</f>
        <v>13741.786254275803</v>
      </c>
      <c r="W21" s="54">
        <f>IF(W3=0,0,W3/TrAvia_act!W13*1000)</f>
        <v>13173.949683582148</v>
      </c>
      <c r="X21" s="54">
        <f>IF(X3=0,0,X3/TrAvia_act!X13*1000)</f>
        <v>13262.639433504355</v>
      </c>
      <c r="Y21" s="54">
        <f>IF(Y3=0,0,Y3/TrAvia_act!Y13*1000)</f>
        <v>13394.871603593283</v>
      </c>
      <c r="DA21" s="172" t="s">
        <v>335</v>
      </c>
    </row>
    <row r="22" spans="1:105" ht="11.45" customHeight="1" x14ac:dyDescent="0.25">
      <c r="A22" s="10" t="s">
        <v>33</v>
      </c>
      <c r="B22" s="11">
        <f>IF(B6=0,0,B6/TrAvia_act!B14*1000)</f>
        <v>8384.8498245183055</v>
      </c>
      <c r="C22" s="11">
        <f>IF(C6=0,0,C6/TrAvia_act!C14*1000)</f>
        <v>8378.2672868109166</v>
      </c>
      <c r="D22" s="11">
        <f>IF(D6=0,0,D6/TrAvia_act!D14*1000)</f>
        <v>8147.0050370171612</v>
      </c>
      <c r="E22" s="11">
        <f>IF(E6=0,0,E6/TrAvia_act!E14*1000)</f>
        <v>8202.1225392335618</v>
      </c>
      <c r="F22" s="11">
        <f>IF(F6=0,0,F6/TrAvia_act!F14*1000)</f>
        <v>8383.8174349653291</v>
      </c>
      <c r="G22" s="11">
        <f>IF(G6=0,0,G6/TrAvia_act!G14*1000)</f>
        <v>8102.1342745456977</v>
      </c>
      <c r="H22" s="11">
        <f>IF(H6=0,0,H6/TrAvia_act!H14*1000)</f>
        <v>8905.9304052905554</v>
      </c>
      <c r="I22" s="11">
        <f>IF(I6=0,0,I6/TrAvia_act!I14*1000)</f>
        <v>8761.1091912205175</v>
      </c>
      <c r="J22" s="11">
        <f>IF(J6=0,0,J6/TrAvia_act!J14*1000)</f>
        <v>10392.4138620499</v>
      </c>
      <c r="K22" s="11">
        <f>IF(K6=0,0,K6/TrAvia_act!K14*1000)</f>
        <v>10504.597277756156</v>
      </c>
      <c r="L22" s="11">
        <f>IF(L6=0,0,L6/TrAvia_act!L14*1000)</f>
        <v>10885.629274696172</v>
      </c>
      <c r="M22" s="11">
        <f>IF(M6=0,0,M6/TrAvia_act!M14*1000)</f>
        <v>10014.901094494388</v>
      </c>
      <c r="N22" s="11">
        <f>IF(N6=0,0,N6/TrAvia_act!N14*1000)</f>
        <v>11078.70010112216</v>
      </c>
      <c r="O22" s="11">
        <f>IF(O6=0,0,O6/TrAvia_act!O14*1000)</f>
        <v>10678.984850795796</v>
      </c>
      <c r="P22" s="11">
        <f>IF(P6=0,0,P6/TrAvia_act!P14*1000)</f>
        <v>11008.173328841727</v>
      </c>
      <c r="Q22" s="11">
        <f>IF(Q6=0,0,Q6/TrAvia_act!Q14*1000)</f>
        <v>10891.827516896843</v>
      </c>
      <c r="R22" s="11">
        <f>IF(R6=0,0,R6/TrAvia_act!R14*1000)</f>
        <v>11438.748496801985</v>
      </c>
      <c r="S22" s="11">
        <f>IF(S6=0,0,S6/TrAvia_act!S14*1000)</f>
        <v>12440.021090757074</v>
      </c>
      <c r="T22" s="11">
        <f>IF(T6=0,0,T6/TrAvia_act!T14*1000)</f>
        <v>12338.398891871549</v>
      </c>
      <c r="U22" s="11">
        <f>IF(U6=0,0,U6/TrAvia_act!U14*1000)</f>
        <v>12907.647484687548</v>
      </c>
      <c r="V22" s="11">
        <f>IF(V6=0,0,V6/TrAvia_act!V14*1000)</f>
        <v>13786.592947572837</v>
      </c>
      <c r="W22" s="11">
        <f>IF(W6=0,0,W6/TrAvia_act!W14*1000)</f>
        <v>13219.689689397113</v>
      </c>
      <c r="X22" s="11">
        <f>IF(X6=0,0,X6/TrAvia_act!X14*1000)</f>
        <v>13317.151961008005</v>
      </c>
      <c r="Y22" s="11">
        <f>IF(Y6=0,0,Y6/TrAvia_act!Y14*1000)</f>
        <v>13449.046573919164</v>
      </c>
      <c r="DA22" s="189" t="s">
        <v>336</v>
      </c>
    </row>
    <row r="23" spans="1:105" ht="11.25" customHeight="1" x14ac:dyDescent="0.25">
      <c r="A23" s="83" t="s">
        <v>27</v>
      </c>
      <c r="B23" s="84">
        <f>IF(B7=0,0,B7/TrAvia_act!B15*1000)</f>
        <v>1073.6996873870216</v>
      </c>
      <c r="C23" s="84">
        <f>IF(C7=0,0,C7/TrAvia_act!C15*1000)</f>
        <v>1076.3005190496385</v>
      </c>
      <c r="D23" s="84">
        <f>IF(D7=0,0,D7/TrAvia_act!D15*1000)</f>
        <v>1077.3141170278968</v>
      </c>
      <c r="E23" s="84">
        <f>IF(E7=0,0,E7/TrAvia_act!E15*1000)</f>
        <v>1076.2675659287311</v>
      </c>
      <c r="F23" s="84">
        <f>IF(F7=0,0,F7/TrAvia_act!F15*1000)</f>
        <v>1075.2984067285788</v>
      </c>
      <c r="G23" s="84">
        <f>IF(G7=0,0,G7/TrAvia_act!G15*1000)</f>
        <v>1050.9651305525049</v>
      </c>
      <c r="H23" s="84">
        <f>IF(H7=0,0,H7/TrAvia_act!H15*1000)</f>
        <v>1069.9001030572213</v>
      </c>
      <c r="I23" s="84">
        <f>IF(I7=0,0,I7/TrAvia_act!I15*1000)</f>
        <v>1319.5392031397826</v>
      </c>
      <c r="J23" s="84">
        <f>IF(J7=0,0,J7/TrAvia_act!J15*1000)</f>
        <v>1031.7670663480067</v>
      </c>
      <c r="K23" s="84">
        <f>IF(K7=0,0,K7/TrAvia_act!K15*1000)</f>
        <v>1484.3660509770004</v>
      </c>
      <c r="L23" s="84">
        <f>IF(L7=0,0,L7/TrAvia_act!L15*1000)</f>
        <v>1417.3584909889973</v>
      </c>
      <c r="M23" s="84">
        <f>IF(M7=0,0,M7/TrAvia_act!M15*1000)</f>
        <v>1512.3997841708888</v>
      </c>
      <c r="N23" s="84">
        <f>IF(N7=0,0,N7/TrAvia_act!N15*1000)</f>
        <v>4008.8356855296279</v>
      </c>
      <c r="O23" s="84">
        <f>IF(O7=0,0,O7/TrAvia_act!O15*1000)</f>
        <v>4700.7225900124577</v>
      </c>
      <c r="P23" s="84">
        <f>IF(P7=0,0,P7/TrAvia_act!P15*1000)</f>
        <v>7442.0700472039225</v>
      </c>
      <c r="Q23" s="84">
        <f>IF(Q7=0,0,Q7/TrAvia_act!Q15*1000)</f>
        <v>5957.9031323214149</v>
      </c>
      <c r="R23" s="84">
        <f>IF(R7=0,0,R7/TrAvia_act!R15*1000)</f>
        <v>8018.9507620570312</v>
      </c>
      <c r="S23" s="84">
        <f>IF(S7=0,0,S7/TrAvia_act!S15*1000)</f>
        <v>7991.8813517921481</v>
      </c>
      <c r="T23" s="84">
        <f>IF(T7=0,0,T7/TrAvia_act!T15*1000)</f>
        <v>10607.617940369359</v>
      </c>
      <c r="U23" s="84">
        <f>IF(U7=0,0,U7/TrAvia_act!U15*1000)</f>
        <v>10681.876695584593</v>
      </c>
      <c r="V23" s="84">
        <f>IF(V7=0,0,V7/TrAvia_act!V15*1000)</f>
        <v>11632.777028169299</v>
      </c>
      <c r="W23" s="84">
        <f>IF(W7=0,0,W7/TrAvia_act!W15*1000)</f>
        <v>19538.115415906348</v>
      </c>
      <c r="X23" s="84">
        <f>IF(X7=0,0,X7/TrAvia_act!X15*1000)</f>
        <v>10962.383252005397</v>
      </c>
      <c r="Y23" s="84">
        <f>IF(Y7=0,0,Y7/TrAvia_act!Y15*1000)</f>
        <v>12587.262977741726</v>
      </c>
      <c r="DA23" s="171" t="s">
        <v>337</v>
      </c>
    </row>
    <row r="24" spans="1:105" ht="11.45" customHeight="1" x14ac:dyDescent="0.25">
      <c r="A24" s="83" t="s">
        <v>181</v>
      </c>
      <c r="B24" s="84">
        <f>IF(B8=0,0,B8/TrAvia_act!B16*1000)</f>
        <v>9799.6034357832286</v>
      </c>
      <c r="C24" s="84">
        <f>IF(C8=0,0,C8/TrAvia_act!C16*1000)</f>
        <v>9802.5996500419496</v>
      </c>
      <c r="D24" s="84">
        <f>IF(D8=0,0,D8/TrAvia_act!D16*1000)</f>
        <v>9785.4118021233662</v>
      </c>
      <c r="E24" s="84">
        <f>IF(E8=0,0,E8/TrAvia_act!E16*1000)</f>
        <v>9779.1547477610984</v>
      </c>
      <c r="F24" s="84">
        <f>IF(F8=0,0,F8/TrAvia_act!F16*1000)</f>
        <v>9779.7679102333623</v>
      </c>
      <c r="G24" s="84">
        <f>IF(G8=0,0,G8/TrAvia_act!G16*1000)</f>
        <v>9283.9829240012386</v>
      </c>
      <c r="H24" s="84">
        <f>IF(H8=0,0,H8/TrAvia_act!H16*1000)</f>
        <v>10259.736471213302</v>
      </c>
      <c r="I24" s="84">
        <f>IF(I8=0,0,I8/TrAvia_act!I16*1000)</f>
        <v>10384.341207863843</v>
      </c>
      <c r="J24" s="84">
        <f>IF(J8=0,0,J8/TrAvia_act!J16*1000)</f>
        <v>12160.653706803972</v>
      </c>
      <c r="K24" s="84">
        <f>IF(K8=0,0,K8/TrAvia_act!K16*1000)</f>
        <v>11713.89047583108</v>
      </c>
      <c r="L24" s="84">
        <f>IF(L8=0,0,L8/TrAvia_act!L16*1000)</f>
        <v>12086.125208937259</v>
      </c>
      <c r="M24" s="84">
        <f>IF(M8=0,0,M8/TrAvia_act!M16*1000)</f>
        <v>10999.09818771933</v>
      </c>
      <c r="N24" s="84">
        <f>IF(N8=0,0,N8/TrAvia_act!N16*1000)</f>
        <v>12067.840484061937</v>
      </c>
      <c r="O24" s="84">
        <f>IF(O8=0,0,O8/TrAvia_act!O16*1000)</f>
        <v>11141.269586994888</v>
      </c>
      <c r="P24" s="84">
        <f>IF(P8=0,0,P8/TrAvia_act!P16*1000)</f>
        <v>11854.193335856082</v>
      </c>
      <c r="Q24" s="84">
        <f>IF(Q8=0,0,Q8/TrAvia_act!Q16*1000)</f>
        <v>12070.52702588427</v>
      </c>
      <c r="R24" s="84">
        <f>IF(R8=0,0,R8/TrAvia_act!R16*1000)</f>
        <v>11443.380177185543</v>
      </c>
      <c r="S24" s="84">
        <f>IF(S8=0,0,S8/TrAvia_act!S16*1000)</f>
        <v>13229.396994721115</v>
      </c>
      <c r="T24" s="84">
        <f>IF(T8=0,0,T8/TrAvia_act!T16*1000)</f>
        <v>14401.441847922997</v>
      </c>
      <c r="U24" s="84">
        <f>IF(U8=0,0,U8/TrAvia_act!U16*1000)</f>
        <v>15406.724758723134</v>
      </c>
      <c r="V24" s="84">
        <f>IF(V8=0,0,V8/TrAvia_act!V16*1000)</f>
        <v>14520.914728969161</v>
      </c>
      <c r="W24" s="84">
        <f>IF(W8=0,0,W8/TrAvia_act!W16*1000)</f>
        <v>14406.035086219748</v>
      </c>
      <c r="X24" s="84">
        <f>IF(X8=0,0,X8/TrAvia_act!X16*1000)</f>
        <v>15590.003637389902</v>
      </c>
      <c r="Y24" s="84">
        <f>IF(Y8=0,0,Y8/TrAvia_act!Y16*1000)</f>
        <v>16217.520946090663</v>
      </c>
      <c r="DA24" s="171" t="s">
        <v>338</v>
      </c>
    </row>
    <row r="25" spans="1:105" ht="11.45" customHeight="1" x14ac:dyDescent="0.25">
      <c r="A25" s="83" t="s">
        <v>182</v>
      </c>
      <c r="B25" s="84">
        <f>IF(B9=0,0,B9/TrAvia_act!B17*1000)</f>
        <v>7886.1656093606261</v>
      </c>
      <c r="C25" s="84">
        <f>IF(C9=0,0,C9/TrAvia_act!C17*1000)</f>
        <v>7888.5863581907824</v>
      </c>
      <c r="D25" s="84">
        <f>IF(D9=0,0,D9/TrAvia_act!D17*1000)</f>
        <v>7874.6963220223543</v>
      </c>
      <c r="E25" s="84">
        <f>IF(E9=0,0,E9/TrAvia_act!E17*1000)</f>
        <v>7869.6369126010613</v>
      </c>
      <c r="F25" s="84">
        <f>IF(F9=0,0,F9/TrAvia_act!F17*1000)</f>
        <v>7870.0804297437535</v>
      </c>
      <c r="G25" s="84">
        <f>IF(G9=0,0,G9/TrAvia_act!G17*1000)</f>
        <v>7526.2700533270245</v>
      </c>
      <c r="H25" s="84">
        <f>IF(H9=0,0,H9/TrAvia_act!H17*1000)</f>
        <v>7676.7936444186671</v>
      </c>
      <c r="I25" s="84">
        <f>IF(I9=0,0,I9/TrAvia_act!I17*1000)</f>
        <v>6944.1782504783368</v>
      </c>
      <c r="J25" s="84">
        <f>IF(J9=0,0,J9/TrAvia_act!J17*1000)</f>
        <v>8330.5090250053618</v>
      </c>
      <c r="K25" s="84">
        <f>IF(K9=0,0,K9/TrAvia_act!K17*1000)</f>
        <v>9587.5246407072937</v>
      </c>
      <c r="L25" s="84">
        <f>IF(L9=0,0,L9/TrAvia_act!L17*1000)</f>
        <v>10130.984741393599</v>
      </c>
      <c r="M25" s="84">
        <f>IF(M9=0,0,M9/TrAvia_act!M17*1000)</f>
        <v>9710.011385938591</v>
      </c>
      <c r="N25" s="84">
        <f>IF(N9=0,0,N9/TrAvia_act!N17*1000)</f>
        <v>11070.149677765514</v>
      </c>
      <c r="O25" s="84">
        <f>IF(O9=0,0,O9/TrAvia_act!O17*1000)</f>
        <v>11048.67126744242</v>
      </c>
      <c r="P25" s="84">
        <f>IF(P9=0,0,P9/TrAvia_act!P17*1000)</f>
        <v>9782.2778142923671</v>
      </c>
      <c r="Q25" s="84">
        <f>IF(Q9=0,0,Q9/TrAvia_act!Q17*1000)</f>
        <v>8975.1742408047121</v>
      </c>
      <c r="R25" s="84">
        <f>IF(R9=0,0,R9/TrAvia_act!R17*1000)</f>
        <v>12288.967848828806</v>
      </c>
      <c r="S25" s="84">
        <f>IF(S9=0,0,S9/TrAvia_act!S17*1000)</f>
        <v>10937.723804006642</v>
      </c>
      <c r="T25" s="84">
        <f>IF(T9=0,0,T9/TrAvia_act!T17*1000)</f>
        <v>8098.4366685007581</v>
      </c>
      <c r="U25" s="84">
        <f>IF(U9=0,0,U9/TrAvia_act!U17*1000)</f>
        <v>8085.6323488776297</v>
      </c>
      <c r="V25" s="84">
        <f>IF(V9=0,0,V9/TrAvia_act!V17*1000)</f>
        <v>12584.595963554184</v>
      </c>
      <c r="W25" s="84">
        <f>IF(W9=0,0,W9/TrAvia_act!W17*1000)</f>
        <v>10350.959858810529</v>
      </c>
      <c r="X25" s="84">
        <f>IF(X9=0,0,X9/TrAvia_act!X17*1000)</f>
        <v>8808.0506487326911</v>
      </c>
      <c r="Y25" s="84">
        <f>IF(Y9=0,0,Y9/TrAvia_act!Y17*1000)</f>
        <v>8178.8439458539269</v>
      </c>
      <c r="DA25" s="171" t="s">
        <v>339</v>
      </c>
    </row>
    <row r="26" spans="1:105" ht="11.45" customHeight="1" x14ac:dyDescent="0.25">
      <c r="A26" s="12" t="s">
        <v>34</v>
      </c>
      <c r="B26" s="13">
        <f>IF(B10=0,0,B10/TrAvia_act!B18*1000)</f>
        <v>7948.7931252330563</v>
      </c>
      <c r="C26" s="13">
        <f>IF(C10=0,0,C10/TrAvia_act!C18*1000)</f>
        <v>7601.2164421787456</v>
      </c>
      <c r="D26" s="13">
        <f>IF(D10=0,0,D10/TrAvia_act!D18*1000)</f>
        <v>7778.1460635241738</v>
      </c>
      <c r="E26" s="13">
        <f>IF(E10=0,0,E10/TrAvia_act!E18*1000)</f>
        <v>7665.6320890850548</v>
      </c>
      <c r="F26" s="13">
        <f>IF(F10=0,0,F10/TrAvia_act!F18*1000)</f>
        <v>7236.7888013322381</v>
      </c>
      <c r="G26" s="13">
        <f>IF(G10=0,0,G10/TrAvia_act!G18*1000)</f>
        <v>7951.4441958973903</v>
      </c>
      <c r="H26" s="13">
        <f>IF(H10=0,0,H10/TrAvia_act!H18*1000)</f>
        <v>7739.802684637325</v>
      </c>
      <c r="I26" s="13">
        <f>IF(I10=0,0,I10/TrAvia_act!I18*1000)</f>
        <v>7201.2974586101927</v>
      </c>
      <c r="J26" s="13">
        <f>IF(J10=0,0,J10/TrAvia_act!J18*1000)</f>
        <v>8294.4403997403842</v>
      </c>
      <c r="K26" s="13">
        <f>IF(K10=0,0,K10/TrAvia_act!K18*1000)</f>
        <v>9705.4132809881885</v>
      </c>
      <c r="L26" s="13">
        <f>IF(L10=0,0,L10/TrAvia_act!L18*1000)</f>
        <v>11853.902200570026</v>
      </c>
      <c r="M26" s="13">
        <f>IF(M10=0,0,M10/TrAvia_act!M18*1000)</f>
        <v>10684.151677926371</v>
      </c>
      <c r="N26" s="13">
        <f>IF(N10=0,0,N10/TrAvia_act!N18*1000)</f>
        <v>11775.464435768299</v>
      </c>
      <c r="O26" s="13">
        <f>IF(O10=0,0,O10/TrAvia_act!O18*1000)</f>
        <v>11528.956228776646</v>
      </c>
      <c r="P26" s="13">
        <f>IF(P10=0,0,P10/TrAvia_act!P18*1000)</f>
        <v>11652.870603413141</v>
      </c>
      <c r="Q26" s="13">
        <f>IF(Q10=0,0,Q10/TrAvia_act!Q18*1000)</f>
        <v>10841.43875162469</v>
      </c>
      <c r="R26" s="13">
        <f>IF(R10=0,0,R10/TrAvia_act!R18*1000)</f>
        <v>13408.379505977182</v>
      </c>
      <c r="S26" s="13">
        <f>IF(S10=0,0,S10/TrAvia_act!S18*1000)</f>
        <v>13094.784623554471</v>
      </c>
      <c r="T26" s="13">
        <f>IF(T10=0,0,T10/TrAvia_act!T18*1000)</f>
        <v>10673.983532839073</v>
      </c>
      <c r="U26" s="13">
        <f>IF(U10=0,0,U10/TrAvia_act!U18*1000)</f>
        <v>11165.293132177731</v>
      </c>
      <c r="V26" s="13">
        <f>IF(V10=0,0,V10/TrAvia_act!V18*1000)</f>
        <v>11784.483863954962</v>
      </c>
      <c r="W26" s="13">
        <f>IF(W10=0,0,W10/TrAvia_act!W18*1000)</f>
        <v>11483.75465723707</v>
      </c>
      <c r="X26" s="13">
        <f>IF(X10=0,0,X10/TrAvia_act!X18*1000)</f>
        <v>11256.368462757768</v>
      </c>
      <c r="Y26" s="13">
        <f>IF(Y10=0,0,Y10/TrAvia_act!Y18*1000)</f>
        <v>11135.223951170634</v>
      </c>
      <c r="DA26" s="193" t="s">
        <v>340</v>
      </c>
    </row>
    <row r="27" spans="1:105" ht="11.45" customHeight="1" x14ac:dyDescent="0.25">
      <c r="A27" s="92" t="s">
        <v>27</v>
      </c>
      <c r="B27" s="102">
        <f>IF(B11=0,0,B11/TrAvia_act!B19*1000)</f>
        <v>1360.8326624383819</v>
      </c>
      <c r="C27" s="102">
        <f>IF(C11=0,0,C11/TrAvia_act!C19*1000)</f>
        <v>1364.1290186891749</v>
      </c>
      <c r="D27" s="102">
        <f>IF(D11=0,0,D11/TrAvia_act!D19*1000)</f>
        <v>1365.4136770080688</v>
      </c>
      <c r="E27" s="102">
        <f>IF(E11=0,0,E11/TrAvia_act!E19*1000)</f>
        <v>1364.0872531156288</v>
      </c>
      <c r="F27" s="102">
        <f>IF(F11=0,0,F11/TrAvia_act!F19*1000)</f>
        <v>1362.8589175669063</v>
      </c>
      <c r="G27" s="102">
        <f>IF(G11=0,0,G11/TrAvia_act!G19*1000)</f>
        <v>1321.3617256852801</v>
      </c>
      <c r="H27" s="102">
        <f>IF(H11=0,0,H11/TrAvia_act!H19*1000)</f>
        <v>1330.6084113343052</v>
      </c>
      <c r="I27" s="102">
        <f>IF(I11=0,0,I11/TrAvia_act!I19*1000)</f>
        <v>1611.4090900324602</v>
      </c>
      <c r="J27" s="102">
        <f>IF(J11=0,0,J11/TrAvia_act!J19*1000)</f>
        <v>1235.0155233333492</v>
      </c>
      <c r="K27" s="102">
        <f>IF(K11=0,0,K11/TrAvia_act!K19*1000)</f>
        <v>1744.2169770133662</v>
      </c>
      <c r="L27" s="102">
        <f>IF(L11=0,0,L11/TrAvia_act!L19*1000)</f>
        <v>1621.3692489194689</v>
      </c>
      <c r="M27" s="102">
        <f>IF(M11=0,0,M11/TrAvia_act!M19*1000)</f>
        <v>1636.6620013491106</v>
      </c>
      <c r="N27" s="102">
        <f>IF(N11=0,0,N11/TrAvia_act!N19*1000)</f>
        <v>4126.2865022897831</v>
      </c>
      <c r="O27" s="102">
        <f>IF(O11=0,0,O11/TrAvia_act!O19*1000)</f>
        <v>4932.6248129367332</v>
      </c>
      <c r="P27" s="102">
        <f>IF(P11=0,0,P11/TrAvia_act!P19*1000)</f>
        <v>7957.8127760213611</v>
      </c>
      <c r="Q27" s="102">
        <f>IF(Q11=0,0,Q11/TrAvia_act!Q19*1000)</f>
        <v>6580.2950541911496</v>
      </c>
      <c r="R27" s="102">
        <f>IF(R11=0,0,R11/TrAvia_act!R19*1000)</f>
        <v>9115.4262040393733</v>
      </c>
      <c r="S27" s="102">
        <f>IF(S11=0,0,S11/TrAvia_act!S19*1000)</f>
        <v>9288.5724619826506</v>
      </c>
      <c r="T27" s="102">
        <f>IF(T11=0,0,T11/TrAvia_act!T19*1000)</f>
        <v>12698.820697250476</v>
      </c>
      <c r="U27" s="102">
        <f>IF(U11=0,0,U11/TrAvia_act!U19*1000)</f>
        <v>13130.547343083101</v>
      </c>
      <c r="V27" s="102">
        <f>IF(V11=0,0,V11/TrAvia_act!V19*1000)</f>
        <v>10094.86969874739</v>
      </c>
      <c r="W27" s="102">
        <f>IF(W11=0,0,W11/TrAvia_act!W19*1000)</f>
        <v>17447.923988269176</v>
      </c>
      <c r="X27" s="102">
        <f>IF(X11=0,0,X11/TrAvia_act!X19*1000)</f>
        <v>11290.30120879487</v>
      </c>
      <c r="Y27" s="102">
        <f>IF(Y11=0,0,Y11/TrAvia_act!Y19*1000)</f>
        <v>12983.09232944951</v>
      </c>
      <c r="DA27" s="175" t="s">
        <v>341</v>
      </c>
    </row>
    <row r="28" spans="1:105" ht="11.45" customHeight="1" x14ac:dyDescent="0.25">
      <c r="A28" s="92" t="s">
        <v>181</v>
      </c>
      <c r="B28" s="102">
        <f>IF(B12=0,0,B12/TrAvia_act!B20*1000)</f>
        <v>12144.745321727185</v>
      </c>
      <c r="C28" s="102">
        <f>IF(C12=0,0,C12/TrAvia_act!C20*1000)</f>
        <v>12096.756990100697</v>
      </c>
      <c r="D28" s="102">
        <f>IF(D12=0,0,D12/TrAvia_act!D20*1000)</f>
        <v>12107.74146801688</v>
      </c>
      <c r="E28" s="102">
        <f>IF(E12=0,0,E12/TrAvia_act!E20*1000)</f>
        <v>12110.723890274077</v>
      </c>
      <c r="F28" s="102">
        <f>IF(F12=0,0,F12/TrAvia_act!F20*1000)</f>
        <v>12026.130708009106</v>
      </c>
      <c r="G28" s="102">
        <f>IF(G12=0,0,G12/TrAvia_act!G20*1000)</f>
        <v>11911.77173387477</v>
      </c>
      <c r="H28" s="102">
        <f>IF(H12=0,0,H12/TrAvia_act!H20*1000)</f>
        <v>11959.997516628648</v>
      </c>
      <c r="I28" s="102">
        <f>IF(I12=0,0,I12/TrAvia_act!I20*1000)</f>
        <v>11275.92510106529</v>
      </c>
      <c r="J28" s="102">
        <f>IF(J12=0,0,J12/TrAvia_act!J20*1000)</f>
        <v>11593.847696533901</v>
      </c>
      <c r="K28" s="102">
        <f>IF(K12=0,0,K12/TrAvia_act!K20*1000)</f>
        <v>11161.108143527666</v>
      </c>
      <c r="L28" s="102">
        <f>IF(L12=0,0,L12/TrAvia_act!L20*1000)</f>
        <v>11069.306117728775</v>
      </c>
      <c r="M28" s="102">
        <f>IF(M12=0,0,M12/TrAvia_act!M20*1000)</f>
        <v>9928.3497196203516</v>
      </c>
      <c r="N28" s="102">
        <f>IF(N12=0,0,N12/TrAvia_act!N20*1000)</f>
        <v>10788.961725521935</v>
      </c>
      <c r="O28" s="102">
        <f>IF(O12=0,0,O12/TrAvia_act!O20*1000)</f>
        <v>9478.9974625931427</v>
      </c>
      <c r="P28" s="102">
        <f>IF(P12=0,0,P12/TrAvia_act!P20*1000)</f>
        <v>9937.1765834455091</v>
      </c>
      <c r="Q28" s="102">
        <f>IF(Q12=0,0,Q12/TrAvia_act!Q20*1000)</f>
        <v>9494.3665729259174</v>
      </c>
      <c r="R28" s="102">
        <f>IF(R12=0,0,R12/TrAvia_act!R20*1000)</f>
        <v>8999.6979614874526</v>
      </c>
      <c r="S28" s="102">
        <f>IF(S12=0,0,S12/TrAvia_act!S20*1000)</f>
        <v>10576.578598480752</v>
      </c>
      <c r="T28" s="102">
        <f>IF(T12=0,0,T12/TrAvia_act!T20*1000)</f>
        <v>10415.587470884289</v>
      </c>
      <c r="U28" s="102">
        <f>IF(U12=0,0,U12/TrAvia_act!U20*1000)</f>
        <v>10568.643453414557</v>
      </c>
      <c r="V28" s="102">
        <f>IF(V12=0,0,V12/TrAvia_act!V20*1000)</f>
        <v>12918.489970299092</v>
      </c>
      <c r="W28" s="102">
        <f>IF(W12=0,0,W12/TrAvia_act!W20*1000)</f>
        <v>12349.242101386804</v>
      </c>
      <c r="X28" s="102">
        <f>IF(X12=0,0,X12/TrAvia_act!X20*1000)</f>
        <v>11143.786114807133</v>
      </c>
      <c r="Y28" s="102">
        <f>IF(Y12=0,0,Y12/TrAvia_act!Y20*1000)</f>
        <v>10799.457924125247</v>
      </c>
      <c r="DA28" s="175" t="s">
        <v>342</v>
      </c>
    </row>
    <row r="29" spans="1:105" ht="11.45" customHeight="1" x14ac:dyDescent="0.25">
      <c r="A29" s="85" t="s">
        <v>182</v>
      </c>
      <c r="B29" s="86">
        <f>IF(B13=0,0,B13/TrAvia_act!B21*1000)</f>
        <v>3901.9005138006278</v>
      </c>
      <c r="C29" s="86">
        <f>IF(C13=0,0,C13/TrAvia_act!C21*1000)</f>
        <v>3903.0982468399843</v>
      </c>
      <c r="D29" s="86">
        <f>IF(D13=0,0,D13/TrAvia_act!D21*1000)</f>
        <v>3896.2257638175674</v>
      </c>
      <c r="E29" s="86">
        <f>IF(E13=0,0,E13/TrAvia_act!E21*1000)</f>
        <v>3893.7224798138636</v>
      </c>
      <c r="F29" s="86">
        <f>IF(F13=0,0,F13/TrAvia_act!F21*1000)</f>
        <v>3893.9419222974075</v>
      </c>
      <c r="G29" s="86">
        <f>IF(G13=0,0,G13/TrAvia_act!G21*1000)</f>
        <v>3719.3202806608647</v>
      </c>
      <c r="H29" s="86">
        <f>IF(H13=0,0,H13/TrAvia_act!H21*1000)</f>
        <v>4426.378418049695</v>
      </c>
      <c r="I29" s="86">
        <f>IF(I13=0,0,I13/TrAvia_act!I21*1000)</f>
        <v>4865.8283625787035</v>
      </c>
      <c r="J29" s="86">
        <f>IF(J13=0,0,J13/TrAvia_act!J21*1000)</f>
        <v>7366.6469333592877</v>
      </c>
      <c r="K29" s="86">
        <f>IF(K13=0,0,K13/TrAvia_act!K21*1000)</f>
        <v>10817.508092887563</v>
      </c>
      <c r="L29" s="86">
        <f>IF(L13=0,0,L13/TrAvia_act!L21*1000)</f>
        <v>14711.2190394963</v>
      </c>
      <c r="M29" s="86">
        <f>IF(M13=0,0,M13/TrAvia_act!M21*1000)</f>
        <v>13716.567376605028</v>
      </c>
      <c r="N29" s="86">
        <f>IF(N13=0,0,N13/TrAvia_act!N21*1000)</f>
        <v>15331.130455807301</v>
      </c>
      <c r="O29" s="86">
        <f>IF(O13=0,0,O13/TrAvia_act!O21*1000)</f>
        <v>15351.046364218393</v>
      </c>
      <c r="P29" s="86">
        <f>IF(P13=0,0,P13/TrAvia_act!P21*1000)</f>
        <v>13499.142491937093</v>
      </c>
      <c r="Q29" s="86">
        <f>IF(Q13=0,0,Q13/TrAvia_act!Q21*1000)</f>
        <v>12242.372900860806</v>
      </c>
      <c r="R29" s="86">
        <f>IF(R13=0,0,R13/TrAvia_act!R21*1000)</f>
        <v>16883.445946992237</v>
      </c>
      <c r="S29" s="86">
        <f>IF(S13=0,0,S13/TrAvia_act!S21*1000)</f>
        <v>15013.155224687231</v>
      </c>
      <c r="T29" s="86">
        <f>IF(T13=0,0,T13/TrAvia_act!T21*1000)</f>
        <v>10845.258414283166</v>
      </c>
      <c r="U29" s="86">
        <f>IF(U13=0,0,U13/TrAvia_act!U21*1000)</f>
        <v>11446.442126449117</v>
      </c>
      <c r="V29" s="86">
        <f>IF(V13=0,0,V13/TrAvia_act!V21*1000)</f>
        <v>9836.8994486298161</v>
      </c>
      <c r="W29" s="86">
        <f>IF(W13=0,0,W13/TrAvia_act!W21*1000)</f>
        <v>10438.25910015662</v>
      </c>
      <c r="X29" s="86">
        <f>IF(X13=0,0,X13/TrAvia_act!X21*1000)</f>
        <v>11335.751441624072</v>
      </c>
      <c r="Y29" s="86">
        <f>IF(Y13=0,0,Y13/TrAvia_act!Y21*1000)</f>
        <v>11298.314872078459</v>
      </c>
      <c r="DA29" s="178" t="s">
        <v>343</v>
      </c>
    </row>
    <row r="30" spans="1:105" x14ac:dyDescent="0.25">
      <c r="A30" s="50"/>
      <c r="B30" s="50"/>
      <c r="C30" s="50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DA30" s="181"/>
    </row>
    <row r="31" spans="1:105" ht="11.45" customHeight="1" x14ac:dyDescent="0.25">
      <c r="A31" s="53" t="s">
        <v>71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DA31" s="172"/>
    </row>
    <row r="32" spans="1:105" ht="11.45" customHeight="1" x14ac:dyDescent="0.25">
      <c r="A32" s="10" t="s">
        <v>160</v>
      </c>
      <c r="B32" s="14">
        <f>IF(B6=0,0,B6/TrAvia_act!B4*1000)</f>
        <v>101.44705872548789</v>
      </c>
      <c r="C32" s="14">
        <f>IF(C6=0,0,C6/TrAvia_act!C4*1000)</f>
        <v>99.392106193854488</v>
      </c>
      <c r="D32" s="14">
        <f>IF(D6=0,0,D6/TrAvia_act!D4*1000)</f>
        <v>97.310784401715622</v>
      </c>
      <c r="E32" s="14">
        <f>IF(E6=0,0,E6/TrAvia_act!E4*1000)</f>
        <v>96.425971195055922</v>
      </c>
      <c r="F32" s="14">
        <f>IF(F6=0,0,F6/TrAvia_act!F4*1000)</f>
        <v>95.85041438676673</v>
      </c>
      <c r="G32" s="14">
        <f>IF(G6=0,0,G6/TrAvia_act!G4*1000)</f>
        <v>91.292325299396452</v>
      </c>
      <c r="H32" s="14">
        <f>IF(H6=0,0,H6/TrAvia_act!H4*1000)</f>
        <v>100.71772946712376</v>
      </c>
      <c r="I32" s="14">
        <f>IF(I6=0,0,I6/TrAvia_act!I4*1000)</f>
        <v>87.602623140648191</v>
      </c>
      <c r="J32" s="14">
        <f>IF(J6=0,0,J6/TrAvia_act!J4*1000)</f>
        <v>95.378442587459034</v>
      </c>
      <c r="K32" s="14">
        <f>IF(K6=0,0,K6/TrAvia_act!K4*1000)</f>
        <v>97.604789387597918</v>
      </c>
      <c r="L32" s="14">
        <f>IF(L6=0,0,L6/TrAvia_act!L4*1000)</f>
        <v>97.828569212561675</v>
      </c>
      <c r="M32" s="14">
        <f>IF(M6=0,0,M6/TrAvia_act!M4*1000)</f>
        <v>90.13541455928052</v>
      </c>
      <c r="N32" s="14">
        <f>IF(N6=0,0,N6/TrAvia_act!N4*1000)</f>
        <v>97.084820686853064</v>
      </c>
      <c r="O32" s="14">
        <f>IF(O6=0,0,O6/TrAvia_act!O4*1000)</f>
        <v>90.410195930594796</v>
      </c>
      <c r="P32" s="14">
        <f>IF(P6=0,0,P6/TrAvia_act!P4*1000)</f>
        <v>91.177728959105906</v>
      </c>
      <c r="Q32" s="14">
        <f>IF(Q6=0,0,Q6/TrAvia_act!Q4*1000)</f>
        <v>91.436989763970772</v>
      </c>
      <c r="R32" s="14">
        <f>IF(R6=0,0,R6/TrAvia_act!R4*1000)</f>
        <v>86.564332318835497</v>
      </c>
      <c r="S32" s="14">
        <f>IF(S6=0,0,S6/TrAvia_act!S4*1000)</f>
        <v>87.01637664148798</v>
      </c>
      <c r="T32" s="14">
        <f>IF(T6=0,0,T6/TrAvia_act!T4*1000)</f>
        <v>86.698928660288715</v>
      </c>
      <c r="U32" s="14">
        <f>IF(U6=0,0,U6/TrAvia_act!U4*1000)</f>
        <v>84.879140970470047</v>
      </c>
      <c r="V32" s="14">
        <f>IF(V6=0,0,V6/TrAvia_act!V4*1000)</f>
        <v>121.77471025745061</v>
      </c>
      <c r="W32" s="14">
        <f>IF(W6=0,0,W6/TrAvia_act!W4*1000)</f>
        <v>103.35302500480833</v>
      </c>
      <c r="X32" s="14">
        <f>IF(X6=0,0,X6/TrAvia_act!X4*1000)</f>
        <v>83.235889845914983</v>
      </c>
      <c r="Y32" s="14">
        <f>IF(Y6=0,0,Y6/TrAvia_act!Y4*1000)</f>
        <v>77.257374243169323</v>
      </c>
      <c r="DA32" s="189" t="s">
        <v>344</v>
      </c>
    </row>
    <row r="33" spans="1:105" ht="11.45" customHeight="1" x14ac:dyDescent="0.25">
      <c r="A33" s="83" t="s">
        <v>27</v>
      </c>
      <c r="B33" s="87">
        <f>IF(B7=0,0,B7/TrAvia_act!B5*1000)</f>
        <v>37.591213695873051</v>
      </c>
      <c r="C33" s="87">
        <f>IF(C7=0,0,C7/TrAvia_act!C5*1000)</f>
        <v>37.255212979146322</v>
      </c>
      <c r="D33" s="87">
        <f>IF(D7=0,0,D7/TrAvia_act!D5*1000)</f>
        <v>36.699304440895098</v>
      </c>
      <c r="E33" s="87">
        <f>IF(E7=0,0,E7/TrAvia_act!E5*1000)</f>
        <v>35.808150234732011</v>
      </c>
      <c r="F33" s="87">
        <f>IF(F7=0,0,F7/TrAvia_act!F5*1000)</f>
        <v>35.150041921989342</v>
      </c>
      <c r="G33" s="87">
        <f>IF(G7=0,0,G7/TrAvia_act!G5*1000)</f>
        <v>33.497656806320897</v>
      </c>
      <c r="H33" s="87">
        <f>IF(H7=0,0,H7/TrAvia_act!H5*1000)</f>
        <v>33.104045082674382</v>
      </c>
      <c r="I33" s="87">
        <f>IF(I7=0,0,I7/TrAvia_act!I5*1000)</f>
        <v>36.598100981281455</v>
      </c>
      <c r="J33" s="87">
        <f>IF(J7=0,0,J7/TrAvia_act!J5*1000)</f>
        <v>31.154665364552983</v>
      </c>
      <c r="K33" s="87">
        <f>IF(K7=0,0,K7/TrAvia_act!K5*1000)</f>
        <v>44.667352922399914</v>
      </c>
      <c r="L33" s="87">
        <f>IF(L7=0,0,L7/TrAvia_act!L5*1000)</f>
        <v>39.060246161172948</v>
      </c>
      <c r="M33" s="87">
        <f>IF(M7=0,0,M7/TrAvia_act!M5*1000)</f>
        <v>36.981928030791863</v>
      </c>
      <c r="N33" s="87">
        <f>IF(N7=0,0,N7/TrAvia_act!N5*1000)</f>
        <v>81.247257824785464</v>
      </c>
      <c r="O33" s="87">
        <f>IF(O7=0,0,O7/TrAvia_act!O5*1000)</f>
        <v>105.43473006301022</v>
      </c>
      <c r="P33" s="87">
        <f>IF(P7=0,0,P7/TrAvia_act!P5*1000)</f>
        <v>141.3721218529887</v>
      </c>
      <c r="Q33" s="87">
        <f>IF(Q7=0,0,Q7/TrAvia_act!Q5*1000)</f>
        <v>99.448786783396571</v>
      </c>
      <c r="R33" s="87">
        <f>IF(R7=0,0,R7/TrAvia_act!R5*1000)</f>
        <v>121.8361483098747</v>
      </c>
      <c r="S33" s="87">
        <f>IF(S7=0,0,S7/TrAvia_act!S5*1000)</f>
        <v>108.36479333931152</v>
      </c>
      <c r="T33" s="87">
        <f>IF(T7=0,0,T7/TrAvia_act!T5*1000)</f>
        <v>151.72781400082889</v>
      </c>
      <c r="U33" s="87">
        <f>IF(U7=0,0,U7/TrAvia_act!U5*1000)</f>
        <v>152.89818903818255</v>
      </c>
      <c r="V33" s="87">
        <f>IF(V7=0,0,V7/TrAvia_act!V5*1000)</f>
        <v>239.83876003169556</v>
      </c>
      <c r="W33" s="87">
        <f>IF(W7=0,0,W7/TrAvia_act!W5*1000)</f>
        <v>344.87292866758406</v>
      </c>
      <c r="X33" s="87">
        <f>IF(X7=0,0,X7/TrAvia_act!X5*1000)</f>
        <v>163.29848134926965</v>
      </c>
      <c r="Y33" s="87">
        <f>IF(Y7=0,0,Y7/TrAvia_act!Y5*1000)</f>
        <v>168.88402827973468</v>
      </c>
      <c r="DA33" s="171" t="s">
        <v>345</v>
      </c>
    </row>
    <row r="34" spans="1:105" ht="11.45" customHeight="1" x14ac:dyDescent="0.25">
      <c r="A34" s="83" t="s">
        <v>181</v>
      </c>
      <c r="B34" s="87">
        <f>IF(B8=0,0,B8/TrAvia_act!B6*1000)</f>
        <v>139.2651960906914</v>
      </c>
      <c r="C34" s="87">
        <f>IF(C8=0,0,C8/TrAvia_act!C6*1000)</f>
        <v>136.12363990602032</v>
      </c>
      <c r="D34" s="87">
        <f>IF(D8=0,0,D8/TrAvia_act!D6*1000)</f>
        <v>134.10783714639936</v>
      </c>
      <c r="E34" s="87">
        <f>IF(E8=0,0,E8/TrAvia_act!E6*1000)</f>
        <v>133.84747344149579</v>
      </c>
      <c r="F34" s="87">
        <f>IF(F8=0,0,F8/TrAvia_act!F6*1000)</f>
        <v>133.60793933074402</v>
      </c>
      <c r="G34" s="87">
        <f>IF(G8=0,0,G8/TrAvia_act!G6*1000)</f>
        <v>122.90510743267171</v>
      </c>
      <c r="H34" s="87">
        <f>IF(H8=0,0,H8/TrAvia_act!H6*1000)</f>
        <v>134.28584950928766</v>
      </c>
      <c r="I34" s="87">
        <f>IF(I8=0,0,I8/TrAvia_act!I6*1000)</f>
        <v>113.94955929679703</v>
      </c>
      <c r="J34" s="87">
        <f>IF(J8=0,0,J8/TrAvia_act!J6*1000)</f>
        <v>133.43173803412367</v>
      </c>
      <c r="K34" s="87">
        <f>IF(K8=0,0,K8/TrAvia_act!K6*1000)</f>
        <v>126.37827028009757</v>
      </c>
      <c r="L34" s="87">
        <f>IF(L8=0,0,L8/TrAvia_act!L6*1000)</f>
        <v>125.54707329186279</v>
      </c>
      <c r="M34" s="87">
        <f>IF(M8=0,0,M8/TrAvia_act!M6*1000)</f>
        <v>104.89312176316096</v>
      </c>
      <c r="N34" s="87">
        <f>IF(N8=0,0,N8/TrAvia_act!N6*1000)</f>
        <v>113.75767909231743</v>
      </c>
      <c r="O34" s="87">
        <f>IF(O8=0,0,O8/TrAvia_act!O6*1000)</f>
        <v>99.290969056200453</v>
      </c>
      <c r="P34" s="87">
        <f>IF(P8=0,0,P8/TrAvia_act!P6*1000)</f>
        <v>101.06909460391228</v>
      </c>
      <c r="Q34" s="87">
        <f>IF(Q8=0,0,Q8/TrAvia_act!Q6*1000)</f>
        <v>97.66342293044562</v>
      </c>
      <c r="R34" s="87">
        <f>IF(R8=0,0,R8/TrAvia_act!R6*1000)</f>
        <v>90.99142217429609</v>
      </c>
      <c r="S34" s="87">
        <f>IF(S8=0,0,S8/TrAvia_act!S6*1000)</f>
        <v>99.118013624283478</v>
      </c>
      <c r="T34" s="87">
        <f>IF(T8=0,0,T8/TrAvia_act!T6*1000)</f>
        <v>105.70720972492903</v>
      </c>
      <c r="U34" s="87">
        <f>IF(U8=0,0,U8/TrAvia_act!U6*1000)</f>
        <v>112.28515644563097</v>
      </c>
      <c r="V34" s="87">
        <f>IF(V8=0,0,V8/TrAvia_act!V6*1000)</f>
        <v>131.31165379772492</v>
      </c>
      <c r="W34" s="87">
        <f>IF(W8=0,0,W8/TrAvia_act!W6*1000)</f>
        <v>125.47420642419918</v>
      </c>
      <c r="X34" s="87">
        <f>IF(X8=0,0,X8/TrAvia_act!X6*1000)</f>
        <v>110.24406472583532</v>
      </c>
      <c r="Y34" s="87">
        <f>IF(Y8=0,0,Y8/TrAvia_act!Y6*1000)</f>
        <v>107.01931282622444</v>
      </c>
      <c r="DA34" s="171" t="s">
        <v>346</v>
      </c>
    </row>
    <row r="35" spans="1:105" ht="11.45" customHeight="1" x14ac:dyDescent="0.25">
      <c r="A35" s="83" t="s">
        <v>182</v>
      </c>
      <c r="B35" s="87">
        <f>IF(B9=0,0,B9/TrAvia_act!B7*1000)</f>
        <v>68.669535784057189</v>
      </c>
      <c r="C35" s="87">
        <f>IF(C9=0,0,C9/TrAvia_act!C7*1000)</f>
        <v>67.428625181273276</v>
      </c>
      <c r="D35" s="87">
        <f>IF(D9=0,0,D9/TrAvia_act!D7*1000)</f>
        <v>66.479736567935518</v>
      </c>
      <c r="E35" s="87">
        <f>IF(E9=0,0,E9/TrAvia_act!E7*1000)</f>
        <v>65.248994014587808</v>
      </c>
      <c r="F35" s="87">
        <f>IF(F9=0,0,F9/TrAvia_act!F7*1000)</f>
        <v>63.934158800542733</v>
      </c>
      <c r="G35" s="87">
        <f>IF(G9=0,0,G9/TrAvia_act!G7*1000)</f>
        <v>60.511930168446021</v>
      </c>
      <c r="H35" s="87">
        <f>IF(H9=0,0,H9/TrAvia_act!H7*1000)</f>
        <v>62.893310085044355</v>
      </c>
      <c r="I35" s="87">
        <f>IF(I9=0,0,I9/TrAvia_act!I7*1000)</f>
        <v>53.715123599322851</v>
      </c>
      <c r="J35" s="87">
        <f>IF(J9=0,0,J9/TrAvia_act!J7*1000)</f>
        <v>51.684017900942052</v>
      </c>
      <c r="K35" s="87">
        <f>IF(K9=0,0,K9/TrAvia_act!K7*1000)</f>
        <v>61.239238422630734</v>
      </c>
      <c r="L35" s="87">
        <f>IF(L9=0,0,L9/TrAvia_act!L7*1000)</f>
        <v>62.477421212049393</v>
      </c>
      <c r="M35" s="87">
        <f>IF(M9=0,0,M9/TrAvia_act!M7*1000)</f>
        <v>67.691768783444004</v>
      </c>
      <c r="N35" s="87">
        <f>IF(N9=0,0,N9/TrAvia_act!N7*1000)</f>
        <v>69.963578214964372</v>
      </c>
      <c r="O35" s="87">
        <f>IF(O9=0,0,O9/TrAvia_act!O7*1000)</f>
        <v>70.068579512457404</v>
      </c>
      <c r="P35" s="87">
        <f>IF(P9=0,0,P9/TrAvia_act!P7*1000)</f>
        <v>67.220498763136064</v>
      </c>
      <c r="Q35" s="87">
        <f>IF(Q9=0,0,Q9/TrAvia_act!Q7*1000)</f>
        <v>75.309707792119951</v>
      </c>
      <c r="R35" s="87">
        <f>IF(R9=0,0,R9/TrAvia_act!R7*1000)</f>
        <v>70.952826755536321</v>
      </c>
      <c r="S35" s="87">
        <f>IF(S9=0,0,S9/TrAvia_act!S7*1000)</f>
        <v>58.459069918641433</v>
      </c>
      <c r="T35" s="87">
        <f>IF(T9=0,0,T9/TrAvia_act!T7*1000)</f>
        <v>49.322684119732031</v>
      </c>
      <c r="U35" s="87">
        <f>IF(U9=0,0,U9/TrAvia_act!U7*1000)</f>
        <v>42.130288837165878</v>
      </c>
      <c r="V35" s="87">
        <f>IF(V9=0,0,V9/TrAvia_act!V7*1000)</f>
        <v>98.11804874396266</v>
      </c>
      <c r="W35" s="87">
        <f>IF(W9=0,0,W9/TrAvia_act!W7*1000)</f>
        <v>64.802572833122028</v>
      </c>
      <c r="X35" s="87">
        <f>IF(X9=0,0,X9/TrAvia_act!X7*1000)</f>
        <v>41.850765015647646</v>
      </c>
      <c r="Y35" s="87">
        <f>IF(Y9=0,0,Y9/TrAvia_act!Y7*1000)</f>
        <v>35.919118263018987</v>
      </c>
      <c r="DA35" s="171" t="s">
        <v>347</v>
      </c>
    </row>
    <row r="36" spans="1:105" ht="11.45" customHeight="1" x14ac:dyDescent="0.25">
      <c r="A36" s="12" t="s">
        <v>159</v>
      </c>
      <c r="B36" s="15">
        <f>IF(B10=0,0,B10/TrAvia_act!B8*1000)</f>
        <v>164.94024241569193</v>
      </c>
      <c r="C36" s="15">
        <f>IF(C10=0,0,C10/TrAvia_act!C8*1000)</f>
        <v>137.97559606158376</v>
      </c>
      <c r="D36" s="15">
        <f>IF(D10=0,0,D10/TrAvia_act!D8*1000)</f>
        <v>155.23305774870317</v>
      </c>
      <c r="E36" s="15">
        <f>IF(E10=0,0,E10/TrAvia_act!E8*1000)</f>
        <v>158.11746393871556</v>
      </c>
      <c r="F36" s="15">
        <f>IF(F10=0,0,F10/TrAvia_act!F8*1000)</f>
        <v>141.66002480276057</v>
      </c>
      <c r="G36" s="15">
        <f>IF(G10=0,0,G10/TrAvia_act!G8*1000)</f>
        <v>178.83956342632774</v>
      </c>
      <c r="H36" s="15">
        <f>IF(H10=0,0,H10/TrAvia_act!H8*1000)</f>
        <v>188.93343114327087</v>
      </c>
      <c r="I36" s="15">
        <f>IF(I10=0,0,I10/TrAvia_act!I8*1000)</f>
        <v>163.7184548518774</v>
      </c>
      <c r="J36" s="15">
        <f>IF(J10=0,0,J10/TrAvia_act!J8*1000)</f>
        <v>188.12350834829633</v>
      </c>
      <c r="K36" s="15">
        <f>IF(K10=0,0,K10/TrAvia_act!K8*1000)</f>
        <v>230.37396572385612</v>
      </c>
      <c r="L36" s="15">
        <f>IF(L10=0,0,L10/TrAvia_act!L8*1000)</f>
        <v>224.90750766261903</v>
      </c>
      <c r="M36" s="15">
        <f>IF(M10=0,0,M10/TrAvia_act!M8*1000)</f>
        <v>207.47145138796353</v>
      </c>
      <c r="N36" s="15">
        <f>IF(N10=0,0,N10/TrAvia_act!N8*1000)</f>
        <v>231.75127322572192</v>
      </c>
      <c r="O36" s="15">
        <f>IF(O10=0,0,O10/TrAvia_act!O8*1000)</f>
        <v>228.0188471925286</v>
      </c>
      <c r="P36" s="15">
        <f>IF(P10=0,0,P10/TrAvia_act!P8*1000)</f>
        <v>176.84738876514436</v>
      </c>
      <c r="Q36" s="15">
        <f>IF(Q10=0,0,Q10/TrAvia_act!Q8*1000)</f>
        <v>159.80573569772318</v>
      </c>
      <c r="R36" s="15">
        <f>IF(R10=0,0,R10/TrAvia_act!R8*1000)</f>
        <v>172.84044000387999</v>
      </c>
      <c r="S36" s="15">
        <f>IF(S10=0,0,S10/TrAvia_act!S8*1000)</f>
        <v>173.55943929850417</v>
      </c>
      <c r="T36" s="15">
        <f>IF(T10=0,0,T10/TrAvia_act!T8*1000)</f>
        <v>141.63268922911502</v>
      </c>
      <c r="U36" s="15">
        <f>IF(U10=0,0,U10/TrAvia_act!U8*1000)</f>
        <v>130.44184118662395</v>
      </c>
      <c r="V36" s="15">
        <f>IF(V10=0,0,V10/TrAvia_act!V8*1000)</f>
        <v>271.9110724277179</v>
      </c>
      <c r="W36" s="15">
        <f>IF(W10=0,0,W10/TrAvia_act!W8*1000)</f>
        <v>252.11328329688021</v>
      </c>
      <c r="X36" s="15">
        <f>IF(X10=0,0,X10/TrAvia_act!X8*1000)</f>
        <v>193.31430311290606</v>
      </c>
      <c r="Y36" s="15">
        <f>IF(Y10=0,0,Y10/TrAvia_act!Y8*1000)</f>
        <v>164.79920253604084</v>
      </c>
      <c r="DA36" s="193" t="s">
        <v>348</v>
      </c>
    </row>
    <row r="37" spans="1:105" ht="11.45" customHeight="1" x14ac:dyDescent="0.25">
      <c r="A37" s="92" t="s">
        <v>27</v>
      </c>
      <c r="B37" s="101">
        <f>IF(B11=0,0,B11/TrAvia_act!B9*1000)</f>
        <v>138.2443714138347</v>
      </c>
      <c r="C37" s="101">
        <f>IF(C11=0,0,C11/TrAvia_act!C9*1000)</f>
        <v>139.644204420758</v>
      </c>
      <c r="D37" s="101">
        <f>IF(D11=0,0,D11/TrAvia_act!D9*1000)</f>
        <v>135.92522100981125</v>
      </c>
      <c r="E37" s="101">
        <f>IF(E11=0,0,E11/TrAvia_act!E9*1000)</f>
        <v>127.66199946644058</v>
      </c>
      <c r="F37" s="101">
        <f>IF(F11=0,0,F11/TrAvia_act!F9*1000)</f>
        <v>135.45011769824723</v>
      </c>
      <c r="G37" s="101">
        <f>IF(G11=0,0,G11/TrAvia_act!G9*1000)</f>
        <v>134.19306493545082</v>
      </c>
      <c r="H37" s="101">
        <f>IF(H11=0,0,H11/TrAvia_act!H9*1000)</f>
        <v>140.48583855368631</v>
      </c>
      <c r="I37" s="101">
        <f>IF(I11=0,0,I11/TrAvia_act!I9*1000)</f>
        <v>170.7668692498053</v>
      </c>
      <c r="J37" s="101">
        <f>IF(J11=0,0,J11/TrAvia_act!J9*1000)</f>
        <v>136.03583630849761</v>
      </c>
      <c r="K37" s="101">
        <f>IF(K11=0,0,K11/TrAvia_act!K9*1000)</f>
        <v>190.47868673001966</v>
      </c>
      <c r="L37" s="101">
        <f>IF(L11=0,0,L11/TrAvia_act!L9*1000)</f>
        <v>165.54736207257349</v>
      </c>
      <c r="M37" s="101">
        <f>IF(M11=0,0,M11/TrAvia_act!M9*1000)</f>
        <v>151.12319520283407</v>
      </c>
      <c r="N37" s="101">
        <f>IF(N11=0,0,N11/TrAvia_act!N9*1000)</f>
        <v>366.72242210608192</v>
      </c>
      <c r="O37" s="101">
        <f>IF(O11=0,0,O11/TrAvia_act!O9*1000)</f>
        <v>427.55209280220151</v>
      </c>
      <c r="P37" s="101">
        <f>IF(P11=0,0,P11/TrAvia_act!P9*1000)</f>
        <v>622.04128786534511</v>
      </c>
      <c r="Q37" s="101">
        <f>IF(Q11=0,0,Q11/TrAvia_act!Q9*1000)</f>
        <v>494.23189725679856</v>
      </c>
      <c r="R37" s="101">
        <f>IF(R11=0,0,R11/TrAvia_act!R9*1000)</f>
        <v>597.65598163968264</v>
      </c>
      <c r="S37" s="101">
        <f>IF(S11=0,0,S11/TrAvia_act!S9*1000)</f>
        <v>654.67872349802781</v>
      </c>
      <c r="T37" s="101">
        <f>IF(T11=0,0,T11/TrAvia_act!T9*1000)</f>
        <v>872.55005372728829</v>
      </c>
      <c r="U37" s="101">
        <f>IF(U11=0,0,U11/TrAvia_act!U9*1000)</f>
        <v>818.49214851117154</v>
      </c>
      <c r="V37" s="101">
        <f>IF(V11=0,0,V11/TrAvia_act!V9*1000)</f>
        <v>682.86626150331142</v>
      </c>
      <c r="W37" s="101">
        <f>IF(W11=0,0,W11/TrAvia_act!W9*1000)</f>
        <v>1149.9379144966097</v>
      </c>
      <c r="X37" s="101">
        <f>IF(X11=0,0,X11/TrAvia_act!X9*1000)</f>
        <v>740.938162006634</v>
      </c>
      <c r="Y37" s="101">
        <f>IF(Y11=0,0,Y11/TrAvia_act!Y9*1000)</f>
        <v>864.67515014748858</v>
      </c>
      <c r="DA37" s="175" t="s">
        <v>349</v>
      </c>
    </row>
    <row r="38" spans="1:105" ht="11.45" customHeight="1" x14ac:dyDescent="0.25">
      <c r="A38" s="92" t="s">
        <v>181</v>
      </c>
      <c r="B38" s="101">
        <f>IF(B12=0,0,B12/TrAvia_act!B10*1000)</f>
        <v>515.42085446477847</v>
      </c>
      <c r="C38" s="101">
        <f>IF(C12=0,0,C12/TrAvia_act!C10*1000)</f>
        <v>487.95329183492674</v>
      </c>
      <c r="D38" s="101">
        <f>IF(D12=0,0,D12/TrAvia_act!D10*1000)</f>
        <v>517.6261083329216</v>
      </c>
      <c r="E38" s="101">
        <f>IF(E12=0,0,E12/TrAvia_act!E10*1000)</f>
        <v>507.23698387570937</v>
      </c>
      <c r="F38" s="101">
        <f>IF(F12=0,0,F12/TrAvia_act!F10*1000)</f>
        <v>559.87346327253283</v>
      </c>
      <c r="G38" s="101">
        <f>IF(G12=0,0,G12/TrAvia_act!G10*1000)</f>
        <v>592.44047855173631</v>
      </c>
      <c r="H38" s="101">
        <f>IF(H12=0,0,H12/TrAvia_act!H10*1000)</f>
        <v>654.96731728559257</v>
      </c>
      <c r="I38" s="101">
        <f>IF(I12=0,0,I12/TrAvia_act!I10*1000)</f>
        <v>631.56009432065491</v>
      </c>
      <c r="J38" s="101">
        <f>IF(J12=0,0,J12/TrAvia_act!J10*1000)</f>
        <v>647.78984143991488</v>
      </c>
      <c r="K38" s="101">
        <f>IF(K12=0,0,K12/TrAvia_act!K10*1000)</f>
        <v>606.33293905334074</v>
      </c>
      <c r="L38" s="101">
        <f>IF(L12=0,0,L12/TrAvia_act!L10*1000)</f>
        <v>590.86474717516228</v>
      </c>
      <c r="M38" s="101">
        <f>IF(M12=0,0,M12/TrAvia_act!M10*1000)</f>
        <v>497.02560257551028</v>
      </c>
      <c r="N38" s="101">
        <f>IF(N12=0,0,N12/TrAvia_act!N10*1000)</f>
        <v>493.68480300633956</v>
      </c>
      <c r="O38" s="101">
        <f>IF(O12=0,0,O12/TrAvia_act!O10*1000)</f>
        <v>429.89865070598887</v>
      </c>
      <c r="P38" s="101">
        <f>IF(P12=0,0,P12/TrAvia_act!P10*1000)</f>
        <v>391.21008436594775</v>
      </c>
      <c r="Q38" s="101">
        <f>IF(Q12=0,0,Q12/TrAvia_act!Q10*1000)</f>
        <v>363.45914495193483</v>
      </c>
      <c r="R38" s="101">
        <f>IF(R12=0,0,R12/TrAvia_act!R10*1000)</f>
        <v>324.88031478897233</v>
      </c>
      <c r="S38" s="101">
        <f>IF(S12=0,0,S12/TrAvia_act!S10*1000)</f>
        <v>407.27064448147354</v>
      </c>
      <c r="T38" s="101">
        <f>IF(T12=0,0,T12/TrAvia_act!T10*1000)</f>
        <v>390.67397914180259</v>
      </c>
      <c r="U38" s="101">
        <f>IF(U12=0,0,U12/TrAvia_act!U10*1000)</f>
        <v>376.24460701273256</v>
      </c>
      <c r="V38" s="101">
        <f>IF(V12=0,0,V12/TrAvia_act!V10*1000)</f>
        <v>548.88138812173531</v>
      </c>
      <c r="W38" s="101">
        <f>IF(W12=0,0,W12/TrAvia_act!W10*1000)</f>
        <v>514.90645017221607</v>
      </c>
      <c r="X38" s="101">
        <f>IF(X12=0,0,X12/TrAvia_act!X10*1000)</f>
        <v>474.36679538601231</v>
      </c>
      <c r="Y38" s="101">
        <f>IF(Y12=0,0,Y12/TrAvia_act!Y10*1000)</f>
        <v>464.55097054379087</v>
      </c>
      <c r="DA38" s="175" t="s">
        <v>350</v>
      </c>
    </row>
    <row r="39" spans="1:105" ht="11.45" customHeight="1" x14ac:dyDescent="0.25">
      <c r="A39" s="85" t="s">
        <v>182</v>
      </c>
      <c r="B39" s="88">
        <f>IF(B13=0,0,B13/TrAvia_act!B11*1000)</f>
        <v>37.633800364341432</v>
      </c>
      <c r="C39" s="88">
        <f>IF(C13=0,0,C13/TrAvia_act!C11*1000)</f>
        <v>35.923860525018981</v>
      </c>
      <c r="D39" s="88">
        <f>IF(D13=0,0,D13/TrAvia_act!D11*1000)</f>
        <v>37.980738157481959</v>
      </c>
      <c r="E39" s="88">
        <f>IF(E13=0,0,E13/TrAvia_act!E11*1000)</f>
        <v>41.773283704576507</v>
      </c>
      <c r="F39" s="88">
        <f>IF(F13=0,0,F13/TrAvia_act!F11*1000)</f>
        <v>43.042034418258524</v>
      </c>
      <c r="G39" s="88">
        <f>IF(G13=0,0,G13/TrAvia_act!G11*1000)</f>
        <v>43.716282976314112</v>
      </c>
      <c r="H39" s="88">
        <f>IF(H13=0,0,H13/TrAvia_act!H11*1000)</f>
        <v>53.818621691822322</v>
      </c>
      <c r="I39" s="88">
        <f>IF(I13=0,0,I13/TrAvia_act!I11*1000)</f>
        <v>60.165404165214476</v>
      </c>
      <c r="J39" s="88">
        <f>IF(J13=0,0,J13/TrAvia_act!J11*1000)</f>
        <v>92.960716461129948</v>
      </c>
      <c r="K39" s="88">
        <f>IF(K13=0,0,K13/TrAvia_act!K11*1000)</f>
        <v>121.03868853188436</v>
      </c>
      <c r="L39" s="88">
        <f>IF(L13=0,0,L13/TrAvia_act!L11*1000)</f>
        <v>161.92040843374176</v>
      </c>
      <c r="M39" s="88">
        <f>IF(M13=0,0,M13/TrAvia_act!M11*1000)</f>
        <v>147.1927327044904</v>
      </c>
      <c r="N39" s="88">
        <f>IF(N13=0,0,N13/TrAvia_act!N11*1000)</f>
        <v>155.83412969584987</v>
      </c>
      <c r="O39" s="88">
        <f>IF(O13=0,0,O13/TrAvia_act!O11*1000)</f>
        <v>167.31623754064324</v>
      </c>
      <c r="P39" s="88">
        <f>IF(P13=0,0,P13/TrAvia_act!P11*1000)</f>
        <v>127.15048063074613</v>
      </c>
      <c r="Q39" s="88">
        <f>IF(Q13=0,0,Q13/TrAvia_act!Q11*1000)</f>
        <v>114.56416478403628</v>
      </c>
      <c r="R39" s="88">
        <f>IF(R13=0,0,R13/TrAvia_act!R11*1000)</f>
        <v>144.0178199855132</v>
      </c>
      <c r="S39" s="88">
        <f>IF(S13=0,0,S13/TrAvia_act!S11*1000)</f>
        <v>132.81173215811839</v>
      </c>
      <c r="T39" s="88">
        <f>IF(T13=0,0,T13/TrAvia_act!T11*1000)</f>
        <v>98.317054624672423</v>
      </c>
      <c r="U39" s="88">
        <f>IF(U13=0,0,U13/TrAvia_act!U11*1000)</f>
        <v>100.43891603406801</v>
      </c>
      <c r="V39" s="88">
        <f>IF(V13=0,0,V13/TrAvia_act!V11*1000)</f>
        <v>126.45450762716604</v>
      </c>
      <c r="W39" s="88">
        <f>IF(W13=0,0,W13/TrAvia_act!W11*1000)</f>
        <v>146.77475858030687</v>
      </c>
      <c r="X39" s="88">
        <f>IF(X13=0,0,X13/TrAvia_act!X11*1000)</f>
        <v>136.82120758069871</v>
      </c>
      <c r="Y39" s="88">
        <f>IF(Y13=0,0,Y13/TrAvia_act!Y11*1000)</f>
        <v>126.16367222548533</v>
      </c>
      <c r="DA39" s="178" t="s">
        <v>351</v>
      </c>
    </row>
    <row r="40" spans="1:105" x14ac:dyDescent="0.25">
      <c r="A40" s="50"/>
      <c r="B40" s="50"/>
      <c r="C40" s="50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DA40" s="181"/>
    </row>
    <row r="41" spans="1:105" ht="11.45" customHeight="1" x14ac:dyDescent="0.25">
      <c r="A41" s="53" t="s">
        <v>72</v>
      </c>
      <c r="B41" s="54">
        <f>IF(B3=0,0,B3/TrAvia_act!B23*1000000)</f>
        <v>9485.067256225273</v>
      </c>
      <c r="C41" s="54">
        <f>IF(C3=0,0,C3/TrAvia_act!C23*1000000)</f>
        <v>9459.617608454213</v>
      </c>
      <c r="D41" s="54">
        <f>IF(D3=0,0,D3/TrAvia_act!D23*1000000)</f>
        <v>8626.9816753926734</v>
      </c>
      <c r="E41" s="54">
        <f>IF(E3=0,0,E3/TrAvia_act!E23*1000000)</f>
        <v>8839.6286398439133</v>
      </c>
      <c r="F41" s="54">
        <f>IF(F3=0,0,F3/TrAvia_act!F23*1000000)</f>
        <v>9545.5978258506348</v>
      </c>
      <c r="G41" s="54">
        <f>IF(G3=0,0,G3/TrAvia_act!G23*1000000)</f>
        <v>9554.3386667946452</v>
      </c>
      <c r="H41" s="54">
        <f>IF(H3=0,0,H3/TrAvia_act!H23*1000000)</f>
        <v>10910.071576763483</v>
      </c>
      <c r="I41" s="54">
        <f>IF(I3=0,0,I3/TrAvia_act!I23*1000000)</f>
        <v>10905.416662064177</v>
      </c>
      <c r="J41" s="54">
        <f>IF(J3=0,0,J3/TrAvia_act!J23*1000000)</f>
        <v>12696.052151498649</v>
      </c>
      <c r="K41" s="54">
        <f>IF(K3=0,0,K3/TrAvia_act!K23*1000000)</f>
        <v>12334.346649720559</v>
      </c>
      <c r="L41" s="54">
        <f>IF(L3=0,0,L3/TrAvia_act!L23*1000000)</f>
        <v>12630.682233502541</v>
      </c>
      <c r="M41" s="54">
        <f>IF(M3=0,0,M3/TrAvia_act!M23*1000000)</f>
        <v>11406.157478541094</v>
      </c>
      <c r="N41" s="54">
        <f>IF(N3=0,0,N3/TrAvia_act!N23*1000000)</f>
        <v>11846.269385290818</v>
      </c>
      <c r="O41" s="54">
        <f>IF(O3=0,0,O3/TrAvia_act!O23*1000000)</f>
        <v>11974.20011707403</v>
      </c>
      <c r="P41" s="54">
        <f>IF(P3=0,0,P3/TrAvia_act!P23*1000000)</f>
        <v>12896.664992077625</v>
      </c>
      <c r="Q41" s="54">
        <f>IF(Q3=0,0,Q3/TrAvia_act!Q23*1000000)</f>
        <v>13134.023942119164</v>
      </c>
      <c r="R41" s="54">
        <f>IF(R3=0,0,R3/TrAvia_act!R23*1000000)</f>
        <v>13542.721544917033</v>
      </c>
      <c r="S41" s="54">
        <f>IF(S3=0,0,S3/TrAvia_act!S23*1000000)</f>
        <v>15223.751701442681</v>
      </c>
      <c r="T41" s="54">
        <f>IF(T3=0,0,T3/TrAvia_act!T23*1000000)</f>
        <v>16040.741494297663</v>
      </c>
      <c r="U41" s="54">
        <f>IF(U3=0,0,U3/TrAvia_act!U23*1000000)</f>
        <v>16576.94696159571</v>
      </c>
      <c r="V41" s="54">
        <f>IF(V3=0,0,V3/TrAvia_act!V23*1000000)</f>
        <v>17533.650321315661</v>
      </c>
      <c r="W41" s="54">
        <f>IF(W3=0,0,W3/TrAvia_act!W23*1000000)</f>
        <v>18266.226236075632</v>
      </c>
      <c r="X41" s="54">
        <f>IF(X3=0,0,X3/TrAvia_act!X23*1000000)</f>
        <v>18401.122732987023</v>
      </c>
      <c r="Y41" s="54">
        <f>IF(Y3=0,0,Y3/TrAvia_act!Y23*1000000)</f>
        <v>19303.773341789267</v>
      </c>
      <c r="DA41" s="172" t="s">
        <v>352</v>
      </c>
    </row>
    <row r="42" spans="1:105" ht="11.45" customHeight="1" x14ac:dyDescent="0.25">
      <c r="A42" s="10" t="s">
        <v>33</v>
      </c>
      <c r="B42" s="11">
        <f>IF(B6=0,0,B6/TrAvia_act!B24*1000000)</f>
        <v>9530.057965043603</v>
      </c>
      <c r="C42" s="11">
        <f>IF(C6=0,0,C6/TrAvia_act!C24*1000000)</f>
        <v>9495.145335368421</v>
      </c>
      <c r="D42" s="11">
        <f>IF(D6=0,0,D6/TrAvia_act!D24*1000000)</f>
        <v>8655.1729866877085</v>
      </c>
      <c r="E42" s="11">
        <f>IF(E6=0,0,E6/TrAvia_act!E24*1000000)</f>
        <v>8868.5484543240473</v>
      </c>
      <c r="F42" s="11">
        <f>IF(F6=0,0,F6/TrAvia_act!F24*1000000)</f>
        <v>9575.764796736652</v>
      </c>
      <c r="G42" s="11">
        <f>IF(G6=0,0,G6/TrAvia_act!G24*1000000)</f>
        <v>9573.4888196114662</v>
      </c>
      <c r="H42" s="11">
        <f>IF(H6=0,0,H6/TrAvia_act!H24*1000000)</f>
        <v>10958.446508874662</v>
      </c>
      <c r="I42" s="11">
        <f>IF(I6=0,0,I6/TrAvia_act!I24*1000000)</f>
        <v>10958.617594783558</v>
      </c>
      <c r="J42" s="11">
        <f>IF(J6=0,0,J6/TrAvia_act!J24*1000000)</f>
        <v>12763.894270933088</v>
      </c>
      <c r="K42" s="11">
        <f>IF(K6=0,0,K6/TrAvia_act!K24*1000000)</f>
        <v>12394.287363372476</v>
      </c>
      <c r="L42" s="11">
        <f>IF(L6=0,0,L6/TrAvia_act!L24*1000000)</f>
        <v>12627.961836541366</v>
      </c>
      <c r="M42" s="11">
        <f>IF(M6=0,0,M6/TrAvia_act!M24*1000000)</f>
        <v>11411.174223259086</v>
      </c>
      <c r="N42" s="11">
        <f>IF(N6=0,0,N6/TrAvia_act!N24*1000000)</f>
        <v>11850.375736602864</v>
      </c>
      <c r="O42" s="11">
        <f>IF(O6=0,0,O6/TrAvia_act!O24*1000000)</f>
        <v>11974.444334180083</v>
      </c>
      <c r="P42" s="11">
        <f>IF(P6=0,0,P6/TrAvia_act!P24*1000000)</f>
        <v>12876.668333734149</v>
      </c>
      <c r="Q42" s="11">
        <f>IF(Q6=0,0,Q6/TrAvia_act!Q24*1000000)</f>
        <v>13122.268505744911</v>
      </c>
      <c r="R42" s="11">
        <f>IF(R6=0,0,R6/TrAvia_act!R24*1000000)</f>
        <v>13475.949354566676</v>
      </c>
      <c r="S42" s="11">
        <f>IF(S6=0,0,S6/TrAvia_act!S24*1000000)</f>
        <v>15167.13037585143</v>
      </c>
      <c r="T42" s="11">
        <f>IF(T6=0,0,T6/TrAvia_act!T24*1000000)</f>
        <v>16035.010397316581</v>
      </c>
      <c r="U42" s="11">
        <f>IF(U6=0,0,U6/TrAvia_act!U24*1000000)</f>
        <v>16520.293944702385</v>
      </c>
      <c r="V42" s="11">
        <f>IF(V6=0,0,V6/TrAvia_act!V24*1000000)</f>
        <v>17657.614319003933</v>
      </c>
      <c r="W42" s="11">
        <f>IF(W6=0,0,W6/TrAvia_act!W24*1000000)</f>
        <v>18358.311559798494</v>
      </c>
      <c r="X42" s="11">
        <f>IF(X6=0,0,X6/TrAvia_act!X24*1000000)</f>
        <v>18330.553730579595</v>
      </c>
      <c r="Y42" s="11">
        <f>IF(Y6=0,0,Y6/TrAvia_act!Y24*1000000)</f>
        <v>19204.142194473741</v>
      </c>
      <c r="DA42" s="189" t="s">
        <v>353</v>
      </c>
    </row>
    <row r="43" spans="1:105" ht="11.45" customHeight="1" x14ac:dyDescent="0.25">
      <c r="A43" s="83" t="s">
        <v>27</v>
      </c>
      <c r="B43" s="84">
        <f>IF(B7=0,0,B7/TrAvia_act!B25*1000000)</f>
        <v>374.99112271541435</v>
      </c>
      <c r="C43" s="84">
        <f>IF(C7=0,0,C7/TrAvia_act!C25*1000000)</f>
        <v>375.89946682374875</v>
      </c>
      <c r="D43" s="84">
        <f>IF(D7=0,0,D7/TrAvia_act!D25*1000000)</f>
        <v>376.25346734020059</v>
      </c>
      <c r="E43" s="84">
        <f>IF(E7=0,0,E7/TrAvia_act!E25*1000000)</f>
        <v>375.88795790002342</v>
      </c>
      <c r="F43" s="84">
        <f>IF(F7=0,0,F7/TrAvia_act!F25*1000000)</f>
        <v>375.54947768919322</v>
      </c>
      <c r="G43" s="84">
        <f>IF(G7=0,0,G7/TrAvia_act!G25*1000000)</f>
        <v>375.87144440319327</v>
      </c>
      <c r="H43" s="84">
        <f>IF(H7=0,0,H7/TrAvia_act!H25*1000000)</f>
        <v>371.13591427385097</v>
      </c>
      <c r="I43" s="84">
        <f>IF(I7=0,0,I7/TrAvia_act!I25*1000000)</f>
        <v>453.90163279394875</v>
      </c>
      <c r="J43" s="84">
        <f>IF(J7=0,0,J7/TrAvia_act!J25*1000000)</f>
        <v>354.5753875465935</v>
      </c>
      <c r="K43" s="84">
        <f>IF(K7=0,0,K7/TrAvia_act!K25*1000000)</f>
        <v>507.39400357023817</v>
      </c>
      <c r="L43" s="84">
        <f>IF(L7=0,0,L7/TrAvia_act!L25*1000000)</f>
        <v>504.21229401882812</v>
      </c>
      <c r="M43" s="84">
        <f>IF(M7=0,0,M7/TrAvia_act!M25*1000000)</f>
        <v>544.55358230855472</v>
      </c>
      <c r="N43" s="84">
        <f>IF(N7=0,0,N7/TrAvia_act!N25*1000000)</f>
        <v>1489.905972144348</v>
      </c>
      <c r="O43" s="84">
        <f>IF(O7=0,0,O7/TrAvia_act!O25*1000000)</f>
        <v>1753.6313192363189</v>
      </c>
      <c r="P43" s="84">
        <f>IF(P7=0,0,P7/TrAvia_act!P25*1000000)</f>
        <v>2814.843807580216</v>
      </c>
      <c r="Q43" s="84">
        <f>IF(Q7=0,0,Q7/TrAvia_act!Q25*1000000)</f>
        <v>2048.7509553304076</v>
      </c>
      <c r="R43" s="84">
        <f>IF(R7=0,0,R7/TrAvia_act!R25*1000000)</f>
        <v>2685.447195378521</v>
      </c>
      <c r="S43" s="84">
        <f>IF(S7=0,0,S7/TrAvia_act!S25*1000000)</f>
        <v>2728.9807758715369</v>
      </c>
      <c r="T43" s="84">
        <f>IF(T7=0,0,T7/TrAvia_act!T25*1000000)</f>
        <v>3578.7711620247073</v>
      </c>
      <c r="U43" s="84">
        <f>IF(U7=0,0,U7/TrAvia_act!U25*1000000)</f>
        <v>3579.6188132541806</v>
      </c>
      <c r="V43" s="84">
        <f>IF(V7=0,0,V7/TrAvia_act!V25*1000000)</f>
        <v>3880.8122405446702</v>
      </c>
      <c r="W43" s="84">
        <f>IF(W7=0,0,W7/TrAvia_act!W25*1000000)</f>
        <v>6634.9069389367633</v>
      </c>
      <c r="X43" s="84">
        <f>IF(X7=0,0,X7/TrAvia_act!X25*1000000)</f>
        <v>3755.3750652662329</v>
      </c>
      <c r="Y43" s="84">
        <f>IF(Y7=0,0,Y7/TrAvia_act!Y25*1000000)</f>
        <v>4332.7993061862462</v>
      </c>
      <c r="DA43" s="171" t="s">
        <v>354</v>
      </c>
    </row>
    <row r="44" spans="1:105" ht="11.45" customHeight="1" x14ac:dyDescent="0.25">
      <c r="A44" s="83" t="s">
        <v>181</v>
      </c>
      <c r="B44" s="84">
        <f>IF(B8=0,0,B8/TrAvia_act!B26*1000000)</f>
        <v>10085.483146019511</v>
      </c>
      <c r="C44" s="84">
        <f>IF(C8=0,0,C8/TrAvia_act!C26*1000000)</f>
        <v>10088.555251507703</v>
      </c>
      <c r="D44" s="84">
        <f>IF(D8=0,0,D8/TrAvia_act!D26*1000000)</f>
        <v>10070.868633082455</v>
      </c>
      <c r="E44" s="84">
        <f>IF(E8=0,0,E8/TrAvia_act!E26*1000000)</f>
        <v>10064.443288230457</v>
      </c>
      <c r="F44" s="84">
        <f>IF(F8=0,0,F8/TrAvia_act!F26*1000000)</f>
        <v>10065.06841990791</v>
      </c>
      <c r="G44" s="84">
        <f>IF(G8=0,0,G8/TrAvia_act!G26*1000000)</f>
        <v>9887.3890165904559</v>
      </c>
      <c r="H44" s="84">
        <f>IF(H8=0,0,H8/TrAvia_act!H26*1000000)</f>
        <v>11504.620251160208</v>
      </c>
      <c r="I44" s="84">
        <f>IF(I8=0,0,I8/TrAvia_act!I26*1000000)</f>
        <v>12134.66445238033</v>
      </c>
      <c r="J44" s="84">
        <f>IF(J8=0,0,J8/TrAvia_act!J26*1000000)</f>
        <v>14072.092416002886</v>
      </c>
      <c r="K44" s="84">
        <f>IF(K8=0,0,K8/TrAvia_act!K26*1000000)</f>
        <v>13341.294900057297</v>
      </c>
      <c r="L44" s="84">
        <f>IF(L8=0,0,L8/TrAvia_act!L26*1000000)</f>
        <v>13694.362118283327</v>
      </c>
      <c r="M44" s="84">
        <f>IF(M8=0,0,M8/TrAvia_act!M26*1000000)</f>
        <v>12569.271029683057</v>
      </c>
      <c r="N44" s="84">
        <f>IF(N8=0,0,N8/TrAvia_act!N26*1000000)</f>
        <v>13605.194887852893</v>
      </c>
      <c r="O44" s="84">
        <f>IF(O8=0,0,O8/TrAvia_act!O26*1000000)</f>
        <v>12700.9992437481</v>
      </c>
      <c r="P44" s="84">
        <f>IF(P8=0,0,P8/TrAvia_act!P26*1000000)</f>
        <v>13722.765865788047</v>
      </c>
      <c r="Q44" s="84">
        <f>IF(Q8=0,0,Q8/TrAvia_act!Q26*1000000)</f>
        <v>14208.585752872299</v>
      </c>
      <c r="R44" s="84">
        <f>IF(R8=0,0,R8/TrAvia_act!R26*1000000)</f>
        <v>13829.482108544225</v>
      </c>
      <c r="S44" s="84">
        <f>IF(S8=0,0,S8/TrAvia_act!S26*1000000)</f>
        <v>16173.037995648252</v>
      </c>
      <c r="T44" s="84">
        <f>IF(T8=0,0,T8/TrAvia_act!T26*1000000)</f>
        <v>17586.298578321868</v>
      </c>
      <c r="U44" s="84">
        <f>IF(U8=0,0,U8/TrAvia_act!U26*1000000)</f>
        <v>18337.06736019233</v>
      </c>
      <c r="V44" s="84">
        <f>IF(V8=0,0,V8/TrAvia_act!V26*1000000)</f>
        <v>17812.807499943203</v>
      </c>
      <c r="W44" s="84">
        <f>IF(W8=0,0,W8/TrAvia_act!W26*1000000)</f>
        <v>18691.005597684532</v>
      </c>
      <c r="X44" s="84">
        <f>IF(X8=0,0,X8/TrAvia_act!X26*1000000)</f>
        <v>19624.060257922305</v>
      </c>
      <c r="Y44" s="84">
        <f>IF(Y8=0,0,Y8/TrAvia_act!Y26*1000000)</f>
        <v>20732.351098110346</v>
      </c>
      <c r="DA44" s="171" t="s">
        <v>355</v>
      </c>
    </row>
    <row r="45" spans="1:105" ht="11.45" customHeight="1" x14ac:dyDescent="0.25">
      <c r="A45" s="83" t="s">
        <v>182</v>
      </c>
      <c r="B45" s="84">
        <f>IF(B9=0,0,B9/TrAvia_act!B27*1000000)</f>
        <v>29749.002369421785</v>
      </c>
      <c r="C45" s="84">
        <f>IF(C9=0,0,C9/TrAvia_act!C27*1000000)</f>
        <v>29758.134166324275</v>
      </c>
      <c r="D45" s="84">
        <f>IF(D9=0,0,D9/TrAvia_act!D27*1000000)</f>
        <v>29705.736747939423</v>
      </c>
      <c r="E45" s="84">
        <f>IF(E9=0,0,E9/TrAvia_act!E27*1000000)</f>
        <v>29686.651125050237</v>
      </c>
      <c r="F45" s="84">
        <f>IF(F9=0,0,F9/TrAvia_act!F27*1000000)</f>
        <v>29688.32420588348</v>
      </c>
      <c r="G45" s="84">
        <f>IF(G9=0,0,G9/TrAvia_act!G27*1000000)</f>
        <v>28422.412801477134</v>
      </c>
      <c r="H45" s="84">
        <f>IF(H9=0,0,H9/TrAvia_act!H27*1000000)</f>
        <v>27036.098389615228</v>
      </c>
      <c r="I45" s="84">
        <f>IF(I9=0,0,I9/TrAvia_act!I27*1000000)</f>
        <v>23183.180231862287</v>
      </c>
      <c r="J45" s="84">
        <f>IF(J9=0,0,J9/TrAvia_act!J27*1000000)</f>
        <v>26037.914699796489</v>
      </c>
      <c r="K45" s="84">
        <f>IF(K9=0,0,K9/TrAvia_act!K27*1000000)</f>
        <v>26798.298004298518</v>
      </c>
      <c r="L45" s="84">
        <f>IF(L9=0,0,L9/TrAvia_act!L27*1000000)</f>
        <v>25549.574781329091</v>
      </c>
      <c r="M45" s="84">
        <f>IF(M9=0,0,M9/TrAvia_act!M27*1000000)</f>
        <v>23179.920253506058</v>
      </c>
      <c r="N45" s="84">
        <f>IF(N9=0,0,N9/TrAvia_act!N27*1000000)</f>
        <v>26006.726275278495</v>
      </c>
      <c r="O45" s="84">
        <f>IF(O9=0,0,O9/TrAvia_act!O27*1000000)</f>
        <v>27107.238986402452</v>
      </c>
      <c r="P45" s="84">
        <f>IF(P9=0,0,P9/TrAvia_act!P27*1000000)</f>
        <v>24205.297980967502</v>
      </c>
      <c r="Q45" s="84">
        <f>IF(Q9=0,0,Q9/TrAvia_act!Q27*1000000)</f>
        <v>22052.433860389061</v>
      </c>
      <c r="R45" s="84">
        <f>IF(R9=0,0,R9/TrAvia_act!R27*1000000)</f>
        <v>31703.25777306157</v>
      </c>
      <c r="S45" s="84">
        <f>IF(S9=0,0,S9/TrAvia_act!S27*1000000)</f>
        <v>28864.220075239456</v>
      </c>
      <c r="T45" s="84">
        <f>IF(T9=0,0,T9/TrAvia_act!T27*1000000)</f>
        <v>20411.524805555673</v>
      </c>
      <c r="U45" s="84">
        <f>IF(U9=0,0,U9/TrAvia_act!U27*1000000)</f>
        <v>20031.203744540253</v>
      </c>
      <c r="V45" s="84">
        <f>IF(V9=0,0,V9/TrAvia_act!V27*1000000)</f>
        <v>33053.741652651253</v>
      </c>
      <c r="W45" s="84">
        <f>IF(W9=0,0,W9/TrAvia_act!W27*1000000)</f>
        <v>26194.277924441998</v>
      </c>
      <c r="X45" s="84">
        <f>IF(X9=0,0,X9/TrAvia_act!X27*1000000)</f>
        <v>27786.692118743791</v>
      </c>
      <c r="Y45" s="84">
        <f>IF(Y9=0,0,Y9/TrAvia_act!Y27*1000000)</f>
        <v>25534.650109594673</v>
      </c>
      <c r="DA45" s="171" t="s">
        <v>356</v>
      </c>
    </row>
    <row r="46" spans="1:105" ht="11.45" customHeight="1" x14ac:dyDescent="0.25">
      <c r="A46" s="12" t="s">
        <v>34</v>
      </c>
      <c r="B46" s="13">
        <f>IF(B10=0,0,B10/TrAvia_act!B28*1000000)</f>
        <v>5656.1776295097789</v>
      </c>
      <c r="C46" s="13">
        <f>IF(C10=0,0,C10/TrAvia_act!C28*1000000)</f>
        <v>5693.3373528886286</v>
      </c>
      <c r="D46" s="13">
        <f>IF(D10=0,0,D10/TrAvia_act!D28*1000000)</f>
        <v>5711.7799384173795</v>
      </c>
      <c r="E46" s="13">
        <f>IF(E10=0,0,E10/TrAvia_act!E28*1000000)</f>
        <v>5729.7124187534046</v>
      </c>
      <c r="F46" s="13">
        <f>IF(F10=0,0,F10/TrAvia_act!F28*1000000)</f>
        <v>5825.6841861899557</v>
      </c>
      <c r="G46" s="13">
        <f>IF(G10=0,0,G10/TrAvia_act!G28*1000000)</f>
        <v>7082.6540240800905</v>
      </c>
      <c r="H46" s="13">
        <f>IF(H10=0,0,H10/TrAvia_act!H28*1000000)</f>
        <v>6246.4876043420982</v>
      </c>
      <c r="I46" s="13">
        <f>IF(I10=0,0,I10/TrAvia_act!I28*1000000)</f>
        <v>6387.1967028158342</v>
      </c>
      <c r="J46" s="13">
        <f>IF(J10=0,0,J10/TrAvia_act!J28*1000000)</f>
        <v>7474.8463580152084</v>
      </c>
      <c r="K46" s="13">
        <f>IF(K10=0,0,K10/TrAvia_act!K28*1000000)</f>
        <v>8232.1387324216303</v>
      </c>
      <c r="L46" s="13">
        <f>IF(L10=0,0,L10/TrAvia_act!L28*1000000)</f>
        <v>12827.283543102798</v>
      </c>
      <c r="M46" s="13">
        <f>IF(M10=0,0,M10/TrAvia_act!M28*1000000)</f>
        <v>11037.067598056412</v>
      </c>
      <c r="N46" s="13">
        <f>IF(N10=0,0,N10/TrAvia_act!N28*1000000)</f>
        <v>11525.157770904185</v>
      </c>
      <c r="O46" s="13">
        <f>IF(O10=0,0,O10/TrAvia_act!O28*1000000)</f>
        <v>11956.081039769919</v>
      </c>
      <c r="P46" s="13">
        <f>IF(P10=0,0,P10/TrAvia_act!P28*1000000)</f>
        <v>14548.534316245008</v>
      </c>
      <c r="Q46" s="13">
        <f>IF(Q10=0,0,Q10/TrAvia_act!Q28*1000000)</f>
        <v>14107.818526022262</v>
      </c>
      <c r="R46" s="13">
        <f>IF(R10=0,0,R10/TrAvia_act!R28*1000000)</f>
        <v>19746.157008421727</v>
      </c>
      <c r="S46" s="13">
        <f>IF(S10=0,0,S10/TrAvia_act!S28*1000000)</f>
        <v>20530.711319134101</v>
      </c>
      <c r="T46" s="13">
        <f>IF(T10=0,0,T10/TrAvia_act!T28*1000000)</f>
        <v>16585.828416087861</v>
      </c>
      <c r="U46" s="13">
        <f>IF(U10=0,0,U10/TrAvia_act!U28*1000000)</f>
        <v>21870.738661047802</v>
      </c>
      <c r="V46" s="13">
        <f>IF(V10=0,0,V10/TrAvia_act!V28*1000000)</f>
        <v>12903.991133215088</v>
      </c>
      <c r="W46" s="13">
        <f>IF(W10=0,0,W10/TrAvia_act!W28*1000000)</f>
        <v>15054.113200325704</v>
      </c>
      <c r="X46" s="13">
        <f>IF(X10=0,0,X10/TrAvia_act!X28*1000000)</f>
        <v>22106.830834105669</v>
      </c>
      <c r="Y46" s="13">
        <f>IF(Y10=0,0,Y10/TrAvia_act!Y28*1000000)</f>
        <v>26134.11867634434</v>
      </c>
      <c r="DA46" s="193" t="s">
        <v>357</v>
      </c>
    </row>
    <row r="47" spans="1:105" ht="11.45" customHeight="1" x14ac:dyDescent="0.25">
      <c r="A47" s="92" t="s">
        <v>27</v>
      </c>
      <c r="B47" s="102">
        <f>IF(B11=0,0,B11/TrAvia_act!B29*1000000)</f>
        <v>353.7108972769139</v>
      </c>
      <c r="C47" s="102">
        <f>IF(C11=0,0,C11/TrAvia_act!C29*1000000)</f>
        <v>354.56769411857925</v>
      </c>
      <c r="D47" s="102">
        <f>IF(D11=0,0,D11/TrAvia_act!D29*1000000)</f>
        <v>354.90160559734693</v>
      </c>
      <c r="E47" s="102">
        <f>IF(E11=0,0,E11/TrAvia_act!E29*1000000)</f>
        <v>354.55683831029205</v>
      </c>
      <c r="F47" s="102">
        <f>IF(F11=0,0,F11/TrAvia_act!F29*1000000)</f>
        <v>354.23756638135615</v>
      </c>
      <c r="G47" s="102">
        <f>IF(G11=0,0,G11/TrAvia_act!G29*1000000)</f>
        <v>354.54126193147374</v>
      </c>
      <c r="H47" s="102">
        <f>IF(H11=0,0,H11/TrAvia_act!H29*1000000)</f>
        <v>351.67156402881665</v>
      </c>
      <c r="I47" s="102">
        <f>IF(I11=0,0,I11/TrAvia_act!I29*1000000)</f>
        <v>432.05875363163096</v>
      </c>
      <c r="J47" s="102">
        <f>IF(J11=0,0,J11/TrAvia_act!J29*1000000)</f>
        <v>339.05208427251466</v>
      </c>
      <c r="K47" s="102">
        <f>IF(K11=0,0,K11/TrAvia_act!K29*1000000)</f>
        <v>487.39369542827012</v>
      </c>
      <c r="L47" s="102">
        <f>IF(L11=0,0,L11/TrAvia_act!L29*1000000)</f>
        <v>486.54692018529204</v>
      </c>
      <c r="M47" s="102">
        <f>IF(M11=0,0,M11/TrAvia_act!M29*1000000)</f>
        <v>533.34708823270273</v>
      </c>
      <c r="N47" s="102">
        <f>IF(N11=0,0,N11/TrAvia_act!N29*1000000)</f>
        <v>1481.1043874768329</v>
      </c>
      <c r="O47" s="102">
        <f>IF(O11=0,0,O11/TrAvia_act!O29*1000000)</f>
        <v>1732.2373257734798</v>
      </c>
      <c r="P47" s="102">
        <f>IF(P11=0,0,P11/TrAvia_act!P29*1000000)</f>
        <v>2762.9026289229796</v>
      </c>
      <c r="Q47" s="102">
        <f>IF(Q11=0,0,Q11/TrAvia_act!Q29*1000000)</f>
        <v>1998.2163753338461</v>
      </c>
      <c r="R47" s="102">
        <f>IF(R11=0,0,R11/TrAvia_act!R29*1000000)</f>
        <v>2602.6269056401657</v>
      </c>
      <c r="S47" s="102">
        <f>IF(S11=0,0,S11/TrAvia_act!S29*1000000)</f>
        <v>2628.0741513241646</v>
      </c>
      <c r="T47" s="102">
        <f>IF(T11=0,0,T11/TrAvia_act!T29*1000000)</f>
        <v>3424.6232022615995</v>
      </c>
      <c r="U47" s="102">
        <f>IF(U11=0,0,U11/TrAvia_act!U29*1000000)</f>
        <v>3405.0224015128451</v>
      </c>
      <c r="V47" s="102">
        <f>IF(V11=0,0,V11/TrAvia_act!V29*1000000)</f>
        <v>4065.7555066783762</v>
      </c>
      <c r="W47" s="102">
        <f>IF(W11=0,0,W11/TrAvia_act!W29*1000000)</f>
        <v>6883.6674823945514</v>
      </c>
      <c r="X47" s="102">
        <f>IF(X11=0,0,X11/TrAvia_act!X29*1000000)</f>
        <v>3728.5928754900497</v>
      </c>
      <c r="Y47" s="102">
        <f>IF(Y11=0,0,Y11/TrAvia_act!Y29*1000000)</f>
        <v>4300.1597482462194</v>
      </c>
      <c r="DA47" s="175" t="s">
        <v>358</v>
      </c>
    </row>
    <row r="48" spans="1:105" ht="11.45" customHeight="1" x14ac:dyDescent="0.25">
      <c r="A48" s="92" t="s">
        <v>181</v>
      </c>
      <c r="B48" s="102">
        <f>IF(B12=0,0,B12/TrAvia_act!B30*1000000)</f>
        <v>9300.5234373505464</v>
      </c>
      <c r="C48" s="102">
        <f>IF(C12=0,0,C12/TrAvia_act!C30*1000000)</f>
        <v>9321.606749895358</v>
      </c>
      <c r="D48" s="102">
        <f>IF(D12=0,0,D12/TrAvia_act!D30*1000000)</f>
        <v>9313.2921761075049</v>
      </c>
      <c r="E48" s="102">
        <f>IF(E12=0,0,E12/TrAvia_act!E30*1000000)</f>
        <v>9291.1294257691061</v>
      </c>
      <c r="F48" s="102">
        <f>IF(F12=0,0,F12/TrAvia_act!F30*1000000)</f>
        <v>9289.0966079658883</v>
      </c>
      <c r="G48" s="102">
        <f>IF(G12=0,0,G12/TrAvia_act!G30*1000000)</f>
        <v>10215.535156087413</v>
      </c>
      <c r="H48" s="102">
        <f>IF(H12=0,0,H12/TrAvia_act!H30*1000000)</f>
        <v>10293.893092319893</v>
      </c>
      <c r="I48" s="102">
        <f>IF(I12=0,0,I12/TrAvia_act!I30*1000000)</f>
        <v>10295.418474043283</v>
      </c>
      <c r="J48" s="102">
        <f>IF(J12=0,0,J12/TrAvia_act!J30*1000000)</f>
        <v>10038.043777842262</v>
      </c>
      <c r="K48" s="102">
        <f>IF(K12=0,0,K12/TrAvia_act!K30*1000000)</f>
        <v>9736.8705224186542</v>
      </c>
      <c r="L48" s="102">
        <f>IF(L12=0,0,L12/TrAvia_act!L30*1000000)</f>
        <v>9786.1504960751045</v>
      </c>
      <c r="M48" s="102">
        <f>IF(M12=0,0,M12/TrAvia_act!M30*1000000)</f>
        <v>8683.4563712404688</v>
      </c>
      <c r="N48" s="102">
        <f>IF(N12=0,0,N12/TrAvia_act!N30*1000000)</f>
        <v>9209.6023313226633</v>
      </c>
      <c r="O48" s="102">
        <f>IF(O12=0,0,O12/TrAvia_act!O30*1000000)</f>
        <v>7976.3894580323331</v>
      </c>
      <c r="P48" s="102">
        <f>IF(P12=0,0,P12/TrAvia_act!P30*1000000)</f>
        <v>8461.3222812691183</v>
      </c>
      <c r="Q48" s="102">
        <f>IF(Q12=0,0,Q12/TrAvia_act!Q30*1000000)</f>
        <v>8051.2723593542005</v>
      </c>
      <c r="R48" s="102">
        <f>IF(R12=0,0,R12/TrAvia_act!R30*1000000)</f>
        <v>7914.5200840015505</v>
      </c>
      <c r="S48" s="102">
        <f>IF(S12=0,0,S12/TrAvia_act!S30*1000000)</f>
        <v>9403.6710113974423</v>
      </c>
      <c r="T48" s="102">
        <f>IF(T12=0,0,T12/TrAvia_act!T30*1000000)</f>
        <v>8932.7033867396258</v>
      </c>
      <c r="U48" s="102">
        <f>IF(U12=0,0,U12/TrAvia_act!U30*1000000)</f>
        <v>9085.9099369384021</v>
      </c>
      <c r="V48" s="102">
        <f>IF(V12=0,0,V12/TrAvia_act!V30*1000000)</f>
        <v>10904.672594958398</v>
      </c>
      <c r="W48" s="102">
        <f>IF(W12=0,0,W12/TrAvia_act!W30*1000000)</f>
        <v>10964.913532839757</v>
      </c>
      <c r="X48" s="102">
        <f>IF(X12=0,0,X12/TrAvia_act!X30*1000000)</f>
        <v>11160.762956511022</v>
      </c>
      <c r="Y48" s="102">
        <f>IF(Y12=0,0,Y12/TrAvia_act!Y30*1000000)</f>
        <v>10542.052752915979</v>
      </c>
      <c r="DA48" s="175" t="s">
        <v>359</v>
      </c>
    </row>
    <row r="49" spans="1:105" ht="11.45" customHeight="1" x14ac:dyDescent="0.25">
      <c r="A49" s="85" t="s">
        <v>182</v>
      </c>
      <c r="B49" s="86">
        <f>IF(B13=0,0,B13/TrAvia_act!B31*1000000)</f>
        <v>6973.9241370002974</v>
      </c>
      <c r="C49" s="86">
        <f>IF(C13=0,0,C13/TrAvia_act!C31*1000000)</f>
        <v>6976.0648628653744</v>
      </c>
      <c r="D49" s="86">
        <f>IF(D13=0,0,D13/TrAvia_act!D31*1000000)</f>
        <v>6963.7815729502063</v>
      </c>
      <c r="E49" s="86">
        <f>IF(E13=0,0,E13/TrAvia_act!E31*1000000)</f>
        <v>6959.3074166580482</v>
      </c>
      <c r="F49" s="86">
        <f>IF(F13=0,0,F13/TrAvia_act!F31*1000000)</f>
        <v>6959.6996294341707</v>
      </c>
      <c r="G49" s="86">
        <f>IF(G13=0,0,G13/TrAvia_act!G31*1000000)</f>
        <v>6662.9377417962842</v>
      </c>
      <c r="H49" s="86">
        <f>IF(H13=0,0,H13/TrAvia_act!H31*1000000)</f>
        <v>10133.571313531376</v>
      </c>
      <c r="I49" s="86">
        <f>IF(I13=0,0,I13/TrAvia_act!I31*1000000)</f>
        <v>13909.561018235048</v>
      </c>
      <c r="J49" s="86">
        <f>IF(J13=0,0,J13/TrAvia_act!J31*1000000)</f>
        <v>25033.900852788403</v>
      </c>
      <c r="K49" s="86">
        <f>IF(K13=0,0,K13/TrAvia_act!K31*1000000)</f>
        <v>41326.563447642649</v>
      </c>
      <c r="L49" s="86">
        <f>IF(L13=0,0,L13/TrAvia_act!L31*1000000)</f>
        <v>63253.747607398393</v>
      </c>
      <c r="M49" s="86">
        <f>IF(M13=0,0,M13/TrAvia_act!M31*1000000)</f>
        <v>51936.468694481693</v>
      </c>
      <c r="N49" s="86">
        <f>IF(N13=0,0,N13/TrAvia_act!N31*1000000)</f>
        <v>51663.8672089104</v>
      </c>
      <c r="O49" s="86">
        <f>IF(O13=0,0,O13/TrAvia_act!O31*1000000)</f>
        <v>54336.030283825894</v>
      </c>
      <c r="P49" s="86">
        <f>IF(P13=0,0,P13/TrAvia_act!P31*1000000)</f>
        <v>48948.634878852405</v>
      </c>
      <c r="Q49" s="86">
        <f>IF(Q13=0,0,Q13/TrAvia_act!Q31*1000000)</f>
        <v>44981.241589306403</v>
      </c>
      <c r="R49" s="86">
        <f>IF(R13=0,0,R13/TrAvia_act!R31*1000000)</f>
        <v>65212.61260446981</v>
      </c>
      <c r="S49" s="86">
        <f>IF(S13=0,0,S13/TrAvia_act!S31*1000000)</f>
        <v>59860.294301798516</v>
      </c>
      <c r="T49" s="86">
        <f>IF(T13=0,0,T13/TrAvia_act!T31*1000000)</f>
        <v>42667.225810960546</v>
      </c>
      <c r="U49" s="86">
        <f>IF(U13=0,0,U13/TrAvia_act!U31*1000000)</f>
        <v>65037.04895646582</v>
      </c>
      <c r="V49" s="86">
        <f>IF(V13=0,0,V13/TrAvia_act!V31*1000000)</f>
        <v>22763.293580889698</v>
      </c>
      <c r="W49" s="86">
        <f>IF(W13=0,0,W13/TrAvia_act!W31*1000000)</f>
        <v>31938.051245160783</v>
      </c>
      <c r="X49" s="86">
        <f>IF(X13=0,0,X13/TrAvia_act!X31*1000000)</f>
        <v>71876.261505224509</v>
      </c>
      <c r="Y49" s="86">
        <f>IF(Y13=0,0,Y13/TrAvia_act!Y31*1000000)</f>
        <v>89391.087105962637</v>
      </c>
      <c r="DA49" s="178" t="s">
        <v>360</v>
      </c>
    </row>
    <row r="50" spans="1:105" x14ac:dyDescent="0.25">
      <c r="A50" s="50"/>
      <c r="B50" s="50"/>
      <c r="C50" s="50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DA50" s="181"/>
    </row>
    <row r="51" spans="1:105" ht="11.45" customHeight="1" x14ac:dyDescent="0.25">
      <c r="A51" s="53" t="s">
        <v>41</v>
      </c>
      <c r="B51" s="76">
        <f t="shared" ref="B51:C51" si="33">IF(B3=0,0,B3/B$3)</f>
        <v>1</v>
      </c>
      <c r="C51" s="76">
        <f t="shared" si="33"/>
        <v>1</v>
      </c>
      <c r="D51" s="76">
        <f t="shared" ref="D51:V51" si="34">IF(D3=0,0,D3/D$3)</f>
        <v>1</v>
      </c>
      <c r="E51" s="76">
        <f t="shared" si="34"/>
        <v>1</v>
      </c>
      <c r="F51" s="76">
        <f t="shared" si="34"/>
        <v>1</v>
      </c>
      <c r="G51" s="76">
        <f t="shared" si="34"/>
        <v>1</v>
      </c>
      <c r="H51" s="76">
        <f t="shared" si="34"/>
        <v>1</v>
      </c>
      <c r="I51" s="76">
        <f t="shared" si="34"/>
        <v>1</v>
      </c>
      <c r="J51" s="76">
        <f t="shared" si="34"/>
        <v>1</v>
      </c>
      <c r="K51" s="76">
        <f t="shared" si="34"/>
        <v>1</v>
      </c>
      <c r="L51" s="76">
        <f t="shared" si="34"/>
        <v>1</v>
      </c>
      <c r="M51" s="76">
        <f t="shared" si="34"/>
        <v>1</v>
      </c>
      <c r="N51" s="76">
        <f t="shared" si="34"/>
        <v>1</v>
      </c>
      <c r="O51" s="76">
        <f t="shared" si="34"/>
        <v>1</v>
      </c>
      <c r="P51" s="76">
        <f t="shared" si="34"/>
        <v>1</v>
      </c>
      <c r="Q51" s="76">
        <f t="shared" si="34"/>
        <v>1</v>
      </c>
      <c r="R51" s="76">
        <f t="shared" si="34"/>
        <v>1</v>
      </c>
      <c r="S51" s="76">
        <f t="shared" si="34"/>
        <v>1</v>
      </c>
      <c r="T51" s="76">
        <f t="shared" si="34"/>
        <v>1</v>
      </c>
      <c r="U51" s="76">
        <f t="shared" si="34"/>
        <v>1</v>
      </c>
      <c r="V51" s="76">
        <f t="shared" si="34"/>
        <v>1</v>
      </c>
      <c r="W51" s="76">
        <f t="shared" ref="W51:Y51" si="35">IF(W3=0,0,W3/W$3)</f>
        <v>1</v>
      </c>
      <c r="X51" s="76">
        <f t="shared" si="35"/>
        <v>1</v>
      </c>
      <c r="Y51" s="76">
        <f t="shared" si="35"/>
        <v>1</v>
      </c>
      <c r="DA51" s="183"/>
    </row>
    <row r="52" spans="1:105" ht="11.45" customHeight="1" x14ac:dyDescent="0.25">
      <c r="A52" s="10" t="s">
        <v>33</v>
      </c>
      <c r="B52" s="16">
        <f t="shared" ref="B52:C52" si="36">IF(B6=0,0,B6/B$3)</f>
        <v>0.99307437042148705</v>
      </c>
      <c r="C52" s="16">
        <f t="shared" si="36"/>
        <v>0.9943756727641887</v>
      </c>
      <c r="D52" s="16">
        <f t="shared" ref="D52:V52" si="37">IF(D6=0,0,D6/D$3)</f>
        <v>0.99365868088864095</v>
      </c>
      <c r="E52" s="16">
        <f t="shared" si="37"/>
        <v>0.99402791916939481</v>
      </c>
      <c r="F52" s="16">
        <f t="shared" si="37"/>
        <v>0.99509052666381914</v>
      </c>
      <c r="G52" s="16">
        <f t="shared" si="37"/>
        <v>0.99430068427332263</v>
      </c>
      <c r="H52" s="16">
        <f t="shared" si="37"/>
        <v>0.99412203281622635</v>
      </c>
      <c r="I52" s="16">
        <f t="shared" si="37"/>
        <v>0.99318389824093989</v>
      </c>
      <c r="J52" s="16">
        <f t="shared" si="37"/>
        <v>0.99244811307656877</v>
      </c>
      <c r="K52" s="16">
        <f t="shared" si="37"/>
        <v>0.99038828565371906</v>
      </c>
      <c r="L52" s="16">
        <f t="shared" si="37"/>
        <v>0.98613928704216414</v>
      </c>
      <c r="M52" s="16">
        <f t="shared" si="37"/>
        <v>0.98702399686395992</v>
      </c>
      <c r="N52" s="16">
        <f t="shared" si="37"/>
        <v>0.98771580086490274</v>
      </c>
      <c r="O52" s="16">
        <f t="shared" si="37"/>
        <v>0.98672092506715836</v>
      </c>
      <c r="P52" s="16">
        <f t="shared" si="37"/>
        <v>0.98650733339526664</v>
      </c>
      <c r="Q52" s="16">
        <f t="shared" si="37"/>
        <v>0.98718784615457866</v>
      </c>
      <c r="R52" s="16">
        <f t="shared" si="37"/>
        <v>0.98447290050391134</v>
      </c>
      <c r="S52" s="16">
        <f t="shared" si="37"/>
        <v>0.98576336017105581</v>
      </c>
      <c r="T52" s="16">
        <f t="shared" si="37"/>
        <v>0.98924173229149837</v>
      </c>
      <c r="U52" s="16">
        <f t="shared" si="37"/>
        <v>0.98603013967106656</v>
      </c>
      <c r="V52" s="16">
        <f t="shared" si="37"/>
        <v>0.98080789833847892</v>
      </c>
      <c r="W52" s="16">
        <f t="shared" ref="W52:Y52" si="38">IF(W6=0,0,W6/W$3)</f>
        <v>0.97703160475050499</v>
      </c>
      <c r="X52" s="16">
        <f t="shared" si="38"/>
        <v>0.97754917582551504</v>
      </c>
      <c r="Y52" s="16">
        <f t="shared" si="38"/>
        <v>0.98053613785066129</v>
      </c>
      <c r="DA52" s="190"/>
    </row>
    <row r="53" spans="1:105" ht="11.45" customHeight="1" x14ac:dyDescent="0.25">
      <c r="A53" s="83" t="s">
        <v>27</v>
      </c>
      <c r="B53" s="103">
        <f t="shared" ref="B53:C53" si="39">IF(B7=0,0,B7/B$3)</f>
        <v>1.0707722933011886E-2</v>
      </c>
      <c r="C53" s="103">
        <f t="shared" si="39"/>
        <v>1.0905807787785321E-2</v>
      </c>
      <c r="D53" s="103">
        <f t="shared" ref="D53:V53" si="40">IF(D7=0,0,D7/D$3)</f>
        <v>1.4792930556332693E-2</v>
      </c>
      <c r="E53" s="103">
        <f t="shared" si="40"/>
        <v>1.3695404254182308E-2</v>
      </c>
      <c r="F53" s="103">
        <f t="shared" si="40"/>
        <v>1.04945198371922E-2</v>
      </c>
      <c r="G53" s="103">
        <f t="shared" si="40"/>
        <v>9.2750212574106376E-3</v>
      </c>
      <c r="H53" s="103">
        <f t="shared" si="40"/>
        <v>6.8862218177411913E-3</v>
      </c>
      <c r="I53" s="103">
        <f t="shared" si="40"/>
        <v>8.7687823516076156E-3</v>
      </c>
      <c r="J53" s="103">
        <f t="shared" si="40"/>
        <v>5.4681475597396934E-3</v>
      </c>
      <c r="K53" s="103">
        <f t="shared" si="40"/>
        <v>8.1623793446571526E-3</v>
      </c>
      <c r="L53" s="103">
        <f t="shared" si="40"/>
        <v>7.7897880436690083E-3</v>
      </c>
      <c r="M53" s="103">
        <f t="shared" si="40"/>
        <v>9.9433291502164459E-3</v>
      </c>
      <c r="N53" s="103">
        <f t="shared" si="40"/>
        <v>3.2654209870082586E-2</v>
      </c>
      <c r="O53" s="103">
        <f t="shared" si="40"/>
        <v>2.9728685302277194E-2</v>
      </c>
      <c r="P53" s="103">
        <f t="shared" si="40"/>
        <v>4.3213407546318708E-2</v>
      </c>
      <c r="Q53" s="103">
        <f t="shared" si="40"/>
        <v>2.7440947335851409E-2</v>
      </c>
      <c r="R53" s="103">
        <f t="shared" si="40"/>
        <v>3.4665292532385129E-2</v>
      </c>
      <c r="S53" s="103">
        <f t="shared" si="40"/>
        <v>3.120485658433074E-2</v>
      </c>
      <c r="T53" s="103">
        <f t="shared" si="40"/>
        <v>3.145538385115644E-2</v>
      </c>
      <c r="U53" s="103">
        <f t="shared" si="40"/>
        <v>3.0324113003960242E-2</v>
      </c>
      <c r="V53" s="103">
        <f t="shared" si="40"/>
        <v>3.8111559578684388E-2</v>
      </c>
      <c r="W53" s="103">
        <f t="shared" ref="W53:Y53" si="41">IF(W7=0,0,W7/W$3)</f>
        <v>5.0347850656160861E-2</v>
      </c>
      <c r="X53" s="103">
        <f t="shared" si="41"/>
        <v>3.0235860579884862E-2</v>
      </c>
      <c r="Y53" s="103">
        <f t="shared" si="41"/>
        <v>3.0376447657587239E-2</v>
      </c>
      <c r="DA53" s="191"/>
    </row>
    <row r="54" spans="1:105" ht="11.45" customHeight="1" x14ac:dyDescent="0.25">
      <c r="A54" s="83" t="s">
        <v>181</v>
      </c>
      <c r="B54" s="103">
        <f t="shared" ref="B54:C54" si="42">IF(B8=0,0,B8/B$3)</f>
        <v>0.65043343070141391</v>
      </c>
      <c r="C54" s="103">
        <f t="shared" si="42"/>
        <v>0.65116950738810608</v>
      </c>
      <c r="D54" s="103">
        <f t="shared" ref="D54:V54" si="43">IF(D8=0,0,D8/D$3)</f>
        <v>0.64810162002442095</v>
      </c>
      <c r="E54" s="103">
        <f t="shared" si="43"/>
        <v>0.64906677116547207</v>
      </c>
      <c r="F54" s="103">
        <f t="shared" si="43"/>
        <v>0.65187427783083185</v>
      </c>
      <c r="G54" s="103">
        <f t="shared" si="43"/>
        <v>0.67510899617672215</v>
      </c>
      <c r="H54" s="103">
        <f t="shared" si="43"/>
        <v>0.71389227206701966</v>
      </c>
      <c r="I54" s="103">
        <f t="shared" si="43"/>
        <v>0.7345667983574552</v>
      </c>
      <c r="J54" s="103">
        <f t="shared" si="43"/>
        <v>0.74798931639792421</v>
      </c>
      <c r="K54" s="103">
        <f t="shared" si="43"/>
        <v>0.72178070572523589</v>
      </c>
      <c r="L54" s="103">
        <f t="shared" si="43"/>
        <v>0.71864904633809246</v>
      </c>
      <c r="M54" s="103">
        <f t="shared" si="43"/>
        <v>0.71625054750338246</v>
      </c>
      <c r="N54" s="103">
        <f t="shared" si="43"/>
        <v>0.70494960153120234</v>
      </c>
      <c r="O54" s="103">
        <f t="shared" si="43"/>
        <v>0.72043899712262072</v>
      </c>
      <c r="P54" s="103">
        <f t="shared" si="43"/>
        <v>0.70629423506104527</v>
      </c>
      <c r="Q54" s="103">
        <f t="shared" si="43"/>
        <v>0.73161314897410479</v>
      </c>
      <c r="R54" s="103">
        <f t="shared" si="43"/>
        <v>0.74046026963678202</v>
      </c>
      <c r="S54" s="103">
        <f t="shared" si="43"/>
        <v>0.75361873854024397</v>
      </c>
      <c r="T54" s="103">
        <f t="shared" si="43"/>
        <v>0.75971825977230045</v>
      </c>
      <c r="U54" s="103">
        <f t="shared" si="43"/>
        <v>0.75967600501868893</v>
      </c>
      <c r="V54" s="103">
        <f t="shared" si="43"/>
        <v>0.66466511016983298</v>
      </c>
      <c r="W54" s="103">
        <f t="shared" ref="W54:Y54" si="44">IF(W8=0,0,W8/W$3)</f>
        <v>0.66911563737019353</v>
      </c>
      <c r="X54" s="103">
        <f t="shared" si="44"/>
        <v>0.74720782012666942</v>
      </c>
      <c r="Y54" s="103">
        <f t="shared" si="44"/>
        <v>0.7537112966031182</v>
      </c>
      <c r="DA54" s="191"/>
    </row>
    <row r="55" spans="1:105" ht="11.45" customHeight="1" x14ac:dyDescent="0.25">
      <c r="A55" s="83" t="s">
        <v>182</v>
      </c>
      <c r="B55" s="103">
        <f t="shared" ref="B55:C55" si="45">IF(B9=0,0,B9/B$3)</f>
        <v>0.33193321678706139</v>
      </c>
      <c r="C55" s="103">
        <f t="shared" si="45"/>
        <v>0.33230035758829723</v>
      </c>
      <c r="D55" s="103">
        <f t="shared" ref="D55:V55" si="46">IF(D9=0,0,D9/D$3)</f>
        <v>0.33076413030788726</v>
      </c>
      <c r="E55" s="103">
        <f t="shared" si="46"/>
        <v>0.33126574374974033</v>
      </c>
      <c r="F55" s="103">
        <f t="shared" si="46"/>
        <v>0.33272172899579522</v>
      </c>
      <c r="G55" s="103">
        <f t="shared" si="46"/>
        <v>0.30991666683918978</v>
      </c>
      <c r="H55" s="103">
        <f t="shared" si="46"/>
        <v>0.27334353893146557</v>
      </c>
      <c r="I55" s="103">
        <f t="shared" si="46"/>
        <v>0.24984831753187706</v>
      </c>
      <c r="J55" s="103">
        <f t="shared" si="46"/>
        <v>0.23899064911890477</v>
      </c>
      <c r="K55" s="103">
        <f t="shared" si="46"/>
        <v>0.26044520058382609</v>
      </c>
      <c r="L55" s="103">
        <f t="shared" si="46"/>
        <v>0.25970045266040265</v>
      </c>
      <c r="M55" s="103">
        <f t="shared" si="46"/>
        <v>0.26083012021036106</v>
      </c>
      <c r="N55" s="103">
        <f t="shared" si="46"/>
        <v>0.25011198946361785</v>
      </c>
      <c r="O55" s="103">
        <f t="shared" si="46"/>
        <v>0.23655324264226046</v>
      </c>
      <c r="P55" s="103">
        <f t="shared" si="46"/>
        <v>0.23699969078790262</v>
      </c>
      <c r="Q55" s="103">
        <f t="shared" si="46"/>
        <v>0.22813374984462242</v>
      </c>
      <c r="R55" s="103">
        <f t="shared" si="46"/>
        <v>0.20934733833474431</v>
      </c>
      <c r="S55" s="103">
        <f t="shared" si="46"/>
        <v>0.20093976504648112</v>
      </c>
      <c r="T55" s="103">
        <f t="shared" si="46"/>
        <v>0.19806808866804154</v>
      </c>
      <c r="U55" s="103">
        <f t="shared" si="46"/>
        <v>0.19603002164841724</v>
      </c>
      <c r="V55" s="103">
        <f t="shared" si="46"/>
        <v>0.2780312285899616</v>
      </c>
      <c r="W55" s="103">
        <f t="shared" ref="W55:Y55" si="47">IF(W9=0,0,W9/W$3)</f>
        <v>0.25756811672415064</v>
      </c>
      <c r="X55" s="103">
        <f t="shared" si="47"/>
        <v>0.20010549511896078</v>
      </c>
      <c r="Y55" s="103">
        <f t="shared" si="47"/>
        <v>0.19644839358995594</v>
      </c>
      <c r="DA55" s="191"/>
    </row>
    <row r="56" spans="1:105" ht="11.45" customHeight="1" x14ac:dyDescent="0.25">
      <c r="A56" s="12" t="s">
        <v>34</v>
      </c>
      <c r="B56" s="17">
        <f t="shared" ref="B56:C56" si="48">IF(B10=0,0,B10/B$3)</f>
        <v>6.9256295785128158E-3</v>
      </c>
      <c r="C56" s="17">
        <f t="shared" si="48"/>
        <v>5.624327235811257E-3</v>
      </c>
      <c r="D56" s="17">
        <f t="shared" ref="D56:V56" si="49">IF(D10=0,0,D10/D$3)</f>
        <v>6.3413191113590563E-3</v>
      </c>
      <c r="E56" s="17">
        <f t="shared" si="49"/>
        <v>5.972080830605314E-3</v>
      </c>
      <c r="F56" s="17">
        <f t="shared" si="49"/>
        <v>4.909473336180855E-3</v>
      </c>
      <c r="G56" s="17">
        <f t="shared" si="49"/>
        <v>5.6993157266774152E-3</v>
      </c>
      <c r="H56" s="17">
        <f t="shared" si="49"/>
        <v>5.877967183773712E-3</v>
      </c>
      <c r="I56" s="17">
        <f t="shared" si="49"/>
        <v>6.8161017590601556E-3</v>
      </c>
      <c r="J56" s="17">
        <f t="shared" si="49"/>
        <v>7.5518869234312332E-3</v>
      </c>
      <c r="K56" s="17">
        <f t="shared" si="49"/>
        <v>9.6117143462808256E-3</v>
      </c>
      <c r="L56" s="17">
        <f t="shared" si="49"/>
        <v>1.386071295783586E-2</v>
      </c>
      <c r="M56" s="17">
        <f t="shared" si="49"/>
        <v>1.2976003136040087E-2</v>
      </c>
      <c r="N56" s="17">
        <f t="shared" si="49"/>
        <v>1.2284199135097184E-2</v>
      </c>
      <c r="O56" s="17">
        <f t="shared" si="49"/>
        <v>1.3279074932841587E-2</v>
      </c>
      <c r="P56" s="17">
        <f t="shared" si="49"/>
        <v>1.3492666604733361E-2</v>
      </c>
      <c r="Q56" s="17">
        <f t="shared" si="49"/>
        <v>1.2812153845421276E-2</v>
      </c>
      <c r="R56" s="17">
        <f t="shared" si="49"/>
        <v>1.5527099496088489E-2</v>
      </c>
      <c r="S56" s="17">
        <f t="shared" si="49"/>
        <v>1.4236639828944228E-2</v>
      </c>
      <c r="T56" s="17">
        <f t="shared" si="49"/>
        <v>1.0758267708501643E-2</v>
      </c>
      <c r="U56" s="17">
        <f t="shared" si="49"/>
        <v>1.396986032893353E-2</v>
      </c>
      <c r="V56" s="17">
        <f t="shared" si="49"/>
        <v>1.9192101661520959E-2</v>
      </c>
      <c r="W56" s="17">
        <f t="shared" ref="W56:Y56" si="50">IF(W10=0,0,W10/W$3)</f>
        <v>2.2968395249494969E-2</v>
      </c>
      <c r="X56" s="17">
        <f t="shared" si="50"/>
        <v>2.2450824174485042E-2</v>
      </c>
      <c r="Y56" s="17">
        <f t="shared" si="50"/>
        <v>1.946386214933863E-2</v>
      </c>
      <c r="DA56" s="194"/>
    </row>
    <row r="57" spans="1:105" ht="11.45" customHeight="1" x14ac:dyDescent="0.25">
      <c r="A57" s="92" t="s">
        <v>27</v>
      </c>
      <c r="B57" s="104">
        <f t="shared" ref="B57:C57" si="51">IF(B11=0,0,B11/B$3)</f>
        <v>1.6158466203346176E-4</v>
      </c>
      <c r="C57" s="104">
        <f t="shared" si="51"/>
        <v>1.2698860934932585E-4</v>
      </c>
      <c r="D57" s="104">
        <f t="shared" ref="D57:V57" si="52">IF(D11=0,0,D11/D$3)</f>
        <v>1.431627367478543E-4</v>
      </c>
      <c r="E57" s="104">
        <f t="shared" si="52"/>
        <v>1.3201204973543613E-4</v>
      </c>
      <c r="F57" s="104">
        <f t="shared" si="52"/>
        <v>1.0004664854099541E-4</v>
      </c>
      <c r="G57" s="104">
        <f t="shared" si="52"/>
        <v>7.0878421190359494E-5</v>
      </c>
      <c r="H57" s="104">
        <f t="shared" si="52"/>
        <v>1.3401501280168015E-4</v>
      </c>
      <c r="I57" s="104">
        <f t="shared" si="52"/>
        <v>2.0537233086206219E-4</v>
      </c>
      <c r="J57" s="104">
        <f t="shared" si="52"/>
        <v>1.5324451937671335E-4</v>
      </c>
      <c r="K57" s="104">
        <f t="shared" si="52"/>
        <v>2.4479124806001253E-4</v>
      </c>
      <c r="L57" s="104">
        <f t="shared" si="52"/>
        <v>1.9616900429051022E-4</v>
      </c>
      <c r="M57" s="104">
        <f t="shared" si="52"/>
        <v>2.2251040623877584E-4</v>
      </c>
      <c r="N57" s="104">
        <f t="shared" si="52"/>
        <v>5.2238616148711785E-4</v>
      </c>
      <c r="O57" s="104">
        <f t="shared" si="52"/>
        <v>5.4650707532479773E-4</v>
      </c>
      <c r="P57" s="104">
        <f t="shared" si="52"/>
        <v>4.5359895185086526E-4</v>
      </c>
      <c r="Q57" s="104">
        <f t="shared" si="52"/>
        <v>2.2870189402854718E-4</v>
      </c>
      <c r="R57" s="104">
        <f t="shared" si="52"/>
        <v>1.4661759785023742E-4</v>
      </c>
      <c r="S57" s="104">
        <f t="shared" si="52"/>
        <v>4.2751081605958473E-5</v>
      </c>
      <c r="T57" s="104">
        <f t="shared" si="52"/>
        <v>4.4886917601979233E-5</v>
      </c>
      <c r="U57" s="104">
        <f t="shared" si="52"/>
        <v>5.4016947793233551E-5</v>
      </c>
      <c r="V57" s="104">
        <f t="shared" si="52"/>
        <v>4.5466141309846211E-5</v>
      </c>
      <c r="W57" s="104">
        <f t="shared" ref="W57:Y57" si="53">IF(W11=0,0,W11/W$3)</f>
        <v>6.5472532895416419E-5</v>
      </c>
      <c r="X57" s="104">
        <f t="shared" si="53"/>
        <v>3.1933799145178126E-5</v>
      </c>
      <c r="Y57" s="104">
        <f t="shared" si="53"/>
        <v>2.3351239538156431E-5</v>
      </c>
      <c r="DA57" s="195"/>
    </row>
    <row r="58" spans="1:105" ht="11.45" customHeight="1" x14ac:dyDescent="0.25">
      <c r="A58" s="92" t="s">
        <v>181</v>
      </c>
      <c r="B58" s="104">
        <f t="shared" ref="B58:C58" si="54">IF(B12=0,0,B12/B$3)</f>
        <v>5.6396179770514931E-3</v>
      </c>
      <c r="C58" s="104">
        <f t="shared" si="54"/>
        <v>4.3887409356083793E-3</v>
      </c>
      <c r="D58" s="104">
        <f t="shared" ref="D58:V58" si="55">IF(D12=0,0,D12/D$3)</f>
        <v>5.0577457109153767E-3</v>
      </c>
      <c r="E58" s="104">
        <f t="shared" si="55"/>
        <v>4.691891423419148E-3</v>
      </c>
      <c r="F58" s="104">
        <f t="shared" si="55"/>
        <v>3.6284726012023754E-3</v>
      </c>
      <c r="G58" s="104">
        <f t="shared" si="55"/>
        <v>4.5976224976515866E-3</v>
      </c>
      <c r="H58" s="104">
        <f t="shared" si="55"/>
        <v>4.489854973540465E-3</v>
      </c>
      <c r="I58" s="104">
        <f t="shared" si="55"/>
        <v>4.6181650209182346E-3</v>
      </c>
      <c r="J58" s="104">
        <f t="shared" si="55"/>
        <v>4.403547051940797E-3</v>
      </c>
      <c r="K58" s="104">
        <f t="shared" si="55"/>
        <v>5.5879634372021118E-3</v>
      </c>
      <c r="L58" s="104">
        <f t="shared" si="55"/>
        <v>5.3412051236679664E-3</v>
      </c>
      <c r="M58" s="104">
        <f t="shared" si="55"/>
        <v>5.3480762458347547E-3</v>
      </c>
      <c r="N58" s="104">
        <f t="shared" si="55"/>
        <v>5.4411987129813696E-3</v>
      </c>
      <c r="O58" s="104">
        <f t="shared" si="55"/>
        <v>5.2430891258719858E-3</v>
      </c>
      <c r="P58" s="104">
        <f t="shared" si="55"/>
        <v>5.0827650487552571E-3</v>
      </c>
      <c r="Q58" s="104">
        <f t="shared" si="55"/>
        <v>5.040162873560022E-3</v>
      </c>
      <c r="R58" s="104">
        <f t="shared" si="55"/>
        <v>4.4511716494533881E-3</v>
      </c>
      <c r="S58" s="104">
        <f t="shared" si="55"/>
        <v>4.9092771417389141E-3</v>
      </c>
      <c r="T58" s="104">
        <f t="shared" si="55"/>
        <v>4.3434543280632459E-3</v>
      </c>
      <c r="U58" s="104">
        <f t="shared" si="55"/>
        <v>4.3187008637001305E-3</v>
      </c>
      <c r="V58" s="104">
        <f t="shared" si="55"/>
        <v>1.3291866392725874E-2</v>
      </c>
      <c r="W58" s="104">
        <f t="shared" ref="W58:Y58" si="56">IF(W12=0,0,W12/W$3)</f>
        <v>1.334304068534826E-2</v>
      </c>
      <c r="X58" s="104">
        <f t="shared" si="56"/>
        <v>9.1837191567288555E-3</v>
      </c>
      <c r="Y58" s="104">
        <f t="shared" si="56"/>
        <v>6.237029079727275E-3</v>
      </c>
      <c r="DA58" s="195"/>
    </row>
    <row r="59" spans="1:105" ht="11.45" customHeight="1" x14ac:dyDescent="0.25">
      <c r="A59" s="85" t="s">
        <v>182</v>
      </c>
      <c r="B59" s="105">
        <f t="shared" ref="B59:C59" si="57">IF(B13=0,0,B13/B$3)</f>
        <v>1.1244269394278608E-3</v>
      </c>
      <c r="C59" s="105">
        <f t="shared" si="57"/>
        <v>1.1085976908535521E-3</v>
      </c>
      <c r="D59" s="105">
        <f t="shared" ref="D59:V59" si="58">IF(D13=0,0,D13/D$3)</f>
        <v>1.140410663695825E-3</v>
      </c>
      <c r="E59" s="105">
        <f t="shared" si="58"/>
        <v>1.1481773574507292E-3</v>
      </c>
      <c r="F59" s="105">
        <f t="shared" si="58"/>
        <v>1.1809540864374842E-3</v>
      </c>
      <c r="G59" s="105">
        <f t="shared" si="58"/>
        <v>1.0308148078354686E-3</v>
      </c>
      <c r="H59" s="105">
        <f t="shared" si="58"/>
        <v>1.2540971974315668E-3</v>
      </c>
      <c r="I59" s="105">
        <f t="shared" si="58"/>
        <v>1.9925644072798592E-3</v>
      </c>
      <c r="J59" s="105">
        <f t="shared" si="58"/>
        <v>2.9950953521137224E-3</v>
      </c>
      <c r="K59" s="105">
        <f t="shared" si="58"/>
        <v>3.7789596610187009E-3</v>
      </c>
      <c r="L59" s="105">
        <f t="shared" si="58"/>
        <v>8.3233388298773834E-3</v>
      </c>
      <c r="M59" s="105">
        <f t="shared" si="58"/>
        <v>7.4054164839665575E-3</v>
      </c>
      <c r="N59" s="105">
        <f t="shared" si="58"/>
        <v>6.3206142606286979E-3</v>
      </c>
      <c r="O59" s="105">
        <f t="shared" si="58"/>
        <v>7.4894787316448028E-3</v>
      </c>
      <c r="P59" s="105">
        <f t="shared" si="58"/>
        <v>7.956302604127238E-3</v>
      </c>
      <c r="Q59" s="105">
        <f t="shared" si="58"/>
        <v>7.5432890778327063E-3</v>
      </c>
      <c r="R59" s="105">
        <f t="shared" si="58"/>
        <v>1.0929310248784864E-2</v>
      </c>
      <c r="S59" s="105">
        <f t="shared" si="58"/>
        <v>9.2846116055993536E-3</v>
      </c>
      <c r="T59" s="105">
        <f t="shared" si="58"/>
        <v>6.3699264628364173E-3</v>
      </c>
      <c r="U59" s="105">
        <f t="shared" si="58"/>
        <v>9.5971425174401648E-3</v>
      </c>
      <c r="V59" s="105">
        <f t="shared" si="58"/>
        <v>5.8547691274852386E-3</v>
      </c>
      <c r="W59" s="105">
        <f t="shared" ref="W59:Y59" si="59">IF(W13=0,0,W13/W$3)</f>
        <v>9.5598820312512919E-3</v>
      </c>
      <c r="X59" s="105">
        <f t="shared" si="59"/>
        <v>1.3235171218611008E-2</v>
      </c>
      <c r="Y59" s="105">
        <f t="shared" si="59"/>
        <v>1.3203481830073199E-2</v>
      </c>
      <c r="DA59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Y5" formulaRange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pageSetUpPr fitToPage="1"/>
  </sheetPr>
  <dimension ref="A1:DA27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45" customHeight="1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361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Z1" s="49"/>
      <c r="AA1" s="49"/>
      <c r="AB1" s="49"/>
      <c r="AC1" s="49"/>
      <c r="AD1" s="49"/>
      <c r="AE1" s="49"/>
      <c r="AF1" s="49"/>
      <c r="DA1" s="170" t="s">
        <v>152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DA2" s="181"/>
    </row>
    <row r="3" spans="1:105" ht="11.45" customHeight="1" x14ac:dyDescent="0.25">
      <c r="A3" s="53" t="s">
        <v>67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DA3" s="172"/>
    </row>
    <row r="4" spans="1:105" ht="11.45" customHeight="1" x14ac:dyDescent="0.25">
      <c r="A4" s="10" t="s">
        <v>33</v>
      </c>
      <c r="B4" s="11">
        <f t="shared" ref="B4:C4" si="0">SUM(B5:B7)</f>
        <v>6498585</v>
      </c>
      <c r="C4" s="11">
        <f t="shared" si="0"/>
        <v>6551060</v>
      </c>
      <c r="D4" s="11">
        <f t="shared" ref="D4" si="1">SUM(D5:D7)</f>
        <v>7027154</v>
      </c>
      <c r="E4" s="11">
        <f t="shared" ref="E4" si="2">SUM(E5:E7)</f>
        <v>7651967</v>
      </c>
      <c r="F4" s="11">
        <f t="shared" ref="F4" si="3">SUM(F5:F7)</f>
        <v>7273666</v>
      </c>
      <c r="G4" s="11">
        <f t="shared" ref="G4" si="4">SUM(G5:G7)</f>
        <v>8664901</v>
      </c>
      <c r="H4" s="11">
        <f t="shared" ref="H4" si="5">SUM(H5:H7)</f>
        <v>10620081</v>
      </c>
      <c r="I4" s="11">
        <f t="shared" ref="I4" si="6">SUM(I5:I7)</f>
        <v>13241483</v>
      </c>
      <c r="J4" s="11">
        <f t="shared" ref="J4" si="7">SUM(J5:J7)</f>
        <v>14655902</v>
      </c>
      <c r="K4" s="11">
        <f t="shared" ref="K4" si="8">SUM(K5:K7)</f>
        <v>13267965</v>
      </c>
      <c r="L4" s="11">
        <f t="shared" ref="L4" si="9">SUM(L5:L7)</f>
        <v>14184327</v>
      </c>
      <c r="M4" s="11">
        <f t="shared" ref="M4" si="10">SUM(M5:M7)</f>
        <v>15238000</v>
      </c>
      <c r="N4" s="11">
        <f t="shared" ref="N4" si="11">SUM(N5:N7)</f>
        <v>15904606</v>
      </c>
      <c r="O4" s="11">
        <f t="shared" ref="O4" si="12">SUM(O5:O7)</f>
        <v>16891135</v>
      </c>
      <c r="P4" s="11">
        <f t="shared" ref="P4" si="13">SUM(P5:P7)</f>
        <v>18083926</v>
      </c>
      <c r="Q4" s="11">
        <f t="shared" ref="Q4" si="14">SUM(Q5:Q7)</f>
        <v>20513764</v>
      </c>
      <c r="R4" s="11">
        <f t="shared" ref="R4" si="15">SUM(R5:R7)</f>
        <v>21482980</v>
      </c>
      <c r="S4" s="11">
        <f t="shared" ref="S4" si="16">SUM(S5:S7)</f>
        <v>24296173</v>
      </c>
      <c r="T4" s="11">
        <f t="shared" ref="T4" si="17">SUM(T5:T7)</f>
        <v>27712522</v>
      </c>
      <c r="U4" s="11">
        <f t="shared" ref="U4" si="18">SUM(U5:U7)</f>
        <v>29135195</v>
      </c>
      <c r="V4" s="11">
        <f t="shared" ref="V4:W4" si="19">SUM(V5:V7)</f>
        <v>11191724</v>
      </c>
      <c r="W4" s="11">
        <f t="shared" si="19"/>
        <v>14501861</v>
      </c>
      <c r="X4" s="11">
        <f t="shared" ref="X4:Y4" si="20">SUM(X5:X7)</f>
        <v>25430334</v>
      </c>
      <c r="Y4" s="11">
        <f t="shared" si="20"/>
        <v>30513578</v>
      </c>
      <c r="DA4" s="189" t="s">
        <v>362</v>
      </c>
    </row>
    <row r="5" spans="1:105" ht="11.45" customHeight="1" x14ac:dyDescent="0.25">
      <c r="A5" s="83" t="s">
        <v>27</v>
      </c>
      <c r="B5" s="84">
        <v>1276537</v>
      </c>
      <c r="C5" s="84">
        <v>1293834</v>
      </c>
      <c r="D5" s="84">
        <v>1755003</v>
      </c>
      <c r="E5" s="84">
        <v>1811654</v>
      </c>
      <c r="F5" s="84">
        <v>1393547</v>
      </c>
      <c r="G5" s="84">
        <v>1438305</v>
      </c>
      <c r="H5" s="84">
        <v>1475849</v>
      </c>
      <c r="I5" s="84">
        <v>1767814</v>
      </c>
      <c r="J5" s="84">
        <v>1714634</v>
      </c>
      <c r="K5" s="84">
        <v>1588668</v>
      </c>
      <c r="L5" s="84">
        <v>1733104</v>
      </c>
      <c r="M5" s="84">
        <v>1943760</v>
      </c>
      <c r="N5" s="84">
        <v>2793868</v>
      </c>
      <c r="O5" s="84">
        <v>2129481</v>
      </c>
      <c r="P5" s="84">
        <v>2472614</v>
      </c>
      <c r="Q5" s="84">
        <v>2495848</v>
      </c>
      <c r="R5" s="84">
        <v>2629100</v>
      </c>
      <c r="S5" s="84">
        <v>2928992</v>
      </c>
      <c r="T5" s="84">
        <v>2572444</v>
      </c>
      <c r="U5" s="84">
        <v>2617899</v>
      </c>
      <c r="V5" s="84">
        <v>1268864</v>
      </c>
      <c r="W5" s="84">
        <v>1295859</v>
      </c>
      <c r="X5" s="84">
        <v>2371494</v>
      </c>
      <c r="Y5" s="84">
        <v>2635232</v>
      </c>
      <c r="DA5" s="171" t="s">
        <v>363</v>
      </c>
    </row>
    <row r="6" spans="1:105" ht="11.45" customHeight="1" x14ac:dyDescent="0.25">
      <c r="A6" s="83" t="s">
        <v>181</v>
      </c>
      <c r="B6" s="84">
        <v>4326922</v>
      </c>
      <c r="C6" s="84">
        <v>4355717</v>
      </c>
      <c r="D6" s="84">
        <v>4373911</v>
      </c>
      <c r="E6" s="84">
        <v>4843856</v>
      </c>
      <c r="F6" s="84">
        <v>4872680</v>
      </c>
      <c r="G6" s="84">
        <v>6091904</v>
      </c>
      <c r="H6" s="84">
        <v>7742476</v>
      </c>
      <c r="I6" s="84">
        <v>9821711</v>
      </c>
      <c r="J6" s="84">
        <v>10726482</v>
      </c>
      <c r="K6" s="84">
        <v>9623725</v>
      </c>
      <c r="L6" s="84">
        <v>10054491</v>
      </c>
      <c r="M6" s="84">
        <v>10879239</v>
      </c>
      <c r="N6" s="84">
        <v>10840431</v>
      </c>
      <c r="O6" s="84">
        <v>12530886</v>
      </c>
      <c r="P6" s="84">
        <v>13062297</v>
      </c>
      <c r="Q6" s="84">
        <v>15011375</v>
      </c>
      <c r="R6" s="84">
        <v>16642053</v>
      </c>
      <c r="S6" s="84">
        <v>18325717</v>
      </c>
      <c r="T6" s="84">
        <v>20577791</v>
      </c>
      <c r="U6" s="84">
        <v>20977045</v>
      </c>
      <c r="V6" s="84">
        <v>8245896</v>
      </c>
      <c r="W6" s="84">
        <v>10116039</v>
      </c>
      <c r="X6" s="84">
        <v>18737707</v>
      </c>
      <c r="Y6" s="84">
        <v>22102501</v>
      </c>
      <c r="DA6" s="171" t="s">
        <v>364</v>
      </c>
    </row>
    <row r="7" spans="1:105" ht="11.45" customHeight="1" x14ac:dyDescent="0.25">
      <c r="A7" s="85" t="s">
        <v>182</v>
      </c>
      <c r="B7" s="86">
        <v>895126</v>
      </c>
      <c r="C7" s="86">
        <v>901509</v>
      </c>
      <c r="D7" s="86">
        <v>898240</v>
      </c>
      <c r="E7" s="86">
        <v>996457</v>
      </c>
      <c r="F7" s="86">
        <v>1007439</v>
      </c>
      <c r="G7" s="86">
        <v>1134692</v>
      </c>
      <c r="H7" s="86">
        <v>1401756</v>
      </c>
      <c r="I7" s="86">
        <v>1651958</v>
      </c>
      <c r="J7" s="86">
        <v>2214786</v>
      </c>
      <c r="K7" s="86">
        <v>2055572</v>
      </c>
      <c r="L7" s="86">
        <v>2396732</v>
      </c>
      <c r="M7" s="86">
        <v>2415001</v>
      </c>
      <c r="N7" s="86">
        <v>2270307</v>
      </c>
      <c r="O7" s="86">
        <v>2230768</v>
      </c>
      <c r="P7" s="86">
        <v>2549015</v>
      </c>
      <c r="Q7" s="86">
        <v>3006541</v>
      </c>
      <c r="R7" s="86">
        <v>2211827</v>
      </c>
      <c r="S7" s="86">
        <v>3041464</v>
      </c>
      <c r="T7" s="86">
        <v>4562287</v>
      </c>
      <c r="U7" s="86">
        <v>5540251</v>
      </c>
      <c r="V7" s="86">
        <v>1676964</v>
      </c>
      <c r="W7" s="86">
        <v>3089963</v>
      </c>
      <c r="X7" s="86">
        <v>4321133</v>
      </c>
      <c r="Y7" s="86">
        <v>5775845</v>
      </c>
      <c r="DA7" s="178" t="s">
        <v>365</v>
      </c>
    </row>
    <row r="8" spans="1:105" ht="11.45" customHeight="1" x14ac:dyDescent="0.25">
      <c r="A8" s="50"/>
      <c r="B8" s="50"/>
      <c r="C8" s="50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DA8" s="181"/>
    </row>
    <row r="9" spans="1:105" ht="11.45" customHeight="1" x14ac:dyDescent="0.25">
      <c r="A9" s="68" t="s">
        <v>36</v>
      </c>
      <c r="B9" s="69"/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X9" s="69"/>
      <c r="Y9" s="69"/>
      <c r="DA9" s="179"/>
    </row>
    <row r="10" spans="1:105" ht="11.45" customHeight="1" x14ac:dyDescent="0.25">
      <c r="A10" s="50"/>
      <c r="B10" s="50"/>
      <c r="C10" s="50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DA10" s="181"/>
    </row>
    <row r="11" spans="1:105" ht="11.45" customHeight="1" x14ac:dyDescent="0.25">
      <c r="A11" s="53" t="s">
        <v>68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DA11" s="172"/>
    </row>
    <row r="12" spans="1:105" ht="11.45" customHeight="1" x14ac:dyDescent="0.25">
      <c r="A12" s="10" t="s">
        <v>33</v>
      </c>
      <c r="B12" s="14">
        <f>IF(B4=0,0,B4/TrAvia_act!B24)</f>
        <v>72.863077285315455</v>
      </c>
      <c r="C12" s="14">
        <f>IF(C4=0,0,C4/TrAvia_act!C24)</f>
        <v>74.185899032908296</v>
      </c>
      <c r="D12" s="14">
        <f>IF(D4=0,0,D4/TrAvia_act!D24)</f>
        <v>73.704705166663175</v>
      </c>
      <c r="E12" s="14">
        <f>IF(E4=0,0,E4/TrAvia_act!E24)</f>
        <v>76.104141388021404</v>
      </c>
      <c r="F12" s="14">
        <f>IF(F4=0,0,F4/TrAvia_act!F24)</f>
        <v>79.711408219178082</v>
      </c>
      <c r="G12" s="14">
        <f>IF(G4=0,0,G4/TrAvia_act!G24)</f>
        <v>83.812785343960385</v>
      </c>
      <c r="H12" s="14">
        <f>IF(H4=0,0,H4/TrAvia_act!H24)</f>
        <v>88.340925160335061</v>
      </c>
      <c r="I12" s="14">
        <f>IF(I4=0,0,I4/TrAvia_act!I24)</f>
        <v>105.70523198262924</v>
      </c>
      <c r="J12" s="14">
        <f>IF(J4=0,0,J4/TrAvia_act!J24)</f>
        <v>113.89505669145704</v>
      </c>
      <c r="K12" s="14">
        <f>IF(K4=0,0,K4/TrAvia_act!K24)</f>
        <v>113.30747158338814</v>
      </c>
      <c r="L12" s="14">
        <f>IF(L4=0,0,L4/TrAvia_act!L24)</f>
        <v>117.73863853311531</v>
      </c>
      <c r="M12" s="14">
        <f>IF(M4=0,0,M4/TrAvia_act!M24)</f>
        <v>116.29309094794361</v>
      </c>
      <c r="N12" s="14">
        <f>IF(N4=0,0,N4/TrAvia_act!N24)</f>
        <v>113.87845026957748</v>
      </c>
      <c r="O12" s="14">
        <f>IF(O4=0,0,O4/TrAvia_act!O24)</f>
        <v>125.57437681676592</v>
      </c>
      <c r="P12" s="14">
        <f>IF(P4=0,0,P4/TrAvia_act!P24)</f>
        <v>128.32031959582199</v>
      </c>
      <c r="Q12" s="14">
        <f>IF(Q4=0,0,Q4/TrAvia_act!Q24)</f>
        <v>135.69188842365674</v>
      </c>
      <c r="R12" s="14">
        <f>IF(R4=0,0,R4/TrAvia_act!R24)</f>
        <v>138.05211579860554</v>
      </c>
      <c r="S12" s="14">
        <f>IF(S4=0,0,S4/TrAvia_act!S24)</f>
        <v>141.41961676814006</v>
      </c>
      <c r="T12" s="14">
        <f>IF(T4=0,0,T4/TrAvia_act!T24)</f>
        <v>143.60382217754264</v>
      </c>
      <c r="U12" s="14">
        <f>IF(U4=0,0,U4/TrAvia_act!U24)</f>
        <v>146.10992146675628</v>
      </c>
      <c r="V12" s="14">
        <f>IF(V4=0,0,V4/TrAvia_act!V24)</f>
        <v>140.82245765910864</v>
      </c>
      <c r="W12" s="14">
        <f>IF(W4=0,0,W4/TrAvia_act!W24)</f>
        <v>152.45378089421067</v>
      </c>
      <c r="X12" s="14">
        <f>IF(X4=0,0,X4/TrAvia_act!X24)</f>
        <v>157.08015121005101</v>
      </c>
      <c r="Y12" s="14">
        <f>IF(Y4=0,0,Y4/TrAvia_act!Y24)</f>
        <v>162.26311087476734</v>
      </c>
      <c r="DA12" s="189" t="s">
        <v>366</v>
      </c>
    </row>
    <row r="13" spans="1:105" ht="11.45" customHeight="1" x14ac:dyDescent="0.25">
      <c r="A13" s="83" t="s">
        <v>27</v>
      </c>
      <c r="B13" s="87">
        <f>IF(B5=0,0,B5/TrAvia_act!B25)</f>
        <v>52.231464811783958</v>
      </c>
      <c r="C13" s="87">
        <f>IF(C5=0,0,C5/TrAvia_act!C25)</f>
        <v>52.887262916939179</v>
      </c>
      <c r="D13" s="87">
        <f>IF(D5=0,0,D5/TrAvia_act!D25)</f>
        <v>53.750359866466567</v>
      </c>
      <c r="E13" s="87">
        <f>IF(E5=0,0,E5/TrAvia_act!E25)</f>
        <v>55.429384408273158</v>
      </c>
      <c r="F13" s="87">
        <f>IF(F5=0,0,F5/TrAvia_act!F25)</f>
        <v>56.791384790936505</v>
      </c>
      <c r="G13" s="87">
        <f>IF(G5=0,0,G5/TrAvia_act!G25)</f>
        <v>58.555754590237349</v>
      </c>
      <c r="H13" s="87">
        <f>IF(H5=0,0,H5/TrAvia_act!H25)</f>
        <v>60.023141369773874</v>
      </c>
      <c r="I13" s="87">
        <f>IF(I5=0,0,I5/TrAvia_act!I25)</f>
        <v>66.205302973560038</v>
      </c>
      <c r="J13" s="87">
        <f>IF(J5=0,0,J5/TrAvia_act!J25)</f>
        <v>67.182587571506929</v>
      </c>
      <c r="K13" s="87">
        <f>IF(K5=0,0,K5/TrAvia_act!K25)</f>
        <v>67.39068465258336</v>
      </c>
      <c r="L13" s="87">
        <f>IF(L5=0,0,L5/TrAvia_act!L25)</f>
        <v>72.715616346395905</v>
      </c>
      <c r="M13" s="87">
        <f>IF(M5=0,0,M5/TrAvia_act!M25)</f>
        <v>70.270778352192622</v>
      </c>
      <c r="N13" s="87">
        <f>IF(N5=0,0,N5/TrAvia_act!N25)</f>
        <v>76.075371000680732</v>
      </c>
      <c r="O13" s="87">
        <f>IF(O5=0,0,O5/TrAvia_act!O25)</f>
        <v>76.951577349763312</v>
      </c>
      <c r="P13" s="87">
        <f>IF(P5=0,0,P5/TrAvia_act!P25)</f>
        <v>87.557152974504248</v>
      </c>
      <c r="Q13" s="87">
        <f>IF(Q5=0,0,Q5/TrAvia_act!Q25)</f>
        <v>92.727299747362167</v>
      </c>
      <c r="R13" s="87">
        <f>IF(R5=0,0,R5/TrAvia_act!R25)</f>
        <v>95.614066989126087</v>
      </c>
      <c r="S13" s="87">
        <f>IF(S5=0,0,S5/TrAvia_act!S25)</f>
        <v>96.903063587639778</v>
      </c>
      <c r="T13" s="87">
        <f>IF(T5=0,0,T5/TrAvia_act!T25)</f>
        <v>93.563832108823746</v>
      </c>
      <c r="U13" s="87">
        <f>IF(U5=0,0,U5/TrAvia_act!U25)</f>
        <v>92.498728005087983</v>
      </c>
      <c r="V13" s="87">
        <f>IF(V5=0,0,V5/TrAvia_act!V25)</f>
        <v>90.304177638602241</v>
      </c>
      <c r="W13" s="87">
        <f>IF(W5=0,0,W5/TrAvia_act!W25)</f>
        <v>95.543685025436844</v>
      </c>
      <c r="X13" s="87">
        <f>IF(X5=0,0,X5/TrAvia_act!X25)</f>
        <v>97.025366172980938</v>
      </c>
      <c r="Y13" s="87">
        <f>IF(Y5=0,0,Y5/TrAvia_act!Y25)</f>
        <v>102.05770496882383</v>
      </c>
      <c r="DA13" s="171" t="s">
        <v>367</v>
      </c>
    </row>
    <row r="14" spans="1:105" ht="11.45" customHeight="1" x14ac:dyDescent="0.25">
      <c r="A14" s="83" t="s">
        <v>181</v>
      </c>
      <c r="B14" s="87">
        <f>IF(B6=0,0,B6/TrAvia_act!B26)</f>
        <v>78.387688182756932</v>
      </c>
      <c r="C14" s="87">
        <f>IF(C6=0,0,C6/TrAvia_act!C26)</f>
        <v>80.030077536471538</v>
      </c>
      <c r="D14" s="87">
        <f>IF(D6=0,0,D6/TrAvia_act!D26)</f>
        <v>81.841011151859888</v>
      </c>
      <c r="E14" s="87">
        <f>IF(E6=0,0,E6/TrAvia_act!E26)</f>
        <v>83.728410426605819</v>
      </c>
      <c r="F14" s="87">
        <f>IF(F6=0,0,F6/TrAvia_act!F26)</f>
        <v>85.679520317912463</v>
      </c>
      <c r="G14" s="87">
        <f>IF(G6=0,0,G6/TrAvia_act!G26)</f>
        <v>89.630320596760185</v>
      </c>
      <c r="H14" s="87">
        <f>IF(H6=0,0,H6/TrAvia_act!H26)</f>
        <v>94.15519694519098</v>
      </c>
      <c r="I14" s="87">
        <f>IF(I6=0,0,I6/TrAvia_act!I26)</f>
        <v>117.38629138281344</v>
      </c>
      <c r="J14" s="87">
        <f>IF(J6=0,0,J6/TrAvia_act!J26)</f>
        <v>121.93756749690225</v>
      </c>
      <c r="K14" s="87">
        <f>IF(K6=0,0,K6/TrAvia_act!K26)</f>
        <v>121.38753295240979</v>
      </c>
      <c r="L14" s="87">
        <f>IF(L6=0,0,L6/TrAvia_act!L26)</f>
        <v>124.19391536352182</v>
      </c>
      <c r="M14" s="87">
        <f>IF(M6=0,0,M6/TrAvia_act!M26)</f>
        <v>126.02797599740512</v>
      </c>
      <c r="N14" s="87">
        <f>IF(N6=0,0,N6/TrAvia_act!N26)</f>
        <v>124.85667392280847</v>
      </c>
      <c r="O14" s="87">
        <f>IF(O6=0,0,O6/TrAvia_act!O26)</f>
        <v>135.33297333491731</v>
      </c>
      <c r="P14" s="87">
        <f>IF(P6=0,0,P6/TrAvia_act!P26)</f>
        <v>137.96695079058273</v>
      </c>
      <c r="Q14" s="87">
        <f>IF(Q6=0,0,Q6/TrAvia_act!Q26)</f>
        <v>145.07388329435415</v>
      </c>
      <c r="R14" s="87">
        <f>IF(R6=0,0,R6/TrAvia_act!R26)</f>
        <v>145.91636271174551</v>
      </c>
      <c r="S14" s="87">
        <f>IF(S6=0,0,S6/TrAvia_act!S26)</f>
        <v>148.77910110900027</v>
      </c>
      <c r="T14" s="87">
        <f>IF(T6=0,0,T6/TrAvia_act!T26)</f>
        <v>152.28031317758322</v>
      </c>
      <c r="U14" s="87">
        <f>IF(U6=0,0,U6/TrAvia_act!U26)</f>
        <v>151.55838854409757</v>
      </c>
      <c r="V14" s="87">
        <f>IF(V6=0,0,V6/TrAvia_act!V26)</f>
        <v>154.45223645763093</v>
      </c>
      <c r="W14" s="87">
        <f>IF(W6=0,0,W6/TrAvia_act!W26)</f>
        <v>158.10016410096117</v>
      </c>
      <c r="X14" s="87">
        <f>IF(X6=0,0,X6/TrAvia_act!X26)</f>
        <v>162.10491391988927</v>
      </c>
      <c r="Y14" s="87">
        <f>IF(Y6=0,0,Y6/TrAvia_act!Y26)</f>
        <v>165.07461872824771</v>
      </c>
      <c r="DA14" s="171" t="s">
        <v>368</v>
      </c>
    </row>
    <row r="15" spans="1:105" ht="11.45" customHeight="1" x14ac:dyDescent="0.25">
      <c r="A15" s="85" t="s">
        <v>182</v>
      </c>
      <c r="B15" s="88">
        <f>IF(B7=0,0,B7/TrAvia_act!B27)</f>
        <v>93.730471204188476</v>
      </c>
      <c r="C15" s="88">
        <f>IF(C7=0,0,C7/TrAvia_act!C27)</f>
        <v>95.742247238742564</v>
      </c>
      <c r="D15" s="88">
        <f>IF(D7=0,0,D7/TrAvia_act!D27)</f>
        <v>97.138531415594244</v>
      </c>
      <c r="E15" s="88">
        <f>IF(E7=0,0,E7/TrAvia_act!E27)</f>
        <v>99.546153846153842</v>
      </c>
      <c r="F15" s="88">
        <f>IF(F7=0,0,F7/TrAvia_act!F27)</f>
        <v>102.3716085763642</v>
      </c>
      <c r="G15" s="88">
        <f>IF(G7=0,0,G7/TrAvia_act!G27)</f>
        <v>104.54136723788466</v>
      </c>
      <c r="H15" s="88">
        <f>IF(H7=0,0,H7/TrAvia_act!H27)</f>
        <v>104.6242722794447</v>
      </c>
      <c r="I15" s="88">
        <f>IF(I7=0,0,I7/TrAvia_act!I27)</f>
        <v>110.89943609022556</v>
      </c>
      <c r="J15" s="88">
        <f>IF(J7=0,0,J7/TrAvia_act!J27)</f>
        <v>145.80552995391704</v>
      </c>
      <c r="K15" s="88">
        <f>IF(K7=0,0,K7/TrAvia_act!K27)</f>
        <v>144.33169498665919</v>
      </c>
      <c r="L15" s="88">
        <f>IF(L7=0,0,L7/TrAvia_act!L27)</f>
        <v>152.84305847841335</v>
      </c>
      <c r="M15" s="88">
        <f>IF(M7=0,0,M7/TrAvia_act!M27)</f>
        <v>141.67552504986506</v>
      </c>
      <c r="N15" s="88">
        <f>IF(N7=0,0,N7/TrAvia_act!N27)</f>
        <v>140.88160099286378</v>
      </c>
      <c r="O15" s="88">
        <f>IF(O7=0,0,O7/TrAvia_act!O27)</f>
        <v>156.60007020007021</v>
      </c>
      <c r="P15" s="88">
        <f>IF(P7=0,0,P7/TrAvia_act!P27)</f>
        <v>141.52545666537117</v>
      </c>
      <c r="Q15" s="88">
        <f>IF(Q7=0,0,Q7/TrAvia_act!Q27)</f>
        <v>144.62172302660062</v>
      </c>
      <c r="R15" s="88">
        <f>IF(R7=0,0,R7/TrAvia_act!R27)</f>
        <v>157.2463386890374</v>
      </c>
      <c r="S15" s="88">
        <f>IF(S7=0,0,S7/TrAvia_act!S27)</f>
        <v>165.27899141397674</v>
      </c>
      <c r="T15" s="88">
        <f>IF(T7=0,0,T7/TrAvia_act!T27)</f>
        <v>150.30266192264611</v>
      </c>
      <c r="U15" s="88">
        <f>IF(U7=0,0,U7/TrAvia_act!U27)</f>
        <v>169.45254626089616</v>
      </c>
      <c r="V15" s="88">
        <f>IF(V7=0,0,V7/TrAvia_act!V27)</f>
        <v>139.34058994599087</v>
      </c>
      <c r="W15" s="88">
        <f>IF(W7=0,0,W7/TrAvia_act!W27)</f>
        <v>175.81581792318633</v>
      </c>
      <c r="X15" s="88">
        <f>IF(X7=0,0,X7/TrAvia_act!X27)</f>
        <v>197.65497209770379</v>
      </c>
      <c r="Y15" s="88">
        <f>IF(Y7=0,0,Y7/TrAvia_act!Y27)</f>
        <v>203.84136227280749</v>
      </c>
      <c r="DA15" s="178" t="s">
        <v>369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DA16" s="181"/>
    </row>
    <row r="17" spans="1:105" ht="11.45" customHeight="1" x14ac:dyDescent="0.25">
      <c r="A17" s="53" t="s">
        <v>69</v>
      </c>
      <c r="B17" s="82"/>
      <c r="C17" s="82"/>
      <c r="D17" s="82"/>
      <c r="E17" s="82"/>
      <c r="F17" s="82"/>
      <c r="G17" s="82"/>
      <c r="H17" s="82"/>
      <c r="I17" s="82"/>
      <c r="J17" s="82"/>
      <c r="K17" s="82"/>
      <c r="L17" s="82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X17" s="82"/>
      <c r="Y17" s="82"/>
      <c r="DA17" s="183"/>
    </row>
    <row r="18" spans="1:105" ht="11.45" customHeight="1" x14ac:dyDescent="0.25">
      <c r="A18" s="10" t="s">
        <v>33</v>
      </c>
      <c r="B18" s="25">
        <f>IF(TrAvia_act!B34=0,0,(TrAvia_act!B34/TrAvia_act!B24)/TrAvia_png!B12)</f>
        <v>0.66063796965031618</v>
      </c>
      <c r="C18" s="25">
        <f>IF(TrAvia_act!C34=0,0,(TrAvia_act!C34/TrAvia_act!C24)/TrAvia_png!C12)</f>
        <v>0.66043525780560697</v>
      </c>
      <c r="D18" s="25">
        <f>IF(TrAvia_act!D34=0,0,(TrAvia_act!D34/TrAvia_act!D24)/TrAvia_png!D12)</f>
        <v>0.65385247000421509</v>
      </c>
      <c r="E18" s="25">
        <f>IF(TrAvia_act!E34=0,0,(TrAvia_act!E34/TrAvia_act!E24)/TrAvia_png!E12)</f>
        <v>0.6540609754328528</v>
      </c>
      <c r="F18" s="25">
        <f>IF(TrAvia_act!F34=0,0,(TrAvia_act!F34/TrAvia_act!F24)/TrAvia_png!F12)</f>
        <v>0.6592001887356389</v>
      </c>
      <c r="G18" s="25">
        <f>IF(TrAvia_act!G34=0,0,(TrAvia_act!G34/TrAvia_act!G24)/TrAvia_png!G12)</f>
        <v>0.66553824446465104</v>
      </c>
      <c r="H18" s="25">
        <f>IF(TrAvia_act!H34=0,0,(TrAvia_act!H34/TrAvia_act!H24)/TrAvia_png!H12)</f>
        <v>0.67616885407936156</v>
      </c>
      <c r="I18" s="25">
        <f>IF(TrAvia_act!I34=0,0,(TrAvia_act!I34/TrAvia_act!I24)/TrAvia_png!I12)</f>
        <v>0.68307107293042635</v>
      </c>
      <c r="J18" s="25">
        <f>IF(TrAvia_act!J34=0,0,(TrAvia_act!J34/TrAvia_act!J24)/TrAvia_png!J12)</f>
        <v>0.66805789230850476</v>
      </c>
      <c r="K18" s="25">
        <f>IF(TrAvia_act!K34=0,0,(TrAvia_act!K34/TrAvia_act!K24)/TrAvia_png!K12)</f>
        <v>0.6733379987059056</v>
      </c>
      <c r="L18" s="25">
        <f>IF(TrAvia_act!L34=0,0,(TrAvia_act!L34/TrAvia_act!L24)/TrAvia_png!L12)</f>
        <v>0.68080374909574493</v>
      </c>
      <c r="M18" s="25">
        <f>IF(TrAvia_act!M34=0,0,(TrAvia_act!M34/TrAvia_act!M24)/TrAvia_png!M12)</f>
        <v>0.71860808505053164</v>
      </c>
      <c r="N18" s="25">
        <f>IF(TrAvia_act!N34=0,0,(TrAvia_act!N34/TrAvia_act!N24)/TrAvia_png!N12)</f>
        <v>0.74655744379961375</v>
      </c>
      <c r="O18" s="25">
        <f>IF(TrAvia_act!O34=0,0,(TrAvia_act!O34/TrAvia_act!O24)/TrAvia_png!O12)</f>
        <v>0.7296537503252446</v>
      </c>
      <c r="P18" s="25">
        <f>IF(TrAvia_act!P34=0,0,(TrAvia_act!P34/TrAvia_act!P24)/TrAvia_png!P12)</f>
        <v>0.7547992067651681</v>
      </c>
      <c r="Q18" s="25">
        <f>IF(TrAvia_act!Q34=0,0,(TrAvia_act!Q34/TrAvia_act!Q24)/TrAvia_png!Q12)</f>
        <v>0.74482913033415021</v>
      </c>
      <c r="R18" s="25">
        <f>IF(TrAvia_act!R34=0,0,(TrAvia_act!R34/TrAvia_act!R24)/TrAvia_png!R12)</f>
        <v>0.7936910987209409</v>
      </c>
      <c r="S18" s="25">
        <f>IF(TrAvia_act!S34=0,0,(TrAvia_act!S34/TrAvia_act!S24)/TrAvia_png!S12)</f>
        <v>0.82245775908823182</v>
      </c>
      <c r="T18" s="25">
        <f>IF(TrAvia_act!T34=0,0,(TrAvia_act!T34/TrAvia_act!T24)/TrAvia_png!T12)</f>
        <v>0.82424580483869347</v>
      </c>
      <c r="U18" s="25">
        <f>IF(TrAvia_act!U34=0,0,(TrAvia_act!U34/TrAvia_act!U24)/TrAvia_png!U12)</f>
        <v>0.83944325754469795</v>
      </c>
      <c r="V18" s="25">
        <f>IF(TrAvia_act!V34=0,0,(TrAvia_act!V34/TrAvia_act!V24)/TrAvia_png!V12)</f>
        <v>0.64865010967032433</v>
      </c>
      <c r="W18" s="25">
        <f>IF(TrAvia_act!W34=0,0,(TrAvia_act!W34/TrAvia_act!W24)/TrAvia_png!W12)</f>
        <v>0.67287681215535022</v>
      </c>
      <c r="X18" s="25">
        <f>IF(TrAvia_act!X34=0,0,(TrAvia_act!X34/TrAvia_act!X24)/TrAvia_png!X12)</f>
        <v>0.81207962113277787</v>
      </c>
      <c r="Y18" s="25">
        <f>IF(TrAvia_act!Y34=0,0,(TrAvia_act!Y34/TrAvia_act!Y24)/TrAvia_png!Y12)</f>
        <v>0.85545441442494896</v>
      </c>
      <c r="DA18" s="190"/>
    </row>
    <row r="19" spans="1:105" ht="11.45" customHeight="1" x14ac:dyDescent="0.25">
      <c r="A19" s="83" t="s">
        <v>27</v>
      </c>
      <c r="B19" s="89">
        <f>IF(TrAvia_act!B35=0,0,(TrAvia_act!B35/TrAvia_act!B25)/TrAvia_png!B13)</f>
        <v>0.5568228731325453</v>
      </c>
      <c r="C19" s="89">
        <f>IF(TrAvia_act!C35=0,0,(TrAvia_act!C35/TrAvia_act!C25)/TrAvia_png!C13)</f>
        <v>0.55622205012389525</v>
      </c>
      <c r="D19" s="89">
        <f>IF(TrAvia_act!D35=0,0,(TrAvia_act!D35/TrAvia_act!D25)/TrAvia_png!D13)</f>
        <v>0.55610389269989857</v>
      </c>
      <c r="E19" s="89">
        <f>IF(TrAvia_act!E35=0,0,(TrAvia_act!E35/TrAvia_act!E25)/TrAvia_png!E13)</f>
        <v>0.55214240688343363</v>
      </c>
      <c r="F19" s="89">
        <f>IF(TrAvia_act!F35=0,0,(TrAvia_act!F35/TrAvia_act!F25)/TrAvia_png!F13)</f>
        <v>0.54849603206780972</v>
      </c>
      <c r="G19" s="89">
        <f>IF(TrAvia_act!G35=0,0,(TrAvia_act!G35/TrAvia_act!G25)/TrAvia_png!G13)</f>
        <v>0.54557830223770343</v>
      </c>
      <c r="H19" s="89">
        <f>IF(TrAvia_act!H35=0,0,(TrAvia_act!H35/TrAvia_act!H25)/TrAvia_png!H13)</f>
        <v>0.54827221484040711</v>
      </c>
      <c r="I19" s="89">
        <f>IF(TrAvia_act!I35=0,0,(TrAvia_act!I35/TrAvia_act!I25)/TrAvia_png!I13)</f>
        <v>0.55452836101535563</v>
      </c>
      <c r="J19" s="89">
        <f>IF(TrAvia_act!J35=0,0,(TrAvia_act!J35/TrAvia_act!J25)/TrAvia_png!J13)</f>
        <v>0.50194327185860077</v>
      </c>
      <c r="K19" s="89">
        <f>IF(TrAvia_act!K35=0,0,(TrAvia_act!K35/TrAvia_act!K25)/TrAvia_png!K13)</f>
        <v>0.50211560879932116</v>
      </c>
      <c r="L19" s="89">
        <f>IF(TrAvia_act!L35=0,0,(TrAvia_act!L35/TrAvia_act!L25)/TrAvia_png!L13)</f>
        <v>0.50812415181085491</v>
      </c>
      <c r="M19" s="89">
        <f>IF(TrAvia_act!M35=0,0,(TrAvia_act!M35/TrAvia_act!M25)/TrAvia_png!M13)</f>
        <v>0.58548946371980071</v>
      </c>
      <c r="N19" s="89">
        <f>IF(TrAvia_act!N35=0,0,(TrAvia_act!N35/TrAvia_act!N25)/TrAvia_png!N13)</f>
        <v>0.64509740617666977</v>
      </c>
      <c r="O19" s="89">
        <f>IF(TrAvia_act!O35=0,0,(TrAvia_act!O35/TrAvia_act!O25)/TrAvia_png!O13)</f>
        <v>0.57615118425569423</v>
      </c>
      <c r="P19" s="89">
        <f>IF(TrAvia_act!P35=0,0,(TrAvia_act!P35/TrAvia_act!P25)/TrAvia_png!P13)</f>
        <v>0.60470619352636523</v>
      </c>
      <c r="Q19" s="89">
        <f>IF(TrAvia_act!Q35=0,0,(TrAvia_act!Q35/TrAvia_act!Q25)/TrAvia_png!Q13)</f>
        <v>0.64249465512322868</v>
      </c>
      <c r="R19" s="89">
        <f>IF(TrAvia_act!R35=0,0,(TrAvia_act!R35/TrAvia_act!R25)/TrAvia_png!R13)</f>
        <v>0.68878437488113808</v>
      </c>
      <c r="S19" s="89">
        <f>IF(TrAvia_act!S35=0,0,(TrAvia_act!S35/TrAvia_act!S25)/TrAvia_png!S13)</f>
        <v>0.7529904485911878</v>
      </c>
      <c r="T19" s="89">
        <f>IF(TrAvia_act!T35=0,0,(TrAvia_act!T35/TrAvia_act!T25)/TrAvia_png!T13)</f>
        <v>0.733560769447265</v>
      </c>
      <c r="U19" s="89">
        <f>IF(TrAvia_act!U35=0,0,(TrAvia_act!U35/TrAvia_act!U25)/TrAvia_png!U13)</f>
        <v>0.74403252379102469</v>
      </c>
      <c r="V19" s="89">
        <f>IF(TrAvia_act!V35=0,0,(TrAvia_act!V35/TrAvia_act!V25)/TrAvia_png!V13)</f>
        <v>0.52919777060425699</v>
      </c>
      <c r="W19" s="89">
        <f>IF(TrAvia_act!W35=0,0,(TrAvia_act!W35/TrAvia_act!W25)/TrAvia_png!W13)</f>
        <v>0.57579721250537286</v>
      </c>
      <c r="X19" s="89">
        <f>IF(TrAvia_act!X35=0,0,(TrAvia_act!X35/TrAvia_act!X25)/TrAvia_png!X13)</f>
        <v>0.67669283582416828</v>
      </c>
      <c r="Y19" s="89">
        <f>IF(TrAvia_act!Y35=0,0,(TrAvia_act!Y35/TrAvia_act!Y25)/TrAvia_png!Y13)</f>
        <v>0.71941483709973164</v>
      </c>
      <c r="DA19" s="191"/>
    </row>
    <row r="20" spans="1:105" ht="11.45" customHeight="1" x14ac:dyDescent="0.25">
      <c r="A20" s="83" t="s">
        <v>181</v>
      </c>
      <c r="B20" s="89">
        <f>IF(TrAvia_act!B36=0,0,(TrAvia_act!B36/TrAvia_act!B26)/TrAvia_png!B14)</f>
        <v>0.66878718867592246</v>
      </c>
      <c r="C20" s="89">
        <f>IF(TrAvia_act!C36=0,0,(TrAvia_act!C36/TrAvia_act!C26)/TrAvia_png!C14)</f>
        <v>0.66928820214903773</v>
      </c>
      <c r="D20" s="89">
        <f>IF(TrAvia_act!D36=0,0,(TrAvia_act!D36/TrAvia_act!D26)/TrAvia_png!D14)</f>
        <v>0.67011605860293</v>
      </c>
      <c r="E20" s="89">
        <f>IF(TrAvia_act!E36=0,0,(TrAvia_act!E36/TrAvia_act!E26)/TrAvia_png!E14)</f>
        <v>0.67023668746552334</v>
      </c>
      <c r="F20" s="89">
        <f>IF(TrAvia_act!F36=0,0,(TrAvia_act!F36/TrAvia_act!F26)/TrAvia_png!F14)</f>
        <v>0.67105658487731601</v>
      </c>
      <c r="G20" s="89">
        <f>IF(TrAvia_act!G36=0,0,(TrAvia_act!G36/TrAvia_act!G26)/TrAvia_png!G14)</f>
        <v>0.67868682763221488</v>
      </c>
      <c r="H20" s="89">
        <f>IF(TrAvia_act!H36=0,0,(TrAvia_act!H36/TrAvia_act!H26)/TrAvia_png!H14)</f>
        <v>0.69034711893197986</v>
      </c>
      <c r="I20" s="89">
        <f>IF(TrAvia_act!I36=0,0,(TrAvia_act!I36/TrAvia_act!I26)/TrAvia_png!I14)</f>
        <v>0.69799029924623113</v>
      </c>
      <c r="J20" s="89">
        <f>IF(TrAvia_act!J36=0,0,(TrAvia_act!J36/TrAvia_act!J26)/TrAvia_png!J14)</f>
        <v>0.68923697443392906</v>
      </c>
      <c r="K20" s="89">
        <f>IF(TrAvia_act!K36=0,0,(TrAvia_act!K36/TrAvia_act!K26)/TrAvia_png!K14)</f>
        <v>0.69995298078446755</v>
      </c>
      <c r="L20" s="89">
        <f>IF(TrAvia_act!L36=0,0,(TrAvia_act!L36/TrAvia_act!L26)/TrAvia_png!L14)</f>
        <v>0.71406787275457306</v>
      </c>
      <c r="M20" s="89">
        <f>IF(TrAvia_act!M36=0,0,(TrAvia_act!M36/TrAvia_act!M26)/TrAvia_png!M14)</f>
        <v>0.75843374706631594</v>
      </c>
      <c r="N20" s="89">
        <f>IF(TrAvia_act!N36=0,0,(TrAvia_act!N36/TrAvia_act!N26)/TrAvia_png!N14)</f>
        <v>0.77397217878145252</v>
      </c>
      <c r="O20" s="89">
        <f>IF(TrAvia_act!O36=0,0,(TrAvia_act!O36/TrAvia_act!O26)/TrAvia_png!O14)</f>
        <v>0.75773620476636694</v>
      </c>
      <c r="P20" s="89">
        <f>IF(TrAvia_act!P36=0,0,(TrAvia_act!P36/TrAvia_act!P26)/TrAvia_png!P14)</f>
        <v>0.78837014653701398</v>
      </c>
      <c r="Q20" s="89">
        <f>IF(TrAvia_act!Q36=0,0,(TrAvia_act!Q36/TrAvia_act!Q26)/TrAvia_png!Q14)</f>
        <v>0.79511990074193739</v>
      </c>
      <c r="R20" s="89">
        <f>IF(TrAvia_act!R36=0,0,(TrAvia_act!R36/TrAvia_act!R26)/TrAvia_png!R14)</f>
        <v>0.81376348218576167</v>
      </c>
      <c r="S20" s="89">
        <f>IF(TrAvia_act!S36=0,0,(TrAvia_act!S36/TrAvia_act!S26)/TrAvia_png!S14)</f>
        <v>0.83501589596739934</v>
      </c>
      <c r="T20" s="89">
        <f>IF(TrAvia_act!T36=0,0,(TrAvia_act!T36/TrAvia_act!T26)/TrAvia_png!T14)</f>
        <v>0.83669452177835801</v>
      </c>
      <c r="U20" s="89">
        <f>IF(TrAvia_act!U36=0,0,(TrAvia_act!U36/TrAvia_act!U26)/TrAvia_png!U14)</f>
        <v>0.84663550085343298</v>
      </c>
      <c r="V20" s="89">
        <f>IF(TrAvia_act!V36=0,0,(TrAvia_act!V36/TrAvia_act!V26)/TrAvia_png!V14)</f>
        <v>0.6629878669340481</v>
      </c>
      <c r="W20" s="89">
        <f>IF(TrAvia_act!W36=0,0,(TrAvia_act!W36/TrAvia_act!W26)/TrAvia_png!W14)</f>
        <v>0.66233483283328576</v>
      </c>
      <c r="X20" s="89">
        <f>IF(TrAvia_act!X36=0,0,(TrAvia_act!X36/TrAvia_act!X26)/TrAvia_png!X14)</f>
        <v>0.82279838189379306</v>
      </c>
      <c r="Y20" s="89">
        <f>IF(TrAvia_act!Y36=0,0,(TrAvia_act!Y36/TrAvia_act!Y26)/TrAvia_png!Y14)</f>
        <v>0.87426563174909488</v>
      </c>
      <c r="DA20" s="191"/>
    </row>
    <row r="21" spans="1:105" ht="11.45" customHeight="1" x14ac:dyDescent="0.25">
      <c r="A21" s="85" t="s">
        <v>182</v>
      </c>
      <c r="B21" s="90">
        <f>IF(TrAvia_act!B37=0,0,(TrAvia_act!B37/TrAvia_act!B27)/TrAvia_png!B15)</f>
        <v>0.76929616612633311</v>
      </c>
      <c r="C21" s="90">
        <f>IF(TrAvia_act!C37=0,0,(TrAvia_act!C37/TrAvia_act!C27)/TrAvia_png!C15)</f>
        <v>0.7672269494813696</v>
      </c>
      <c r="D21" s="90">
        <f>IF(TrAvia_act!D37=0,0,(TrAvia_act!D37/TrAvia_act!D27)/TrAvia_png!D15)</f>
        <v>0.76564169932312076</v>
      </c>
      <c r="E21" s="90">
        <f>IF(TrAvia_act!E37=0,0,(TrAvia_act!E37/TrAvia_act!E27)/TrAvia_png!E15)</f>
        <v>0.76072725667038321</v>
      </c>
      <c r="F21" s="90">
        <f>IF(TrAvia_act!F37=0,0,(TrAvia_act!F37/TrAvia_act!F27)/TrAvia_png!F15)</f>
        <v>0.75498665427881984</v>
      </c>
      <c r="G21" s="90">
        <f>IF(TrAvia_act!G37=0,0,(TrAvia_act!G37/TrAvia_act!G27)/TrAvia_png!G15)</f>
        <v>0.74700447346063947</v>
      </c>
      <c r="H21" s="90">
        <f>IF(TrAvia_act!H37=0,0,(TrAvia_act!H37/TrAvia_act!H27)/TrAvia_png!H15)</f>
        <v>0.73251336181189874</v>
      </c>
      <c r="I21" s="90">
        <f>IF(TrAvia_act!I37=0,0,(TrAvia_act!I37/TrAvia_act!I27)/TrAvia_png!I15)</f>
        <v>0.7319265986181247</v>
      </c>
      <c r="J21" s="90">
        <f>IF(TrAvia_act!J37=0,0,(TrAvia_act!J37/TrAvia_act!J27)/TrAvia_png!J15)</f>
        <v>0.69408692307067144</v>
      </c>
      <c r="K21" s="90">
        <f>IF(TrAvia_act!K37=0,0,(TrAvia_act!K37/TrAvia_act!K27)/TrAvia_png!K15)</f>
        <v>0.68106347041115556</v>
      </c>
      <c r="L21" s="90">
        <f>IF(TrAvia_act!L37=0,0,(TrAvia_act!L37/TrAvia_act!L27)/TrAvia_png!L15)</f>
        <v>0.66612453958139672</v>
      </c>
      <c r="M21" s="90">
        <f>IF(TrAvia_act!M37=0,0,(TrAvia_act!M37/TrAvia_act!M27)/TrAvia_png!M15)</f>
        <v>0.6463421754276707</v>
      </c>
      <c r="N21" s="90">
        <f>IF(TrAvia_act!N37=0,0,(TrAvia_act!N37/TrAvia_act!N27)/TrAvia_png!N15)</f>
        <v>0.74051350764456092</v>
      </c>
      <c r="O21" s="90">
        <f>IF(TrAvia_act!O37=0,0,(TrAvia_act!O37/TrAvia_act!O27)/TrAvia_png!O15)</f>
        <v>0.71843912051813541</v>
      </c>
      <c r="P21" s="90">
        <f>IF(TrAvia_act!P37=0,0,(TrAvia_act!P37/TrAvia_act!P27)/TrAvia_png!P15)</f>
        <v>0.7283609551140342</v>
      </c>
      <c r="Q21" s="90">
        <f>IF(TrAvia_act!Q37=0,0,(TrAvia_act!Q37/TrAvia_act!Q27)/TrAvia_png!Q15)</f>
        <v>0.57868394277676571</v>
      </c>
      <c r="R21" s="90">
        <f>IF(TrAvia_act!R37=0,0,(TrAvia_act!R37/TrAvia_act!R27)/TrAvia_png!R15)</f>
        <v>0.76736200435205826</v>
      </c>
      <c r="S21" s="90">
        <f>IF(TrAvia_act!S37=0,0,(TrAvia_act!S37/TrAvia_act!S27)/TrAvia_png!S15)</f>
        <v>0.81368972310703003</v>
      </c>
      <c r="T21" s="90">
        <f>IF(TrAvia_act!T37=0,0,(TrAvia_act!T37/TrAvia_act!T27)/TrAvia_png!T15)</f>
        <v>0.81922969773712173</v>
      </c>
      <c r="U21" s="90">
        <f>IF(TrAvia_act!U37=0,0,(TrAvia_act!U37/TrAvia_act!U27)/TrAvia_png!U15)</f>
        <v>0.85729509366994383</v>
      </c>
      <c r="V21" s="90">
        <f>IF(TrAvia_act!V37=0,0,(TrAvia_act!V37/TrAvia_act!V27)/TrAvia_png!V15)</f>
        <v>0.66853194224801482</v>
      </c>
      <c r="W21" s="90">
        <f>IF(TrAvia_act!W37=0,0,(TrAvia_act!W37/TrAvia_act!W27)/TrAvia_png!W15)</f>
        <v>0.74810248536956603</v>
      </c>
      <c r="X21" s="90">
        <f>IF(TrAvia_act!X37=0,0,(TrAvia_act!X37/TrAvia_act!X27)/TrAvia_png!X15)</f>
        <v>0.83990194238409221</v>
      </c>
      <c r="Y21" s="90">
        <f>IF(TrAvia_act!Y37=0,0,(TrAvia_act!Y37/TrAvia_act!Y27)/TrAvia_png!Y15)</f>
        <v>0.84553740621502138</v>
      </c>
      <c r="DA21" s="192"/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DA22" s="181"/>
    </row>
    <row r="23" spans="1:105" ht="11.45" customHeight="1" x14ac:dyDescent="0.25">
      <c r="A23" s="53" t="s">
        <v>70</v>
      </c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X23" s="59"/>
      <c r="Y23" s="59"/>
      <c r="DA23" s="172"/>
    </row>
    <row r="24" spans="1:105" ht="11.45" customHeight="1" x14ac:dyDescent="0.25">
      <c r="A24" s="10" t="s">
        <v>33</v>
      </c>
      <c r="B24" s="23">
        <f>IF(TrAvia_ene!B6=0,0,TrAvia_ene!B6/(B12*TrAvia_act!B14))</f>
        <v>3.8238756231518858E-2</v>
      </c>
      <c r="C24" s="23">
        <f>IF(TrAvia_ene!C6=0,0,TrAvia_ene!C6/(C12*TrAvia_act!C14))</f>
        <v>3.752761865391379E-2</v>
      </c>
      <c r="D24" s="23">
        <f>IF(TrAvia_ene!D6=0,0,TrAvia_ene!D6/(D12*TrAvia_act!D14))</f>
        <v>3.6733906990886182E-2</v>
      </c>
      <c r="E24" s="23">
        <f>IF(TrAvia_ene!E6=0,0,TrAvia_ene!E6/(E12*TrAvia_act!E14))</f>
        <v>3.5815353149094925E-2</v>
      </c>
      <c r="F24" s="23">
        <f>IF(TrAvia_ene!F6=0,0,TrAvia_ene!F6/(F12*TrAvia_act!F14))</f>
        <v>3.4948981749712331E-2</v>
      </c>
      <c r="G24" s="23">
        <f>IF(TrAvia_ene!G6=0,0,TrAvia_ene!G6/(G12*TrAvia_act!G14))</f>
        <v>3.2120922043314563E-2</v>
      </c>
      <c r="H24" s="23">
        <f>IF(TrAvia_ene!H6=0,0,TrAvia_ene!H6/(H12*TrAvia_act!H14))</f>
        <v>3.3495610290289843E-2</v>
      </c>
      <c r="I24" s="23">
        <f>IF(TrAvia_ene!I6=0,0,TrAvia_ene!I6/(I12*TrAvia_act!I14))</f>
        <v>2.7539469291162938E-2</v>
      </c>
      <c r="J24" s="23">
        <f>IF(TrAvia_ene!J6=0,0,TrAvia_ene!J6/(J12*TrAvia_act!J14))</f>
        <v>3.031554614870929E-2</v>
      </c>
      <c r="K24" s="23">
        <f>IF(TrAvia_ene!K6=0,0,TrAvia_ene!K6/(K12*TrAvia_act!K14))</f>
        <v>3.0803984330583005E-2</v>
      </c>
      <c r="L24" s="23">
        <f>IF(TrAvia_ene!L6=0,0,TrAvia_ene!L6/(L12*TrAvia_act!L14))</f>
        <v>3.0719668930621169E-2</v>
      </c>
      <c r="M24" s="23">
        <f>IF(TrAvia_ene!M6=0,0,TrAvia_ene!M6/(M12*TrAvia_act!M14))</f>
        <v>2.8615436932469342E-2</v>
      </c>
      <c r="N24" s="23">
        <f>IF(TrAvia_ene!N6=0,0,TrAvia_ene!N6/(N12*TrAvia_act!N14))</f>
        <v>3.2325414043578658E-2</v>
      </c>
      <c r="O24" s="23">
        <f>IF(TrAvia_ene!O6=0,0,TrAvia_ene!O6/(O12*TrAvia_act!O14))</f>
        <v>2.8255718903553023E-2</v>
      </c>
      <c r="P24" s="23">
        <f>IF(TrAvia_ene!P6=0,0,TrAvia_ene!P6/(P12*TrAvia_act!P14))</f>
        <v>2.8504124537562396E-2</v>
      </c>
      <c r="Q24" s="23">
        <f>IF(TrAvia_ene!Q6=0,0,TrAvia_ene!Q6/(Q12*TrAvia_act!Q14))</f>
        <v>2.6669099910196663E-2</v>
      </c>
      <c r="R24" s="23">
        <f>IF(TrAvia_ene!R6=0,0,TrAvia_ene!R6/(R12*TrAvia_act!R14))</f>
        <v>2.7529181210715355E-2</v>
      </c>
      <c r="S24" s="23">
        <f>IF(TrAvia_ene!S6=0,0,TrAvia_ene!S6/(S12*TrAvia_act!S14))</f>
        <v>2.9224542332739495E-2</v>
      </c>
      <c r="T24" s="23">
        <f>IF(TrAvia_ene!T6=0,0,TrAvia_ene!T6/(T12*TrAvia_act!T14))</f>
        <v>2.8544937575373196E-2</v>
      </c>
      <c r="U24" s="23">
        <f>IF(TrAvia_ene!U6=0,0,TrAvia_ene!U6/(U12*TrAvia_act!U14))</f>
        <v>2.9349498013357067E-2</v>
      </c>
      <c r="V24" s="23">
        <f>IF(TrAvia_ene!V6=0,0,TrAvia_ene!V6/(V12*TrAvia_act!V14))</f>
        <v>3.2528757877149414E-2</v>
      </c>
      <c r="W24" s="23">
        <f>IF(TrAvia_ene!W6=0,0,TrAvia_ene!W6/(W12*TrAvia_act!W14))</f>
        <v>2.881053590056961E-2</v>
      </c>
      <c r="X24" s="23">
        <f>IF(TrAvia_ene!X6=0,0,TrAvia_ene!X6/(X12*TrAvia_act!X14))</f>
        <v>2.8166129000306354E-2</v>
      </c>
      <c r="Y24" s="23">
        <f>IF(TrAvia_ene!Y6=0,0,TrAvia_ene!Y6/(Y12*TrAvia_act!Y14))</f>
        <v>2.7534789819055987E-2</v>
      </c>
      <c r="DA24" s="189"/>
    </row>
    <row r="25" spans="1:105" ht="11.45" customHeight="1" x14ac:dyDescent="0.25">
      <c r="A25" s="83" t="s">
        <v>27</v>
      </c>
      <c r="B25" s="91">
        <f>IF(TrAvia_ene!B7=0,0,TrAvia_ene!B7/(B13*TrAvia_act!B15))</f>
        <v>7.014074356102842E-3</v>
      </c>
      <c r="C25" s="91">
        <f>IF(TrAvia_ene!C7=0,0,TrAvia_ene!C7/(C13*TrAvia_act!C15))</f>
        <v>6.9438799312952909E-3</v>
      </c>
      <c r="D25" s="91">
        <f>IF(TrAvia_ene!D7=0,0,TrAvia_ene!D7/(D13*TrAvia_act!D15))</f>
        <v>6.8388128502165028E-3</v>
      </c>
      <c r="E25" s="91">
        <f>IF(TrAvia_ene!E7=0,0,TrAvia_ene!E7/(E13*TrAvia_act!E15))</f>
        <v>6.6252144711319867E-3</v>
      </c>
      <c r="F25" s="91">
        <f>IF(TrAvia_ene!F7=0,0,TrAvia_ene!F7/(F13*TrAvia_act!F15))</f>
        <v>6.4605023416004752E-3</v>
      </c>
      <c r="G25" s="91">
        <f>IF(TrAvia_ene!G7=0,0,TrAvia_ene!G7/(G13*TrAvia_act!G15))</f>
        <v>6.124046357615676E-3</v>
      </c>
      <c r="H25" s="91">
        <f>IF(TrAvia_ene!H7=0,0,TrAvia_ene!H7/(H13*TrAvia_act!H15))</f>
        <v>6.081969710465142E-3</v>
      </c>
      <c r="I25" s="91">
        <f>IF(TrAvia_ene!I7=0,0,TrAvia_ene!I7/(I13*TrAvia_act!I15))</f>
        <v>6.8006318431043152E-3</v>
      </c>
      <c r="J25" s="91">
        <f>IF(TrAvia_ene!J7=0,0,TrAvia_ene!J7/(J13*TrAvia_act!J15))</f>
        <v>5.2401615822661798E-3</v>
      </c>
      <c r="K25" s="91">
        <f>IF(TrAvia_ene!K7=0,0,TrAvia_ene!K7/(K13*TrAvia_act!K15))</f>
        <v>7.5155520846567287E-3</v>
      </c>
      <c r="L25" s="91">
        <f>IF(TrAvia_ene!L7=0,0,TrAvia_ene!L7/(L13*TrAvia_act!L15))</f>
        <v>6.6507674816409373E-3</v>
      </c>
      <c r="M25" s="91">
        <f>IF(TrAvia_ene!M7=0,0,TrAvia_ene!M7/(M13*TrAvia_act!M15))</f>
        <v>7.343643524991352E-3</v>
      </c>
      <c r="N25" s="91">
        <f>IF(TrAvia_ene!N7=0,0,TrAvia_ene!N7/(N13*TrAvia_act!N15))</f>
        <v>1.7636659543673969E-2</v>
      </c>
      <c r="O25" s="91">
        <f>IF(TrAvia_ene!O7=0,0,TrAvia_ene!O7/(O13*TrAvia_act!O15))</f>
        <v>2.0429828870230687E-2</v>
      </c>
      <c r="P25" s="91">
        <f>IF(TrAvia_ene!P7=0,0,TrAvia_ene!P7/(P13*TrAvia_act!P15))</f>
        <v>2.8382140321413576E-2</v>
      </c>
      <c r="Q25" s="91">
        <f>IF(TrAvia_ene!Q7=0,0,TrAvia_ene!Q7/(Q13*TrAvia_act!Q15))</f>
        <v>2.1472308635545171E-2</v>
      </c>
      <c r="R25" s="91">
        <f>IF(TrAvia_ene!R7=0,0,TrAvia_ene!R7/(R13*TrAvia_act!R15))</f>
        <v>2.7985863758384032E-2</v>
      </c>
      <c r="S25" s="91">
        <f>IF(TrAvia_ene!S7=0,0,TrAvia_ene!S7/(S13*TrAvia_act!S15))</f>
        <v>2.7489395486020612E-2</v>
      </c>
      <c r="T25" s="91">
        <f>IF(TrAvia_ene!T7=0,0,TrAvia_ene!T7/(T13*TrAvia_act!T15))</f>
        <v>3.7789347231846002E-2</v>
      </c>
      <c r="U25" s="91">
        <f>IF(TrAvia_ene!U7=0,0,TrAvia_ene!U7/(U13*TrAvia_act!U15))</f>
        <v>3.8488285311541297E-2</v>
      </c>
      <c r="V25" s="91">
        <f>IF(TrAvia_ene!V7=0,0,TrAvia_ene!V7/(V13*TrAvia_act!V15))</f>
        <v>4.3028083069244688E-2</v>
      </c>
      <c r="W25" s="91">
        <f>IF(TrAvia_ene!W7=0,0,TrAvia_ene!W7/(W13*TrAvia_act!W15))</f>
        <v>6.8170742619958966E-2</v>
      </c>
      <c r="X25" s="91">
        <f>IF(TrAvia_ene!X7=0,0,TrAvia_ene!X7/(X13*TrAvia_act!X15))</f>
        <v>3.7666043817968092E-2</v>
      </c>
      <c r="Y25" s="91">
        <f>IF(TrAvia_ene!Y7=0,0,TrAvia_ene!Y7/(Y13*TrAvia_act!Y15))</f>
        <v>4.1034671746429684E-2</v>
      </c>
      <c r="DA25" s="171"/>
    </row>
    <row r="26" spans="1:105" ht="11.45" customHeight="1" x14ac:dyDescent="0.25">
      <c r="A26" s="92" t="s">
        <v>181</v>
      </c>
      <c r="B26" s="93">
        <f>IF(TrAvia_ene!B8=0,0,TrAvia_ene!B8/(B14*TrAvia_act!B16))</f>
        <v>4.1528815007529835E-2</v>
      </c>
      <c r="C26" s="93">
        <f>IF(TrAvia_ene!C8=0,0,TrAvia_ene!C8/(C14*TrAvia_act!C16))</f>
        <v>4.0688991182120118E-2</v>
      </c>
      <c r="D26" s="93">
        <f>IF(TrAvia_ene!D8=0,0,TrAvia_ene!D8/(D14*TrAvia_act!D16))</f>
        <v>3.9718881908692383E-2</v>
      </c>
      <c r="E26" s="93">
        <f>IF(TrAvia_ene!E8=0,0,TrAvia_ene!E8/(E14*TrAvia_act!E16))</f>
        <v>3.8798717168898128E-2</v>
      </c>
      <c r="F26" s="93">
        <f>IF(TrAvia_ene!F8=0,0,TrAvia_ene!F8/(F14*TrAvia_act!F16))</f>
        <v>3.7917562920844229E-2</v>
      </c>
      <c r="G26" s="93">
        <f>IF(TrAvia_ene!G8=0,0,TrAvia_ene!G8/(G14*TrAvia_act!G16))</f>
        <v>3.4408700988467232E-2</v>
      </c>
      <c r="H26" s="93">
        <f>IF(TrAvia_ene!H8=0,0,TrAvia_ene!H8/(H14*TrAvia_act!H16))</f>
        <v>3.6197685612897885E-2</v>
      </c>
      <c r="I26" s="93">
        <f>IF(TrAvia_ene!I8=0,0,TrAvia_ene!I8/(I14*TrAvia_act!I16))</f>
        <v>2.9386675800473359E-2</v>
      </c>
      <c r="J26" s="93">
        <f>IF(TrAvia_ene!J8=0,0,TrAvia_ene!J8/(J14*TrAvia_act!J16))</f>
        <v>3.3128997067016032E-2</v>
      </c>
      <c r="K26" s="93">
        <f>IF(TrAvia_ene!K8=0,0,TrAvia_ene!K8/(K14*TrAvia_act!K16))</f>
        <v>3.2056490021295077E-2</v>
      </c>
      <c r="L26" s="93">
        <f>IF(TrAvia_ene!L8=0,0,TrAvia_ene!L8/(L14*TrAvia_act!L16))</f>
        <v>3.2327763796957294E-2</v>
      </c>
      <c r="M26" s="93">
        <f>IF(TrAvia_ene!M8=0,0,TrAvia_ene!M8/(M14*TrAvia_act!M16))</f>
        <v>2.8992055776473083E-2</v>
      </c>
      <c r="N26" s="93">
        <f>IF(TrAvia_ene!N8=0,0,TrAvia_ene!N8/(N14*TrAvia_act!N16))</f>
        <v>3.2107514956656646E-2</v>
      </c>
      <c r="O26" s="93">
        <f>IF(TrAvia_ene!O8=0,0,TrAvia_ene!O8/(O14*TrAvia_act!O16))</f>
        <v>2.7347646252403674E-2</v>
      </c>
      <c r="P26" s="93">
        <f>IF(TrAvia_ene!P8=0,0,TrAvia_ene!P8/(P14*TrAvia_act!P16))</f>
        <v>2.8542094134666674E-2</v>
      </c>
      <c r="Q26" s="93">
        <f>IF(TrAvia_ene!Q8=0,0,TrAvia_ene!Q8/(Q14*TrAvia_act!Q16))</f>
        <v>2.7639226864939553E-2</v>
      </c>
      <c r="R26" s="93">
        <f>IF(TrAvia_ene!R8=0,0,TrAvia_ene!R8/(R14*TrAvia_act!R16))</f>
        <v>2.6051889369881991E-2</v>
      </c>
      <c r="S26" s="93">
        <f>IF(TrAvia_ene!S8=0,0,TrAvia_ene!S8/(S14*TrAvia_act!S16))</f>
        <v>2.9538467717224074E-2</v>
      </c>
      <c r="T26" s="93">
        <f>IF(TrAvia_ene!T8=0,0,TrAvia_ene!T8/(T14*TrAvia_act!T16))</f>
        <v>3.1416057525073704E-2</v>
      </c>
      <c r="U26" s="93">
        <f>IF(TrAvia_ene!U8=0,0,TrAvia_ene!U8/(U14*TrAvia_act!U16))</f>
        <v>3.3769113876477262E-2</v>
      </c>
      <c r="V26" s="93">
        <f>IF(TrAvia_ene!V8=0,0,TrAvia_ene!V8/(V14*TrAvia_act!V16))</f>
        <v>3.1231239642618338E-2</v>
      </c>
      <c r="W26" s="93">
        <f>IF(TrAvia_ene!W8=0,0,TrAvia_ene!W8/(W14*TrAvia_act!W16))</f>
        <v>3.0269242618948658E-2</v>
      </c>
      <c r="X26" s="93">
        <f>IF(TrAvia_ene!X8=0,0,TrAvia_ene!X8/(X14*TrAvia_act!X16))</f>
        <v>3.1947686350753762E-2</v>
      </c>
      <c r="Y26" s="93">
        <f>IF(TrAvia_ene!Y8=0,0,TrAvia_ene!Y8/(Y14*TrAvia_act!Y16))</f>
        <v>3.2635724759659805E-2</v>
      </c>
      <c r="DA26" s="175"/>
    </row>
    <row r="27" spans="1:105" ht="11.45" customHeight="1" x14ac:dyDescent="0.25">
      <c r="A27" s="85" t="s">
        <v>182</v>
      </c>
      <c r="B27" s="94">
        <f>IF(TrAvia_ene!B9=0,0,TrAvia_ene!B9/(B15*TrAvia_act!B17))</f>
        <v>2.7949496382105928E-2</v>
      </c>
      <c r="C27" s="94">
        <f>IF(TrAvia_ene!C9=0,0,TrAvia_ene!C9/(C15*TrAvia_act!C17))</f>
        <v>2.7370609049584584E-2</v>
      </c>
      <c r="D27" s="94">
        <f>IF(TrAvia_ene!D9=0,0,TrAvia_ene!D9/(D15*TrAvia_act!D17))</f>
        <v>2.6929678929753485E-2</v>
      </c>
      <c r="E27" s="94">
        <f>IF(TrAvia_ene!E9=0,0,TrAvia_ene!E9/(E15*TrAvia_act!E17))</f>
        <v>2.6261474376002944E-2</v>
      </c>
      <c r="F27" s="94">
        <f>IF(TrAvia_ene!F9=0,0,TrAvia_ene!F9/(F15*TrAvia_act!F17))</f>
        <v>2.553809730618339E-2</v>
      </c>
      <c r="G27" s="94">
        <f>IF(TrAvia_ene!G9=0,0,TrAvia_ene!G9/(G15*TrAvia_act!G17))</f>
        <v>2.391555786088986E-2</v>
      </c>
      <c r="H27" s="94">
        <f>IF(TrAvia_ene!H9=0,0,TrAvia_ene!H9/(H15*TrAvia_act!H17))</f>
        <v>2.4374533390346686E-2</v>
      </c>
      <c r="I27" s="94">
        <f>IF(TrAvia_ene!I9=0,0,TrAvia_ene!I9/(I15*TrAvia_act!I17))</f>
        <v>2.0800818117185337E-2</v>
      </c>
      <c r="J27" s="94">
        <f>IF(TrAvia_ene!J9=0,0,TrAvia_ene!J9/(J15*TrAvia_act!J17))</f>
        <v>1.8979573004333481E-2</v>
      </c>
      <c r="K27" s="94">
        <f>IF(TrAvia_ene!K9=0,0,TrAvia_ene!K9/(K15*TrAvia_act!K17))</f>
        <v>2.206651122097289E-2</v>
      </c>
      <c r="L27" s="94">
        <f>IF(TrAvia_ene!L9=0,0,TrAvia_ene!L9/(L15*TrAvia_act!L17))</f>
        <v>2.2018860285970471E-2</v>
      </c>
      <c r="M27" s="94">
        <f>IF(TrAvia_ene!M9=0,0,TrAvia_ene!M9/(M15*TrAvia_act!M17))</f>
        <v>2.2767419121364468E-2</v>
      </c>
      <c r="N27" s="94">
        <f>IF(TrAvia_ene!N9=0,0,TrAvia_ene!N9/(N15*TrAvia_act!N17))</f>
        <v>2.6102860879057336E-2</v>
      </c>
      <c r="O27" s="94">
        <f>IF(TrAvia_ene!O9=0,0,TrAvia_ene!O9/(O15*TrAvia_act!O17))</f>
        <v>2.3437268418119699E-2</v>
      </c>
      <c r="P27" s="94">
        <f>IF(TrAvia_ene!P9=0,0,TrAvia_ene!P9/(P15*TrAvia_act!P17))</f>
        <v>2.296118626832221E-2</v>
      </c>
      <c r="Q27" s="94">
        <f>IF(TrAvia_ene!Q9=0,0,TrAvia_ene!Q9/(Q15*TrAvia_act!Q17))</f>
        <v>2.0615707858021259E-2</v>
      </c>
      <c r="R27" s="94">
        <f>IF(TrAvia_ene!R9=0,0,TrAvia_ene!R9/(R15*TrAvia_act!R17))</f>
        <v>2.5961140045938819E-2</v>
      </c>
      <c r="S27" s="94">
        <f>IF(TrAvia_ene!S9=0,0,TrAvia_ene!S9/(S15*TrAvia_act!S17))</f>
        <v>2.1983616674785343E-2</v>
      </c>
      <c r="T27" s="94">
        <f>IF(TrAvia_ene!T9=0,0,TrAvia_ene!T9/(T15*TrAvia_act!T17))</f>
        <v>1.7898802987163946E-2</v>
      </c>
      <c r="U27" s="94">
        <f>IF(TrAvia_ene!U9=0,0,TrAvia_ene!U9/(U15*TrAvia_act!U17))</f>
        <v>1.585094688604588E-2</v>
      </c>
      <c r="V27" s="94">
        <f>IF(TrAvia_ene!V9=0,0,TrAvia_ene!V9/(V15*TrAvia_act!V17))</f>
        <v>3.0002060379324853E-2</v>
      </c>
      <c r="W27" s="94">
        <f>IF(TrAvia_ene!W9=0,0,TrAvia_ene!W9/(W15*TrAvia_act!W17))</f>
        <v>1.9557443573856519E-2</v>
      </c>
      <c r="X27" s="94">
        <f>IF(TrAvia_ene!X9=0,0,TrAvia_ene!X9/(X15*TrAvia_act!X17))</f>
        <v>1.4803398662326115E-2</v>
      </c>
      <c r="Y27" s="94">
        <f>IF(TrAvia_ene!Y9=0,0,TrAvia_ene!Y9/(Y15*TrAvia_act!Y17))</f>
        <v>1.332872801497121E-2</v>
      </c>
      <c r="DA27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pageSetUpPr fitToPage="1"/>
  </sheetPr>
  <dimension ref="A1:DA24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45" customHeight="1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999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Z1" s="49"/>
      <c r="AA1" s="49"/>
      <c r="AB1" s="49"/>
      <c r="AC1" s="49"/>
      <c r="AD1" s="49"/>
      <c r="AE1" s="49"/>
      <c r="AF1" s="49"/>
      <c r="DA1" s="170" t="s">
        <v>152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DA2" s="181"/>
    </row>
    <row r="3" spans="1:105" ht="11.45" customHeight="1" x14ac:dyDescent="0.25">
      <c r="A3" s="53" t="s">
        <v>149</v>
      </c>
      <c r="B3" s="54">
        <f t="shared" ref="B3:Q3" si="0">SUM(B4:B5)</f>
        <v>1187.3889999999999</v>
      </c>
      <c r="C3" s="54">
        <f t="shared" si="0"/>
        <v>1277.9780000000001</v>
      </c>
      <c r="D3" s="54">
        <f t="shared" si="0"/>
        <v>1140.566</v>
      </c>
      <c r="E3" s="54">
        <f t="shared" si="0"/>
        <v>887.41600000000005</v>
      </c>
      <c r="F3" s="54">
        <f t="shared" si="0"/>
        <v>385.05700000000002</v>
      </c>
      <c r="G3" s="54">
        <f t="shared" si="0"/>
        <v>373.94799999999998</v>
      </c>
      <c r="H3" s="54">
        <f t="shared" si="0"/>
        <v>332.78100000000001</v>
      </c>
      <c r="I3" s="54">
        <f t="shared" si="0"/>
        <v>309.27999999999997</v>
      </c>
      <c r="J3" s="54">
        <f t="shared" si="0"/>
        <v>316.28100000000001</v>
      </c>
      <c r="K3" s="54">
        <f t="shared" si="0"/>
        <v>229.83600000000001</v>
      </c>
      <c r="L3" s="54">
        <f t="shared" si="0"/>
        <v>157.66900000000001</v>
      </c>
      <c r="M3" s="54">
        <f t="shared" si="0"/>
        <v>212.28199999999998</v>
      </c>
      <c r="N3" s="54">
        <f t="shared" si="0"/>
        <v>177.17000000000002</v>
      </c>
      <c r="O3" s="54">
        <f t="shared" si="0"/>
        <v>131.392</v>
      </c>
      <c r="P3" s="54">
        <f t="shared" si="0"/>
        <v>135.05799999999999</v>
      </c>
      <c r="Q3" s="54">
        <f t="shared" si="0"/>
        <v>122.947</v>
      </c>
      <c r="R3" s="54">
        <f t="shared" ref="R3:V3" si="1">SUM(R4:R5)</f>
        <v>173.672</v>
      </c>
      <c r="S3" s="54">
        <f t="shared" si="1"/>
        <v>181.172</v>
      </c>
      <c r="T3" s="54">
        <f t="shared" si="1"/>
        <v>177.11500000000001</v>
      </c>
      <c r="U3" s="54">
        <f t="shared" si="1"/>
        <v>152.39400000000001</v>
      </c>
      <c r="V3" s="54">
        <f t="shared" si="1"/>
        <v>176.952</v>
      </c>
      <c r="W3" s="54">
        <f t="shared" ref="W3:Y3" si="2">SUM(W4:W5)</f>
        <v>193.511</v>
      </c>
      <c r="X3" s="54">
        <f t="shared" si="2"/>
        <v>200.95699999999999</v>
      </c>
      <c r="Y3" s="54">
        <f t="shared" si="2"/>
        <v>151.565</v>
      </c>
      <c r="Z3" s="54"/>
      <c r="AA3" s="54"/>
      <c r="AB3" s="54"/>
      <c r="AC3" s="54"/>
      <c r="AD3" s="54"/>
      <c r="AE3" s="54"/>
      <c r="AF3" s="54"/>
      <c r="AG3" s="54"/>
      <c r="DA3" s="172" t="s">
        <v>385</v>
      </c>
    </row>
    <row r="4" spans="1:105" ht="11.45" customHeight="1" x14ac:dyDescent="0.25">
      <c r="A4" s="55" t="s">
        <v>30</v>
      </c>
      <c r="B4" s="56">
        <v>14.388999999999999</v>
      </c>
      <c r="C4" s="56">
        <v>13.978</v>
      </c>
      <c r="D4" s="56">
        <v>14.566000000000001</v>
      </c>
      <c r="E4" s="56">
        <v>15.416</v>
      </c>
      <c r="F4" s="56">
        <v>15.057</v>
      </c>
      <c r="G4" s="56">
        <v>46.948</v>
      </c>
      <c r="H4" s="56">
        <v>43.780999999999999</v>
      </c>
      <c r="I4" s="56">
        <v>32.28</v>
      </c>
      <c r="J4" s="56">
        <v>39.280999999999999</v>
      </c>
      <c r="K4" s="56">
        <v>27.835999999999999</v>
      </c>
      <c r="L4" s="56">
        <v>27.669</v>
      </c>
      <c r="M4" s="56">
        <v>51.281999999999996</v>
      </c>
      <c r="N4" s="56">
        <v>46.17</v>
      </c>
      <c r="O4" s="56">
        <v>40.392000000000003</v>
      </c>
      <c r="P4" s="56">
        <v>25.058</v>
      </c>
      <c r="Q4" s="56">
        <v>34.947000000000003</v>
      </c>
      <c r="R4" s="56">
        <v>65.671999999999997</v>
      </c>
      <c r="S4" s="56">
        <v>66.171999999999997</v>
      </c>
      <c r="T4" s="56">
        <v>52.115000000000002</v>
      </c>
      <c r="U4" s="56">
        <v>65.394000000000005</v>
      </c>
      <c r="V4" s="56">
        <v>99.951999999999998</v>
      </c>
      <c r="W4" s="56">
        <v>139.511</v>
      </c>
      <c r="X4" s="56">
        <v>160.95699999999999</v>
      </c>
      <c r="Y4" s="56">
        <v>122.565</v>
      </c>
      <c r="Z4" s="56"/>
      <c r="AA4" s="56"/>
      <c r="AB4" s="56"/>
      <c r="AC4" s="56"/>
      <c r="AD4" s="56"/>
      <c r="AE4" s="56"/>
      <c r="AF4" s="56"/>
      <c r="AG4" s="56"/>
      <c r="DA4" s="181" t="s">
        <v>386</v>
      </c>
    </row>
    <row r="5" spans="1:105" ht="11.45" customHeight="1" x14ac:dyDescent="0.25">
      <c r="A5" s="57" t="s">
        <v>31</v>
      </c>
      <c r="B5" s="58">
        <v>1173</v>
      </c>
      <c r="C5" s="58">
        <v>1264</v>
      </c>
      <c r="D5" s="58">
        <v>1126</v>
      </c>
      <c r="E5" s="58">
        <v>872</v>
      </c>
      <c r="F5" s="58">
        <v>370</v>
      </c>
      <c r="G5" s="58">
        <v>327</v>
      </c>
      <c r="H5" s="58">
        <v>289</v>
      </c>
      <c r="I5" s="58">
        <v>277</v>
      </c>
      <c r="J5" s="58">
        <v>277</v>
      </c>
      <c r="K5" s="58">
        <v>202</v>
      </c>
      <c r="L5" s="58">
        <v>130</v>
      </c>
      <c r="M5" s="58">
        <v>161</v>
      </c>
      <c r="N5" s="58">
        <v>131</v>
      </c>
      <c r="O5" s="58">
        <v>91</v>
      </c>
      <c r="P5" s="58">
        <v>110</v>
      </c>
      <c r="Q5" s="58">
        <v>88</v>
      </c>
      <c r="R5" s="58">
        <v>108</v>
      </c>
      <c r="S5" s="58">
        <v>115</v>
      </c>
      <c r="T5" s="58">
        <v>125</v>
      </c>
      <c r="U5" s="58">
        <v>87</v>
      </c>
      <c r="V5" s="58">
        <v>77</v>
      </c>
      <c r="W5" s="58">
        <v>54</v>
      </c>
      <c r="X5" s="58">
        <v>40</v>
      </c>
      <c r="Y5" s="58">
        <v>29</v>
      </c>
      <c r="Z5" s="58"/>
      <c r="AA5" s="58"/>
      <c r="AB5" s="58"/>
      <c r="AC5" s="58"/>
      <c r="AD5" s="58"/>
      <c r="AE5" s="58"/>
      <c r="AF5" s="58"/>
      <c r="AG5" s="58"/>
      <c r="DA5" s="182" t="s">
        <v>387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DA6" s="181"/>
    </row>
    <row r="7" spans="1:105" ht="11.45" customHeight="1" x14ac:dyDescent="0.25">
      <c r="A7" s="53" t="s">
        <v>161</v>
      </c>
      <c r="B7" s="59">
        <f t="shared" ref="B7:Q7" si="3">SUM(B8:B9)</f>
        <v>1.575</v>
      </c>
      <c r="C7" s="59">
        <f t="shared" si="3"/>
        <v>1.5549999999999999</v>
      </c>
      <c r="D7" s="59">
        <f t="shared" si="3"/>
        <v>1.2569999999999999</v>
      </c>
      <c r="E7" s="59">
        <f t="shared" si="3"/>
        <v>1.7369999999999999</v>
      </c>
      <c r="F7" s="59">
        <f t="shared" si="3"/>
        <v>1.4</v>
      </c>
      <c r="G7" s="59">
        <f t="shared" si="3"/>
        <v>1.091</v>
      </c>
      <c r="H7" s="59">
        <f t="shared" si="3"/>
        <v>1.141</v>
      </c>
      <c r="I7" s="59">
        <f t="shared" si="3"/>
        <v>0.98099999999999998</v>
      </c>
      <c r="J7" s="59">
        <f t="shared" si="3"/>
        <v>0.91</v>
      </c>
      <c r="K7" s="59">
        <f t="shared" si="3"/>
        <v>0.45200000000000001</v>
      </c>
      <c r="L7" s="59">
        <f t="shared" si="3"/>
        <v>0.38800000000000001</v>
      </c>
      <c r="M7" s="59">
        <f t="shared" si="3"/>
        <v>0.47800000000000004</v>
      </c>
      <c r="N7" s="59">
        <f t="shared" si="3"/>
        <v>0.47100000000000003</v>
      </c>
      <c r="O7" s="59">
        <f t="shared" si="3"/>
        <v>0.39500000000000002</v>
      </c>
      <c r="P7" s="59">
        <f t="shared" si="3"/>
        <v>0.41300000000000003</v>
      </c>
      <c r="Q7" s="59">
        <f t="shared" si="3"/>
        <v>0.253</v>
      </c>
      <c r="R7" s="59">
        <f t="shared" ref="R7:V7" si="4">SUM(R8:R9)</f>
        <v>0.30100000000000005</v>
      </c>
      <c r="S7" s="59">
        <f t="shared" si="4"/>
        <v>0.39900000000000002</v>
      </c>
      <c r="T7" s="59">
        <f t="shared" si="4"/>
        <v>0.313</v>
      </c>
      <c r="U7" s="59">
        <f t="shared" si="4"/>
        <v>0.246</v>
      </c>
      <c r="V7" s="59">
        <f t="shared" si="4"/>
        <v>0.21199999999999999</v>
      </c>
      <c r="W7" s="59">
        <f t="shared" ref="W7:Y7" si="5">SUM(W8:W9)</f>
        <v>0.17899999999999999</v>
      </c>
      <c r="X7" s="59">
        <f t="shared" si="5"/>
        <v>0.155</v>
      </c>
      <c r="Y7" s="59">
        <f t="shared" si="5"/>
        <v>0.11399999999999999</v>
      </c>
      <c r="Z7" s="59"/>
      <c r="AA7" s="59"/>
      <c r="AB7" s="59"/>
      <c r="AC7" s="59"/>
      <c r="AD7" s="59"/>
      <c r="AE7" s="59"/>
      <c r="AF7" s="59"/>
      <c r="AG7" s="59"/>
      <c r="DA7" s="172" t="s">
        <v>1000</v>
      </c>
    </row>
    <row r="8" spans="1:105" ht="11.45" customHeight="1" x14ac:dyDescent="0.25">
      <c r="A8" s="55" t="s">
        <v>30</v>
      </c>
      <c r="B8" s="60">
        <v>7.0000000000000001E-3</v>
      </c>
      <c r="C8" s="60">
        <v>7.0000000000000001E-3</v>
      </c>
      <c r="D8" s="60">
        <v>7.0000000000000001E-3</v>
      </c>
      <c r="E8" s="60">
        <v>7.0000000000000001E-3</v>
      </c>
      <c r="F8" s="60">
        <v>7.0000000000000001E-3</v>
      </c>
      <c r="G8" s="60">
        <v>2.4E-2</v>
      </c>
      <c r="H8" s="60">
        <v>2.1999999999999999E-2</v>
      </c>
      <c r="I8" s="60">
        <v>1.6E-2</v>
      </c>
      <c r="J8" s="60">
        <v>1.7000000000000001E-2</v>
      </c>
      <c r="K8" s="60">
        <v>1.2E-2</v>
      </c>
      <c r="L8" s="60">
        <v>1.2E-2</v>
      </c>
      <c r="M8" s="60">
        <v>2.1000000000000001E-2</v>
      </c>
      <c r="N8" s="60">
        <v>1.9E-2</v>
      </c>
      <c r="O8" s="60">
        <v>1.6E-2</v>
      </c>
      <c r="P8" s="60">
        <v>0.01</v>
      </c>
      <c r="Q8" s="60">
        <v>1.2999999999999999E-2</v>
      </c>
      <c r="R8" s="60">
        <v>2.4E-2</v>
      </c>
      <c r="S8" s="60">
        <v>2.4E-2</v>
      </c>
      <c r="T8" s="60">
        <v>1.9E-2</v>
      </c>
      <c r="U8" s="60">
        <v>2.4E-2</v>
      </c>
      <c r="V8" s="60">
        <v>3.4000000000000002E-2</v>
      </c>
      <c r="W8" s="60">
        <v>4.7E-2</v>
      </c>
      <c r="X8" s="60">
        <v>5.3999999999999999E-2</v>
      </c>
      <c r="Y8" s="60">
        <v>3.9E-2</v>
      </c>
      <c r="Z8" s="60"/>
      <c r="AA8" s="60"/>
      <c r="AB8" s="60"/>
      <c r="AC8" s="60"/>
      <c r="AD8" s="60"/>
      <c r="AE8" s="60"/>
      <c r="AF8" s="60"/>
      <c r="AG8" s="60"/>
      <c r="DA8" s="181" t="s">
        <v>1001</v>
      </c>
    </row>
    <row r="9" spans="1:105" ht="11.45" customHeight="1" x14ac:dyDescent="0.25">
      <c r="A9" s="57" t="s">
        <v>31</v>
      </c>
      <c r="B9" s="61">
        <v>1.5680000000000001</v>
      </c>
      <c r="C9" s="61">
        <v>1.548</v>
      </c>
      <c r="D9" s="61">
        <v>1.25</v>
      </c>
      <c r="E9" s="61">
        <v>1.73</v>
      </c>
      <c r="F9" s="61">
        <v>1.393</v>
      </c>
      <c r="G9" s="61">
        <v>1.0669999999999999</v>
      </c>
      <c r="H9" s="61">
        <v>1.119</v>
      </c>
      <c r="I9" s="61">
        <v>0.96499999999999997</v>
      </c>
      <c r="J9" s="61">
        <v>0.89300000000000002</v>
      </c>
      <c r="K9" s="61">
        <v>0.44</v>
      </c>
      <c r="L9" s="61">
        <v>0.376</v>
      </c>
      <c r="M9" s="61">
        <v>0.45700000000000002</v>
      </c>
      <c r="N9" s="61">
        <v>0.45200000000000001</v>
      </c>
      <c r="O9" s="61">
        <v>0.379</v>
      </c>
      <c r="P9" s="61">
        <v>0.40300000000000002</v>
      </c>
      <c r="Q9" s="61">
        <v>0.24</v>
      </c>
      <c r="R9" s="61">
        <v>0.27700000000000002</v>
      </c>
      <c r="S9" s="61">
        <v>0.375</v>
      </c>
      <c r="T9" s="61">
        <v>0.29399999999999998</v>
      </c>
      <c r="U9" s="61">
        <v>0.222</v>
      </c>
      <c r="V9" s="61">
        <v>0.17799999999999999</v>
      </c>
      <c r="W9" s="61">
        <v>0.13200000000000001</v>
      </c>
      <c r="X9" s="61">
        <v>0.10100000000000001</v>
      </c>
      <c r="Y9" s="61">
        <v>7.4999999999999997E-2</v>
      </c>
      <c r="Z9" s="61"/>
      <c r="AA9" s="61"/>
      <c r="AB9" s="61"/>
      <c r="AC9" s="61"/>
      <c r="AD9" s="61"/>
      <c r="AE9" s="61"/>
      <c r="AF9" s="61"/>
      <c r="AG9" s="61"/>
      <c r="DA9" s="182" t="s">
        <v>1002</v>
      </c>
    </row>
    <row r="10" spans="1:105" ht="11.45" customHeight="1" x14ac:dyDescent="0.25">
      <c r="A10" s="50"/>
      <c r="B10" s="50"/>
      <c r="C10" s="50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  <c r="AA10" s="51"/>
      <c r="AB10" s="51"/>
      <c r="AC10" s="51"/>
      <c r="AD10" s="51"/>
      <c r="AE10" s="51"/>
      <c r="AF10" s="51"/>
      <c r="AG10" s="51"/>
      <c r="DA10" s="181"/>
    </row>
    <row r="11" spans="1:105" ht="11.45" customHeight="1" x14ac:dyDescent="0.25">
      <c r="A11" s="68" t="s">
        <v>36</v>
      </c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69"/>
      <c r="DA11" s="179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DA12" s="181"/>
    </row>
    <row r="13" spans="1:105" ht="11.45" customHeight="1" x14ac:dyDescent="0.25">
      <c r="A13" s="53" t="s">
        <v>143</v>
      </c>
      <c r="B13" s="62">
        <f t="shared" ref="B13:E15" si="6">IF(B3=0,0,B3/B7)</f>
        <v>753.89777777777772</v>
      </c>
      <c r="C13" s="62">
        <f t="shared" si="6"/>
        <v>821.85080385852098</v>
      </c>
      <c r="D13" s="62">
        <f t="shared" si="6"/>
        <v>907.37151949085137</v>
      </c>
      <c r="E13" s="62">
        <f t="shared" si="6"/>
        <v>510.89004029936677</v>
      </c>
      <c r="F13" s="62">
        <f t="shared" ref="F13:V13" si="7">IF(F3=0,0,F3/F7)</f>
        <v>275.04071428571433</v>
      </c>
      <c r="G13" s="62">
        <f t="shared" si="7"/>
        <v>342.75710357470211</v>
      </c>
      <c r="H13" s="62">
        <f t="shared" si="7"/>
        <v>291.65731814198074</v>
      </c>
      <c r="I13" s="62">
        <f t="shared" si="7"/>
        <v>315.27013251783893</v>
      </c>
      <c r="J13" s="62">
        <f t="shared" si="7"/>
        <v>347.56153846153848</v>
      </c>
      <c r="K13" s="62">
        <f t="shared" si="7"/>
        <v>508.48672566371681</v>
      </c>
      <c r="L13" s="62">
        <f t="shared" si="7"/>
        <v>406.36340206185571</v>
      </c>
      <c r="M13" s="62">
        <f t="shared" si="7"/>
        <v>444.10460251046015</v>
      </c>
      <c r="N13" s="62">
        <f t="shared" si="7"/>
        <v>376.15711252653927</v>
      </c>
      <c r="O13" s="62">
        <f t="shared" si="7"/>
        <v>332.63797468354426</v>
      </c>
      <c r="P13" s="62">
        <f t="shared" si="7"/>
        <v>327.01694915254234</v>
      </c>
      <c r="Q13" s="62">
        <f t="shared" si="7"/>
        <v>485.95652173913044</v>
      </c>
      <c r="R13" s="62">
        <f t="shared" si="7"/>
        <v>576.98338870431883</v>
      </c>
      <c r="S13" s="62">
        <f t="shared" si="7"/>
        <v>454.06516290726813</v>
      </c>
      <c r="T13" s="62">
        <f t="shared" si="7"/>
        <v>565.8626198083067</v>
      </c>
      <c r="U13" s="62">
        <f t="shared" si="7"/>
        <v>619.48780487804879</v>
      </c>
      <c r="V13" s="62">
        <f t="shared" si="7"/>
        <v>834.67924528301887</v>
      </c>
      <c r="W13" s="62">
        <f t="shared" ref="W13:Y13" si="8">IF(W3=0,0,W3/W7)</f>
        <v>1081.0670391061453</v>
      </c>
      <c r="X13" s="62">
        <f t="shared" si="8"/>
        <v>1296.4967741935484</v>
      </c>
      <c r="Y13" s="62">
        <f t="shared" si="8"/>
        <v>1329.5175438596493</v>
      </c>
      <c r="Z13" s="62"/>
      <c r="AA13" s="62"/>
      <c r="AB13" s="62"/>
      <c r="AC13" s="62"/>
      <c r="AD13" s="62"/>
      <c r="AE13" s="62"/>
      <c r="AF13" s="62"/>
      <c r="AG13" s="62"/>
      <c r="DA13" s="172" t="s">
        <v>1003</v>
      </c>
    </row>
    <row r="14" spans="1:105" ht="11.45" customHeight="1" x14ac:dyDescent="0.25">
      <c r="A14" s="55" t="s">
        <v>30</v>
      </c>
      <c r="B14" s="63">
        <f t="shared" si="6"/>
        <v>2055.5714285714284</v>
      </c>
      <c r="C14" s="63">
        <f t="shared" si="6"/>
        <v>1996.8571428571429</v>
      </c>
      <c r="D14" s="63">
        <f t="shared" si="6"/>
        <v>2080.8571428571431</v>
      </c>
      <c r="E14" s="63">
        <f t="shared" si="6"/>
        <v>2202.2857142857142</v>
      </c>
      <c r="F14" s="63">
        <f t="shared" ref="F14:V14" si="9">IF(F4=0,0,F4/F8)</f>
        <v>2151</v>
      </c>
      <c r="G14" s="63">
        <f t="shared" si="9"/>
        <v>1956.1666666666667</v>
      </c>
      <c r="H14" s="63">
        <f t="shared" si="9"/>
        <v>1990.0454545454545</v>
      </c>
      <c r="I14" s="63">
        <f t="shared" si="9"/>
        <v>2017.5</v>
      </c>
      <c r="J14" s="63">
        <f t="shared" si="9"/>
        <v>2310.6470588235293</v>
      </c>
      <c r="K14" s="63">
        <f t="shared" si="9"/>
        <v>2319.6666666666665</v>
      </c>
      <c r="L14" s="63">
        <f t="shared" si="9"/>
        <v>2305.75</v>
      </c>
      <c r="M14" s="63">
        <f t="shared" si="9"/>
        <v>2441.9999999999995</v>
      </c>
      <c r="N14" s="63">
        <f t="shared" si="9"/>
        <v>2430</v>
      </c>
      <c r="O14" s="63">
        <f t="shared" si="9"/>
        <v>2524.5</v>
      </c>
      <c r="P14" s="63">
        <f t="shared" si="9"/>
        <v>2505.7999999999997</v>
      </c>
      <c r="Q14" s="63">
        <f t="shared" si="9"/>
        <v>2688.2307692307695</v>
      </c>
      <c r="R14" s="63">
        <f t="shared" si="9"/>
        <v>2736.333333333333</v>
      </c>
      <c r="S14" s="63">
        <f t="shared" si="9"/>
        <v>2757.1666666666665</v>
      </c>
      <c r="T14" s="63">
        <f t="shared" si="9"/>
        <v>2742.8947368421054</v>
      </c>
      <c r="U14" s="63">
        <f t="shared" si="9"/>
        <v>2724.75</v>
      </c>
      <c r="V14" s="63">
        <f t="shared" si="9"/>
        <v>2939.7647058823527</v>
      </c>
      <c r="W14" s="63">
        <f t="shared" ref="W14:Y14" si="10">IF(W4=0,0,W4/W8)</f>
        <v>2968.3191489361702</v>
      </c>
      <c r="X14" s="63">
        <f t="shared" si="10"/>
        <v>2980.6851851851852</v>
      </c>
      <c r="Y14" s="63">
        <f t="shared" si="10"/>
        <v>3142.6923076923076</v>
      </c>
      <c r="Z14" s="63"/>
      <c r="AA14" s="63"/>
      <c r="AB14" s="63"/>
      <c r="AC14" s="63"/>
      <c r="AD14" s="63"/>
      <c r="AE14" s="63"/>
      <c r="AF14" s="63"/>
      <c r="AG14" s="63"/>
      <c r="DA14" s="181" t="s">
        <v>1004</v>
      </c>
    </row>
    <row r="15" spans="1:105" ht="11.45" customHeight="1" x14ac:dyDescent="0.25">
      <c r="A15" s="57" t="s">
        <v>31</v>
      </c>
      <c r="B15" s="64">
        <f t="shared" si="6"/>
        <v>748.08673469387747</v>
      </c>
      <c r="C15" s="64">
        <f t="shared" si="6"/>
        <v>816.53746770025839</v>
      </c>
      <c r="D15" s="64">
        <f t="shared" si="6"/>
        <v>900.8</v>
      </c>
      <c r="E15" s="64">
        <f t="shared" si="6"/>
        <v>504.04624277456645</v>
      </c>
      <c r="F15" s="64">
        <f t="shared" ref="F15:V15" si="11">IF(F5=0,0,F5/F9)</f>
        <v>265.61378320172292</v>
      </c>
      <c r="G15" s="64">
        <f t="shared" si="11"/>
        <v>306.46672914714151</v>
      </c>
      <c r="H15" s="64">
        <f t="shared" si="11"/>
        <v>258.26630920464703</v>
      </c>
      <c r="I15" s="64">
        <f t="shared" si="11"/>
        <v>287.04663212435236</v>
      </c>
      <c r="J15" s="64">
        <f t="shared" si="11"/>
        <v>310.19036954087346</v>
      </c>
      <c r="K15" s="64">
        <f t="shared" si="11"/>
        <v>459.09090909090907</v>
      </c>
      <c r="L15" s="64">
        <f t="shared" si="11"/>
        <v>345.74468085106383</v>
      </c>
      <c r="M15" s="64">
        <f t="shared" si="11"/>
        <v>352.29759299781182</v>
      </c>
      <c r="N15" s="64">
        <f t="shared" si="11"/>
        <v>289.82300884955754</v>
      </c>
      <c r="O15" s="64">
        <f t="shared" si="11"/>
        <v>240.10554089709763</v>
      </c>
      <c r="P15" s="64">
        <f t="shared" si="11"/>
        <v>272.95285359801488</v>
      </c>
      <c r="Q15" s="64">
        <f t="shared" si="11"/>
        <v>366.66666666666669</v>
      </c>
      <c r="R15" s="64">
        <f t="shared" si="11"/>
        <v>389.8916967509025</v>
      </c>
      <c r="S15" s="64">
        <f t="shared" si="11"/>
        <v>306.66666666666669</v>
      </c>
      <c r="T15" s="64">
        <f t="shared" si="11"/>
        <v>425.1700680272109</v>
      </c>
      <c r="U15" s="64">
        <f t="shared" si="11"/>
        <v>391.89189189189187</v>
      </c>
      <c r="V15" s="64">
        <f t="shared" si="11"/>
        <v>432.58426966292137</v>
      </c>
      <c r="W15" s="64">
        <f t="shared" ref="W15:Y15" si="12">IF(W5=0,0,W5/W9)</f>
        <v>409.09090909090907</v>
      </c>
      <c r="X15" s="64">
        <f t="shared" si="12"/>
        <v>396.03960396039599</v>
      </c>
      <c r="Y15" s="64">
        <f t="shared" si="12"/>
        <v>386.66666666666669</v>
      </c>
      <c r="Z15" s="64"/>
      <c r="AA15" s="64"/>
      <c r="AB15" s="64"/>
      <c r="AC15" s="64"/>
      <c r="AD15" s="64"/>
      <c r="AE15" s="64"/>
      <c r="AF15" s="64"/>
      <c r="AG15" s="64"/>
      <c r="DA15" s="182" t="s">
        <v>1005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DA16" s="181"/>
    </row>
    <row r="17" spans="1:105" ht="11.45" customHeight="1" x14ac:dyDescent="0.25">
      <c r="A17" s="53" t="s">
        <v>65</v>
      </c>
      <c r="B17" s="65">
        <f t="shared" ref="B17:E17" si="13">IF(B3=0,0,B3/B$3)</f>
        <v>1</v>
      </c>
      <c r="C17" s="65">
        <f t="shared" si="13"/>
        <v>1</v>
      </c>
      <c r="D17" s="65">
        <f t="shared" si="13"/>
        <v>1</v>
      </c>
      <c r="E17" s="65">
        <f t="shared" si="13"/>
        <v>1</v>
      </c>
      <c r="F17" s="65">
        <f t="shared" ref="F17:V17" si="14">IF(F3=0,0,F3/F$3)</f>
        <v>1</v>
      </c>
      <c r="G17" s="65">
        <f t="shared" si="14"/>
        <v>1</v>
      </c>
      <c r="H17" s="65">
        <f t="shared" si="14"/>
        <v>1</v>
      </c>
      <c r="I17" s="65">
        <f t="shared" si="14"/>
        <v>1</v>
      </c>
      <c r="J17" s="65">
        <f t="shared" si="14"/>
        <v>1</v>
      </c>
      <c r="K17" s="65">
        <f t="shared" si="14"/>
        <v>1</v>
      </c>
      <c r="L17" s="65">
        <f t="shared" si="14"/>
        <v>1</v>
      </c>
      <c r="M17" s="65">
        <f t="shared" si="14"/>
        <v>1</v>
      </c>
      <c r="N17" s="65">
        <f t="shared" si="14"/>
        <v>1</v>
      </c>
      <c r="O17" s="65">
        <f t="shared" si="14"/>
        <v>1</v>
      </c>
      <c r="P17" s="65">
        <f t="shared" si="14"/>
        <v>1</v>
      </c>
      <c r="Q17" s="65">
        <f t="shared" si="14"/>
        <v>1</v>
      </c>
      <c r="R17" s="65">
        <f t="shared" si="14"/>
        <v>1</v>
      </c>
      <c r="S17" s="65">
        <f t="shared" si="14"/>
        <v>1</v>
      </c>
      <c r="T17" s="65">
        <f t="shared" si="14"/>
        <v>1</v>
      </c>
      <c r="U17" s="65">
        <f t="shared" si="14"/>
        <v>1</v>
      </c>
      <c r="V17" s="65">
        <f t="shared" si="14"/>
        <v>1</v>
      </c>
      <c r="W17" s="65">
        <f t="shared" ref="W17:Y17" si="15">IF(W3=0,0,W3/W$3)</f>
        <v>1</v>
      </c>
      <c r="X17" s="65">
        <f t="shared" si="15"/>
        <v>1</v>
      </c>
      <c r="Y17" s="65">
        <f t="shared" si="15"/>
        <v>1</v>
      </c>
      <c r="Z17" s="65"/>
      <c r="AA17" s="65"/>
      <c r="AB17" s="65"/>
      <c r="AC17" s="65"/>
      <c r="AD17" s="65"/>
      <c r="AE17" s="65"/>
      <c r="AF17" s="65"/>
      <c r="AG17" s="65"/>
      <c r="DA17" s="172"/>
    </row>
    <row r="18" spans="1:105" ht="11.45" customHeight="1" x14ac:dyDescent="0.25">
      <c r="A18" s="55" t="s">
        <v>30</v>
      </c>
      <c r="B18" s="66">
        <f t="shared" ref="B18:E18" si="16">IF(B4=0,0,B4/B$3)</f>
        <v>1.2118185363010774E-2</v>
      </c>
      <c r="C18" s="66">
        <f t="shared" si="16"/>
        <v>1.0937590474953402E-2</v>
      </c>
      <c r="D18" s="66">
        <f t="shared" si="16"/>
        <v>1.2770852366281303E-2</v>
      </c>
      <c r="E18" s="66">
        <f t="shared" si="16"/>
        <v>1.7371785047824245E-2</v>
      </c>
      <c r="F18" s="66">
        <f t="shared" ref="F18:V18" si="17">IF(F4=0,0,F4/F$3)</f>
        <v>3.9103301589115375E-2</v>
      </c>
      <c r="G18" s="66">
        <f t="shared" si="17"/>
        <v>0.12554686747890081</v>
      </c>
      <c r="H18" s="66">
        <f t="shared" si="17"/>
        <v>0.13156099657131867</v>
      </c>
      <c r="I18" s="66">
        <f t="shared" si="17"/>
        <v>0.10437144335230214</v>
      </c>
      <c r="J18" s="66">
        <f t="shared" si="17"/>
        <v>0.12419652144769998</v>
      </c>
      <c r="K18" s="66">
        <f t="shared" si="17"/>
        <v>0.12111244539584747</v>
      </c>
      <c r="L18" s="66">
        <f t="shared" si="17"/>
        <v>0.17548788918557229</v>
      </c>
      <c r="M18" s="66">
        <f t="shared" si="17"/>
        <v>0.24157488623623294</v>
      </c>
      <c r="N18" s="66">
        <f t="shared" si="17"/>
        <v>0.26059716656318788</v>
      </c>
      <c r="O18" s="66">
        <f t="shared" si="17"/>
        <v>0.30741597661958114</v>
      </c>
      <c r="P18" s="66">
        <f t="shared" si="17"/>
        <v>0.18553510343704188</v>
      </c>
      <c r="Q18" s="66">
        <f t="shared" si="17"/>
        <v>0.28424443052697507</v>
      </c>
      <c r="R18" s="66">
        <f t="shared" si="17"/>
        <v>0.37813809940577642</v>
      </c>
      <c r="S18" s="66">
        <f t="shared" si="17"/>
        <v>0.36524407745126175</v>
      </c>
      <c r="T18" s="66">
        <f t="shared" si="17"/>
        <v>0.29424385286395843</v>
      </c>
      <c r="U18" s="66">
        <f t="shared" si="17"/>
        <v>0.42911138233788731</v>
      </c>
      <c r="V18" s="66">
        <f t="shared" si="17"/>
        <v>0.56485374564853741</v>
      </c>
      <c r="W18" s="66">
        <f t="shared" ref="W18:Y18" si="18">IF(W4=0,0,W4/W$3)</f>
        <v>0.72094609608756088</v>
      </c>
      <c r="X18" s="66">
        <f t="shared" si="18"/>
        <v>0.80095244256233922</v>
      </c>
      <c r="Y18" s="66">
        <f t="shared" si="18"/>
        <v>0.80866294988948639</v>
      </c>
      <c r="Z18" s="66"/>
      <c r="AA18" s="66"/>
      <c r="AB18" s="66"/>
      <c r="AC18" s="66"/>
      <c r="AD18" s="66"/>
      <c r="AE18" s="66"/>
      <c r="AF18" s="66"/>
      <c r="AG18" s="66"/>
      <c r="DA18" s="181"/>
    </row>
    <row r="19" spans="1:105" ht="11.45" customHeight="1" x14ac:dyDescent="0.25">
      <c r="A19" s="57" t="s">
        <v>31</v>
      </c>
      <c r="B19" s="67">
        <f t="shared" ref="B19:E19" si="19">IF(B5=0,0,B5/B$3)</f>
        <v>0.98788181463698932</v>
      </c>
      <c r="C19" s="67">
        <f t="shared" si="19"/>
        <v>0.98906240952504654</v>
      </c>
      <c r="D19" s="67">
        <f t="shared" si="19"/>
        <v>0.98722914763371872</v>
      </c>
      <c r="E19" s="67">
        <f t="shared" si="19"/>
        <v>0.98262821495217567</v>
      </c>
      <c r="F19" s="67">
        <f t="shared" ref="F19:V19" si="20">IF(F5=0,0,F5/F$3)</f>
        <v>0.96089669841088454</v>
      </c>
      <c r="G19" s="67">
        <f t="shared" si="20"/>
        <v>0.87445313252109924</v>
      </c>
      <c r="H19" s="67">
        <f t="shared" si="20"/>
        <v>0.8684390034286813</v>
      </c>
      <c r="I19" s="67">
        <f t="shared" si="20"/>
        <v>0.89562855664769792</v>
      </c>
      <c r="J19" s="67">
        <f t="shared" si="20"/>
        <v>0.87580347855230001</v>
      </c>
      <c r="K19" s="67">
        <f t="shared" si="20"/>
        <v>0.87888755460415247</v>
      </c>
      <c r="L19" s="67">
        <f t="shared" si="20"/>
        <v>0.82451211081442766</v>
      </c>
      <c r="M19" s="67">
        <f t="shared" si="20"/>
        <v>0.75842511376376709</v>
      </c>
      <c r="N19" s="67">
        <f t="shared" si="20"/>
        <v>0.73940283343681201</v>
      </c>
      <c r="O19" s="67">
        <f t="shared" si="20"/>
        <v>0.69258402338041891</v>
      </c>
      <c r="P19" s="67">
        <f t="shared" si="20"/>
        <v>0.81446489656295817</v>
      </c>
      <c r="Q19" s="67">
        <f t="shared" si="20"/>
        <v>0.71575556947302499</v>
      </c>
      <c r="R19" s="67">
        <f t="shared" si="20"/>
        <v>0.62186190059422364</v>
      </c>
      <c r="S19" s="67">
        <f t="shared" si="20"/>
        <v>0.63475592254873825</v>
      </c>
      <c r="T19" s="67">
        <f t="shared" si="20"/>
        <v>0.70575614713604151</v>
      </c>
      <c r="U19" s="67">
        <f t="shared" si="20"/>
        <v>0.57088861766211263</v>
      </c>
      <c r="V19" s="67">
        <f t="shared" si="20"/>
        <v>0.43514625435146254</v>
      </c>
      <c r="W19" s="67">
        <f t="shared" ref="W19:Y19" si="21">IF(W5=0,0,W5/W$3)</f>
        <v>0.27905390391243912</v>
      </c>
      <c r="X19" s="67">
        <f t="shared" si="21"/>
        <v>0.19904755743766081</v>
      </c>
      <c r="Y19" s="67">
        <f t="shared" si="21"/>
        <v>0.19133705011051363</v>
      </c>
      <c r="Z19" s="67"/>
      <c r="AA19" s="67"/>
      <c r="AB19" s="67"/>
      <c r="AC19" s="67"/>
      <c r="AD19" s="67"/>
      <c r="AE19" s="67"/>
      <c r="AF19" s="67"/>
      <c r="AG19" s="67"/>
      <c r="DA19" s="182"/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DA20" s="181"/>
    </row>
    <row r="21" spans="1:105" ht="11.45" customHeight="1" x14ac:dyDescent="0.25">
      <c r="A21" s="53" t="s">
        <v>66</v>
      </c>
      <c r="B21" s="65">
        <f t="shared" ref="B21:E21" si="22">IF(B7=0,0,B7/B$7)</f>
        <v>1</v>
      </c>
      <c r="C21" s="65">
        <f t="shared" si="22"/>
        <v>1</v>
      </c>
      <c r="D21" s="65">
        <f t="shared" si="22"/>
        <v>1</v>
      </c>
      <c r="E21" s="65">
        <f t="shared" si="22"/>
        <v>1</v>
      </c>
      <c r="F21" s="65">
        <f t="shared" ref="F21:V21" si="23">IF(F7=0,0,F7/F$7)</f>
        <v>1</v>
      </c>
      <c r="G21" s="65">
        <f t="shared" si="23"/>
        <v>1</v>
      </c>
      <c r="H21" s="65">
        <f t="shared" si="23"/>
        <v>1</v>
      </c>
      <c r="I21" s="65">
        <f t="shared" si="23"/>
        <v>1</v>
      </c>
      <c r="J21" s="65">
        <f t="shared" si="23"/>
        <v>1</v>
      </c>
      <c r="K21" s="65">
        <f t="shared" si="23"/>
        <v>1</v>
      </c>
      <c r="L21" s="65">
        <f t="shared" si="23"/>
        <v>1</v>
      </c>
      <c r="M21" s="65">
        <f t="shared" si="23"/>
        <v>1</v>
      </c>
      <c r="N21" s="65">
        <f t="shared" si="23"/>
        <v>1</v>
      </c>
      <c r="O21" s="65">
        <f t="shared" si="23"/>
        <v>1</v>
      </c>
      <c r="P21" s="65">
        <f t="shared" si="23"/>
        <v>1</v>
      </c>
      <c r="Q21" s="65">
        <f t="shared" si="23"/>
        <v>1</v>
      </c>
      <c r="R21" s="65">
        <f t="shared" si="23"/>
        <v>1</v>
      </c>
      <c r="S21" s="65">
        <f t="shared" si="23"/>
        <v>1</v>
      </c>
      <c r="T21" s="65">
        <f t="shared" si="23"/>
        <v>1</v>
      </c>
      <c r="U21" s="65">
        <f t="shared" si="23"/>
        <v>1</v>
      </c>
      <c r="V21" s="65">
        <f t="shared" si="23"/>
        <v>1</v>
      </c>
      <c r="W21" s="65">
        <f t="shared" ref="W21:Y21" si="24">IF(W7=0,0,W7/W$7)</f>
        <v>1</v>
      </c>
      <c r="X21" s="65">
        <f t="shared" si="24"/>
        <v>1</v>
      </c>
      <c r="Y21" s="65">
        <f t="shared" si="24"/>
        <v>1</v>
      </c>
      <c r="Z21" s="65"/>
      <c r="AA21" s="65"/>
      <c r="AB21" s="65"/>
      <c r="AC21" s="65"/>
      <c r="AD21" s="65"/>
      <c r="AE21" s="65"/>
      <c r="AF21" s="65"/>
      <c r="AG21" s="65"/>
      <c r="DA21" s="172"/>
    </row>
    <row r="22" spans="1:105" ht="11.45" customHeight="1" x14ac:dyDescent="0.25">
      <c r="A22" s="55" t="s">
        <v>30</v>
      </c>
      <c r="B22" s="66">
        <f t="shared" ref="B22:E22" si="25">IF(B8=0,0,B8/B$7)</f>
        <v>4.4444444444444444E-3</v>
      </c>
      <c r="C22" s="66">
        <f t="shared" si="25"/>
        <v>4.5016077170418013E-3</v>
      </c>
      <c r="D22" s="66">
        <f t="shared" si="25"/>
        <v>5.5688146380270488E-3</v>
      </c>
      <c r="E22" s="66">
        <f t="shared" si="25"/>
        <v>4.0299366724237196E-3</v>
      </c>
      <c r="F22" s="66">
        <f t="shared" ref="F22:V22" si="26">IF(F8=0,0,F8/F$7)</f>
        <v>5.0000000000000001E-3</v>
      </c>
      <c r="G22" s="66">
        <f t="shared" si="26"/>
        <v>2.1998166819431716E-2</v>
      </c>
      <c r="H22" s="66">
        <f t="shared" si="26"/>
        <v>1.9281332164767746E-2</v>
      </c>
      <c r="I22" s="66">
        <f t="shared" si="26"/>
        <v>1.6309887869520898E-2</v>
      </c>
      <c r="J22" s="66">
        <f t="shared" si="26"/>
        <v>1.8681318681318681E-2</v>
      </c>
      <c r="K22" s="66">
        <f t="shared" si="26"/>
        <v>2.6548672566371681E-2</v>
      </c>
      <c r="L22" s="66">
        <f t="shared" si="26"/>
        <v>3.0927835051546393E-2</v>
      </c>
      <c r="M22" s="66">
        <f t="shared" si="26"/>
        <v>4.3933054393305436E-2</v>
      </c>
      <c r="N22" s="66">
        <f t="shared" si="26"/>
        <v>4.0339702760084924E-2</v>
      </c>
      <c r="O22" s="66">
        <f t="shared" si="26"/>
        <v>4.0506329113924051E-2</v>
      </c>
      <c r="P22" s="66">
        <f t="shared" si="26"/>
        <v>2.4213075060532687E-2</v>
      </c>
      <c r="Q22" s="66">
        <f t="shared" si="26"/>
        <v>5.1383399209486161E-2</v>
      </c>
      <c r="R22" s="66">
        <f t="shared" si="26"/>
        <v>7.9734219269102985E-2</v>
      </c>
      <c r="S22" s="66">
        <f t="shared" si="26"/>
        <v>6.0150375939849621E-2</v>
      </c>
      <c r="T22" s="66">
        <f t="shared" si="26"/>
        <v>6.070287539936102E-2</v>
      </c>
      <c r="U22" s="66">
        <f t="shared" si="26"/>
        <v>9.7560975609756101E-2</v>
      </c>
      <c r="V22" s="66">
        <f t="shared" si="26"/>
        <v>0.16037735849056606</v>
      </c>
      <c r="W22" s="66">
        <f t="shared" ref="W22:Y22" si="27">IF(W8=0,0,W8/W$7)</f>
        <v>0.26256983240223464</v>
      </c>
      <c r="X22" s="66">
        <f t="shared" si="27"/>
        <v>0.34838709677419355</v>
      </c>
      <c r="Y22" s="66">
        <f t="shared" si="27"/>
        <v>0.34210526315789475</v>
      </c>
      <c r="Z22" s="66"/>
      <c r="AA22" s="66"/>
      <c r="AB22" s="66"/>
      <c r="AC22" s="66"/>
      <c r="AD22" s="66"/>
      <c r="AE22" s="66"/>
      <c r="AF22" s="66"/>
      <c r="AG22" s="66"/>
      <c r="DA22" s="181"/>
    </row>
    <row r="23" spans="1:105" ht="11.45" customHeight="1" x14ac:dyDescent="0.25">
      <c r="A23" s="57" t="s">
        <v>31</v>
      </c>
      <c r="B23" s="67">
        <f t="shared" ref="B23:E23" si="28">IF(B9=0,0,B9/B$7)</f>
        <v>0.99555555555555564</v>
      </c>
      <c r="C23" s="67">
        <f t="shared" si="28"/>
        <v>0.99549839228295822</v>
      </c>
      <c r="D23" s="67">
        <f t="shared" si="28"/>
        <v>0.99443118536197306</v>
      </c>
      <c r="E23" s="67">
        <f t="shared" si="28"/>
        <v>0.99597006332757632</v>
      </c>
      <c r="F23" s="67">
        <f t="shared" ref="F23:V23" si="29">IF(F9=0,0,F9/F$7)</f>
        <v>0.99500000000000011</v>
      </c>
      <c r="G23" s="67">
        <f t="shared" si="29"/>
        <v>0.97800183318056821</v>
      </c>
      <c r="H23" s="67">
        <f t="shared" si="29"/>
        <v>0.98071866783523221</v>
      </c>
      <c r="I23" s="67">
        <f t="shared" si="29"/>
        <v>0.98369011213047908</v>
      </c>
      <c r="J23" s="67">
        <f t="shared" si="29"/>
        <v>0.98131868131868127</v>
      </c>
      <c r="K23" s="67">
        <f t="shared" si="29"/>
        <v>0.97345132743362828</v>
      </c>
      <c r="L23" s="67">
        <f t="shared" si="29"/>
        <v>0.96907216494845361</v>
      </c>
      <c r="M23" s="67">
        <f t="shared" si="29"/>
        <v>0.95606694560669447</v>
      </c>
      <c r="N23" s="67">
        <f t="shared" si="29"/>
        <v>0.95966029723991508</v>
      </c>
      <c r="O23" s="67">
        <f t="shared" si="29"/>
        <v>0.95949367088607596</v>
      </c>
      <c r="P23" s="67">
        <f t="shared" si="29"/>
        <v>0.97578692493946728</v>
      </c>
      <c r="Q23" s="67">
        <f t="shared" si="29"/>
        <v>0.9486166007905138</v>
      </c>
      <c r="R23" s="67">
        <f t="shared" si="29"/>
        <v>0.92026578073089693</v>
      </c>
      <c r="S23" s="67">
        <f t="shared" si="29"/>
        <v>0.93984962406015038</v>
      </c>
      <c r="T23" s="67">
        <f t="shared" si="29"/>
        <v>0.93929712460063897</v>
      </c>
      <c r="U23" s="67">
        <f t="shared" si="29"/>
        <v>0.90243902439024393</v>
      </c>
      <c r="V23" s="67">
        <f t="shared" si="29"/>
        <v>0.839622641509434</v>
      </c>
      <c r="W23" s="67">
        <f t="shared" ref="W23:Y23" si="30">IF(W9=0,0,W9/W$7)</f>
        <v>0.73743016759776547</v>
      </c>
      <c r="X23" s="67">
        <f t="shared" si="30"/>
        <v>0.65161290322580645</v>
      </c>
      <c r="Y23" s="67">
        <f t="shared" si="30"/>
        <v>0.65789473684210531</v>
      </c>
      <c r="Z23" s="67"/>
      <c r="AA23" s="67"/>
      <c r="AB23" s="67"/>
      <c r="AC23" s="67"/>
      <c r="AD23" s="67"/>
      <c r="AE23" s="67"/>
      <c r="AF23" s="67"/>
      <c r="AG23" s="67"/>
      <c r="DA23" s="182"/>
    </row>
    <row r="24" spans="1:105" ht="11.45" customHeight="1" x14ac:dyDescent="0.25"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pageSetUpPr fitToPage="1"/>
  </sheetPr>
  <dimension ref="A1:DA29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45" customHeight="1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1006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Z1" s="49"/>
      <c r="AA1" s="49"/>
      <c r="AB1" s="49"/>
      <c r="AC1" s="49"/>
      <c r="AD1" s="49"/>
      <c r="AE1" s="49"/>
      <c r="AF1" s="49"/>
      <c r="DA1" s="170" t="s">
        <v>152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DA2" s="181"/>
    </row>
    <row r="3" spans="1:105" ht="11.45" customHeight="1" x14ac:dyDescent="0.25">
      <c r="A3" s="53" t="s">
        <v>32</v>
      </c>
      <c r="B3" s="62">
        <f>SUM(B4,B10)</f>
        <v>6.1622527944969905</v>
      </c>
      <c r="C3" s="62">
        <f t="shared" ref="C3:V3" si="0">SUM(C4,C10)</f>
        <v>6.1622527944969896</v>
      </c>
      <c r="D3" s="62">
        <f t="shared" si="0"/>
        <v>5.135167669819432</v>
      </c>
      <c r="E3" s="62">
        <f t="shared" si="0"/>
        <v>7.1892519346517627</v>
      </c>
      <c r="F3" s="62">
        <f t="shared" si="0"/>
        <v>6.1622527944969905</v>
      </c>
      <c r="G3" s="62">
        <f t="shared" si="0"/>
        <v>5.135167669819432</v>
      </c>
      <c r="H3" s="62">
        <f t="shared" si="0"/>
        <v>6.1622527944969896</v>
      </c>
      <c r="I3" s="62">
        <f t="shared" si="0"/>
        <v>5.135167669819432</v>
      </c>
      <c r="J3" s="62">
        <f t="shared" si="0"/>
        <v>5.135167669819432</v>
      </c>
      <c r="K3" s="62">
        <f t="shared" si="0"/>
        <v>3.1025795356835775</v>
      </c>
      <c r="L3" s="62">
        <f t="shared" si="0"/>
        <v>3.1025795356835775</v>
      </c>
      <c r="M3" s="62">
        <f t="shared" si="0"/>
        <v>3.102579535683577</v>
      </c>
      <c r="N3" s="62">
        <f t="shared" si="0"/>
        <v>3.102579535683577</v>
      </c>
      <c r="O3" s="62">
        <f t="shared" si="0"/>
        <v>3.102579535683577</v>
      </c>
      <c r="P3" s="62">
        <f t="shared" si="0"/>
        <v>3.1025795356835775</v>
      </c>
      <c r="Q3" s="62">
        <f t="shared" si="0"/>
        <v>2.0540842648323299</v>
      </c>
      <c r="R3" s="62">
        <f t="shared" si="0"/>
        <v>2.0540842648323299</v>
      </c>
      <c r="S3" s="62">
        <f t="shared" si="0"/>
        <v>4.6894239036973344</v>
      </c>
      <c r="T3" s="62">
        <f t="shared" si="0"/>
        <v>2.026311263972485</v>
      </c>
      <c r="U3" s="62">
        <f t="shared" si="0"/>
        <v>1.87944969905417</v>
      </c>
      <c r="V3" s="62">
        <f t="shared" si="0"/>
        <v>1.034221840068787</v>
      </c>
      <c r="W3" s="62">
        <f t="shared" ref="W3:Y3" si="1">SUM(W4,W10)</f>
        <v>1.1204643164230439</v>
      </c>
      <c r="X3" s="62">
        <f t="shared" si="1"/>
        <v>1.1204643164230439</v>
      </c>
      <c r="Y3" s="62">
        <f t="shared" si="1"/>
        <v>1.1204643164230439</v>
      </c>
      <c r="Z3" s="62"/>
      <c r="AA3" s="62"/>
      <c r="AB3" s="62"/>
      <c r="AC3" s="62"/>
      <c r="AD3" s="62"/>
      <c r="AE3" s="62"/>
      <c r="AF3" s="62"/>
      <c r="AG3" s="62"/>
      <c r="DA3" s="172" t="s">
        <v>1007</v>
      </c>
    </row>
    <row r="4" spans="1:105" ht="11.45" customHeight="1" x14ac:dyDescent="0.25">
      <c r="A4" s="70" t="s">
        <v>30</v>
      </c>
      <c r="B4" s="71">
        <f>SUM(B5:B9)</f>
        <v>0.24397136294746677</v>
      </c>
      <c r="C4" s="71">
        <f t="shared" ref="C4:V4" si="2">SUM(C5:C9)</f>
        <v>0.24239460004820199</v>
      </c>
      <c r="D4" s="71">
        <f t="shared" si="2"/>
        <v>0.25850591985742893</v>
      </c>
      <c r="E4" s="71">
        <f t="shared" si="2"/>
        <v>0.28411513793890575</v>
      </c>
      <c r="F4" s="71">
        <f t="shared" si="2"/>
        <v>0.32602193460842538</v>
      </c>
      <c r="G4" s="71">
        <f t="shared" si="2"/>
        <v>1.0225054316494211</v>
      </c>
      <c r="H4" s="71">
        <f t="shared" si="2"/>
        <v>1.1190709420412379</v>
      </c>
      <c r="I4" s="71">
        <f t="shared" si="2"/>
        <v>0.79814610749366788</v>
      </c>
      <c r="J4" s="71">
        <f t="shared" si="2"/>
        <v>0.94637867163214895</v>
      </c>
      <c r="K4" s="71">
        <f t="shared" si="2"/>
        <v>0.70260014438854934</v>
      </c>
      <c r="L4" s="71">
        <f t="shared" si="2"/>
        <v>0.841112770215385</v>
      </c>
      <c r="M4" s="71">
        <f t="shared" si="2"/>
        <v>1.0990232359716063</v>
      </c>
      <c r="N4" s="71">
        <f t="shared" si="2"/>
        <v>1.0367409346766829</v>
      </c>
      <c r="O4" s="71">
        <f t="shared" si="2"/>
        <v>1.041450088489009</v>
      </c>
      <c r="P4" s="71">
        <f t="shared" si="2"/>
        <v>0.71153621198165717</v>
      </c>
      <c r="Q4" s="71">
        <f t="shared" si="2"/>
        <v>0.78049428685248901</v>
      </c>
      <c r="R4" s="71">
        <f t="shared" si="2"/>
        <v>1.034913601400655</v>
      </c>
      <c r="S4" s="71">
        <f t="shared" si="2"/>
        <v>2.1348848777713587</v>
      </c>
      <c r="T4" s="71">
        <f t="shared" si="2"/>
        <v>0.88984033721133449</v>
      </c>
      <c r="U4" s="71">
        <f t="shared" si="2"/>
        <v>1.062027932097777</v>
      </c>
      <c r="V4" s="71">
        <f t="shared" si="2"/>
        <v>0.70547671634592601</v>
      </c>
      <c r="W4" s="71">
        <f t="shared" ref="W4:Y4" si="3">SUM(W5:W9)</f>
        <v>0.9005961509623911</v>
      </c>
      <c r="X4" s="71">
        <f t="shared" si="3"/>
        <v>0.97277213369722393</v>
      </c>
      <c r="Y4" s="71">
        <f t="shared" si="3"/>
        <v>0.97039489234924592</v>
      </c>
      <c r="Z4" s="71"/>
      <c r="AA4" s="71"/>
      <c r="AB4" s="71"/>
      <c r="AC4" s="71"/>
      <c r="AD4" s="71"/>
      <c r="AE4" s="71"/>
      <c r="AF4" s="71"/>
      <c r="AG4" s="71"/>
      <c r="DA4" s="186" t="s">
        <v>1008</v>
      </c>
    </row>
    <row r="5" spans="1:105" ht="11.45" customHeight="1" x14ac:dyDescent="0.25">
      <c r="A5" s="72" t="s">
        <v>144</v>
      </c>
      <c r="B5" s="73">
        <v>0.24397136294746677</v>
      </c>
      <c r="C5" s="73">
        <v>0.24239460004820199</v>
      </c>
      <c r="D5" s="73">
        <v>0.25850591985742893</v>
      </c>
      <c r="E5" s="73">
        <v>0.28411513793890575</v>
      </c>
      <c r="F5" s="73">
        <v>0.32602193460842538</v>
      </c>
      <c r="G5" s="73">
        <v>1.0225054316494211</v>
      </c>
      <c r="H5" s="73">
        <v>1.1190709420412379</v>
      </c>
      <c r="I5" s="73">
        <v>0.79814610749366788</v>
      </c>
      <c r="J5" s="73">
        <v>0.94637867163214895</v>
      </c>
      <c r="K5" s="73">
        <v>0.70260014438854934</v>
      </c>
      <c r="L5" s="73">
        <v>0.841112770215385</v>
      </c>
      <c r="M5" s="73">
        <v>1.0990232359716063</v>
      </c>
      <c r="N5" s="73">
        <v>1.0367409346766829</v>
      </c>
      <c r="O5" s="73">
        <v>1.041450088489009</v>
      </c>
      <c r="P5" s="73">
        <v>0.71153621198165717</v>
      </c>
      <c r="Q5" s="73">
        <v>0.78049428685248901</v>
      </c>
      <c r="R5" s="73">
        <v>1.034913601400655</v>
      </c>
      <c r="S5" s="73">
        <v>2.1348848777713587</v>
      </c>
      <c r="T5" s="73">
        <v>0.88984033721133449</v>
      </c>
      <c r="U5" s="73">
        <v>1.062027932097777</v>
      </c>
      <c r="V5" s="73">
        <v>0.70547671634592601</v>
      </c>
      <c r="W5" s="73">
        <v>0.9005961509623911</v>
      </c>
      <c r="X5" s="73">
        <v>0.97277213369722393</v>
      </c>
      <c r="Y5" s="73">
        <v>0.97039489234924592</v>
      </c>
      <c r="Z5" s="73"/>
      <c r="AA5" s="73"/>
      <c r="AB5" s="73"/>
      <c r="AC5" s="73"/>
      <c r="AD5" s="73"/>
      <c r="AE5" s="73"/>
      <c r="AF5" s="73"/>
      <c r="AG5" s="73"/>
      <c r="DA5" s="187" t="s">
        <v>1009</v>
      </c>
    </row>
    <row r="6" spans="1:105" ht="11.45" customHeight="1" x14ac:dyDescent="0.25">
      <c r="A6" s="72" t="s">
        <v>145</v>
      </c>
      <c r="B6" s="73">
        <v>0</v>
      </c>
      <c r="C6" s="73">
        <v>0</v>
      </c>
      <c r="D6" s="73">
        <v>0</v>
      </c>
      <c r="E6" s="73">
        <v>0</v>
      </c>
      <c r="F6" s="73">
        <v>0</v>
      </c>
      <c r="G6" s="73">
        <v>0</v>
      </c>
      <c r="H6" s="73">
        <v>0</v>
      </c>
      <c r="I6" s="73">
        <v>0</v>
      </c>
      <c r="J6" s="73">
        <v>0</v>
      </c>
      <c r="K6" s="73">
        <v>0</v>
      </c>
      <c r="L6" s="73">
        <v>0</v>
      </c>
      <c r="M6" s="73">
        <v>0</v>
      </c>
      <c r="N6" s="73">
        <v>0</v>
      </c>
      <c r="O6" s="73">
        <v>0</v>
      </c>
      <c r="P6" s="73">
        <v>0</v>
      </c>
      <c r="Q6" s="73">
        <v>0</v>
      </c>
      <c r="R6" s="73">
        <v>0</v>
      </c>
      <c r="S6" s="73">
        <v>0</v>
      </c>
      <c r="T6" s="73">
        <v>0</v>
      </c>
      <c r="U6" s="73">
        <v>0</v>
      </c>
      <c r="V6" s="73">
        <v>0</v>
      </c>
      <c r="W6" s="73">
        <v>0</v>
      </c>
      <c r="X6" s="73">
        <v>0</v>
      </c>
      <c r="Y6" s="73">
        <v>0</v>
      </c>
      <c r="Z6" s="73"/>
      <c r="AA6" s="73"/>
      <c r="AB6" s="73"/>
      <c r="AC6" s="73"/>
      <c r="AD6" s="73"/>
      <c r="AE6" s="73"/>
      <c r="AF6" s="73"/>
      <c r="AG6" s="73"/>
      <c r="DA6" s="187" t="s">
        <v>1010</v>
      </c>
    </row>
    <row r="7" spans="1:105" ht="11.45" customHeight="1" x14ac:dyDescent="0.25">
      <c r="A7" s="72" t="s">
        <v>146</v>
      </c>
      <c r="B7" s="73">
        <v>0</v>
      </c>
      <c r="C7" s="73">
        <v>0</v>
      </c>
      <c r="D7" s="73">
        <v>0</v>
      </c>
      <c r="E7" s="73">
        <v>0</v>
      </c>
      <c r="F7" s="73">
        <v>0</v>
      </c>
      <c r="G7" s="73">
        <v>0</v>
      </c>
      <c r="H7" s="73">
        <v>0</v>
      </c>
      <c r="I7" s="73">
        <v>0</v>
      </c>
      <c r="J7" s="73">
        <v>0</v>
      </c>
      <c r="K7" s="73">
        <v>0</v>
      </c>
      <c r="L7" s="73">
        <v>0</v>
      </c>
      <c r="M7" s="73">
        <v>0</v>
      </c>
      <c r="N7" s="73">
        <v>0</v>
      </c>
      <c r="O7" s="73">
        <v>0</v>
      </c>
      <c r="P7" s="73">
        <v>0</v>
      </c>
      <c r="Q7" s="73">
        <v>0</v>
      </c>
      <c r="R7" s="73">
        <v>0</v>
      </c>
      <c r="S7" s="73">
        <v>0</v>
      </c>
      <c r="T7" s="73">
        <v>0</v>
      </c>
      <c r="U7" s="73">
        <v>0</v>
      </c>
      <c r="V7" s="73">
        <v>0</v>
      </c>
      <c r="W7" s="73">
        <v>0</v>
      </c>
      <c r="X7" s="73">
        <v>0</v>
      </c>
      <c r="Y7" s="73">
        <v>0</v>
      </c>
      <c r="Z7" s="73"/>
      <c r="AA7" s="73"/>
      <c r="AB7" s="73"/>
      <c r="AC7" s="73"/>
      <c r="AD7" s="73"/>
      <c r="AE7" s="73"/>
      <c r="AF7" s="73"/>
      <c r="AG7" s="73"/>
      <c r="DA7" s="187" t="s">
        <v>1011</v>
      </c>
    </row>
    <row r="8" spans="1:105" ht="11.45" customHeight="1" x14ac:dyDescent="0.25">
      <c r="A8" s="72" t="s">
        <v>55</v>
      </c>
      <c r="B8" s="73">
        <v>0</v>
      </c>
      <c r="C8" s="73">
        <v>0</v>
      </c>
      <c r="D8" s="73">
        <v>0</v>
      </c>
      <c r="E8" s="73">
        <v>0</v>
      </c>
      <c r="F8" s="73">
        <v>0</v>
      </c>
      <c r="G8" s="73">
        <v>0</v>
      </c>
      <c r="H8" s="73">
        <v>0</v>
      </c>
      <c r="I8" s="73">
        <v>0</v>
      </c>
      <c r="J8" s="73">
        <v>0</v>
      </c>
      <c r="K8" s="73">
        <v>0</v>
      </c>
      <c r="L8" s="73">
        <v>0</v>
      </c>
      <c r="M8" s="73">
        <v>0</v>
      </c>
      <c r="N8" s="73">
        <v>0</v>
      </c>
      <c r="O8" s="73">
        <v>0</v>
      </c>
      <c r="P8" s="73">
        <v>0</v>
      </c>
      <c r="Q8" s="73">
        <v>0</v>
      </c>
      <c r="R8" s="73">
        <v>0</v>
      </c>
      <c r="S8" s="73">
        <v>0</v>
      </c>
      <c r="T8" s="73">
        <v>0</v>
      </c>
      <c r="U8" s="73">
        <v>0</v>
      </c>
      <c r="V8" s="73">
        <v>0</v>
      </c>
      <c r="W8" s="73">
        <v>0</v>
      </c>
      <c r="X8" s="73">
        <v>0</v>
      </c>
      <c r="Y8" s="73">
        <v>0</v>
      </c>
      <c r="Z8" s="73"/>
      <c r="AA8" s="73"/>
      <c r="AB8" s="73"/>
      <c r="AC8" s="73"/>
      <c r="AD8" s="73"/>
      <c r="AE8" s="73"/>
      <c r="AF8" s="73"/>
      <c r="AG8" s="73"/>
      <c r="DA8" s="187" t="s">
        <v>1012</v>
      </c>
    </row>
    <row r="9" spans="1:105" ht="11.45" customHeight="1" x14ac:dyDescent="0.25">
      <c r="A9" s="74" t="s">
        <v>147</v>
      </c>
      <c r="B9" s="75">
        <v>0</v>
      </c>
      <c r="C9" s="75">
        <v>0</v>
      </c>
      <c r="D9" s="75">
        <v>0</v>
      </c>
      <c r="E9" s="75">
        <v>0</v>
      </c>
      <c r="F9" s="75">
        <v>0</v>
      </c>
      <c r="G9" s="75">
        <v>0</v>
      </c>
      <c r="H9" s="75">
        <v>0</v>
      </c>
      <c r="I9" s="75">
        <v>0</v>
      </c>
      <c r="J9" s="75">
        <v>0</v>
      </c>
      <c r="K9" s="75">
        <v>0</v>
      </c>
      <c r="L9" s="75">
        <v>0</v>
      </c>
      <c r="M9" s="75">
        <v>0</v>
      </c>
      <c r="N9" s="75">
        <v>0</v>
      </c>
      <c r="O9" s="75">
        <v>0</v>
      </c>
      <c r="P9" s="75">
        <v>0</v>
      </c>
      <c r="Q9" s="75">
        <v>0</v>
      </c>
      <c r="R9" s="75">
        <v>0</v>
      </c>
      <c r="S9" s="75">
        <v>0</v>
      </c>
      <c r="T9" s="75">
        <v>0</v>
      </c>
      <c r="U9" s="75">
        <v>0</v>
      </c>
      <c r="V9" s="75">
        <v>0</v>
      </c>
      <c r="W9" s="75">
        <v>0</v>
      </c>
      <c r="X9" s="75">
        <v>0</v>
      </c>
      <c r="Y9" s="75">
        <v>0</v>
      </c>
      <c r="Z9" s="75"/>
      <c r="AA9" s="75"/>
      <c r="AB9" s="75"/>
      <c r="AC9" s="75"/>
      <c r="AD9" s="75"/>
      <c r="AE9" s="75"/>
      <c r="AF9" s="75"/>
      <c r="AG9" s="75"/>
      <c r="DA9" s="188" t="s">
        <v>1013</v>
      </c>
    </row>
    <row r="10" spans="1:105" ht="11.45" customHeight="1" x14ac:dyDescent="0.25">
      <c r="A10" s="70" t="s">
        <v>31</v>
      </c>
      <c r="B10" s="71">
        <f>SUM(B11:B15)</f>
        <v>5.9182814315495236</v>
      </c>
      <c r="C10" s="71">
        <f t="shared" ref="C10:V10" si="4">SUM(C11:C15)</f>
        <v>5.9198581944487874</v>
      </c>
      <c r="D10" s="71">
        <f t="shared" si="4"/>
        <v>4.8766617499620031</v>
      </c>
      <c r="E10" s="71">
        <f t="shared" si="4"/>
        <v>6.9051367967128572</v>
      </c>
      <c r="F10" s="71">
        <f t="shared" si="4"/>
        <v>5.8362308598885653</v>
      </c>
      <c r="G10" s="71">
        <f t="shared" si="4"/>
        <v>4.1126622381700111</v>
      </c>
      <c r="H10" s="71">
        <f t="shared" si="4"/>
        <v>5.0431818524557519</v>
      </c>
      <c r="I10" s="71">
        <f t="shared" si="4"/>
        <v>4.3370215623257637</v>
      </c>
      <c r="J10" s="71">
        <f t="shared" si="4"/>
        <v>4.1887889981872828</v>
      </c>
      <c r="K10" s="71">
        <f t="shared" si="4"/>
        <v>2.399979391295028</v>
      </c>
      <c r="L10" s="71">
        <f t="shared" si="4"/>
        <v>2.2614667654681924</v>
      </c>
      <c r="M10" s="71">
        <f t="shared" si="4"/>
        <v>2.0035562997119709</v>
      </c>
      <c r="N10" s="71">
        <f t="shared" si="4"/>
        <v>2.0658386010068939</v>
      </c>
      <c r="O10" s="71">
        <f t="shared" si="4"/>
        <v>2.0611294471945683</v>
      </c>
      <c r="P10" s="71">
        <f t="shared" si="4"/>
        <v>2.3910433237019202</v>
      </c>
      <c r="Q10" s="71">
        <f t="shared" si="4"/>
        <v>1.2735899779798407</v>
      </c>
      <c r="R10" s="71">
        <f t="shared" si="4"/>
        <v>1.0191706634316748</v>
      </c>
      <c r="S10" s="71">
        <f t="shared" si="4"/>
        <v>2.5545390259259757</v>
      </c>
      <c r="T10" s="71">
        <f t="shared" si="4"/>
        <v>1.1364709267611504</v>
      </c>
      <c r="U10" s="71">
        <f t="shared" si="4"/>
        <v>0.81742176695639301</v>
      </c>
      <c r="V10" s="71">
        <f t="shared" si="4"/>
        <v>0.32874512372286091</v>
      </c>
      <c r="W10" s="71">
        <f t="shared" ref="W10:Y10" si="5">SUM(W11:W15)</f>
        <v>0.21986816546065277</v>
      </c>
      <c r="X10" s="71">
        <f t="shared" si="5"/>
        <v>0.14769218272581991</v>
      </c>
      <c r="Y10" s="71">
        <f t="shared" si="5"/>
        <v>0.15006942407379806</v>
      </c>
      <c r="Z10" s="71"/>
      <c r="AA10" s="71"/>
      <c r="AB10" s="71"/>
      <c r="AC10" s="71"/>
      <c r="AD10" s="71"/>
      <c r="AE10" s="71"/>
      <c r="AF10" s="71"/>
      <c r="AG10" s="71"/>
      <c r="DA10" s="186" t="s">
        <v>1014</v>
      </c>
    </row>
    <row r="11" spans="1:105" ht="11.45" customHeight="1" x14ac:dyDescent="0.25">
      <c r="A11" s="72" t="s">
        <v>144</v>
      </c>
      <c r="B11" s="73">
        <v>5.9182814315495236</v>
      </c>
      <c r="C11" s="73">
        <v>5.9198581944487874</v>
      </c>
      <c r="D11" s="73">
        <v>4.8766617499620031</v>
      </c>
      <c r="E11" s="73">
        <v>6.9051367967128572</v>
      </c>
      <c r="F11" s="73">
        <v>5.8362308598885653</v>
      </c>
      <c r="G11" s="73">
        <v>4.1126622381700111</v>
      </c>
      <c r="H11" s="73">
        <v>5.0431818524557519</v>
      </c>
      <c r="I11" s="73">
        <v>4.3370215623257637</v>
      </c>
      <c r="J11" s="73">
        <v>4.1887889981872828</v>
      </c>
      <c r="K11" s="73">
        <v>2.399979391295028</v>
      </c>
      <c r="L11" s="73">
        <v>2.2614667654681924</v>
      </c>
      <c r="M11" s="73">
        <v>2.0035562997119709</v>
      </c>
      <c r="N11" s="73">
        <v>2.0658386010068939</v>
      </c>
      <c r="O11" s="73">
        <v>2.0611294471945683</v>
      </c>
      <c r="P11" s="73">
        <v>2.3910433237019202</v>
      </c>
      <c r="Q11" s="73">
        <v>1.2735899779798407</v>
      </c>
      <c r="R11" s="73">
        <v>1.0191706634316748</v>
      </c>
      <c r="S11" s="73">
        <v>2.5545390259259757</v>
      </c>
      <c r="T11" s="73">
        <v>1.1364709267611504</v>
      </c>
      <c r="U11" s="73">
        <v>0.81742176695639301</v>
      </c>
      <c r="V11" s="73">
        <v>0.32874512372286091</v>
      </c>
      <c r="W11" s="73">
        <v>0.21986816546065277</v>
      </c>
      <c r="X11" s="73">
        <v>0.14769218272581991</v>
      </c>
      <c r="Y11" s="73">
        <v>0.15006942407379806</v>
      </c>
      <c r="Z11" s="73"/>
      <c r="AA11" s="73"/>
      <c r="AB11" s="73"/>
      <c r="AC11" s="73"/>
      <c r="AD11" s="73"/>
      <c r="AE11" s="73"/>
      <c r="AF11" s="73"/>
      <c r="AG11" s="73"/>
      <c r="DA11" s="187" t="s">
        <v>1015</v>
      </c>
    </row>
    <row r="12" spans="1:105" ht="11.45" customHeight="1" x14ac:dyDescent="0.25">
      <c r="A12" s="72" t="s">
        <v>145</v>
      </c>
      <c r="B12" s="73">
        <v>0</v>
      </c>
      <c r="C12" s="73">
        <v>0</v>
      </c>
      <c r="D12" s="73">
        <v>0</v>
      </c>
      <c r="E12" s="73">
        <v>0</v>
      </c>
      <c r="F12" s="73">
        <v>0</v>
      </c>
      <c r="G12" s="73">
        <v>0</v>
      </c>
      <c r="H12" s="73">
        <v>0</v>
      </c>
      <c r="I12" s="73">
        <v>0</v>
      </c>
      <c r="J12" s="73">
        <v>0</v>
      </c>
      <c r="K12" s="73">
        <v>0</v>
      </c>
      <c r="L12" s="73">
        <v>0</v>
      </c>
      <c r="M12" s="73">
        <v>0</v>
      </c>
      <c r="N12" s="73">
        <v>0</v>
      </c>
      <c r="O12" s="73">
        <v>0</v>
      </c>
      <c r="P12" s="73">
        <v>0</v>
      </c>
      <c r="Q12" s="73">
        <v>0</v>
      </c>
      <c r="R12" s="73">
        <v>0</v>
      </c>
      <c r="S12" s="73">
        <v>0</v>
      </c>
      <c r="T12" s="73">
        <v>0</v>
      </c>
      <c r="U12" s="73">
        <v>0</v>
      </c>
      <c r="V12" s="73">
        <v>0</v>
      </c>
      <c r="W12" s="73">
        <v>0</v>
      </c>
      <c r="X12" s="73">
        <v>0</v>
      </c>
      <c r="Y12" s="73">
        <v>0</v>
      </c>
      <c r="Z12" s="73"/>
      <c r="AA12" s="73"/>
      <c r="AB12" s="73"/>
      <c r="AC12" s="73"/>
      <c r="AD12" s="73"/>
      <c r="AE12" s="73"/>
      <c r="AF12" s="73"/>
      <c r="AG12" s="73"/>
      <c r="DA12" s="187" t="s">
        <v>1016</v>
      </c>
    </row>
    <row r="13" spans="1:105" ht="11.45" customHeight="1" x14ac:dyDescent="0.25">
      <c r="A13" s="72" t="s">
        <v>146</v>
      </c>
      <c r="B13" s="73">
        <v>0</v>
      </c>
      <c r="C13" s="73">
        <v>0</v>
      </c>
      <c r="D13" s="73">
        <v>0</v>
      </c>
      <c r="E13" s="73">
        <v>0</v>
      </c>
      <c r="F13" s="73">
        <v>0</v>
      </c>
      <c r="G13" s="73">
        <v>0</v>
      </c>
      <c r="H13" s="73">
        <v>0</v>
      </c>
      <c r="I13" s="73">
        <v>0</v>
      </c>
      <c r="J13" s="73">
        <v>0</v>
      </c>
      <c r="K13" s="73">
        <v>0</v>
      </c>
      <c r="L13" s="73">
        <v>0</v>
      </c>
      <c r="M13" s="73">
        <v>0</v>
      </c>
      <c r="N13" s="73">
        <v>0</v>
      </c>
      <c r="O13" s="73">
        <v>0</v>
      </c>
      <c r="P13" s="73">
        <v>0</v>
      </c>
      <c r="Q13" s="73">
        <v>0</v>
      </c>
      <c r="R13" s="73">
        <v>0</v>
      </c>
      <c r="S13" s="73">
        <v>0</v>
      </c>
      <c r="T13" s="73">
        <v>0</v>
      </c>
      <c r="U13" s="73">
        <v>0</v>
      </c>
      <c r="V13" s="73">
        <v>0</v>
      </c>
      <c r="W13" s="73">
        <v>0</v>
      </c>
      <c r="X13" s="73">
        <v>0</v>
      </c>
      <c r="Y13" s="73">
        <v>0</v>
      </c>
      <c r="Z13" s="73"/>
      <c r="AA13" s="73"/>
      <c r="AB13" s="73"/>
      <c r="AC13" s="73"/>
      <c r="AD13" s="73"/>
      <c r="AE13" s="73"/>
      <c r="AF13" s="73"/>
      <c r="AG13" s="73"/>
      <c r="DA13" s="187" t="s">
        <v>1017</v>
      </c>
    </row>
    <row r="14" spans="1:105" ht="11.45" customHeight="1" x14ac:dyDescent="0.25">
      <c r="A14" s="72" t="s">
        <v>55</v>
      </c>
      <c r="B14" s="73">
        <v>0</v>
      </c>
      <c r="C14" s="73">
        <v>0</v>
      </c>
      <c r="D14" s="73">
        <v>0</v>
      </c>
      <c r="E14" s="73">
        <v>0</v>
      </c>
      <c r="F14" s="73">
        <v>0</v>
      </c>
      <c r="G14" s="73">
        <v>0</v>
      </c>
      <c r="H14" s="73">
        <v>0</v>
      </c>
      <c r="I14" s="73">
        <v>0</v>
      </c>
      <c r="J14" s="73">
        <v>0</v>
      </c>
      <c r="K14" s="73">
        <v>0</v>
      </c>
      <c r="L14" s="73">
        <v>0</v>
      </c>
      <c r="M14" s="73">
        <v>0</v>
      </c>
      <c r="N14" s="73">
        <v>0</v>
      </c>
      <c r="O14" s="73">
        <v>0</v>
      </c>
      <c r="P14" s="73">
        <v>0</v>
      </c>
      <c r="Q14" s="73">
        <v>0</v>
      </c>
      <c r="R14" s="73">
        <v>0</v>
      </c>
      <c r="S14" s="73">
        <v>0</v>
      </c>
      <c r="T14" s="73">
        <v>0</v>
      </c>
      <c r="U14" s="73">
        <v>0</v>
      </c>
      <c r="V14" s="73">
        <v>0</v>
      </c>
      <c r="W14" s="73">
        <v>0</v>
      </c>
      <c r="X14" s="73">
        <v>0</v>
      </c>
      <c r="Y14" s="73">
        <v>0</v>
      </c>
      <c r="Z14" s="73"/>
      <c r="AA14" s="73"/>
      <c r="AB14" s="73"/>
      <c r="AC14" s="73"/>
      <c r="AD14" s="73"/>
      <c r="AE14" s="73"/>
      <c r="AF14" s="73"/>
      <c r="AG14" s="73"/>
      <c r="DA14" s="187" t="s">
        <v>1018</v>
      </c>
    </row>
    <row r="15" spans="1:105" ht="11.45" customHeight="1" x14ac:dyDescent="0.25">
      <c r="A15" s="74" t="s">
        <v>147</v>
      </c>
      <c r="B15" s="75">
        <v>0</v>
      </c>
      <c r="C15" s="75">
        <v>0</v>
      </c>
      <c r="D15" s="75">
        <v>0</v>
      </c>
      <c r="E15" s="75">
        <v>0</v>
      </c>
      <c r="F15" s="75">
        <v>0</v>
      </c>
      <c r="G15" s="75">
        <v>0</v>
      </c>
      <c r="H15" s="75">
        <v>0</v>
      </c>
      <c r="I15" s="75">
        <v>0</v>
      </c>
      <c r="J15" s="75">
        <v>0</v>
      </c>
      <c r="K15" s="75">
        <v>0</v>
      </c>
      <c r="L15" s="75">
        <v>0</v>
      </c>
      <c r="M15" s="75">
        <v>0</v>
      </c>
      <c r="N15" s="75">
        <v>0</v>
      </c>
      <c r="O15" s="75">
        <v>0</v>
      </c>
      <c r="P15" s="75">
        <v>0</v>
      </c>
      <c r="Q15" s="75">
        <v>0</v>
      </c>
      <c r="R15" s="75">
        <v>0</v>
      </c>
      <c r="S15" s="75">
        <v>0</v>
      </c>
      <c r="T15" s="75">
        <v>0</v>
      </c>
      <c r="U15" s="75">
        <v>0</v>
      </c>
      <c r="V15" s="75">
        <v>0</v>
      </c>
      <c r="W15" s="75">
        <v>0</v>
      </c>
      <c r="X15" s="75">
        <v>0</v>
      </c>
      <c r="Y15" s="75">
        <v>0</v>
      </c>
      <c r="Z15" s="75"/>
      <c r="AA15" s="75"/>
      <c r="AB15" s="75"/>
      <c r="AC15" s="75"/>
      <c r="AD15" s="75"/>
      <c r="AE15" s="75"/>
      <c r="AF15" s="75"/>
      <c r="AG15" s="75"/>
      <c r="DA15" s="188" t="s">
        <v>1019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DA16" s="181"/>
    </row>
    <row r="17" spans="1:105" ht="11.45" customHeight="1" x14ac:dyDescent="0.25">
      <c r="A17" s="68" t="s">
        <v>36</v>
      </c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X17" s="69"/>
      <c r="Y17" s="69"/>
      <c r="DA17" s="179"/>
    </row>
    <row r="18" spans="1:105" ht="11.45" customHeight="1" x14ac:dyDescent="0.25">
      <c r="A18" s="50"/>
      <c r="B18" s="50"/>
      <c r="C18" s="50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  <c r="AA18" s="51"/>
      <c r="AB18" s="51"/>
      <c r="AC18" s="51"/>
      <c r="AD18" s="51"/>
      <c r="AE18" s="51"/>
      <c r="AF18" s="51"/>
      <c r="AG18" s="51"/>
      <c r="DA18" s="181"/>
    </row>
    <row r="19" spans="1:105" ht="11.45" customHeight="1" x14ac:dyDescent="0.25">
      <c r="A19" s="53" t="s">
        <v>62</v>
      </c>
      <c r="B19" s="62">
        <f>IF(B3=0,0,B3/TrNavi_act!B7*100)</f>
        <v>391.25414568234862</v>
      </c>
      <c r="C19" s="62">
        <f>IF(C3=0,0,C3/TrNavi_act!C7*100)</f>
        <v>396.28635334385785</v>
      </c>
      <c r="D19" s="62">
        <f>IF(D3=0,0,D3/TrNavi_act!D7*100)</f>
        <v>408.5256698344815</v>
      </c>
      <c r="E19" s="62">
        <f>IF(E3=0,0,E3/TrNavi_act!E7*100)</f>
        <v>413.88900026780442</v>
      </c>
      <c r="F19" s="62">
        <f>IF(F3=0,0,F3/TrNavi_act!F7*100)</f>
        <v>440.16091389264221</v>
      </c>
      <c r="G19" s="62">
        <f>IF(G3=0,0,G3/TrNavi_act!G7*100)</f>
        <v>470.68447936016787</v>
      </c>
      <c r="H19" s="62">
        <f>IF(H3=0,0,H3/TrNavi_act!H7*100)</f>
        <v>540.07474097256704</v>
      </c>
      <c r="I19" s="62">
        <f>IF(I3=0,0,I3/TrNavi_act!I7*100)</f>
        <v>523.462555537149</v>
      </c>
      <c r="J19" s="62">
        <f>IF(J3=0,0,J3/TrNavi_act!J7*100)</f>
        <v>564.30413954059691</v>
      </c>
      <c r="K19" s="62">
        <f>IF(K3=0,0,K3/TrNavi_act!K7*100)</f>
        <v>686.41140169990649</v>
      </c>
      <c r="L19" s="62">
        <f>IF(L3=0,0,L3/TrNavi_act!L7*100)</f>
        <v>799.63390094937563</v>
      </c>
      <c r="M19" s="62">
        <f>IF(M3=0,0,M3/TrNavi_act!M7*100)</f>
        <v>649.07521667020433</v>
      </c>
      <c r="N19" s="62">
        <f>IF(N3=0,0,N3/TrNavi_act!N7*100)</f>
        <v>658.72176978419895</v>
      </c>
      <c r="O19" s="62">
        <f>IF(O3=0,0,O3/TrNavi_act!O7*100)</f>
        <v>785.46317359077898</v>
      </c>
      <c r="P19" s="62">
        <f>IF(P3=0,0,P3/TrNavi_act!P7*100)</f>
        <v>751.22991178779102</v>
      </c>
      <c r="Q19" s="62">
        <f>IF(Q3=0,0,Q3/TrNavi_act!Q7*100)</f>
        <v>811.89101376771941</v>
      </c>
      <c r="R19" s="62">
        <f>IF(R3=0,0,R3/TrNavi_act!R7*100)</f>
        <v>682.42002153898</v>
      </c>
      <c r="S19" s="62">
        <f>IF(S3=0,0,S3/TrNavi_act!S7*100)</f>
        <v>1175.294211452966</v>
      </c>
      <c r="T19" s="62">
        <f>IF(T3=0,0,T3/TrNavi_act!T7*100)</f>
        <v>647.38379040654468</v>
      </c>
      <c r="U19" s="62">
        <f>IF(U3=0,0,U3/TrNavi_act!U7*100)</f>
        <v>764.00394270494724</v>
      </c>
      <c r="V19" s="62">
        <f>IF(V3=0,0,V3/TrNavi_act!V7*100)</f>
        <v>487.84049059848439</v>
      </c>
      <c r="W19" s="62">
        <f>IF(W3=0,0,W3/TrNavi_act!W7*100)</f>
        <v>625.95771867209157</v>
      </c>
      <c r="X19" s="62">
        <f>IF(X3=0,0,X3/TrNavi_act!X7*100)</f>
        <v>722.88020414389928</v>
      </c>
      <c r="Y19" s="62">
        <f>IF(Y3=0,0,Y3/TrNavi_act!Y7*100)</f>
        <v>982.86343545881061</v>
      </c>
      <c r="Z19" s="62"/>
      <c r="AA19" s="62"/>
      <c r="AB19" s="62"/>
      <c r="AC19" s="62"/>
      <c r="AD19" s="62"/>
      <c r="AE19" s="62"/>
      <c r="AF19" s="62"/>
      <c r="AG19" s="62"/>
      <c r="DA19" s="172" t="s">
        <v>1020</v>
      </c>
    </row>
    <row r="20" spans="1:105" ht="11.45" customHeight="1" x14ac:dyDescent="0.25">
      <c r="A20" s="55" t="s">
        <v>30</v>
      </c>
      <c r="B20" s="63">
        <f>IF(B4=0,0,B4/TrNavi_act!B8*100)</f>
        <v>3485.3051849638105</v>
      </c>
      <c r="C20" s="63">
        <f>IF(C4=0,0,C4/TrNavi_act!C8*100)</f>
        <v>3462.7800006886</v>
      </c>
      <c r="D20" s="63">
        <f>IF(D4=0,0,D4/TrNavi_act!D8*100)</f>
        <v>3692.9417122489845</v>
      </c>
      <c r="E20" s="63">
        <f>IF(E4=0,0,E4/TrNavi_act!E8*100)</f>
        <v>4058.7876848415108</v>
      </c>
      <c r="F20" s="63">
        <f>IF(F4=0,0,F4/TrNavi_act!F8*100)</f>
        <v>4657.4562086917904</v>
      </c>
      <c r="G20" s="63">
        <f>IF(G4=0,0,G4/TrNavi_act!G8*100)</f>
        <v>4260.4392985392542</v>
      </c>
      <c r="H20" s="63">
        <f>IF(H4=0,0,H4/TrNavi_act!H8*100)</f>
        <v>5086.6861001874458</v>
      </c>
      <c r="I20" s="63">
        <f>IF(I4=0,0,I4/TrNavi_act!I8*100)</f>
        <v>4988.4131718354238</v>
      </c>
      <c r="J20" s="63">
        <f>IF(J4=0,0,J4/TrNavi_act!J8*100)</f>
        <v>5566.9333625420522</v>
      </c>
      <c r="K20" s="63">
        <f>IF(K4=0,0,K4/TrNavi_act!K8*100)</f>
        <v>5855.0012032379109</v>
      </c>
      <c r="L20" s="63">
        <f>IF(L4=0,0,L4/TrNavi_act!L8*100)</f>
        <v>7009.2730851282085</v>
      </c>
      <c r="M20" s="63">
        <f>IF(M4=0,0,M4/TrNavi_act!M8*100)</f>
        <v>5233.4439808171728</v>
      </c>
      <c r="N20" s="63">
        <f>IF(N4=0,0,N4/TrNavi_act!N8*100)</f>
        <v>5456.5312351404364</v>
      </c>
      <c r="O20" s="63">
        <f>IF(O4=0,0,O4/TrNavi_act!O8*100)</f>
        <v>6509.0630530563058</v>
      </c>
      <c r="P20" s="63">
        <f>IF(P4=0,0,P4/TrNavi_act!P8*100)</f>
        <v>7115.3621198165711</v>
      </c>
      <c r="Q20" s="63">
        <f>IF(Q4=0,0,Q4/TrNavi_act!Q8*100)</f>
        <v>6003.8022065576079</v>
      </c>
      <c r="R20" s="63">
        <f>IF(R4=0,0,R4/TrNavi_act!R8*100)</f>
        <v>4312.1400058360632</v>
      </c>
      <c r="S20" s="63">
        <f>IF(S4=0,0,S4/TrNavi_act!S8*100)</f>
        <v>8895.3536573806614</v>
      </c>
      <c r="T20" s="63">
        <f>IF(T4=0,0,T4/TrNavi_act!T8*100)</f>
        <v>4683.3701958491292</v>
      </c>
      <c r="U20" s="63">
        <f>IF(U4=0,0,U4/TrNavi_act!U8*100)</f>
        <v>4425.1163837407375</v>
      </c>
      <c r="V20" s="63">
        <f>IF(V4=0,0,V4/TrNavi_act!V8*100)</f>
        <v>2074.9315186644881</v>
      </c>
      <c r="W20" s="63">
        <f>IF(W4=0,0,W4/TrNavi_act!W8*100)</f>
        <v>1916.1620233242363</v>
      </c>
      <c r="X20" s="63">
        <f>IF(X4=0,0,X4/TrNavi_act!X8*100)</f>
        <v>1801.4298772170814</v>
      </c>
      <c r="Y20" s="63">
        <f>IF(Y4=0,0,Y4/TrNavi_act!Y8*100)</f>
        <v>2488.1920316647333</v>
      </c>
      <c r="Z20" s="63"/>
      <c r="AA20" s="63"/>
      <c r="AB20" s="63"/>
      <c r="AC20" s="63"/>
      <c r="AD20" s="63"/>
      <c r="AE20" s="63"/>
      <c r="AF20" s="63"/>
      <c r="AG20" s="63"/>
      <c r="DA20" s="181" t="s">
        <v>1021</v>
      </c>
    </row>
    <row r="21" spans="1:105" ht="11.45" customHeight="1" x14ac:dyDescent="0.25">
      <c r="A21" s="57" t="s">
        <v>31</v>
      </c>
      <c r="B21" s="64">
        <f>IF(B10=0,0,B10/TrNavi_act!B9*100)</f>
        <v>377.44141782841348</v>
      </c>
      <c r="C21" s="64">
        <f>IF(C10=0,0,C10/TrNavi_act!C9*100)</f>
        <v>382.41978000315163</v>
      </c>
      <c r="D21" s="64">
        <f>IF(D10=0,0,D10/TrNavi_act!D9*100)</f>
        <v>390.13293999696026</v>
      </c>
      <c r="E21" s="64">
        <f>IF(E10=0,0,E10/TrNavi_act!E9*100)</f>
        <v>399.14085530132127</v>
      </c>
      <c r="F21" s="64">
        <f>IF(F10=0,0,F10/TrNavi_act!F9*100)</f>
        <v>418.96847522530976</v>
      </c>
      <c r="G21" s="64">
        <f>IF(G10=0,0,G10/TrNavi_act!G9*100)</f>
        <v>385.44163431771426</v>
      </c>
      <c r="H21" s="64">
        <f>IF(H10=0,0,H10/TrNavi_act!H9*100)</f>
        <v>450.68649262339153</v>
      </c>
      <c r="I21" s="64">
        <f>IF(I10=0,0,I10/TrNavi_act!I9*100)</f>
        <v>449.43228625137453</v>
      </c>
      <c r="J21" s="64">
        <f>IF(J10=0,0,J10/TrNavi_act!J9*100)</f>
        <v>469.06931670630269</v>
      </c>
      <c r="K21" s="64">
        <f>IF(K10=0,0,K10/TrNavi_act!K9*100)</f>
        <v>545.44986165796092</v>
      </c>
      <c r="L21" s="64">
        <f>IF(L10=0,0,L10/TrNavi_act!L9*100)</f>
        <v>601.4539269862214</v>
      </c>
      <c r="M21" s="64">
        <f>IF(M10=0,0,M10/TrNavi_act!M9*100)</f>
        <v>438.41494523237873</v>
      </c>
      <c r="N21" s="64">
        <f>IF(N10=0,0,N10/TrNavi_act!N9*100)</f>
        <v>457.04393827586148</v>
      </c>
      <c r="O21" s="64">
        <f>IF(O10=0,0,O10/TrNavi_act!O9*100)</f>
        <v>543.8336272281183</v>
      </c>
      <c r="P21" s="64">
        <f>IF(P10=0,0,P10/TrNavi_act!P9*100)</f>
        <v>593.31099843720096</v>
      </c>
      <c r="Q21" s="64">
        <f>IF(Q10=0,0,Q10/TrNavi_act!Q9*100)</f>
        <v>530.66249082493368</v>
      </c>
      <c r="R21" s="64">
        <f>IF(R10=0,0,R10/TrNavi_act!R9*100)</f>
        <v>367.93164744825805</v>
      </c>
      <c r="S21" s="64">
        <f>IF(S10=0,0,S10/TrNavi_act!S9*100)</f>
        <v>681.21040691359349</v>
      </c>
      <c r="T21" s="64">
        <f>IF(T10=0,0,T10/TrNavi_act!T9*100)</f>
        <v>386.55473699358856</v>
      </c>
      <c r="U21" s="64">
        <f>IF(U10=0,0,U10/TrNavi_act!U9*100)</f>
        <v>368.20800313351032</v>
      </c>
      <c r="V21" s="64">
        <f>IF(V10=0,0,V10/TrNavi_act!V9*100)</f>
        <v>184.68827175441623</v>
      </c>
      <c r="W21" s="64">
        <f>IF(W10=0,0,W10/TrNavi_act!W9*100)</f>
        <v>166.56679201564603</v>
      </c>
      <c r="X21" s="64">
        <f>IF(X10=0,0,X10/TrNavi_act!X9*100)</f>
        <v>146.2298838869504</v>
      </c>
      <c r="Y21" s="64">
        <f>IF(Y10=0,0,Y10/TrNavi_act!Y9*100)</f>
        <v>200.09256543173075</v>
      </c>
      <c r="Z21" s="64"/>
      <c r="AA21" s="64"/>
      <c r="AB21" s="64"/>
      <c r="AC21" s="64"/>
      <c r="AD21" s="64"/>
      <c r="AE21" s="64"/>
      <c r="AF21" s="64"/>
      <c r="AG21" s="64"/>
      <c r="DA21" s="182" t="s">
        <v>1022</v>
      </c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  <c r="AA22" s="51"/>
      <c r="AB22" s="51"/>
      <c r="AC22" s="51"/>
      <c r="AD22" s="51"/>
      <c r="AE22" s="51"/>
      <c r="AF22" s="51"/>
      <c r="AG22" s="51"/>
      <c r="DA22" s="181"/>
    </row>
    <row r="23" spans="1:105" ht="11.45" customHeight="1" x14ac:dyDescent="0.25">
      <c r="A23" s="53" t="s">
        <v>162</v>
      </c>
      <c r="B23" s="62">
        <f>IF(B3=0,0,B3/TrNavi_act!B3*1000)</f>
        <v>5.1897506162655969</v>
      </c>
      <c r="C23" s="62">
        <f>IF(C3=0,0,C3/TrNavi_act!C3*1000)</f>
        <v>4.8218770546104777</v>
      </c>
      <c r="D23" s="62">
        <f>IF(D3=0,0,D3/TrNavi_act!D3*1000)</f>
        <v>4.5022976923908233</v>
      </c>
      <c r="E23" s="62">
        <f>IF(E3=0,0,E3/TrNavi_act!E3*1000)</f>
        <v>8.1013323341609382</v>
      </c>
      <c r="F23" s="62">
        <f>IF(F3=0,0,F3/TrNavi_act!F3*1000)</f>
        <v>16.003482067582176</v>
      </c>
      <c r="G23" s="62">
        <f>IF(G3=0,0,G3/TrNavi_act!G3*1000)</f>
        <v>13.732304143408795</v>
      </c>
      <c r="H23" s="62">
        <f>IF(H3=0,0,H3/TrNavi_act!H3*1000)</f>
        <v>18.517441784527932</v>
      </c>
      <c r="I23" s="62">
        <f>IF(I3=0,0,I3/TrNavi_act!I3*1000)</f>
        <v>16.603620246441515</v>
      </c>
      <c r="J23" s="62">
        <f>IF(J3=0,0,J3/TrNavi_act!J3*1000)</f>
        <v>16.236092809303855</v>
      </c>
      <c r="K23" s="62">
        <f>IF(K3=0,0,K3/TrNavi_act!K3*1000)</f>
        <v>13.499101688523892</v>
      </c>
      <c r="L23" s="62">
        <f>IF(L3=0,0,L3/TrNavi_act!L3*1000)</f>
        <v>19.677803091816255</v>
      </c>
      <c r="M23" s="62">
        <f>IF(M3=0,0,M3/TrNavi_act!M3*1000)</f>
        <v>14.615367933614614</v>
      </c>
      <c r="N23" s="62">
        <f>IF(N3=0,0,N3/TrNavi_act!N3*1000)</f>
        <v>17.511878623263399</v>
      </c>
      <c r="O23" s="62">
        <f>IF(O3=0,0,O3/TrNavi_act!O3*1000)</f>
        <v>23.613154040455864</v>
      </c>
      <c r="P23" s="62">
        <f>IF(P3=0,0,P3/TrNavi_act!P3*1000)</f>
        <v>22.972201096444326</v>
      </c>
      <c r="Q23" s="62">
        <f>IF(Q3=0,0,Q3/TrNavi_act!Q3*1000)</f>
        <v>16.707071053643684</v>
      </c>
      <c r="R23" s="62">
        <f>IF(R3=0,0,R3/TrNavi_act!R3*1000)</f>
        <v>11.8273772676789</v>
      </c>
      <c r="S23" s="62">
        <f>IF(S3=0,0,S3/TrNavi_act!S3*1000)</f>
        <v>25.883822575769624</v>
      </c>
      <c r="T23" s="62">
        <f>IF(T3=0,0,T3/TrNavi_act!T3*1000)</f>
        <v>11.440653044476667</v>
      </c>
      <c r="U23" s="62">
        <f>IF(U3=0,0,U3/TrNavi_act!U3*1000)</f>
        <v>12.332832651247228</v>
      </c>
      <c r="V23" s="62">
        <f>IF(V3=0,0,V3/TrNavi_act!V3*1000)</f>
        <v>5.8446462321351946</v>
      </c>
      <c r="W23" s="62">
        <f>IF(W3=0,0,W3/TrNavi_act!W3*1000)</f>
        <v>5.7901841054154231</v>
      </c>
      <c r="X23" s="62">
        <f>IF(X3=0,0,X3/TrNavi_act!X3*1000)</f>
        <v>5.5756421345016287</v>
      </c>
      <c r="Y23" s="62">
        <f>IF(Y3=0,0,Y3/TrNavi_act!Y3*1000)</f>
        <v>7.3926323123613233</v>
      </c>
      <c r="Z23" s="62"/>
      <c r="AA23" s="62"/>
      <c r="AB23" s="62"/>
      <c r="AC23" s="62"/>
      <c r="AD23" s="62"/>
      <c r="AE23" s="62"/>
      <c r="AF23" s="62"/>
      <c r="AG23" s="62"/>
      <c r="DA23" s="172" t="s">
        <v>429</v>
      </c>
    </row>
    <row r="24" spans="1:105" ht="11.45" customHeight="1" x14ac:dyDescent="0.25">
      <c r="A24" s="55" t="s">
        <v>30</v>
      </c>
      <c r="B24" s="63">
        <f>IF(B4=0,0,B4/TrNavi_act!B4*1000)</f>
        <v>16.955407807871762</v>
      </c>
      <c r="C24" s="63">
        <f>IF(C4=0,0,C4/TrNavi_act!C4*1000)</f>
        <v>17.34115038261568</v>
      </c>
      <c r="D24" s="63">
        <f>IF(D4=0,0,D4/TrNavi_act!D4*1000)</f>
        <v>17.747214050352117</v>
      </c>
      <c r="E24" s="63">
        <f>IF(E4=0,0,E4/TrNavi_act!E4*1000)</f>
        <v>18.429886996555901</v>
      </c>
      <c r="F24" s="63">
        <f>IF(F4=0,0,F4/TrNavi_act!F4*1000)</f>
        <v>21.652516079459744</v>
      </c>
      <c r="G24" s="63">
        <f>IF(G4=0,0,G4/TrNavi_act!G4*1000)</f>
        <v>21.779531218569932</v>
      </c>
      <c r="H24" s="63">
        <f>IF(H4=0,0,H4/TrNavi_act!H4*1000)</f>
        <v>25.560652841215095</v>
      </c>
      <c r="I24" s="63">
        <f>IF(I4=0,0,I4/TrNavi_act!I4*1000)</f>
        <v>24.725715845528743</v>
      </c>
      <c r="J24" s="63">
        <f>IF(J4=0,0,J4/TrNavi_act!J4*1000)</f>
        <v>24.092530017875028</v>
      </c>
      <c r="K24" s="63">
        <f>IF(K4=0,0,K4/TrNavi_act!K4*1000)</f>
        <v>25.240700689342916</v>
      </c>
      <c r="L24" s="63">
        <f>IF(L4=0,0,L4/TrNavi_act!L4*1000)</f>
        <v>30.399102613588674</v>
      </c>
      <c r="M24" s="63">
        <f>IF(M4=0,0,M4/TrNavi_act!M4*1000)</f>
        <v>21.430974532420855</v>
      </c>
      <c r="N24" s="63">
        <f>IF(N4=0,0,N4/TrNavi_act!N4*1000)</f>
        <v>22.454861049960641</v>
      </c>
      <c r="O24" s="63">
        <f>IF(O4=0,0,O4/TrNavi_act!O4*1000)</f>
        <v>25.783573194915057</v>
      </c>
      <c r="P24" s="63">
        <f>IF(P4=0,0,P4/TrNavi_act!P4*1000)</f>
        <v>28.39557075511442</v>
      </c>
      <c r="Q24" s="63">
        <f>IF(Q4=0,0,Q4/TrNavi_act!Q4*1000)</f>
        <v>22.333656303902735</v>
      </c>
      <c r="R24" s="63">
        <f>IF(R4=0,0,R4/TrNavi_act!R4*1000)</f>
        <v>15.758825700460701</v>
      </c>
      <c r="S24" s="63">
        <f>IF(S4=0,0,S4/TrNavi_act!S4*1000)</f>
        <v>32.262662119497051</v>
      </c>
      <c r="T24" s="63">
        <f>IF(T4=0,0,T4/TrNavi_act!T4*1000)</f>
        <v>17.074553146144765</v>
      </c>
      <c r="U24" s="63">
        <f>IF(U4=0,0,U4/TrNavi_act!U4*1000)</f>
        <v>16.240449155851866</v>
      </c>
      <c r="V24" s="63">
        <f>IF(V4=0,0,V4/TrNavi_act!V4*1000)</f>
        <v>7.0581550778966511</v>
      </c>
      <c r="W24" s="63">
        <f>IF(W4=0,0,W4/TrNavi_act!W4*1000)</f>
        <v>6.4553773606553682</v>
      </c>
      <c r="X24" s="63">
        <f>IF(X4=0,0,X4/TrNavi_act!X4*1000)</f>
        <v>6.0436770920011185</v>
      </c>
      <c r="Y24" s="63">
        <f>IF(Y4=0,0,Y4/TrNavi_act!Y4*1000)</f>
        <v>7.9173898939276786</v>
      </c>
      <c r="Z24" s="63"/>
      <c r="AA24" s="63"/>
      <c r="AB24" s="63"/>
      <c r="AC24" s="63"/>
      <c r="AD24" s="63"/>
      <c r="AE24" s="63"/>
      <c r="AF24" s="63"/>
      <c r="AG24" s="63"/>
      <c r="DA24" s="181" t="s">
        <v>430</v>
      </c>
    </row>
    <row r="25" spans="1:105" ht="11.45" customHeight="1" x14ac:dyDescent="0.25">
      <c r="A25" s="57" t="s">
        <v>31</v>
      </c>
      <c r="B25" s="64">
        <f>IF(B10=0,0,B10/TrNavi_act!B5*1000)</f>
        <v>5.045423215302236</v>
      </c>
      <c r="C25" s="64">
        <f>IF(C10=0,0,C10/TrNavi_act!C5*1000)</f>
        <v>4.6834321158613825</v>
      </c>
      <c r="D25" s="64">
        <f>IF(D10=0,0,D10/TrNavi_act!D5*1000)</f>
        <v>4.3309607015648339</v>
      </c>
      <c r="E25" s="64">
        <f>IF(E10=0,0,E10/TrNavi_act!E5*1000)</f>
        <v>7.918734858615661</v>
      </c>
      <c r="F25" s="64">
        <f>IF(F10=0,0,F10/TrNavi_act!F5*1000)</f>
        <v>15.773596918617745</v>
      </c>
      <c r="G25" s="64">
        <f>IF(G10=0,0,G10/TrNavi_act!G5*1000)</f>
        <v>12.576948740581074</v>
      </c>
      <c r="H25" s="64">
        <f>IF(H10=0,0,H10/TrNavi_act!H5*1000)</f>
        <v>17.450456236871112</v>
      </c>
      <c r="I25" s="64">
        <f>IF(I10=0,0,I10/TrNavi_act!I5*1000)</f>
        <v>15.657117553522612</v>
      </c>
      <c r="J25" s="64">
        <f>IF(J10=0,0,J10/TrNavi_act!J5*1000)</f>
        <v>15.121981942914378</v>
      </c>
      <c r="K25" s="64">
        <f>IF(K10=0,0,K10/TrNavi_act!K5*1000)</f>
        <v>11.88108609551994</v>
      </c>
      <c r="L25" s="64">
        <f>IF(L10=0,0,L10/TrNavi_act!L5*1000)</f>
        <v>17.395898195909172</v>
      </c>
      <c r="M25" s="64">
        <f>IF(M10=0,0,M10/TrNavi_act!M5*1000)</f>
        <v>12.444449066533981</v>
      </c>
      <c r="N25" s="64">
        <f>IF(N10=0,0,N10/TrNavi_act!N5*1000)</f>
        <v>15.769760313029725</v>
      </c>
      <c r="O25" s="64">
        <f>IF(O10=0,0,O10/TrNavi_act!O5*1000)</f>
        <v>22.649774144995256</v>
      </c>
      <c r="P25" s="64">
        <f>IF(P10=0,0,P10/TrNavi_act!P5*1000)</f>
        <v>21.736757488199274</v>
      </c>
      <c r="Q25" s="64">
        <f>IF(Q10=0,0,Q10/TrNavi_act!Q5*1000)</f>
        <v>14.472613386134555</v>
      </c>
      <c r="R25" s="64">
        <f>IF(R10=0,0,R10/TrNavi_act!R5*1000)</f>
        <v>9.4367654021451379</v>
      </c>
      <c r="S25" s="64">
        <f>IF(S10=0,0,S10/TrNavi_act!S5*1000)</f>
        <v>22.213382834138919</v>
      </c>
      <c r="T25" s="64">
        <f>IF(T10=0,0,T10/TrNavi_act!T5*1000)</f>
        <v>9.0917674140892029</v>
      </c>
      <c r="U25" s="64">
        <f>IF(U10=0,0,U10/TrNavi_act!U5*1000)</f>
        <v>9.3956524937516441</v>
      </c>
      <c r="V25" s="64">
        <f>IF(V10=0,0,V10/TrNavi_act!V5*1000)</f>
        <v>4.269417191205986</v>
      </c>
      <c r="W25" s="64">
        <f>IF(W10=0,0,W10/TrNavi_act!W5*1000)</f>
        <v>4.0716326937157916</v>
      </c>
      <c r="X25" s="64">
        <f>IF(X10=0,0,X10/TrNavi_act!X5*1000)</f>
        <v>3.6923045681454978</v>
      </c>
      <c r="Y25" s="64">
        <f>IF(Y10=0,0,Y10/TrNavi_act!Y5*1000)</f>
        <v>5.1748077266826913</v>
      </c>
      <c r="Z25" s="64"/>
      <c r="AA25" s="64"/>
      <c r="AB25" s="64"/>
      <c r="AC25" s="64"/>
      <c r="AD25" s="64"/>
      <c r="AE25" s="64"/>
      <c r="AF25" s="64"/>
      <c r="AG25" s="64"/>
      <c r="DA25" s="182" t="s">
        <v>431</v>
      </c>
    </row>
    <row r="26" spans="1:105" ht="11.45" customHeight="1" x14ac:dyDescent="0.25">
      <c r="A26" s="50"/>
      <c r="B26" s="50"/>
      <c r="C26" s="50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1"/>
      <c r="AB26" s="51"/>
      <c r="AC26" s="51"/>
      <c r="AD26" s="51"/>
      <c r="AE26" s="51"/>
      <c r="AF26" s="51"/>
      <c r="AG26" s="51"/>
      <c r="DA26" s="181"/>
    </row>
    <row r="27" spans="1:105" ht="11.45" customHeight="1" x14ac:dyDescent="0.25">
      <c r="A27" s="53" t="s">
        <v>40</v>
      </c>
      <c r="B27" s="76">
        <f t="shared" ref="B27:U27" si="6">IF(B3=0,0,B3/B$3)</f>
        <v>1</v>
      </c>
      <c r="C27" s="76">
        <f t="shared" si="6"/>
        <v>1</v>
      </c>
      <c r="D27" s="76">
        <f t="shared" si="6"/>
        <v>1</v>
      </c>
      <c r="E27" s="76">
        <f t="shared" si="6"/>
        <v>1</v>
      </c>
      <c r="F27" s="76">
        <f t="shared" si="6"/>
        <v>1</v>
      </c>
      <c r="G27" s="76">
        <f t="shared" si="6"/>
        <v>1</v>
      </c>
      <c r="H27" s="76">
        <f t="shared" si="6"/>
        <v>1</v>
      </c>
      <c r="I27" s="76">
        <f t="shared" si="6"/>
        <v>1</v>
      </c>
      <c r="J27" s="76">
        <f t="shared" si="6"/>
        <v>1</v>
      </c>
      <c r="K27" s="76">
        <f t="shared" si="6"/>
        <v>1</v>
      </c>
      <c r="L27" s="76">
        <f t="shared" si="6"/>
        <v>1</v>
      </c>
      <c r="M27" s="76">
        <f t="shared" si="6"/>
        <v>1</v>
      </c>
      <c r="N27" s="76">
        <f t="shared" si="6"/>
        <v>1</v>
      </c>
      <c r="O27" s="76">
        <f t="shared" si="6"/>
        <v>1</v>
      </c>
      <c r="P27" s="76">
        <f t="shared" si="6"/>
        <v>1</v>
      </c>
      <c r="Q27" s="76">
        <f t="shared" si="6"/>
        <v>1</v>
      </c>
      <c r="R27" s="76">
        <f t="shared" si="6"/>
        <v>1</v>
      </c>
      <c r="S27" s="76">
        <f t="shared" si="6"/>
        <v>1</v>
      </c>
      <c r="T27" s="76">
        <f t="shared" si="6"/>
        <v>1</v>
      </c>
      <c r="U27" s="76">
        <f t="shared" si="6"/>
        <v>1</v>
      </c>
      <c r="V27" s="76">
        <f t="shared" ref="V27:W27" si="7">IF(V3=0,0,V3/V$3)</f>
        <v>1</v>
      </c>
      <c r="W27" s="76">
        <f t="shared" si="7"/>
        <v>1</v>
      </c>
      <c r="X27" s="76">
        <f t="shared" ref="X27:Y27" si="8">IF(X3=0,0,X3/X$3)</f>
        <v>1</v>
      </c>
      <c r="Y27" s="76">
        <f t="shared" si="8"/>
        <v>1</v>
      </c>
      <c r="Z27" s="76"/>
      <c r="AA27" s="76"/>
      <c r="AB27" s="76"/>
      <c r="AC27" s="76"/>
      <c r="AD27" s="76"/>
      <c r="AE27" s="76"/>
      <c r="AF27" s="76"/>
      <c r="AG27" s="76"/>
      <c r="DA27" s="183"/>
    </row>
    <row r="28" spans="1:105" ht="11.45" customHeight="1" x14ac:dyDescent="0.25">
      <c r="A28" s="55" t="s">
        <v>30</v>
      </c>
      <c r="B28" s="77">
        <f t="shared" ref="B28:U28" si="9">IF(B4=0,0,B4/B$3)</f>
        <v>3.959126168360666E-2</v>
      </c>
      <c r="C28" s="77">
        <f t="shared" si="9"/>
        <v>3.9335387257183774E-2</v>
      </c>
      <c r="D28" s="77">
        <f t="shared" si="9"/>
        <v>5.0340307557380844E-2</v>
      </c>
      <c r="E28" s="77">
        <f t="shared" si="9"/>
        <v>3.9519429910292593E-2</v>
      </c>
      <c r="F28" s="77">
        <f t="shared" si="9"/>
        <v>5.2906290196268677E-2</v>
      </c>
      <c r="G28" s="77">
        <f t="shared" si="9"/>
        <v>0.199118217241264</v>
      </c>
      <c r="H28" s="77">
        <f t="shared" si="9"/>
        <v>0.18160094682266034</v>
      </c>
      <c r="I28" s="77">
        <f t="shared" si="9"/>
        <v>0.1554274677698563</v>
      </c>
      <c r="J28" s="77">
        <f t="shared" si="9"/>
        <v>0.18429362631998081</v>
      </c>
      <c r="K28" s="77">
        <f t="shared" si="9"/>
        <v>0.22645677131166553</v>
      </c>
      <c r="L28" s="77">
        <f t="shared" si="9"/>
        <v>0.27110111458595254</v>
      </c>
      <c r="M28" s="77">
        <f t="shared" si="9"/>
        <v>0.35422886773133555</v>
      </c>
      <c r="N28" s="77">
        <f t="shared" si="9"/>
        <v>0.33415450683950398</v>
      </c>
      <c r="O28" s="77">
        <f t="shared" si="9"/>
        <v>0.33567232572477829</v>
      </c>
      <c r="P28" s="77">
        <f t="shared" si="9"/>
        <v>0.22933697711794118</v>
      </c>
      <c r="Q28" s="77">
        <f t="shared" si="9"/>
        <v>0.37997189317654356</v>
      </c>
      <c r="R28" s="77">
        <f t="shared" si="9"/>
        <v>0.50383210616976937</v>
      </c>
      <c r="S28" s="77">
        <f t="shared" si="9"/>
        <v>0.45525525557374497</v>
      </c>
      <c r="T28" s="77">
        <f t="shared" si="9"/>
        <v>0.43914296536399133</v>
      </c>
      <c r="U28" s="77">
        <f t="shared" si="9"/>
        <v>0.5650738791425175</v>
      </c>
      <c r="V28" s="77">
        <f t="shared" ref="V28:W28" si="10">IF(V4=0,0,V4/V$3)</f>
        <v>0.68213287421874991</v>
      </c>
      <c r="W28" s="77">
        <f t="shared" si="10"/>
        <v>0.80377048850376853</v>
      </c>
      <c r="X28" s="77">
        <f t="shared" ref="X28:Y28" si="11">IF(X4=0,0,X4/X$3)</f>
        <v>0.86818662534715019</v>
      </c>
      <c r="Y28" s="77">
        <f t="shared" si="11"/>
        <v>0.86606496800105359</v>
      </c>
      <c r="Z28" s="77"/>
      <c r="AA28" s="77"/>
      <c r="AB28" s="77"/>
      <c r="AC28" s="77"/>
      <c r="AD28" s="77"/>
      <c r="AE28" s="77"/>
      <c r="AF28" s="77"/>
      <c r="AG28" s="77"/>
      <c r="DA28" s="184"/>
    </row>
    <row r="29" spans="1:105" ht="11.45" customHeight="1" x14ac:dyDescent="0.25">
      <c r="A29" s="57" t="s">
        <v>31</v>
      </c>
      <c r="B29" s="78">
        <f t="shared" ref="B29:U29" si="12">IF(B10=0,0,B10/B$3)</f>
        <v>0.96040873831639328</v>
      </c>
      <c r="C29" s="78">
        <f t="shared" si="12"/>
        <v>0.96066461274281623</v>
      </c>
      <c r="D29" s="78">
        <f t="shared" si="12"/>
        <v>0.94965969244261916</v>
      </c>
      <c r="E29" s="78">
        <f t="shared" si="12"/>
        <v>0.96048057008970744</v>
      </c>
      <c r="F29" s="78">
        <f t="shared" si="12"/>
        <v>0.94709370980373131</v>
      </c>
      <c r="G29" s="78">
        <f t="shared" si="12"/>
        <v>0.800881782758736</v>
      </c>
      <c r="H29" s="78">
        <f t="shared" si="12"/>
        <v>0.81839905317733974</v>
      </c>
      <c r="I29" s="78">
        <f t="shared" si="12"/>
        <v>0.84457253223014361</v>
      </c>
      <c r="J29" s="78">
        <f t="shared" si="12"/>
        <v>0.81570637368001919</v>
      </c>
      <c r="K29" s="78">
        <f t="shared" si="12"/>
        <v>0.77354322868833447</v>
      </c>
      <c r="L29" s="78">
        <f t="shared" si="12"/>
        <v>0.72889888541404746</v>
      </c>
      <c r="M29" s="78">
        <f t="shared" si="12"/>
        <v>0.64577113226866445</v>
      </c>
      <c r="N29" s="78">
        <f t="shared" si="12"/>
        <v>0.6658454931604959</v>
      </c>
      <c r="O29" s="78">
        <f t="shared" si="12"/>
        <v>0.66432767427522177</v>
      </c>
      <c r="P29" s="78">
        <f t="shared" si="12"/>
        <v>0.77066302288205879</v>
      </c>
      <c r="Q29" s="78">
        <f t="shared" si="12"/>
        <v>0.62002810682345644</v>
      </c>
      <c r="R29" s="78">
        <f t="shared" si="12"/>
        <v>0.49616789383023063</v>
      </c>
      <c r="S29" s="78">
        <f t="shared" si="12"/>
        <v>0.54474474442625509</v>
      </c>
      <c r="T29" s="78">
        <f t="shared" si="12"/>
        <v>0.56085703463600856</v>
      </c>
      <c r="U29" s="78">
        <f t="shared" si="12"/>
        <v>0.43492612085748245</v>
      </c>
      <c r="V29" s="78">
        <f t="shared" ref="V29:W29" si="13">IF(V10=0,0,V10/V$3)</f>
        <v>0.31786712578124998</v>
      </c>
      <c r="W29" s="78">
        <f t="shared" si="13"/>
        <v>0.19622951149623141</v>
      </c>
      <c r="X29" s="78">
        <f t="shared" ref="X29:Y29" si="14">IF(X10=0,0,X10/X$3)</f>
        <v>0.13181337465284979</v>
      </c>
      <c r="Y29" s="78">
        <f t="shared" si="14"/>
        <v>0.13393503199894646</v>
      </c>
      <c r="Z29" s="78"/>
      <c r="AA29" s="78"/>
      <c r="AB29" s="78"/>
      <c r="AC29" s="78"/>
      <c r="AD29" s="78"/>
      <c r="AE29" s="78"/>
      <c r="AF29" s="78"/>
      <c r="AG29" s="78"/>
      <c r="DA29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pageSetUpPr fitToPage="1"/>
  </sheetPr>
  <dimension ref="A1:DA23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45" customHeight="1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1023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Z1" s="49"/>
      <c r="AA1" s="49"/>
      <c r="AB1" s="49"/>
      <c r="AC1" s="49"/>
      <c r="AD1" s="49"/>
      <c r="AE1" s="49"/>
      <c r="AF1" s="49"/>
      <c r="DA1" s="170" t="s">
        <v>152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DA2" s="181"/>
    </row>
    <row r="3" spans="1:105" ht="11.45" customHeight="1" x14ac:dyDescent="0.25">
      <c r="A3" s="53" t="s">
        <v>44</v>
      </c>
      <c r="B3" s="54">
        <f t="shared" ref="B3" si="0">SUM(B4:B5)</f>
        <v>19.117888920000002</v>
      </c>
      <c r="C3" s="54">
        <f t="shared" ref="C3:V3" si="1">SUM(C4:C5)</f>
        <v>19.117888919999999</v>
      </c>
      <c r="D3" s="54">
        <f t="shared" si="1"/>
        <v>15.931440719999998</v>
      </c>
      <c r="E3" s="54">
        <f t="shared" si="1"/>
        <v>22.304070360000001</v>
      </c>
      <c r="F3" s="54">
        <f t="shared" si="1"/>
        <v>19.117888919999999</v>
      </c>
      <c r="G3" s="54">
        <f t="shared" si="1"/>
        <v>15.931440719999999</v>
      </c>
      <c r="H3" s="54">
        <f t="shared" si="1"/>
        <v>19.117888919999999</v>
      </c>
      <c r="I3" s="54">
        <f t="shared" si="1"/>
        <v>15.931440719999998</v>
      </c>
      <c r="J3" s="54">
        <f t="shared" si="1"/>
        <v>15.931440719999999</v>
      </c>
      <c r="K3" s="54">
        <f t="shared" si="1"/>
        <v>9.6255010800000029</v>
      </c>
      <c r="L3" s="54">
        <f t="shared" si="1"/>
        <v>9.6255010800000029</v>
      </c>
      <c r="M3" s="54">
        <f t="shared" si="1"/>
        <v>9.6255010800000012</v>
      </c>
      <c r="N3" s="54">
        <f t="shared" si="1"/>
        <v>9.6255010799999994</v>
      </c>
      <c r="O3" s="54">
        <f t="shared" si="1"/>
        <v>9.6255010800000012</v>
      </c>
      <c r="P3" s="54">
        <f t="shared" si="1"/>
        <v>9.6255010800000029</v>
      </c>
      <c r="Q3" s="54">
        <f t="shared" si="1"/>
        <v>6.3726296399999995</v>
      </c>
      <c r="R3" s="54">
        <f t="shared" si="1"/>
        <v>6.3726296399999995</v>
      </c>
      <c r="S3" s="54">
        <f t="shared" si="1"/>
        <v>14.54855688</v>
      </c>
      <c r="T3" s="54">
        <f t="shared" si="1"/>
        <v>6.2864661599999998</v>
      </c>
      <c r="U3" s="54">
        <f t="shared" si="1"/>
        <v>5.8308400799999998</v>
      </c>
      <c r="V3" s="54">
        <f t="shared" si="1"/>
        <v>3.2085892799999978</v>
      </c>
      <c r="W3" s="54">
        <f t="shared" ref="W3:Y3" si="2">SUM(W4:W5)</f>
        <v>3.4761495600000001</v>
      </c>
      <c r="X3" s="54">
        <f t="shared" si="2"/>
        <v>3.4761495600000005</v>
      </c>
      <c r="Y3" s="54">
        <f t="shared" si="2"/>
        <v>3.4761495600000005</v>
      </c>
      <c r="Z3" s="54"/>
      <c r="AA3" s="54"/>
      <c r="AB3" s="54"/>
      <c r="AC3" s="54"/>
      <c r="AD3" s="54"/>
      <c r="AE3" s="54"/>
      <c r="AF3" s="54"/>
      <c r="AG3" s="54"/>
      <c r="DA3" s="172" t="s">
        <v>1024</v>
      </c>
    </row>
    <row r="4" spans="1:105" ht="11.45" customHeight="1" x14ac:dyDescent="0.25">
      <c r="A4" s="55" t="s">
        <v>30</v>
      </c>
      <c r="B4" s="56">
        <v>0.75690134306984436</v>
      </c>
      <c r="C4" s="56">
        <v>0.75200956420802278</v>
      </c>
      <c r="D4" s="56">
        <v>0.80199362567698085</v>
      </c>
      <c r="E4" s="56">
        <v>0.88144414530625448</v>
      </c>
      <c r="F4" s="56">
        <v>1.0114565791415495</v>
      </c>
      <c r="G4" s="56">
        <v>3.1722400742512793</v>
      </c>
      <c r="H4" s="56">
        <v>3.4718267291224469</v>
      </c>
      <c r="I4" s="56">
        <v>2.4761834890351762</v>
      </c>
      <c r="J4" s="56">
        <v>2.9360629827906055</v>
      </c>
      <c r="K4" s="56">
        <v>2.1797598968337502</v>
      </c>
      <c r="L4" s="56">
        <v>2.6094840712362908</v>
      </c>
      <c r="M4" s="56">
        <v>3.4096303489151478</v>
      </c>
      <c r="N4" s="56">
        <v>3.2164045664705134</v>
      </c>
      <c r="O4" s="56">
        <v>3.2310143337899651</v>
      </c>
      <c r="P4" s="56">
        <v>2.2074833209326785</v>
      </c>
      <c r="Q4" s="56">
        <v>2.421420148823755</v>
      </c>
      <c r="R4" s="56">
        <v>3.2107354133610988</v>
      </c>
      <c r="S4" s="56">
        <v>6.6233069806335658</v>
      </c>
      <c r="T4" s="56">
        <v>2.7606573911627836</v>
      </c>
      <c r="U4" s="56">
        <v>3.2948554226652669</v>
      </c>
      <c r="V4" s="56">
        <v>2.1886842277538681</v>
      </c>
      <c r="W4" s="56">
        <v>2.7940264299533601</v>
      </c>
      <c r="X4" s="56">
        <v>3.0179465556983813</v>
      </c>
      <c r="Y4" s="56">
        <v>3.0105713574482769</v>
      </c>
      <c r="Z4" s="56"/>
      <c r="AA4" s="56"/>
      <c r="AB4" s="56"/>
      <c r="AC4" s="56"/>
      <c r="AD4" s="56"/>
      <c r="AE4" s="56"/>
      <c r="AF4" s="56"/>
      <c r="AG4" s="56"/>
      <c r="DA4" s="181" t="s">
        <v>1025</v>
      </c>
    </row>
    <row r="5" spans="1:105" ht="11.45" customHeight="1" x14ac:dyDescent="0.25">
      <c r="A5" s="57" t="s">
        <v>31</v>
      </c>
      <c r="B5" s="58">
        <v>18.360987576930157</v>
      </c>
      <c r="C5" s="58">
        <v>18.365879355791975</v>
      </c>
      <c r="D5" s="58">
        <v>15.129447094323018</v>
      </c>
      <c r="E5" s="58">
        <v>21.422626214693747</v>
      </c>
      <c r="F5" s="58">
        <v>18.106432340858451</v>
      </c>
      <c r="G5" s="58">
        <v>12.75920064574872</v>
      </c>
      <c r="H5" s="58">
        <v>15.646062190877551</v>
      </c>
      <c r="I5" s="58">
        <v>13.455257230964822</v>
      </c>
      <c r="J5" s="58">
        <v>12.995377737209393</v>
      </c>
      <c r="K5" s="58">
        <v>7.4457411831662519</v>
      </c>
      <c r="L5" s="58">
        <v>7.0160170087637113</v>
      </c>
      <c r="M5" s="58">
        <v>6.2158707310848538</v>
      </c>
      <c r="N5" s="58">
        <v>6.4090965135294864</v>
      </c>
      <c r="O5" s="58">
        <v>6.3944867462100365</v>
      </c>
      <c r="P5" s="58">
        <v>7.4180177590673235</v>
      </c>
      <c r="Q5" s="58">
        <v>3.9512094911762441</v>
      </c>
      <c r="R5" s="58">
        <v>3.1618942266389007</v>
      </c>
      <c r="S5" s="58">
        <v>7.9252498993664346</v>
      </c>
      <c r="T5" s="58">
        <v>3.5258087688372162</v>
      </c>
      <c r="U5" s="58">
        <v>2.5359846573347324</v>
      </c>
      <c r="V5" s="58">
        <v>1.0199050522461297</v>
      </c>
      <c r="W5" s="58">
        <v>0.68212313004663983</v>
      </c>
      <c r="X5" s="58">
        <v>0.45820300430161898</v>
      </c>
      <c r="Y5" s="58">
        <v>0.46557820255172372</v>
      </c>
      <c r="Z5" s="58"/>
      <c r="AA5" s="58"/>
      <c r="AB5" s="58"/>
      <c r="AC5" s="58"/>
      <c r="AD5" s="58"/>
      <c r="AE5" s="58"/>
      <c r="AF5" s="58"/>
      <c r="AG5" s="58"/>
      <c r="DA5" s="182" t="s">
        <v>1026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DA6" s="181"/>
    </row>
    <row r="7" spans="1:105" ht="11.45" customHeight="1" x14ac:dyDescent="0.25">
      <c r="A7" s="68" t="s">
        <v>36</v>
      </c>
      <c r="B7" s="69"/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X7" s="69"/>
      <c r="Y7" s="69"/>
      <c r="DA7" s="179"/>
    </row>
    <row r="8" spans="1:105" ht="11.45" customHeight="1" x14ac:dyDescent="0.25">
      <c r="A8" s="50"/>
      <c r="B8" s="50"/>
      <c r="C8" s="50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  <c r="AA8" s="51"/>
      <c r="AB8" s="51"/>
      <c r="AC8" s="51"/>
      <c r="AD8" s="51"/>
      <c r="AE8" s="51"/>
      <c r="AF8" s="51"/>
      <c r="AG8" s="51"/>
      <c r="DA8" s="181"/>
    </row>
    <row r="9" spans="1:105" ht="11.45" customHeight="1" x14ac:dyDescent="0.25">
      <c r="A9" s="53" t="s">
        <v>148</v>
      </c>
      <c r="B9" s="79">
        <f>IF(B3=0,0,B3/TrNavi_ene!B3)</f>
        <v>3.1024188000000006</v>
      </c>
      <c r="C9" s="79">
        <f>IF(C3=0,0,C3/TrNavi_ene!C3)</f>
        <v>3.1024188000000001</v>
      </c>
      <c r="D9" s="79">
        <f>IF(D3=0,0,D3/TrNavi_ene!D3)</f>
        <v>3.1024187999999997</v>
      </c>
      <c r="E9" s="79">
        <f>IF(E3=0,0,E3/TrNavi_ene!E3)</f>
        <v>3.1024188000000001</v>
      </c>
      <c r="F9" s="79">
        <f>IF(F3=0,0,F3/TrNavi_ene!F3)</f>
        <v>3.1024187999999997</v>
      </c>
      <c r="G9" s="79">
        <f>IF(G3=0,0,G3/TrNavi_ene!G3)</f>
        <v>3.1024188000000001</v>
      </c>
      <c r="H9" s="79">
        <f>IF(H3=0,0,H3/TrNavi_ene!H3)</f>
        <v>3.1024188000000001</v>
      </c>
      <c r="I9" s="79">
        <f>IF(I3=0,0,I3/TrNavi_ene!I3)</f>
        <v>3.1024187999999997</v>
      </c>
      <c r="J9" s="79">
        <f>IF(J3=0,0,J3/TrNavi_ene!J3)</f>
        <v>3.1024188000000001</v>
      </c>
      <c r="K9" s="79">
        <f>IF(K3=0,0,K3/TrNavi_ene!K3)</f>
        <v>3.1024188000000006</v>
      </c>
      <c r="L9" s="79">
        <f>IF(L3=0,0,L3/TrNavi_ene!L3)</f>
        <v>3.1024188000000006</v>
      </c>
      <c r="M9" s="79">
        <f>IF(M3=0,0,M3/TrNavi_ene!M3)</f>
        <v>3.1024188000000001</v>
      </c>
      <c r="N9" s="79">
        <f>IF(N3=0,0,N3/TrNavi_ene!N3)</f>
        <v>3.1024187999999997</v>
      </c>
      <c r="O9" s="79">
        <f>IF(O3=0,0,O3/TrNavi_ene!O3)</f>
        <v>3.1024188000000001</v>
      </c>
      <c r="P9" s="79">
        <f>IF(P3=0,0,P3/TrNavi_ene!P3)</f>
        <v>3.1024188000000006</v>
      </c>
      <c r="Q9" s="79">
        <f>IF(Q3=0,0,Q3/TrNavi_ene!Q3)</f>
        <v>3.1024188000000001</v>
      </c>
      <c r="R9" s="79">
        <f>IF(R3=0,0,R3/TrNavi_ene!R3)</f>
        <v>3.1024188000000001</v>
      </c>
      <c r="S9" s="79">
        <f>IF(S3=0,0,S3/TrNavi_ene!S3)</f>
        <v>3.1024188000000001</v>
      </c>
      <c r="T9" s="79">
        <f>IF(T3=0,0,T3/TrNavi_ene!T3)</f>
        <v>3.1024187999999997</v>
      </c>
      <c r="U9" s="79">
        <f>IF(U3=0,0,U3/TrNavi_ene!U3)</f>
        <v>3.1024188000000001</v>
      </c>
      <c r="V9" s="79">
        <f>IF(V3=0,0,V3/TrNavi_ene!V3)</f>
        <v>3.1024187999999997</v>
      </c>
      <c r="W9" s="79">
        <f>IF(W3=0,0,W3/TrNavi_ene!W3)</f>
        <v>3.1024188000000001</v>
      </c>
      <c r="X9" s="79">
        <f>IF(X3=0,0,X3/TrNavi_ene!X3)</f>
        <v>3.1024188000000001</v>
      </c>
      <c r="Y9" s="79">
        <f>IF(Y3=0,0,Y3/TrNavi_ene!Y3)</f>
        <v>3.1024188000000001</v>
      </c>
      <c r="Z9" s="79"/>
      <c r="AA9" s="79"/>
      <c r="AB9" s="79"/>
      <c r="AC9" s="79"/>
      <c r="AD9" s="79"/>
      <c r="AE9" s="79"/>
      <c r="AF9" s="79"/>
      <c r="AG9" s="79"/>
      <c r="DA9" s="172"/>
    </row>
    <row r="10" spans="1:105" ht="11.45" customHeight="1" x14ac:dyDescent="0.25">
      <c r="A10" s="55" t="s">
        <v>30</v>
      </c>
      <c r="B10" s="80">
        <f>IF(B4=0,0,B4/TrNavi_ene!B4)</f>
        <v>3.1024188000000001</v>
      </c>
      <c r="C10" s="80">
        <f>IF(C4=0,0,C4/TrNavi_ene!C4)</f>
        <v>3.1024188000000001</v>
      </c>
      <c r="D10" s="80">
        <f>IF(D4=0,0,D4/TrNavi_ene!D4)</f>
        <v>3.1024188000000001</v>
      </c>
      <c r="E10" s="80">
        <f>IF(E4=0,0,E4/TrNavi_ene!E4)</f>
        <v>3.1024188000000001</v>
      </c>
      <c r="F10" s="80">
        <f>IF(F4=0,0,F4/TrNavi_ene!F4)</f>
        <v>3.1024188000000001</v>
      </c>
      <c r="G10" s="80">
        <f>IF(G4=0,0,G4/TrNavi_ene!G4)</f>
        <v>3.1024188000000001</v>
      </c>
      <c r="H10" s="80">
        <f>IF(H4=0,0,H4/TrNavi_ene!H4)</f>
        <v>3.1024188000000001</v>
      </c>
      <c r="I10" s="80">
        <f>IF(I4=0,0,I4/TrNavi_ene!I4)</f>
        <v>3.1024188000000001</v>
      </c>
      <c r="J10" s="80">
        <f>IF(J4=0,0,J4/TrNavi_ene!J4)</f>
        <v>3.1024188000000001</v>
      </c>
      <c r="K10" s="80">
        <f>IF(K4=0,0,K4/TrNavi_ene!K4)</f>
        <v>3.1024188000000001</v>
      </c>
      <c r="L10" s="80">
        <f>IF(L4=0,0,L4/TrNavi_ene!L4)</f>
        <v>3.1024188000000006</v>
      </c>
      <c r="M10" s="80">
        <f>IF(M4=0,0,M4/TrNavi_ene!M4)</f>
        <v>3.1024188000000001</v>
      </c>
      <c r="N10" s="80">
        <f>IF(N4=0,0,N4/TrNavi_ene!N4)</f>
        <v>3.1024188000000001</v>
      </c>
      <c r="O10" s="80">
        <f>IF(O4=0,0,O4/TrNavi_ene!O4)</f>
        <v>3.1024188000000001</v>
      </c>
      <c r="P10" s="80">
        <f>IF(P4=0,0,P4/TrNavi_ene!P4)</f>
        <v>3.1024188000000001</v>
      </c>
      <c r="Q10" s="80">
        <f>IF(Q4=0,0,Q4/TrNavi_ene!Q4)</f>
        <v>3.1024188000000006</v>
      </c>
      <c r="R10" s="80">
        <f>IF(R4=0,0,R4/TrNavi_ene!R4)</f>
        <v>3.1024188000000001</v>
      </c>
      <c r="S10" s="80">
        <f>IF(S4=0,0,S4/TrNavi_ene!S4)</f>
        <v>3.1024188000000001</v>
      </c>
      <c r="T10" s="80">
        <f>IF(T4=0,0,T4/TrNavi_ene!T4)</f>
        <v>3.1024188000000001</v>
      </c>
      <c r="U10" s="80">
        <f>IF(U4=0,0,U4/TrNavi_ene!U4)</f>
        <v>3.1024188000000001</v>
      </c>
      <c r="V10" s="80">
        <f>IF(V4=0,0,V4/TrNavi_ene!V4)</f>
        <v>3.1024187999999997</v>
      </c>
      <c r="W10" s="80">
        <f>IF(W4=0,0,W4/TrNavi_ene!W4)</f>
        <v>3.1024187999999997</v>
      </c>
      <c r="X10" s="80">
        <f>IF(X4=0,0,X4/TrNavi_ene!X4)</f>
        <v>3.1024188000000001</v>
      </c>
      <c r="Y10" s="80">
        <f>IF(Y4=0,0,Y4/TrNavi_ene!Y4)</f>
        <v>3.1024188000000001</v>
      </c>
      <c r="Z10" s="80"/>
      <c r="AA10" s="80"/>
      <c r="AB10" s="80"/>
      <c r="AC10" s="80"/>
      <c r="AD10" s="80"/>
      <c r="AE10" s="80"/>
      <c r="AF10" s="80"/>
      <c r="AG10" s="80"/>
      <c r="DA10" s="181"/>
    </row>
    <row r="11" spans="1:105" ht="11.45" customHeight="1" x14ac:dyDescent="0.25">
      <c r="A11" s="57" t="s">
        <v>31</v>
      </c>
      <c r="B11" s="81">
        <f>IF(B5=0,0,B5/TrNavi_ene!B10)</f>
        <v>3.1024188000000001</v>
      </c>
      <c r="C11" s="81">
        <f>IF(C5=0,0,C5/TrNavi_ene!C10)</f>
        <v>3.1024188000000001</v>
      </c>
      <c r="D11" s="81">
        <f>IF(D5=0,0,D5/TrNavi_ene!D10)</f>
        <v>3.1024188000000001</v>
      </c>
      <c r="E11" s="81">
        <f>IF(E5=0,0,E5/TrNavi_ene!E10)</f>
        <v>3.1024188000000001</v>
      </c>
      <c r="F11" s="81">
        <f>IF(F5=0,0,F5/TrNavi_ene!F10)</f>
        <v>3.1024188000000001</v>
      </c>
      <c r="G11" s="81">
        <f>IF(G5=0,0,G5/TrNavi_ene!G10)</f>
        <v>3.1024188000000001</v>
      </c>
      <c r="H11" s="81">
        <f>IF(H5=0,0,H5/TrNavi_ene!H10)</f>
        <v>3.1024188000000001</v>
      </c>
      <c r="I11" s="81">
        <f>IF(I5=0,0,I5/TrNavi_ene!I10)</f>
        <v>3.1024188000000001</v>
      </c>
      <c r="J11" s="81">
        <f>IF(J5=0,0,J5/TrNavi_ene!J10)</f>
        <v>3.1024188000000001</v>
      </c>
      <c r="K11" s="81">
        <f>IF(K5=0,0,K5/TrNavi_ene!K10)</f>
        <v>3.1024188000000001</v>
      </c>
      <c r="L11" s="81">
        <f>IF(L5=0,0,L5/TrNavi_ene!L10)</f>
        <v>3.1024188000000001</v>
      </c>
      <c r="M11" s="81">
        <f>IF(M5=0,0,M5/TrNavi_ene!M10)</f>
        <v>3.1024188000000001</v>
      </c>
      <c r="N11" s="81">
        <f>IF(N5=0,0,N5/TrNavi_ene!N10)</f>
        <v>3.1024188000000001</v>
      </c>
      <c r="O11" s="81">
        <f>IF(O5=0,0,O5/TrNavi_ene!O10)</f>
        <v>3.1024188000000001</v>
      </c>
      <c r="P11" s="81">
        <f>IF(P5=0,0,P5/TrNavi_ene!P10)</f>
        <v>3.1024188000000001</v>
      </c>
      <c r="Q11" s="81">
        <f>IF(Q5=0,0,Q5/TrNavi_ene!Q10)</f>
        <v>3.1024188000000001</v>
      </c>
      <c r="R11" s="81">
        <f>IF(R5=0,0,R5/TrNavi_ene!R10)</f>
        <v>3.1024188000000001</v>
      </c>
      <c r="S11" s="81">
        <f>IF(S5=0,0,S5/TrNavi_ene!S10)</f>
        <v>3.1024188000000001</v>
      </c>
      <c r="T11" s="81">
        <f>IF(T5=0,0,T5/TrNavi_ene!T10)</f>
        <v>3.1024188000000001</v>
      </c>
      <c r="U11" s="81">
        <f>IF(U5=0,0,U5/TrNavi_ene!U10)</f>
        <v>3.1024188000000001</v>
      </c>
      <c r="V11" s="81">
        <f>IF(V5=0,0,V5/TrNavi_ene!V10)</f>
        <v>3.1024188000000001</v>
      </c>
      <c r="W11" s="81">
        <f>IF(W5=0,0,W5/TrNavi_ene!W10)</f>
        <v>3.1024188000000001</v>
      </c>
      <c r="X11" s="81">
        <f>IF(X5=0,0,X5/TrNavi_ene!X10)</f>
        <v>3.1024188000000001</v>
      </c>
      <c r="Y11" s="81">
        <f>IF(Y5=0,0,Y5/TrNavi_ene!Y10)</f>
        <v>3.1024188000000001</v>
      </c>
      <c r="Z11" s="81"/>
      <c r="AA11" s="81"/>
      <c r="AB11" s="81"/>
      <c r="AC11" s="81"/>
      <c r="AD11" s="81"/>
      <c r="AE11" s="81"/>
      <c r="AF11" s="81"/>
      <c r="AG11" s="81"/>
      <c r="DA11" s="182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DA12" s="181"/>
    </row>
    <row r="13" spans="1:105" ht="11.45" customHeight="1" x14ac:dyDescent="0.25">
      <c r="A13" s="53" t="s">
        <v>129</v>
      </c>
      <c r="B13" s="54">
        <f>IF(B3=0,0,B3/TrNavi_act!B7*1000)</f>
        <v>12138.342171428572</v>
      </c>
      <c r="C13" s="54">
        <f>IF(C3=0,0,C3/TrNavi_act!C7*1000)</f>
        <v>12294.462327974277</v>
      </c>
      <c r="D13" s="54">
        <f>IF(D3=0,0,D3/TrNavi_act!D7*1000)</f>
        <v>12674.177183770882</v>
      </c>
      <c r="E13" s="54">
        <f>IF(E3=0,0,E3/TrNavi_act!E7*1000)</f>
        <v>12840.570155440415</v>
      </c>
      <c r="F13" s="54">
        <f>IF(F3=0,0,F3/TrNavi_act!F7*1000)</f>
        <v>13655.634942857143</v>
      </c>
      <c r="G13" s="54">
        <f>IF(G3=0,0,G3/TrNavi_act!G7*1000)</f>
        <v>14602.603776351971</v>
      </c>
      <c r="H13" s="54">
        <f>IF(H3=0,0,H3/TrNavi_act!H7*1000)</f>
        <v>16755.380297984226</v>
      </c>
      <c r="I13" s="54">
        <f>IF(I3=0,0,I3/TrNavi_act!I7*1000)</f>
        <v>16240.000733944953</v>
      </c>
      <c r="J13" s="54">
        <f>IF(J3=0,0,J3/TrNavi_act!J7*1000)</f>
        <v>17507.077714285715</v>
      </c>
      <c r="K13" s="54">
        <f>IF(K3=0,0,K3/TrNavi_act!K7*1000)</f>
        <v>21295.356371681421</v>
      </c>
      <c r="L13" s="54">
        <f>IF(L3=0,0,L3/TrNavi_act!L7*1000)</f>
        <v>24807.992474226812</v>
      </c>
      <c r="M13" s="54">
        <f>IF(M3=0,0,M3/TrNavi_act!M7*1000)</f>
        <v>20137.031548117156</v>
      </c>
      <c r="N13" s="54">
        <f>IF(N3=0,0,N3/TrNavi_act!N7*1000)</f>
        <v>20436.308025477705</v>
      </c>
      <c r="O13" s="54">
        <f>IF(O3=0,0,O3/TrNavi_act!O7*1000)</f>
        <v>24368.357164556965</v>
      </c>
      <c r="P13" s="54">
        <f>IF(P3=0,0,P3/TrNavi_act!P7*1000)</f>
        <v>23306.298014527853</v>
      </c>
      <c r="Q13" s="54">
        <f>IF(Q3=0,0,Q3/TrNavi_act!Q7*1000)</f>
        <v>25188.259446640313</v>
      </c>
      <c r="R13" s="54">
        <f>IF(R3=0,0,R3/TrNavi_act!R7*1000)</f>
        <v>21171.527043189366</v>
      </c>
      <c r="S13" s="54">
        <f>IF(S3=0,0,S3/TrNavi_act!S7*1000)</f>
        <v>36462.548571428568</v>
      </c>
      <c r="T13" s="54">
        <f>IF(T3=0,0,T3/TrNavi_act!T7*1000)</f>
        <v>20084.556421725239</v>
      </c>
      <c r="U13" s="54">
        <f>IF(U3=0,0,U3/TrNavi_act!U7*1000)</f>
        <v>23702.601951219509</v>
      </c>
      <c r="V13" s="54">
        <f>IF(V3=0,0,V3/TrNavi_act!V7*1000)</f>
        <v>15134.855094339613</v>
      </c>
      <c r="W13" s="54">
        <f>IF(W3=0,0,W3/TrNavi_act!W7*1000)</f>
        <v>19419.829944134079</v>
      </c>
      <c r="X13" s="54">
        <f>IF(X3=0,0,X3/TrNavi_act!X7*1000)</f>
        <v>22426.771354838715</v>
      </c>
      <c r="Y13" s="54">
        <f>IF(Y3=0,0,Y3/TrNavi_act!Y7*1000)</f>
        <v>30492.540000000008</v>
      </c>
      <c r="Z13" s="62"/>
      <c r="AA13" s="62"/>
      <c r="AB13" s="62"/>
      <c r="AC13" s="62"/>
      <c r="AD13" s="62"/>
      <c r="AE13" s="62"/>
      <c r="AF13" s="62"/>
      <c r="AG13" s="62"/>
      <c r="DA13" s="172" t="s">
        <v>1027</v>
      </c>
    </row>
    <row r="14" spans="1:105" ht="11.45" customHeight="1" x14ac:dyDescent="0.25">
      <c r="A14" s="55" t="s">
        <v>30</v>
      </c>
      <c r="B14" s="56">
        <f>IF(B4=0,0,B4/TrNavi_act!B8*1000)</f>
        <v>108128.76329569206</v>
      </c>
      <c r="C14" s="56">
        <f>IF(C4=0,0,C4/TrNavi_act!C8*1000)</f>
        <v>107429.93774400325</v>
      </c>
      <c r="D14" s="56">
        <f>IF(D4=0,0,D4/TrNavi_act!D8*1000)</f>
        <v>114570.5179538544</v>
      </c>
      <c r="E14" s="56">
        <f>IF(E4=0,0,E4/TrNavi_act!E8*1000)</f>
        <v>125920.59218660778</v>
      </c>
      <c r="F14" s="56">
        <f>IF(F4=0,0,F4/TrNavi_act!F8*1000)</f>
        <v>144493.79702022136</v>
      </c>
      <c r="G14" s="56">
        <f>IF(G4=0,0,G4/TrNavi_act!G8*1000)</f>
        <v>132176.66976046996</v>
      </c>
      <c r="H14" s="56">
        <f>IF(H4=0,0,H4/TrNavi_act!H8*1000)</f>
        <v>157810.30586920216</v>
      </c>
      <c r="I14" s="56">
        <f>IF(I4=0,0,I4/TrNavi_act!I8*1000)</f>
        <v>154761.46806469851</v>
      </c>
      <c r="J14" s="56">
        <f>IF(J4=0,0,J4/TrNavi_act!J8*1000)</f>
        <v>172709.58722297678</v>
      </c>
      <c r="K14" s="56">
        <f>IF(K4=0,0,K4/TrNavi_act!K8*1000)</f>
        <v>181646.65806947916</v>
      </c>
      <c r="L14" s="56">
        <f>IF(L4=0,0,L4/TrNavi_act!L8*1000)</f>
        <v>217457.00593635754</v>
      </c>
      <c r="M14" s="56">
        <f>IF(M4=0,0,M4/TrNavi_act!M8*1000)</f>
        <v>162363.34994834036</v>
      </c>
      <c r="N14" s="56">
        <f>IF(N4=0,0,N4/TrNavi_act!N8*1000)</f>
        <v>169284.45086686913</v>
      </c>
      <c r="O14" s="56">
        <f>IF(O4=0,0,O4/TrNavi_act!O8*1000)</f>
        <v>201938.39586187279</v>
      </c>
      <c r="P14" s="56">
        <f>IF(P4=0,0,P4/TrNavi_act!P8*1000)</f>
        <v>220748.33209326785</v>
      </c>
      <c r="Q14" s="56">
        <f>IF(Q4=0,0,Q4/TrNavi_act!Q8*1000)</f>
        <v>186263.08837105808</v>
      </c>
      <c r="R14" s="56">
        <f>IF(R4=0,0,R4/TrNavi_act!R8*1000)</f>
        <v>133780.64222337911</v>
      </c>
      <c r="S14" s="56">
        <f>IF(S4=0,0,S4/TrNavi_act!S8*1000)</f>
        <v>275971.12419306522</v>
      </c>
      <c r="T14" s="56">
        <f>IF(T4=0,0,T4/TrNavi_act!T8*1000)</f>
        <v>145297.75742962019</v>
      </c>
      <c r="U14" s="56">
        <f>IF(U4=0,0,U4/TrNavi_act!U8*1000)</f>
        <v>137285.64261105278</v>
      </c>
      <c r="V14" s="56">
        <f>IF(V4=0,0,V4/TrNavi_act!V8*1000)</f>
        <v>64373.065522172583</v>
      </c>
      <c r="W14" s="56">
        <f>IF(W4=0,0,W4/TrNavi_act!W8*1000)</f>
        <v>59447.370850071493</v>
      </c>
      <c r="X14" s="56">
        <f>IF(X4=0,0,X4/TrNavi_act!X8*1000)</f>
        <v>55887.899179599655</v>
      </c>
      <c r="Y14" s="56">
        <f>IF(Y4=0,0,Y4/TrNavi_act!Y8*1000)</f>
        <v>77194.137370468641</v>
      </c>
      <c r="Z14" s="63"/>
      <c r="AA14" s="63"/>
      <c r="AB14" s="63"/>
      <c r="AC14" s="63"/>
      <c r="AD14" s="63"/>
      <c r="AE14" s="63"/>
      <c r="AF14" s="63"/>
      <c r="AG14" s="63"/>
      <c r="DA14" s="181" t="s">
        <v>1028</v>
      </c>
    </row>
    <row r="15" spans="1:105" ht="11.45" customHeight="1" x14ac:dyDescent="0.25">
      <c r="A15" s="57" t="s">
        <v>31</v>
      </c>
      <c r="B15" s="58">
        <f>IF(B5=0,0,B5/TrNavi_act!B9*1000)</f>
        <v>11709.813505695252</v>
      </c>
      <c r="C15" s="58">
        <f>IF(C5=0,0,C5/TrNavi_act!C9*1000)</f>
        <v>11864.263149736418</v>
      </c>
      <c r="D15" s="58">
        <f>IF(D5=0,0,D5/TrNavi_act!D9*1000)</f>
        <v>12103.557675458414</v>
      </c>
      <c r="E15" s="58">
        <f>IF(E5=0,0,E5/TrNavi_act!E9*1000)</f>
        <v>12383.020933348986</v>
      </c>
      <c r="F15" s="58">
        <f>IF(F5=0,0,F5/TrNavi_act!F9*1000)</f>
        <v>12998.156741463352</v>
      </c>
      <c r="G15" s="58">
        <f>IF(G5=0,0,G5/TrNavi_act!G9*1000)</f>
        <v>11958.01372610002</v>
      </c>
      <c r="H15" s="58">
        <f>IF(H5=0,0,H5/TrNavi_act!H9*1000)</f>
        <v>13982.182476208713</v>
      </c>
      <c r="I15" s="58">
        <f>IF(I5=0,0,I5/TrNavi_act!I9*1000)</f>
        <v>13943.271741932458</v>
      </c>
      <c r="J15" s="58">
        <f>IF(J5=0,0,J5/TrNavi_act!J9*1000)</f>
        <v>14552.494666527877</v>
      </c>
      <c r="K15" s="58">
        <f>IF(K5=0,0,K5/TrNavi_act!K9*1000)</f>
        <v>16922.139052650571</v>
      </c>
      <c r="L15" s="58">
        <f>IF(L5=0,0,L5/TrNavi_act!L9*1000)</f>
        <v>18659.619704158806</v>
      </c>
      <c r="M15" s="58">
        <f>IF(M5=0,0,M5/TrNavi_act!M9*1000)</f>
        <v>13601.467682899021</v>
      </c>
      <c r="N15" s="58">
        <f>IF(N5=0,0,N5/TrNavi_act!N9*1000)</f>
        <v>14179.417065330721</v>
      </c>
      <c r="O15" s="58">
        <f>IF(O5=0,0,O5/TrNavi_act!O9*1000)</f>
        <v>16871.996691847064</v>
      </c>
      <c r="P15" s="58">
        <f>IF(P5=0,0,P5/TrNavi_act!P9*1000)</f>
        <v>18406.991957983431</v>
      </c>
      <c r="Q15" s="58">
        <f>IF(Q5=0,0,Q5/TrNavi_act!Q9*1000)</f>
        <v>16463.37287990102</v>
      </c>
      <c r="R15" s="58">
        <f>IF(R5=0,0,R5/TrNavi_act!R9*1000)</f>
        <v>11414.780601584478</v>
      </c>
      <c r="S15" s="58">
        <f>IF(S5=0,0,S5/TrNavi_act!S9*1000)</f>
        <v>21133.999731643824</v>
      </c>
      <c r="T15" s="58">
        <f>IF(T5=0,0,T5/TrNavi_act!T9*1000)</f>
        <v>11992.546832779646</v>
      </c>
      <c r="U15" s="58">
        <f>IF(U5=0,0,U5/TrNavi_act!U9*1000)</f>
        <v>11423.354312318615</v>
      </c>
      <c r="V15" s="58">
        <f>IF(V5=0,0,V5/TrNavi_act!V9*1000)</f>
        <v>5729.8036643041005</v>
      </c>
      <c r="W15" s="58">
        <f>IF(W5=0,0,W5/TrNavi_act!W9*1000)</f>
        <v>5167.5994700503015</v>
      </c>
      <c r="X15" s="58">
        <f>IF(X5=0,0,X5/TrNavi_act!X9*1000)</f>
        <v>4536.663408926921</v>
      </c>
      <c r="Y15" s="58">
        <f>IF(Y5=0,0,Y5/TrNavi_act!Y9*1000)</f>
        <v>6207.7093673563168</v>
      </c>
      <c r="Z15" s="64"/>
      <c r="AA15" s="64"/>
      <c r="AB15" s="64"/>
      <c r="AC15" s="64"/>
      <c r="AD15" s="64"/>
      <c r="AE15" s="64"/>
      <c r="AF15" s="64"/>
      <c r="AG15" s="64"/>
      <c r="DA15" s="182" t="s">
        <v>1029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DA16" s="181"/>
    </row>
    <row r="17" spans="1:105" ht="11.45" customHeight="1" x14ac:dyDescent="0.25">
      <c r="A17" s="53" t="s">
        <v>163</v>
      </c>
      <c r="B17" s="62">
        <f>IF(B3=0,0,B3/TrNavi_act!B3*1000)</f>
        <v>16.100779879213974</v>
      </c>
      <c r="C17" s="62">
        <f>IF(C3=0,0,C3/TrNavi_act!C3*1000)</f>
        <v>14.959482025512173</v>
      </c>
      <c r="D17" s="62">
        <f>IF(D3=0,0,D3/TrNavi_act!D3*1000)</f>
        <v>13.968013004069908</v>
      </c>
      <c r="E17" s="62">
        <f>IF(E3=0,0,E3/TrNavi_act!E3*1000)</f>
        <v>25.133725738548772</v>
      </c>
      <c r="F17" s="62">
        <f>IF(F3=0,0,F3/TrNavi_act!F3*1000)</f>
        <v>49.649503631929811</v>
      </c>
      <c r="G17" s="62">
        <f>IF(G3=0,0,G3/TrNavi_act!G3*1000)</f>
        <v>42.603358541829344</v>
      </c>
      <c r="H17" s="62">
        <f>IF(H3=0,0,H3/TrNavi_act!H3*1000)</f>
        <v>57.448859520225007</v>
      </c>
      <c r="I17" s="62">
        <f>IF(I3=0,0,I3/TrNavi_act!I3*1000)</f>
        <v>51.511383600620796</v>
      </c>
      <c r="J17" s="62">
        <f>IF(J3=0,0,J3/TrNavi_act!J3*1000)</f>
        <v>50.371159570129088</v>
      </c>
      <c r="K17" s="62">
        <f>IF(K3=0,0,K3/TrNavi_act!K3*1000)</f>
        <v>41.879866861588276</v>
      </c>
      <c r="L17" s="62">
        <f>IF(L3=0,0,L3/TrNavi_act!L3*1000)</f>
        <v>61.04878625474889</v>
      </c>
      <c r="M17" s="62">
        <f>IF(M3=0,0,M3/TrNavi_act!M3*1000)</f>
        <v>45.342992246163128</v>
      </c>
      <c r="N17" s="62">
        <f>IF(N3=0,0,N3/TrNavi_act!N3*1000)</f>
        <v>54.329181464130485</v>
      </c>
      <c r="O17" s="62">
        <f>IF(O3=0,0,O3/TrNavi_act!O3*1000)</f>
        <v>73.25789302240625</v>
      </c>
      <c r="P17" s="62">
        <f>IF(P3=0,0,P3/TrNavi_act!P3*1000)</f>
        <v>71.26938855898949</v>
      </c>
      <c r="Q17" s="62">
        <f>IF(Q3=0,0,Q3/TrNavi_act!Q3*1000)</f>
        <v>51.832331329759974</v>
      </c>
      <c r="R17" s="62">
        <f>IF(R3=0,0,R3/TrNavi_act!R3*1000)</f>
        <v>36.693477589939654</v>
      </c>
      <c r="S17" s="62">
        <f>IF(S3=0,0,S3/TrNavi_act!S3*1000)</f>
        <v>80.302457774932108</v>
      </c>
      <c r="T17" s="62">
        <f>IF(T3=0,0,T3/TrNavi_act!T3*1000)</f>
        <v>35.493697089461641</v>
      </c>
      <c r="U17" s="62">
        <f>IF(U3=0,0,U3/TrNavi_act!U3*1000)</f>
        <v>38.261611874483243</v>
      </c>
      <c r="V17" s="62">
        <f>IF(V3=0,0,V3/TrNavi_act!V3*1000)</f>
        <v>18.132540349925389</v>
      </c>
      <c r="W17" s="62">
        <f>IF(W3=0,0,W3/TrNavi_act!W3*1000)</f>
        <v>17.96357602410199</v>
      </c>
      <c r="X17" s="62">
        <f>IF(X3=0,0,X3/TrNavi_act!X3*1000)</f>
        <v>17.297976980149986</v>
      </c>
      <c r="Y17" s="62">
        <f>IF(Y3=0,0,Y3/TrNavi_act!Y3*1000)</f>
        <v>22.935041467357244</v>
      </c>
      <c r="Z17" s="62"/>
      <c r="AA17" s="62"/>
      <c r="AB17" s="62"/>
      <c r="AC17" s="62"/>
      <c r="AD17" s="62"/>
      <c r="AE17" s="62"/>
      <c r="AF17" s="62"/>
      <c r="AG17" s="62"/>
      <c r="DA17" s="172" t="s">
        <v>449</v>
      </c>
    </row>
    <row r="18" spans="1:105" ht="11.45" customHeight="1" x14ac:dyDescent="0.25">
      <c r="A18" s="55" t="s">
        <v>30</v>
      </c>
      <c r="B18" s="63">
        <f>IF(B4=0,0,B4/TrNavi_act!B4*1000)</f>
        <v>52.602775944808144</v>
      </c>
      <c r="C18" s="63">
        <f>IF(C4=0,0,C4/TrNavi_act!C4*1000)</f>
        <v>53.799510960654089</v>
      </c>
      <c r="D18" s="63">
        <f>IF(D4=0,0,D4/TrNavi_act!D4*1000)</f>
        <v>55.059290517436551</v>
      </c>
      <c r="E18" s="63">
        <f>IF(E4=0,0,E4/TrNavi_act!E4*1000)</f>
        <v>57.177227899990555</v>
      </c>
      <c r="F18" s="63">
        <f>IF(F4=0,0,F4/TrNavi_act!F4*1000)</f>
        <v>67.175172952218205</v>
      </c>
      <c r="G18" s="63">
        <f>IF(G4=0,0,G4/TrNavi_act!G4*1000)</f>
        <v>67.569227107678259</v>
      </c>
      <c r="H18" s="63">
        <f>IF(H4=0,0,H4/TrNavi_act!H4*1000)</f>
        <v>79.299849914859124</v>
      </c>
      <c r="I18" s="63">
        <f>IF(I4=0,0,I4/TrNavi_act!I4*1000)</f>
        <v>76.709525682626278</v>
      </c>
      <c r="J18" s="63">
        <f>IF(J4=0,0,J4/TrNavi_act!J4*1000)</f>
        <v>74.745118067019817</v>
      </c>
      <c r="K18" s="63">
        <f>IF(K4=0,0,K4/TrNavi_act!K4*1000)</f>
        <v>78.307224343790423</v>
      </c>
      <c r="L18" s="63">
        <f>IF(L4=0,0,L4/TrNavi_act!L4*1000)</f>
        <v>94.310747451526652</v>
      </c>
      <c r="M18" s="63">
        <f>IF(M4=0,0,M4/TrNavi_act!M4*1000)</f>
        <v>66.487858291703674</v>
      </c>
      <c r="N18" s="63">
        <f>IF(N4=0,0,N4/TrNavi_act!N4*1000)</f>
        <v>69.664383072785654</v>
      </c>
      <c r="O18" s="63">
        <f>IF(O4=0,0,O4/TrNavi_act!O4*1000)</f>
        <v>79.991442211080539</v>
      </c>
      <c r="P18" s="63">
        <f>IF(P4=0,0,P4/TrNavi_act!P4*1000)</f>
        <v>88.09495254739717</v>
      </c>
      <c r="Q18" s="63">
        <f>IF(Q4=0,0,Q4/TrNavi_act!Q4*1000)</f>
        <v>69.288355189966367</v>
      </c>
      <c r="R18" s="63">
        <f>IF(R4=0,0,R4/TrNavi_act!R4*1000)</f>
        <v>48.890477119032447</v>
      </c>
      <c r="S18" s="63">
        <f>IF(S4=0,0,S4/TrNavi_act!S4*1000)</f>
        <v>100.09228949757549</v>
      </c>
      <c r="T18" s="63">
        <f>IF(T4=0,0,T4/TrNavi_act!T4*1000)</f>
        <v>52.972414682198668</v>
      </c>
      <c r="U18" s="63">
        <f>IF(U4=0,0,U4/TrNavi_act!U4*1000)</f>
        <v>50.384674781558964</v>
      </c>
      <c r="V18" s="63">
        <f>IF(V4=0,0,V4/TrNavi_act!V4*1000)</f>
        <v>21.89735300698203</v>
      </c>
      <c r="W18" s="63">
        <f>IF(W4=0,0,W4/TrNavi_act!W4*1000)</f>
        <v>20.027284084791596</v>
      </c>
      <c r="X18" s="63">
        <f>IF(X4=0,0,X4/TrNavi_act!X4*1000)</f>
        <v>18.750017431353598</v>
      </c>
      <c r="Y18" s="63">
        <f>IF(Y4=0,0,Y4/TrNavi_act!Y4*1000)</f>
        <v>24.563059253851236</v>
      </c>
      <c r="Z18" s="63"/>
      <c r="AA18" s="63"/>
      <c r="AB18" s="63"/>
      <c r="AC18" s="63"/>
      <c r="AD18" s="63"/>
      <c r="AE18" s="63"/>
      <c r="AF18" s="63"/>
      <c r="AG18" s="63"/>
      <c r="DA18" s="181" t="s">
        <v>450</v>
      </c>
    </row>
    <row r="19" spans="1:105" ht="11.45" customHeight="1" x14ac:dyDescent="0.25">
      <c r="A19" s="57" t="s">
        <v>31</v>
      </c>
      <c r="B19" s="64">
        <f>IF(B5=0,0,B5/TrNavi_act!B5*1000)</f>
        <v>15.653015837110109</v>
      </c>
      <c r="C19" s="64">
        <f>IF(C5=0,0,C5/TrNavi_act!C5*1000)</f>
        <v>14.529967844772132</v>
      </c>
      <c r="D19" s="64">
        <f>IF(D5=0,0,D5/TrNavi_act!D5*1000)</f>
        <v>13.436453902595931</v>
      </c>
      <c r="E19" s="64">
        <f>IF(E5=0,0,E5/TrNavi_act!E5*1000)</f>
        <v>24.56723189758457</v>
      </c>
      <c r="F19" s="64">
        <f>IF(F5=0,0,F5/TrNavi_act!F5*1000)</f>
        <v>48.936303623941761</v>
      </c>
      <c r="G19" s="64">
        <f>IF(G5=0,0,G5/TrNavi_act!G5*1000)</f>
        <v>39.018962219415045</v>
      </c>
      <c r="H19" s="64">
        <f>IF(H5=0,0,H5/TrNavi_act!H5*1000)</f>
        <v>54.138623497846197</v>
      </c>
      <c r="I19" s="64">
        <f>IF(I5=0,0,I5/TrNavi_act!I5*1000)</f>
        <v>48.574935851858562</v>
      </c>
      <c r="J19" s="64">
        <f>IF(J5=0,0,J5/TrNavi_act!J5*1000)</f>
        <v>46.914721072958095</v>
      </c>
      <c r="K19" s="64">
        <f>IF(K5=0,0,K5/TrNavi_act!K5*1000)</f>
        <v>36.860104867159663</v>
      </c>
      <c r="L19" s="64">
        <f>IF(L5=0,0,L5/TrNavi_act!L5*1000)</f>
        <v>53.969361605874703</v>
      </c>
      <c r="M19" s="64">
        <f>IF(M5=0,0,M5/TrNavi_act!M5*1000)</f>
        <v>38.60789273965748</v>
      </c>
      <c r="N19" s="64">
        <f>IF(N5=0,0,N5/TrNavi_act!N5*1000)</f>
        <v>48.924400866637306</v>
      </c>
      <c r="O19" s="64">
        <f>IF(O5=0,0,O5/TrNavi_act!O5*1000)</f>
        <v>70.269085123187224</v>
      </c>
      <c r="P19" s="64">
        <f>IF(P5=0,0,P5/TrNavi_act!P5*1000)</f>
        <v>67.436525082430208</v>
      </c>
      <c r="Q19" s="64">
        <f>IF(Q5=0,0,Q5/TrNavi_act!Q5*1000)</f>
        <v>44.900107854275497</v>
      </c>
      <c r="R19" s="64">
        <f>IF(R5=0,0,R5/TrNavi_act!R5*1000)</f>
        <v>29.276798394804636</v>
      </c>
      <c r="S19" s="64">
        <f>IF(S5=0,0,S5/TrNavi_act!S5*1000)</f>
        <v>68.915216516229862</v>
      </c>
      <c r="T19" s="64">
        <f>IF(T5=0,0,T5/TrNavi_act!T5*1000)</f>
        <v>28.206470150697729</v>
      </c>
      <c r="U19" s="64">
        <f>IF(U5=0,0,U5/TrNavi_act!U5*1000)</f>
        <v>29.149248934881985</v>
      </c>
      <c r="V19" s="64">
        <f>IF(V5=0,0,V5/TrNavi_act!V5*1000)</f>
        <v>13.245520159040645</v>
      </c>
      <c r="W19" s="64">
        <f>IF(W5=0,0,W5/TrNavi_act!W5*1000)</f>
        <v>12.631909815678515</v>
      </c>
      <c r="X19" s="64">
        <f>IF(X5=0,0,X5/TrNavi_act!X5*1000)</f>
        <v>11.455075107540475</v>
      </c>
      <c r="Y19" s="64">
        <f>IF(Y5=0,0,Y5/TrNavi_act!Y5*1000)</f>
        <v>16.054420777645646</v>
      </c>
      <c r="Z19" s="64"/>
      <c r="AA19" s="64"/>
      <c r="AB19" s="64"/>
      <c r="AC19" s="64"/>
      <c r="AD19" s="64"/>
      <c r="AE19" s="64"/>
      <c r="AF19" s="64"/>
      <c r="AG19" s="64"/>
      <c r="DA19" s="182" t="s">
        <v>451</v>
      </c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DA20" s="181"/>
    </row>
    <row r="21" spans="1:105" ht="11.45" customHeight="1" x14ac:dyDescent="0.25">
      <c r="A21" s="53" t="s">
        <v>41</v>
      </c>
      <c r="B21" s="76">
        <f t="shared" ref="B21:U21" si="3">IF(B3=0,0,B3/B$3)</f>
        <v>1</v>
      </c>
      <c r="C21" s="76">
        <f t="shared" si="3"/>
        <v>1</v>
      </c>
      <c r="D21" s="76">
        <f t="shared" si="3"/>
        <v>1</v>
      </c>
      <c r="E21" s="76">
        <f t="shared" si="3"/>
        <v>1</v>
      </c>
      <c r="F21" s="76">
        <f t="shared" si="3"/>
        <v>1</v>
      </c>
      <c r="G21" s="76">
        <f t="shared" si="3"/>
        <v>1</v>
      </c>
      <c r="H21" s="76">
        <f t="shared" si="3"/>
        <v>1</v>
      </c>
      <c r="I21" s="76">
        <f t="shared" si="3"/>
        <v>1</v>
      </c>
      <c r="J21" s="76">
        <f t="shared" si="3"/>
        <v>1</v>
      </c>
      <c r="K21" s="76">
        <f t="shared" si="3"/>
        <v>1</v>
      </c>
      <c r="L21" s="76">
        <f t="shared" si="3"/>
        <v>1</v>
      </c>
      <c r="M21" s="76">
        <f t="shared" si="3"/>
        <v>1</v>
      </c>
      <c r="N21" s="76">
        <f t="shared" si="3"/>
        <v>1</v>
      </c>
      <c r="O21" s="76">
        <f t="shared" si="3"/>
        <v>1</v>
      </c>
      <c r="P21" s="76">
        <f t="shared" si="3"/>
        <v>1</v>
      </c>
      <c r="Q21" s="76">
        <f t="shared" si="3"/>
        <v>1</v>
      </c>
      <c r="R21" s="76">
        <f t="shared" si="3"/>
        <v>1</v>
      </c>
      <c r="S21" s="76">
        <f t="shared" si="3"/>
        <v>1</v>
      </c>
      <c r="T21" s="76">
        <f t="shared" si="3"/>
        <v>1</v>
      </c>
      <c r="U21" s="76">
        <f t="shared" si="3"/>
        <v>1</v>
      </c>
      <c r="V21" s="76">
        <f t="shared" ref="V21:W21" si="4">IF(V3=0,0,V3/V$3)</f>
        <v>1</v>
      </c>
      <c r="W21" s="76">
        <f t="shared" si="4"/>
        <v>1</v>
      </c>
      <c r="X21" s="76">
        <f t="shared" ref="X21:Y21" si="5">IF(X3=0,0,X3/X$3)</f>
        <v>1</v>
      </c>
      <c r="Y21" s="76">
        <f t="shared" si="5"/>
        <v>1</v>
      </c>
      <c r="Z21" s="76"/>
      <c r="AA21" s="76"/>
      <c r="AB21" s="76"/>
      <c r="AC21" s="76"/>
      <c r="AD21" s="76"/>
      <c r="AE21" s="76"/>
      <c r="AF21" s="76"/>
      <c r="AG21" s="76"/>
      <c r="DA21" s="183"/>
    </row>
    <row r="22" spans="1:105" ht="11.45" customHeight="1" x14ac:dyDescent="0.25">
      <c r="A22" s="55" t="s">
        <v>30</v>
      </c>
      <c r="B22" s="77">
        <f t="shared" ref="B22:U22" si="6">IF(B4=0,0,B4/B$3)</f>
        <v>3.959126168360666E-2</v>
      </c>
      <c r="C22" s="77">
        <f t="shared" si="6"/>
        <v>3.9335387257183774E-2</v>
      </c>
      <c r="D22" s="77">
        <f t="shared" si="6"/>
        <v>5.0340307557380851E-2</v>
      </c>
      <c r="E22" s="77">
        <f t="shared" si="6"/>
        <v>3.9519429910292593E-2</v>
      </c>
      <c r="F22" s="77">
        <f t="shared" si="6"/>
        <v>5.2906290196268677E-2</v>
      </c>
      <c r="G22" s="77">
        <f t="shared" si="6"/>
        <v>0.199118217241264</v>
      </c>
      <c r="H22" s="77">
        <f t="shared" si="6"/>
        <v>0.18160094682266034</v>
      </c>
      <c r="I22" s="77">
        <f t="shared" si="6"/>
        <v>0.1554274677698563</v>
      </c>
      <c r="J22" s="77">
        <f t="shared" si="6"/>
        <v>0.18429362631998078</v>
      </c>
      <c r="K22" s="77">
        <f t="shared" si="6"/>
        <v>0.22645677131166553</v>
      </c>
      <c r="L22" s="77">
        <f t="shared" si="6"/>
        <v>0.27110111458595254</v>
      </c>
      <c r="M22" s="77">
        <f t="shared" si="6"/>
        <v>0.35422886773133555</v>
      </c>
      <c r="N22" s="77">
        <f t="shared" si="6"/>
        <v>0.33415450683950404</v>
      </c>
      <c r="O22" s="77">
        <f t="shared" si="6"/>
        <v>0.33567232572477823</v>
      </c>
      <c r="P22" s="77">
        <f t="shared" si="6"/>
        <v>0.22933697711794115</v>
      </c>
      <c r="Q22" s="77">
        <f t="shared" si="6"/>
        <v>0.37997189317654356</v>
      </c>
      <c r="R22" s="77">
        <f t="shared" si="6"/>
        <v>0.50383210616976937</v>
      </c>
      <c r="S22" s="77">
        <f t="shared" si="6"/>
        <v>0.45525525557374497</v>
      </c>
      <c r="T22" s="77">
        <f t="shared" si="6"/>
        <v>0.43914296536399133</v>
      </c>
      <c r="U22" s="77">
        <f t="shared" si="6"/>
        <v>0.5650738791425175</v>
      </c>
      <c r="V22" s="77">
        <f t="shared" ref="V22:W22" si="7">IF(V4=0,0,V4/V$3)</f>
        <v>0.68213287421875002</v>
      </c>
      <c r="W22" s="77">
        <f t="shared" si="7"/>
        <v>0.80377048850376853</v>
      </c>
      <c r="X22" s="77">
        <f t="shared" ref="X22:Y22" si="8">IF(X4=0,0,X4/X$3)</f>
        <v>0.86818662534715019</v>
      </c>
      <c r="Y22" s="77">
        <f t="shared" si="8"/>
        <v>0.86606496800105359</v>
      </c>
      <c r="Z22" s="77"/>
      <c r="AA22" s="77"/>
      <c r="AB22" s="77"/>
      <c r="AC22" s="77"/>
      <c r="AD22" s="77"/>
      <c r="AE22" s="77"/>
      <c r="AF22" s="77"/>
      <c r="AG22" s="77"/>
      <c r="DA22" s="184"/>
    </row>
    <row r="23" spans="1:105" ht="11.45" customHeight="1" x14ac:dyDescent="0.25">
      <c r="A23" s="57" t="s">
        <v>31</v>
      </c>
      <c r="B23" s="78">
        <f t="shared" ref="B23:U23" si="9">IF(B5=0,0,B5/B$3)</f>
        <v>0.96040873831639328</v>
      </c>
      <c r="C23" s="78">
        <f t="shared" si="9"/>
        <v>0.96066461274281623</v>
      </c>
      <c r="D23" s="78">
        <f t="shared" si="9"/>
        <v>0.94965969244261916</v>
      </c>
      <c r="E23" s="78">
        <f t="shared" si="9"/>
        <v>0.96048057008970744</v>
      </c>
      <c r="F23" s="78">
        <f t="shared" si="9"/>
        <v>0.94709370980373142</v>
      </c>
      <c r="G23" s="78">
        <f t="shared" si="9"/>
        <v>0.800881782758736</v>
      </c>
      <c r="H23" s="78">
        <f t="shared" si="9"/>
        <v>0.81839905317733963</v>
      </c>
      <c r="I23" s="78">
        <f t="shared" si="9"/>
        <v>0.84457253223014372</v>
      </c>
      <c r="J23" s="78">
        <f t="shared" si="9"/>
        <v>0.81570637368001919</v>
      </c>
      <c r="K23" s="78">
        <f t="shared" si="9"/>
        <v>0.77354322868833436</v>
      </c>
      <c r="L23" s="78">
        <f t="shared" si="9"/>
        <v>0.72889888541404735</v>
      </c>
      <c r="M23" s="78">
        <f t="shared" si="9"/>
        <v>0.64577113226866445</v>
      </c>
      <c r="N23" s="78">
        <f t="shared" si="9"/>
        <v>0.66584549316049602</v>
      </c>
      <c r="O23" s="78">
        <f t="shared" si="9"/>
        <v>0.66432767427522177</v>
      </c>
      <c r="P23" s="78">
        <f t="shared" si="9"/>
        <v>0.77066302288205879</v>
      </c>
      <c r="Q23" s="78">
        <f t="shared" si="9"/>
        <v>0.62002810682345633</v>
      </c>
      <c r="R23" s="78">
        <f t="shared" si="9"/>
        <v>0.49616789383023063</v>
      </c>
      <c r="S23" s="78">
        <f t="shared" si="9"/>
        <v>0.54474474442625509</v>
      </c>
      <c r="T23" s="78">
        <f t="shared" si="9"/>
        <v>0.56085703463600867</v>
      </c>
      <c r="U23" s="78">
        <f t="shared" si="9"/>
        <v>0.43492612085748245</v>
      </c>
      <c r="V23" s="78">
        <f t="shared" ref="V23:W23" si="10">IF(V5=0,0,V5/V$3)</f>
        <v>0.31786712578125004</v>
      </c>
      <c r="W23" s="78">
        <f t="shared" si="10"/>
        <v>0.19622951149623141</v>
      </c>
      <c r="X23" s="78">
        <f t="shared" ref="X23:Y23" si="11">IF(X5=0,0,X5/X$3)</f>
        <v>0.13181337465284979</v>
      </c>
      <c r="Y23" s="78">
        <f t="shared" si="11"/>
        <v>0.13393503199894646</v>
      </c>
      <c r="Z23" s="78"/>
      <c r="AA23" s="78"/>
      <c r="AB23" s="78"/>
      <c r="AC23" s="78"/>
      <c r="AD23" s="78"/>
      <c r="AE23" s="78"/>
      <c r="AF23" s="78"/>
      <c r="AG23" s="78"/>
      <c r="DA23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A25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45" customHeight="1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962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DA2" s="181"/>
    </row>
    <row r="3" spans="1:105" ht="11.45" customHeight="1" x14ac:dyDescent="0.25">
      <c r="A3" s="53" t="s">
        <v>164</v>
      </c>
      <c r="B3" s="54">
        <f t="shared" ref="B3:Q3" si="0">SUM(B4:B5)</f>
        <v>54914.365048000007</v>
      </c>
      <c r="C3" s="54">
        <f t="shared" si="0"/>
        <v>49478.600707999998</v>
      </c>
      <c r="D3" s="54">
        <f t="shared" si="0"/>
        <v>51511.065805999999</v>
      </c>
      <c r="E3" s="54">
        <f t="shared" si="0"/>
        <v>54374.927660000001</v>
      </c>
      <c r="F3" s="54">
        <f t="shared" si="0"/>
        <v>48347.766540000004</v>
      </c>
      <c r="G3" s="54">
        <f t="shared" si="0"/>
        <v>121265.066861</v>
      </c>
      <c r="H3" s="54">
        <f t="shared" si="0"/>
        <v>116459.15085599999</v>
      </c>
      <c r="I3" s="54">
        <f t="shared" si="0"/>
        <v>88457.408364999996</v>
      </c>
      <c r="J3" s="54">
        <f t="shared" si="0"/>
        <v>82951.685765000002</v>
      </c>
      <c r="K3" s="54">
        <f t="shared" si="0"/>
        <v>83279.743633999999</v>
      </c>
      <c r="L3" s="54">
        <f t="shared" si="0"/>
        <v>110210.910965</v>
      </c>
      <c r="M3" s="54">
        <f t="shared" si="0"/>
        <v>101991.90660999999</v>
      </c>
      <c r="N3" s="54">
        <f t="shared" si="0"/>
        <v>124260.61745800001</v>
      </c>
      <c r="O3" s="54">
        <f t="shared" si="0"/>
        <v>141784.21324399998</v>
      </c>
      <c r="P3" s="54">
        <f t="shared" si="0"/>
        <v>168540.22747899999</v>
      </c>
      <c r="Q3" s="54">
        <f t="shared" si="0"/>
        <v>172026.236718</v>
      </c>
      <c r="R3" s="54">
        <f t="shared" ref="R3:W3" si="1">SUM(R4:R5)</f>
        <v>201667.203152</v>
      </c>
      <c r="S3" s="54">
        <f t="shared" si="1"/>
        <v>242406.230407</v>
      </c>
      <c r="T3" s="54">
        <f t="shared" si="1"/>
        <v>275839.94294500002</v>
      </c>
      <c r="U3" s="54">
        <f t="shared" si="1"/>
        <v>284076.78530500003</v>
      </c>
      <c r="V3" s="54">
        <f t="shared" si="1"/>
        <v>266900.66647399997</v>
      </c>
      <c r="W3" s="54">
        <f t="shared" si="1"/>
        <v>288960.61823299999</v>
      </c>
      <c r="X3" s="54">
        <f t="shared" ref="X3:Y3" si="2">SUM(X4:X5)</f>
        <v>378622.48581699998</v>
      </c>
      <c r="Y3" s="54">
        <f t="shared" si="2"/>
        <v>368395.23953699996</v>
      </c>
      <c r="DA3" s="172" t="s">
        <v>388</v>
      </c>
    </row>
    <row r="4" spans="1:105" ht="11.45" customHeight="1" x14ac:dyDescent="0.25">
      <c r="A4" s="55" t="s">
        <v>166</v>
      </c>
      <c r="B4" s="56">
        <v>14948.69916</v>
      </c>
      <c r="C4" s="56">
        <v>13231.778343</v>
      </c>
      <c r="D4" s="56">
        <v>13786.592832</v>
      </c>
      <c r="E4" s="56">
        <v>14588.018786000001</v>
      </c>
      <c r="F4" s="56">
        <v>12964.248432</v>
      </c>
      <c r="G4" s="56">
        <v>27712.117399000002</v>
      </c>
      <c r="H4" s="56">
        <v>21709.411239000001</v>
      </c>
      <c r="I4" s="56">
        <v>22885.779427000001</v>
      </c>
      <c r="J4" s="56">
        <v>18302.013667000003</v>
      </c>
      <c r="K4" s="56">
        <v>19401.116614999999</v>
      </c>
      <c r="L4" s="56">
        <v>26512.455086000002</v>
      </c>
      <c r="M4" s="56">
        <v>23792.016882</v>
      </c>
      <c r="N4" s="56">
        <v>20264.993726000001</v>
      </c>
      <c r="O4" s="56">
        <v>22912.572402000002</v>
      </c>
      <c r="P4" s="56">
        <v>23900.396728</v>
      </c>
      <c r="Q4" s="56">
        <v>26565.898235000001</v>
      </c>
      <c r="R4" s="56">
        <v>25811.700236000001</v>
      </c>
      <c r="S4" s="56">
        <v>23436.595774000001</v>
      </c>
      <c r="T4" s="56">
        <v>26333.347720000002</v>
      </c>
      <c r="U4" s="56">
        <v>25987.883737</v>
      </c>
      <c r="V4" s="56">
        <v>27666.739507999999</v>
      </c>
      <c r="W4" s="56">
        <v>28929.783190999999</v>
      </c>
      <c r="X4" s="56">
        <v>36335.035860000004</v>
      </c>
      <c r="Y4" s="56">
        <v>50974.829337999996</v>
      </c>
      <c r="DA4" s="181" t="s">
        <v>389</v>
      </c>
    </row>
    <row r="5" spans="1:105" ht="11.45" customHeight="1" x14ac:dyDescent="0.25">
      <c r="A5" s="57" t="s">
        <v>167</v>
      </c>
      <c r="B5" s="58">
        <v>39965.665888000003</v>
      </c>
      <c r="C5" s="58">
        <v>36246.822365</v>
      </c>
      <c r="D5" s="58">
        <v>37724.472973999997</v>
      </c>
      <c r="E5" s="58">
        <v>39786.908874000001</v>
      </c>
      <c r="F5" s="58">
        <v>35383.518108000004</v>
      </c>
      <c r="G5" s="58">
        <v>93552.949462000004</v>
      </c>
      <c r="H5" s="58">
        <v>94749.739616999999</v>
      </c>
      <c r="I5" s="58">
        <v>65571.628937999994</v>
      </c>
      <c r="J5" s="58">
        <v>64649.672097999995</v>
      </c>
      <c r="K5" s="58">
        <v>63878.627019</v>
      </c>
      <c r="L5" s="58">
        <v>83698.455879000001</v>
      </c>
      <c r="M5" s="58">
        <v>78199.889727999995</v>
      </c>
      <c r="N5" s="58">
        <v>103995.62373200001</v>
      </c>
      <c r="O5" s="58">
        <v>118871.64084199999</v>
      </c>
      <c r="P5" s="58">
        <v>144639.830751</v>
      </c>
      <c r="Q5" s="58">
        <v>145460.338483</v>
      </c>
      <c r="R5" s="58">
        <v>175855.502916</v>
      </c>
      <c r="S5" s="58">
        <v>218969.63463299998</v>
      </c>
      <c r="T5" s="58">
        <v>249506.595225</v>
      </c>
      <c r="U5" s="58">
        <v>258088.901568</v>
      </c>
      <c r="V5" s="58">
        <v>239233.926966</v>
      </c>
      <c r="W5" s="58">
        <v>260030.83504199999</v>
      </c>
      <c r="X5" s="58">
        <v>342287.44995699998</v>
      </c>
      <c r="Y5" s="58">
        <v>317420.41019899998</v>
      </c>
      <c r="DA5" s="182" t="s">
        <v>390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DA6" s="181"/>
    </row>
    <row r="7" spans="1:105" ht="11.45" customHeight="1" x14ac:dyDescent="0.25">
      <c r="A7" s="53" t="s">
        <v>64</v>
      </c>
      <c r="B7" s="59">
        <f t="shared" ref="B7:W7" si="3">SUM(B8:B9)</f>
        <v>4.7929929999999992</v>
      </c>
      <c r="C7" s="59">
        <f t="shared" si="3"/>
        <v>4.1744569999999994</v>
      </c>
      <c r="D7" s="59">
        <f t="shared" si="3"/>
        <v>4.2545900000000003</v>
      </c>
      <c r="E7" s="59">
        <f t="shared" si="3"/>
        <v>4.4969579999999993</v>
      </c>
      <c r="F7" s="59">
        <f t="shared" si="3"/>
        <v>3.9586670000000002</v>
      </c>
      <c r="G7" s="59">
        <f t="shared" si="3"/>
        <v>10.026558000000001</v>
      </c>
      <c r="H7" s="59">
        <f t="shared" si="3"/>
        <v>8.663494</v>
      </c>
      <c r="I7" s="59">
        <f t="shared" si="3"/>
        <v>7.5890129999999996</v>
      </c>
      <c r="J7" s="59">
        <f t="shared" si="3"/>
        <v>5.7305449999999993</v>
      </c>
      <c r="K7" s="59">
        <f t="shared" si="3"/>
        <v>5.9920290000000005</v>
      </c>
      <c r="L7" s="59">
        <f t="shared" si="3"/>
        <v>7.6024710000000004</v>
      </c>
      <c r="M7" s="59">
        <f t="shared" si="3"/>
        <v>6.7934910000000004</v>
      </c>
      <c r="N7" s="59">
        <f t="shared" si="3"/>
        <v>6.7993190000000006</v>
      </c>
      <c r="O7" s="59">
        <f t="shared" si="3"/>
        <v>7.5262089999999997</v>
      </c>
      <c r="P7" s="59">
        <f t="shared" si="3"/>
        <v>8.1561599999999999</v>
      </c>
      <c r="Q7" s="59">
        <f t="shared" si="3"/>
        <v>8.499879</v>
      </c>
      <c r="R7" s="59">
        <f t="shared" si="3"/>
        <v>9.1684760000000001</v>
      </c>
      <c r="S7" s="59">
        <f t="shared" si="3"/>
        <v>9.8656690000000005</v>
      </c>
      <c r="T7" s="59">
        <f t="shared" si="3"/>
        <v>10.936834999999999</v>
      </c>
      <c r="U7" s="59">
        <f t="shared" si="3"/>
        <v>10.937002</v>
      </c>
      <c r="V7" s="59">
        <f t="shared" si="3"/>
        <v>10.369739000000001</v>
      </c>
      <c r="W7" s="59">
        <f t="shared" si="3"/>
        <v>11.316699</v>
      </c>
      <c r="X7" s="59">
        <f t="shared" ref="X7:Y7" si="4">SUM(X8:X9)</f>
        <v>15.032792000000001</v>
      </c>
      <c r="Y7" s="59">
        <f t="shared" si="4"/>
        <v>14.980219</v>
      </c>
      <c r="DA7" s="172" t="s">
        <v>963</v>
      </c>
    </row>
    <row r="8" spans="1:105" ht="11.45" customHeight="1" x14ac:dyDescent="0.25">
      <c r="A8" s="55" t="s">
        <v>166</v>
      </c>
      <c r="B8" s="60">
        <v>2.6850839999999998</v>
      </c>
      <c r="C8" s="60">
        <v>2.3290859999999998</v>
      </c>
      <c r="D8" s="60">
        <v>2.3597289999999997</v>
      </c>
      <c r="E8" s="60">
        <v>2.4861899999999997</v>
      </c>
      <c r="F8" s="60">
        <v>2.1947700000000001</v>
      </c>
      <c r="G8" s="60">
        <v>5.3228430000000007</v>
      </c>
      <c r="H8" s="60">
        <v>4.1173630000000001</v>
      </c>
      <c r="I8" s="60">
        <v>4.3121770000000001</v>
      </c>
      <c r="J8" s="60">
        <v>2.9144950000000001</v>
      </c>
      <c r="K8" s="60">
        <v>3.220898</v>
      </c>
      <c r="L8" s="60">
        <v>4.2014190000000005</v>
      </c>
      <c r="M8" s="60">
        <v>3.763846</v>
      </c>
      <c r="N8" s="60">
        <v>3.195357</v>
      </c>
      <c r="O8" s="60">
        <v>3.4526919999999999</v>
      </c>
      <c r="P8" s="60">
        <v>3.4444939999999997</v>
      </c>
      <c r="Q8" s="60">
        <v>3.8128639999999998</v>
      </c>
      <c r="R8" s="60">
        <v>3.6288370000000003</v>
      </c>
      <c r="S8" s="60">
        <v>3.2471800000000002</v>
      </c>
      <c r="T8" s="60">
        <v>3.575914</v>
      </c>
      <c r="U8" s="60">
        <v>3.4996769999999997</v>
      </c>
      <c r="V8" s="60">
        <v>3.416147</v>
      </c>
      <c r="W8" s="60">
        <v>3.84951</v>
      </c>
      <c r="X8" s="60">
        <v>4.7076130000000003</v>
      </c>
      <c r="Y8" s="60">
        <v>6.1617519999999999</v>
      </c>
      <c r="DA8" s="181" t="s">
        <v>964</v>
      </c>
    </row>
    <row r="9" spans="1:105" ht="11.45" customHeight="1" x14ac:dyDescent="0.25">
      <c r="A9" s="57" t="s">
        <v>167</v>
      </c>
      <c r="B9" s="61">
        <v>2.1079089999999998</v>
      </c>
      <c r="C9" s="61">
        <v>1.8453709999999999</v>
      </c>
      <c r="D9" s="61">
        <v>1.8948610000000001</v>
      </c>
      <c r="E9" s="61">
        <v>2.0107680000000001</v>
      </c>
      <c r="F9" s="61">
        <v>1.763897</v>
      </c>
      <c r="G9" s="61">
        <v>4.7037149999999999</v>
      </c>
      <c r="H9" s="61">
        <v>4.5461309999999999</v>
      </c>
      <c r="I9" s="61">
        <v>3.2768359999999999</v>
      </c>
      <c r="J9" s="61">
        <v>2.8160499999999997</v>
      </c>
      <c r="K9" s="61">
        <v>2.771131</v>
      </c>
      <c r="L9" s="61">
        <v>3.401052</v>
      </c>
      <c r="M9" s="61">
        <v>3.0296450000000004</v>
      </c>
      <c r="N9" s="61">
        <v>3.6039620000000001</v>
      </c>
      <c r="O9" s="61">
        <v>4.0735169999999998</v>
      </c>
      <c r="P9" s="61">
        <v>4.7116660000000001</v>
      </c>
      <c r="Q9" s="61">
        <v>4.6870149999999997</v>
      </c>
      <c r="R9" s="61">
        <v>5.5396390000000002</v>
      </c>
      <c r="S9" s="61">
        <v>6.6184890000000003</v>
      </c>
      <c r="T9" s="61">
        <v>7.3609209999999994</v>
      </c>
      <c r="U9" s="61">
        <v>7.4373249999999995</v>
      </c>
      <c r="V9" s="61">
        <v>6.9535920000000004</v>
      </c>
      <c r="W9" s="61">
        <v>7.4671889999999994</v>
      </c>
      <c r="X9" s="61">
        <v>10.325179</v>
      </c>
      <c r="Y9" s="61">
        <v>8.8184670000000001</v>
      </c>
      <c r="DA9" s="182" t="s">
        <v>965</v>
      </c>
    </row>
    <row r="10" spans="1:105" ht="11.45" customHeight="1" x14ac:dyDescent="0.25">
      <c r="A10" s="50"/>
      <c r="B10" s="50"/>
      <c r="C10" s="50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DA10" s="181"/>
    </row>
    <row r="11" spans="1:105" ht="11.45" customHeight="1" x14ac:dyDescent="0.25">
      <c r="A11" s="68" t="s">
        <v>36</v>
      </c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69"/>
      <c r="DA11" s="179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DA12" s="181"/>
    </row>
    <row r="13" spans="1:105" ht="11.45" customHeight="1" x14ac:dyDescent="0.25">
      <c r="A13" s="53" t="s">
        <v>143</v>
      </c>
      <c r="B13" s="62">
        <f t="shared" ref="B13:W15" si="5">IF(B3=0,0,B3/B7)</f>
        <v>11457.217869502421</v>
      </c>
      <c r="C13" s="62">
        <f t="shared" si="5"/>
        <v>11852.703407413228</v>
      </c>
      <c r="D13" s="62">
        <f t="shared" si="5"/>
        <v>12107.175028851192</v>
      </c>
      <c r="E13" s="62">
        <f t="shared" si="5"/>
        <v>12091.491105765277</v>
      </c>
      <c r="F13" s="62">
        <f t="shared" si="5"/>
        <v>12213.143095895664</v>
      </c>
      <c r="G13" s="62">
        <f t="shared" si="5"/>
        <v>12094.386414659944</v>
      </c>
      <c r="H13" s="62">
        <f t="shared" si="5"/>
        <v>13442.515324186754</v>
      </c>
      <c r="I13" s="62">
        <f t="shared" si="5"/>
        <v>11655.983243802586</v>
      </c>
      <c r="J13" s="62">
        <f t="shared" si="5"/>
        <v>14475.357189412178</v>
      </c>
      <c r="K13" s="62">
        <f t="shared" si="5"/>
        <v>13898.421325063679</v>
      </c>
      <c r="L13" s="62">
        <f t="shared" si="5"/>
        <v>14496.722311074913</v>
      </c>
      <c r="M13" s="62">
        <f t="shared" si="5"/>
        <v>15013.180500275923</v>
      </c>
      <c r="N13" s="62">
        <f t="shared" si="5"/>
        <v>18275.450447022708</v>
      </c>
      <c r="O13" s="62">
        <f t="shared" si="5"/>
        <v>18838.729198724082</v>
      </c>
      <c r="P13" s="62">
        <f t="shared" si="5"/>
        <v>20664.163954483483</v>
      </c>
      <c r="Q13" s="62">
        <f t="shared" si="5"/>
        <v>20238.668893757193</v>
      </c>
      <c r="R13" s="62">
        <f t="shared" si="5"/>
        <v>21995.716971064765</v>
      </c>
      <c r="S13" s="62">
        <f t="shared" si="5"/>
        <v>24570.683489077121</v>
      </c>
      <c r="T13" s="62">
        <f t="shared" si="5"/>
        <v>25221.185374470773</v>
      </c>
      <c r="U13" s="62">
        <f t="shared" si="5"/>
        <v>25973.917286016775</v>
      </c>
      <c r="V13" s="62">
        <f t="shared" si="5"/>
        <v>25738.416991401609</v>
      </c>
      <c r="W13" s="62">
        <f t="shared" si="5"/>
        <v>25534.002294573707</v>
      </c>
      <c r="X13" s="62">
        <f t="shared" ref="X13:Y13" si="6">IF(X3=0,0,X3/X7)</f>
        <v>25186.438142495415</v>
      </c>
      <c r="Y13" s="62">
        <f t="shared" si="6"/>
        <v>24592.113075049168</v>
      </c>
      <c r="DA13" s="172" t="s">
        <v>966</v>
      </c>
    </row>
    <row r="14" spans="1:105" ht="11.45" customHeight="1" x14ac:dyDescent="0.25">
      <c r="A14" s="55" t="s">
        <v>166</v>
      </c>
      <c r="B14" s="63">
        <f t="shared" si="5"/>
        <v>5567.3115477951533</v>
      </c>
      <c r="C14" s="63">
        <f t="shared" si="5"/>
        <v>5681.1033783209386</v>
      </c>
      <c r="D14" s="63">
        <f t="shared" si="5"/>
        <v>5842.4475149476921</v>
      </c>
      <c r="E14" s="63">
        <f t="shared" si="5"/>
        <v>5867.6202486535631</v>
      </c>
      <c r="F14" s="63">
        <f t="shared" si="5"/>
        <v>5906.8824669555352</v>
      </c>
      <c r="G14" s="63">
        <f t="shared" si="5"/>
        <v>5206.2624050718759</v>
      </c>
      <c r="H14" s="63">
        <f t="shared" si="5"/>
        <v>5272.6493240940863</v>
      </c>
      <c r="I14" s="63">
        <f t="shared" si="5"/>
        <v>5307.2449083142928</v>
      </c>
      <c r="J14" s="63">
        <f t="shared" si="5"/>
        <v>6279.6517636846183</v>
      </c>
      <c r="K14" s="63">
        <f t="shared" si="5"/>
        <v>6023.5116464414577</v>
      </c>
      <c r="L14" s="63">
        <f t="shared" si="5"/>
        <v>6310.3573069003587</v>
      </c>
      <c r="M14" s="63">
        <f t="shared" si="5"/>
        <v>6321.1982854771422</v>
      </c>
      <c r="N14" s="63">
        <f t="shared" si="5"/>
        <v>6342.0124029959725</v>
      </c>
      <c r="O14" s="63">
        <f t="shared" si="5"/>
        <v>6636.1472155639722</v>
      </c>
      <c r="P14" s="63">
        <f t="shared" si="5"/>
        <v>6938.7250284076563</v>
      </c>
      <c r="Q14" s="63">
        <f t="shared" si="5"/>
        <v>6967.4392359654057</v>
      </c>
      <c r="R14" s="63">
        <f t="shared" si="5"/>
        <v>7112.9401061552226</v>
      </c>
      <c r="S14" s="63">
        <f t="shared" si="5"/>
        <v>7217.5228271915939</v>
      </c>
      <c r="T14" s="63">
        <f t="shared" si="5"/>
        <v>7364.088655375941</v>
      </c>
      <c r="U14" s="63">
        <f t="shared" si="5"/>
        <v>7425.794933932475</v>
      </c>
      <c r="V14" s="63">
        <f t="shared" si="5"/>
        <v>8098.814104896539</v>
      </c>
      <c r="W14" s="63">
        <f t="shared" si="5"/>
        <v>7515.1858784624537</v>
      </c>
      <c r="X14" s="63">
        <f t="shared" ref="X14:Y14" si="7">IF(X4=0,0,X4/X8)</f>
        <v>7718.3565981315796</v>
      </c>
      <c r="Y14" s="63">
        <f t="shared" si="7"/>
        <v>8272.7817247432213</v>
      </c>
      <c r="DA14" s="181" t="s">
        <v>967</v>
      </c>
    </row>
    <row r="15" spans="1:105" ht="11.45" customHeight="1" x14ac:dyDescent="0.25">
      <c r="A15" s="57" t="s">
        <v>167</v>
      </c>
      <c r="B15" s="64">
        <f t="shared" si="5"/>
        <v>18959.863014959377</v>
      </c>
      <c r="C15" s="64">
        <f t="shared" si="5"/>
        <v>19642.024484507452</v>
      </c>
      <c r="D15" s="64">
        <f t="shared" si="5"/>
        <v>19908.833932409816</v>
      </c>
      <c r="E15" s="64">
        <f t="shared" si="5"/>
        <v>19786.921650831919</v>
      </c>
      <c r="F15" s="64">
        <f t="shared" si="5"/>
        <v>20059.855030083956</v>
      </c>
      <c r="G15" s="64">
        <f t="shared" si="5"/>
        <v>19889.161962831509</v>
      </c>
      <c r="H15" s="64">
        <f t="shared" si="5"/>
        <v>20841.841032957476</v>
      </c>
      <c r="I15" s="64">
        <f t="shared" si="5"/>
        <v>20010.653245386708</v>
      </c>
      <c r="J15" s="64">
        <f t="shared" si="5"/>
        <v>22957.572521084498</v>
      </c>
      <c r="K15" s="64">
        <f t="shared" si="5"/>
        <v>23051.464192418185</v>
      </c>
      <c r="L15" s="64">
        <f t="shared" si="5"/>
        <v>24609.578412502957</v>
      </c>
      <c r="M15" s="64">
        <f t="shared" si="5"/>
        <v>25811.568592359825</v>
      </c>
      <c r="N15" s="64">
        <f t="shared" si="5"/>
        <v>28855.915720532015</v>
      </c>
      <c r="O15" s="64">
        <f t="shared" si="5"/>
        <v>29181.574752725963</v>
      </c>
      <c r="P15" s="64">
        <f t="shared" si="5"/>
        <v>30698.235136149295</v>
      </c>
      <c r="Q15" s="64">
        <f t="shared" si="5"/>
        <v>31034.749938500307</v>
      </c>
      <c r="R15" s="64">
        <f t="shared" si="5"/>
        <v>31744.939140619088</v>
      </c>
      <c r="S15" s="64">
        <f t="shared" si="5"/>
        <v>33084.535553809939</v>
      </c>
      <c r="T15" s="64">
        <f t="shared" si="5"/>
        <v>33896.110992768437</v>
      </c>
      <c r="U15" s="64">
        <f t="shared" si="5"/>
        <v>34701.845296259075</v>
      </c>
      <c r="V15" s="64">
        <f t="shared" si="5"/>
        <v>34404.366400271974</v>
      </c>
      <c r="W15" s="64">
        <f t="shared" si="5"/>
        <v>34823.122200603204</v>
      </c>
      <c r="X15" s="64">
        <f t="shared" ref="X15:Y15" si="8">IF(X5=0,0,X5/X9)</f>
        <v>33150.752152287139</v>
      </c>
      <c r="Y15" s="64">
        <f t="shared" si="8"/>
        <v>35994.964907052439</v>
      </c>
      <c r="DA15" s="182" t="s">
        <v>968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DA16" s="181"/>
    </row>
    <row r="17" spans="1:105" ht="11.45" customHeight="1" x14ac:dyDescent="0.25">
      <c r="A17" s="53" t="s">
        <v>65</v>
      </c>
      <c r="B17" s="65">
        <f t="shared" ref="B17:W19" si="9">IF(B3=0,0,B3/B$3)</f>
        <v>1</v>
      </c>
      <c r="C17" s="65">
        <f t="shared" si="9"/>
        <v>1</v>
      </c>
      <c r="D17" s="65">
        <f t="shared" si="9"/>
        <v>1</v>
      </c>
      <c r="E17" s="65">
        <f t="shared" si="9"/>
        <v>1</v>
      </c>
      <c r="F17" s="65">
        <f t="shared" si="9"/>
        <v>1</v>
      </c>
      <c r="G17" s="65">
        <f t="shared" si="9"/>
        <v>1</v>
      </c>
      <c r="H17" s="65">
        <f t="shared" si="9"/>
        <v>1</v>
      </c>
      <c r="I17" s="65">
        <f t="shared" si="9"/>
        <v>1</v>
      </c>
      <c r="J17" s="65">
        <f t="shared" si="9"/>
        <v>1</v>
      </c>
      <c r="K17" s="65">
        <f t="shared" si="9"/>
        <v>1</v>
      </c>
      <c r="L17" s="65">
        <f t="shared" si="9"/>
        <v>1</v>
      </c>
      <c r="M17" s="65">
        <f t="shared" si="9"/>
        <v>1</v>
      </c>
      <c r="N17" s="65">
        <f t="shared" si="9"/>
        <v>1</v>
      </c>
      <c r="O17" s="65">
        <f t="shared" si="9"/>
        <v>1</v>
      </c>
      <c r="P17" s="65">
        <f t="shared" si="9"/>
        <v>1</v>
      </c>
      <c r="Q17" s="65">
        <f t="shared" si="9"/>
        <v>1</v>
      </c>
      <c r="R17" s="65">
        <f t="shared" si="9"/>
        <v>1</v>
      </c>
      <c r="S17" s="65">
        <f t="shared" si="9"/>
        <v>1</v>
      </c>
      <c r="T17" s="65">
        <f t="shared" si="9"/>
        <v>1</v>
      </c>
      <c r="U17" s="65">
        <f t="shared" si="9"/>
        <v>1</v>
      </c>
      <c r="V17" s="65">
        <f t="shared" si="9"/>
        <v>1</v>
      </c>
      <c r="W17" s="65">
        <f t="shared" si="9"/>
        <v>1</v>
      </c>
      <c r="X17" s="65">
        <f t="shared" ref="X17:Y17" si="10">IF(X3=0,0,X3/X$3)</f>
        <v>1</v>
      </c>
      <c r="Y17" s="65">
        <f t="shared" si="10"/>
        <v>1</v>
      </c>
      <c r="DA17" s="172"/>
    </row>
    <row r="18" spans="1:105" ht="11.45" customHeight="1" x14ac:dyDescent="0.25">
      <c r="A18" s="55" t="s">
        <v>166</v>
      </c>
      <c r="B18" s="66">
        <f t="shared" si="9"/>
        <v>0.27221837395248977</v>
      </c>
      <c r="C18" s="66">
        <f t="shared" si="9"/>
        <v>0.26742426329086966</v>
      </c>
      <c r="D18" s="66">
        <f t="shared" si="9"/>
        <v>0.26764332316327533</v>
      </c>
      <c r="E18" s="66">
        <f t="shared" si="9"/>
        <v>0.26828575988582748</v>
      </c>
      <c r="F18" s="66">
        <f t="shared" si="9"/>
        <v>0.26814575645959093</v>
      </c>
      <c r="G18" s="66">
        <f t="shared" si="9"/>
        <v>0.22852514839055008</v>
      </c>
      <c r="H18" s="66">
        <f t="shared" si="9"/>
        <v>0.18641224051035168</v>
      </c>
      <c r="I18" s="66">
        <f t="shared" si="9"/>
        <v>0.25872089008720306</v>
      </c>
      <c r="J18" s="66">
        <f t="shared" si="9"/>
        <v>0.22063461999855119</v>
      </c>
      <c r="K18" s="66">
        <f t="shared" si="9"/>
        <v>0.23296321252217747</v>
      </c>
      <c r="L18" s="66">
        <f t="shared" si="9"/>
        <v>0.24056107379803474</v>
      </c>
      <c r="M18" s="66">
        <f t="shared" si="9"/>
        <v>0.23327357701995607</v>
      </c>
      <c r="N18" s="66">
        <f t="shared" si="9"/>
        <v>0.1630846050869621</v>
      </c>
      <c r="O18" s="66">
        <f t="shared" si="9"/>
        <v>0.16160171769313403</v>
      </c>
      <c r="P18" s="66">
        <f t="shared" si="9"/>
        <v>0.1418082619532359</v>
      </c>
      <c r="Q18" s="66">
        <f t="shared" si="9"/>
        <v>0.1544293402090117</v>
      </c>
      <c r="R18" s="66">
        <f t="shared" si="9"/>
        <v>0.12799156150613783</v>
      </c>
      <c r="S18" s="66">
        <f t="shared" si="9"/>
        <v>9.6683141083667545E-2</v>
      </c>
      <c r="T18" s="66">
        <f t="shared" si="9"/>
        <v>9.5466042513105628E-2</v>
      </c>
      <c r="U18" s="66">
        <f t="shared" si="9"/>
        <v>9.1481898843293441E-2</v>
      </c>
      <c r="V18" s="66">
        <f t="shared" si="9"/>
        <v>0.10365931218345288</v>
      </c>
      <c r="W18" s="66">
        <f t="shared" si="9"/>
        <v>0.10011669883566213</v>
      </c>
      <c r="X18" s="66">
        <f t="shared" ref="X18:Y18" si="11">IF(X4=0,0,X4/X$3)</f>
        <v>9.5966397192695674E-2</v>
      </c>
      <c r="Y18" s="66">
        <f t="shared" si="11"/>
        <v>0.13836994582792461</v>
      </c>
      <c r="DA18" s="181"/>
    </row>
    <row r="19" spans="1:105" ht="11.45" customHeight="1" x14ac:dyDescent="0.25">
      <c r="A19" s="57" t="s">
        <v>167</v>
      </c>
      <c r="B19" s="67">
        <f t="shared" si="9"/>
        <v>0.72778162604751018</v>
      </c>
      <c r="C19" s="67">
        <f t="shared" si="9"/>
        <v>0.73257573670913045</v>
      </c>
      <c r="D19" s="67">
        <f t="shared" si="9"/>
        <v>0.73235667683672456</v>
      </c>
      <c r="E19" s="67">
        <f t="shared" si="9"/>
        <v>0.73171424011417252</v>
      </c>
      <c r="F19" s="67">
        <f t="shared" si="9"/>
        <v>0.73185424354040907</v>
      </c>
      <c r="G19" s="67">
        <f t="shared" si="9"/>
        <v>0.77147485160944995</v>
      </c>
      <c r="H19" s="67">
        <f t="shared" si="9"/>
        <v>0.81358775948964834</v>
      </c>
      <c r="I19" s="67">
        <f t="shared" si="9"/>
        <v>0.74127910991279689</v>
      </c>
      <c r="J19" s="67">
        <f t="shared" si="9"/>
        <v>0.77936538000144873</v>
      </c>
      <c r="K19" s="67">
        <f t="shared" si="9"/>
        <v>0.76703678747782256</v>
      </c>
      <c r="L19" s="67">
        <f t="shared" si="9"/>
        <v>0.75943892620196529</v>
      </c>
      <c r="M19" s="67">
        <f t="shared" si="9"/>
        <v>0.76672642298004401</v>
      </c>
      <c r="N19" s="67">
        <f t="shared" si="9"/>
        <v>0.8369153949130379</v>
      </c>
      <c r="O19" s="67">
        <f t="shared" si="9"/>
        <v>0.83839828230686608</v>
      </c>
      <c r="P19" s="67">
        <f t="shared" si="9"/>
        <v>0.85819173804676419</v>
      </c>
      <c r="Q19" s="67">
        <f t="shared" si="9"/>
        <v>0.84557065979098833</v>
      </c>
      <c r="R19" s="67">
        <f t="shared" si="9"/>
        <v>0.87200843849386211</v>
      </c>
      <c r="S19" s="67">
        <f t="shared" si="9"/>
        <v>0.9033168589163324</v>
      </c>
      <c r="T19" s="67">
        <f t="shared" si="9"/>
        <v>0.90453395748689436</v>
      </c>
      <c r="U19" s="67">
        <f t="shared" si="9"/>
        <v>0.9085181011567065</v>
      </c>
      <c r="V19" s="67">
        <f t="shared" si="9"/>
        <v>0.89634068781654719</v>
      </c>
      <c r="W19" s="67">
        <f t="shared" si="9"/>
        <v>0.8998833011643379</v>
      </c>
      <c r="X19" s="67">
        <f t="shared" ref="X19:Y19" si="12">IF(X5=0,0,X5/X$3)</f>
        <v>0.90403360280730438</v>
      </c>
      <c r="Y19" s="67">
        <f t="shared" si="12"/>
        <v>0.86163005417207539</v>
      </c>
      <c r="DA19" s="182"/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DA20" s="181"/>
    </row>
    <row r="21" spans="1:105" ht="11.45" customHeight="1" x14ac:dyDescent="0.25">
      <c r="A21" s="53" t="s">
        <v>66</v>
      </c>
      <c r="B21" s="65">
        <f t="shared" ref="B21:W23" si="13">IF(B7=0,0,B7/B$7)</f>
        <v>1</v>
      </c>
      <c r="C21" s="65">
        <f t="shared" si="13"/>
        <v>1</v>
      </c>
      <c r="D21" s="65">
        <f t="shared" si="13"/>
        <v>1</v>
      </c>
      <c r="E21" s="65">
        <f t="shared" si="13"/>
        <v>1</v>
      </c>
      <c r="F21" s="65">
        <f t="shared" si="13"/>
        <v>1</v>
      </c>
      <c r="G21" s="65">
        <f t="shared" si="13"/>
        <v>1</v>
      </c>
      <c r="H21" s="65">
        <f t="shared" si="13"/>
        <v>1</v>
      </c>
      <c r="I21" s="65">
        <f t="shared" si="13"/>
        <v>1</v>
      </c>
      <c r="J21" s="65">
        <f t="shared" si="13"/>
        <v>1</v>
      </c>
      <c r="K21" s="65">
        <f t="shared" si="13"/>
        <v>1</v>
      </c>
      <c r="L21" s="65">
        <f t="shared" si="13"/>
        <v>1</v>
      </c>
      <c r="M21" s="65">
        <f t="shared" si="13"/>
        <v>1</v>
      </c>
      <c r="N21" s="65">
        <f t="shared" si="13"/>
        <v>1</v>
      </c>
      <c r="O21" s="65">
        <f t="shared" si="13"/>
        <v>1</v>
      </c>
      <c r="P21" s="65">
        <f t="shared" si="13"/>
        <v>1</v>
      </c>
      <c r="Q21" s="65">
        <f t="shared" si="13"/>
        <v>1</v>
      </c>
      <c r="R21" s="65">
        <f t="shared" si="13"/>
        <v>1</v>
      </c>
      <c r="S21" s="65">
        <f t="shared" si="13"/>
        <v>1</v>
      </c>
      <c r="T21" s="65">
        <f t="shared" si="13"/>
        <v>1</v>
      </c>
      <c r="U21" s="65">
        <f t="shared" si="13"/>
        <v>1</v>
      </c>
      <c r="V21" s="65">
        <f t="shared" si="13"/>
        <v>1</v>
      </c>
      <c r="W21" s="65">
        <f t="shared" si="13"/>
        <v>1</v>
      </c>
      <c r="X21" s="65">
        <f t="shared" ref="X21:Y21" si="14">IF(X7=0,0,X7/X$7)</f>
        <v>1</v>
      </c>
      <c r="Y21" s="65">
        <f t="shared" si="14"/>
        <v>1</v>
      </c>
      <c r="DA21" s="172"/>
    </row>
    <row r="22" spans="1:105" ht="11.45" customHeight="1" x14ac:dyDescent="0.25">
      <c r="A22" s="55" t="s">
        <v>166</v>
      </c>
      <c r="B22" s="66">
        <f t="shared" si="13"/>
        <v>0.56021029031338043</v>
      </c>
      <c r="C22" s="66">
        <f t="shared" si="13"/>
        <v>0.55793747546088035</v>
      </c>
      <c r="D22" s="66">
        <f t="shared" si="13"/>
        <v>0.55463135108200778</v>
      </c>
      <c r="E22" s="66">
        <f t="shared" si="13"/>
        <v>0.55286040029726757</v>
      </c>
      <c r="F22" s="66">
        <f t="shared" si="13"/>
        <v>0.55442147571392086</v>
      </c>
      <c r="G22" s="66">
        <f t="shared" si="13"/>
        <v>0.53087440375849815</v>
      </c>
      <c r="H22" s="66">
        <f t="shared" si="13"/>
        <v>0.47525432579511223</v>
      </c>
      <c r="I22" s="66">
        <f t="shared" si="13"/>
        <v>0.56821315235591252</v>
      </c>
      <c r="J22" s="66">
        <f t="shared" si="13"/>
        <v>0.50858949715951984</v>
      </c>
      <c r="K22" s="66">
        <f t="shared" si="13"/>
        <v>0.53753044252622939</v>
      </c>
      <c r="L22" s="66">
        <f t="shared" si="13"/>
        <v>0.55263860921008445</v>
      </c>
      <c r="M22" s="66">
        <f t="shared" si="13"/>
        <v>0.55403709226964459</v>
      </c>
      <c r="N22" s="66">
        <f t="shared" si="13"/>
        <v>0.46995250553768692</v>
      </c>
      <c r="O22" s="66">
        <f t="shared" si="13"/>
        <v>0.45875579591265669</v>
      </c>
      <c r="P22" s="66">
        <f t="shared" si="13"/>
        <v>0.42231810067482733</v>
      </c>
      <c r="Q22" s="66">
        <f t="shared" si="13"/>
        <v>0.44857862094272166</v>
      </c>
      <c r="R22" s="66">
        <f t="shared" si="13"/>
        <v>0.39579500453510491</v>
      </c>
      <c r="S22" s="66">
        <f t="shared" si="13"/>
        <v>0.32913936196318772</v>
      </c>
      <c r="T22" s="66">
        <f t="shared" si="13"/>
        <v>0.32696058777516535</v>
      </c>
      <c r="U22" s="66">
        <f t="shared" si="13"/>
        <v>0.3199850379473278</v>
      </c>
      <c r="V22" s="66">
        <f t="shared" si="13"/>
        <v>0.32943423166195407</v>
      </c>
      <c r="W22" s="66">
        <f t="shared" si="13"/>
        <v>0.34016191470675328</v>
      </c>
      <c r="X22" s="66">
        <f t="shared" ref="X22:Y22" si="15">IF(X8=0,0,X8/X$7)</f>
        <v>0.31315626531651608</v>
      </c>
      <c r="Y22" s="66">
        <f t="shared" si="15"/>
        <v>0.41132589583636925</v>
      </c>
      <c r="DA22" s="181"/>
    </row>
    <row r="23" spans="1:105" ht="11.45" customHeight="1" x14ac:dyDescent="0.25">
      <c r="A23" s="57" t="s">
        <v>167</v>
      </c>
      <c r="B23" s="67">
        <f t="shared" si="13"/>
        <v>0.43978970968661962</v>
      </c>
      <c r="C23" s="67">
        <f t="shared" si="13"/>
        <v>0.44206252453911971</v>
      </c>
      <c r="D23" s="67">
        <f t="shared" si="13"/>
        <v>0.4453686489179921</v>
      </c>
      <c r="E23" s="67">
        <f t="shared" si="13"/>
        <v>0.44713959970273248</v>
      </c>
      <c r="F23" s="67">
        <f t="shared" si="13"/>
        <v>0.44557852428607914</v>
      </c>
      <c r="G23" s="67">
        <f t="shared" si="13"/>
        <v>0.46912559624150174</v>
      </c>
      <c r="H23" s="67">
        <f t="shared" si="13"/>
        <v>0.52474567420488771</v>
      </c>
      <c r="I23" s="67">
        <f t="shared" si="13"/>
        <v>0.43178684764408759</v>
      </c>
      <c r="J23" s="67">
        <f t="shared" si="13"/>
        <v>0.49141050284048027</v>
      </c>
      <c r="K23" s="67">
        <f t="shared" si="13"/>
        <v>0.46246955747377055</v>
      </c>
      <c r="L23" s="67">
        <f t="shared" si="13"/>
        <v>0.44736139078991549</v>
      </c>
      <c r="M23" s="67">
        <f t="shared" si="13"/>
        <v>0.44596290773035546</v>
      </c>
      <c r="N23" s="67">
        <f t="shared" si="13"/>
        <v>0.53004749446231303</v>
      </c>
      <c r="O23" s="67">
        <f t="shared" si="13"/>
        <v>0.54124420408734331</v>
      </c>
      <c r="P23" s="67">
        <f t="shared" si="13"/>
        <v>0.57768189932517267</v>
      </c>
      <c r="Q23" s="67">
        <f t="shared" si="13"/>
        <v>0.55142137905727828</v>
      </c>
      <c r="R23" s="67">
        <f t="shared" si="13"/>
        <v>0.60420499546489514</v>
      </c>
      <c r="S23" s="67">
        <f t="shared" si="13"/>
        <v>0.67086063803681228</v>
      </c>
      <c r="T23" s="67">
        <f t="shared" si="13"/>
        <v>0.67303941222483477</v>
      </c>
      <c r="U23" s="67">
        <f t="shared" si="13"/>
        <v>0.6800149620526722</v>
      </c>
      <c r="V23" s="67">
        <f t="shared" si="13"/>
        <v>0.67056576833804593</v>
      </c>
      <c r="W23" s="67">
        <f t="shared" si="13"/>
        <v>0.65983808529324672</v>
      </c>
      <c r="X23" s="67">
        <f t="shared" ref="X23:Y23" si="16">IF(X9=0,0,X9/X$7)</f>
        <v>0.68684373468348392</v>
      </c>
      <c r="Y23" s="67">
        <f t="shared" si="16"/>
        <v>0.58867410416363075</v>
      </c>
      <c r="DA23" s="182"/>
    </row>
    <row r="24" spans="1:105" ht="11.45" customHeight="1" x14ac:dyDescent="0.25"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</row>
    <row r="25" spans="1:105" ht="11.45" customHeight="1" x14ac:dyDescent="0.25">
      <c r="A25" s="18" t="s">
        <v>168</v>
      </c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A29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45" customHeight="1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969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DA2" s="181"/>
    </row>
    <row r="3" spans="1:105" ht="11.45" customHeight="1" x14ac:dyDescent="0.25">
      <c r="A3" s="53" t="s">
        <v>61</v>
      </c>
      <c r="B3" s="62">
        <f>SUM(B4,B10)</f>
        <v>284.49415305245049</v>
      </c>
      <c r="C3" s="62">
        <f t="shared" ref="C3:W3" si="0">SUM(C4,C10)</f>
        <v>259.00447119518486</v>
      </c>
      <c r="D3" s="62">
        <f t="shared" si="0"/>
        <v>268.99303525365434</v>
      </c>
      <c r="E3" s="62">
        <f t="shared" si="0"/>
        <v>283.65331040412718</v>
      </c>
      <c r="F3" s="62">
        <f t="shared" si="0"/>
        <v>252.34067067927776</v>
      </c>
      <c r="G3" s="62">
        <f t="shared" si="0"/>
        <v>323.7030954428202</v>
      </c>
      <c r="H3" s="62">
        <f t="shared" si="0"/>
        <v>295.84892519346511</v>
      </c>
      <c r="I3" s="62">
        <f t="shared" si="0"/>
        <v>248.19905417024938</v>
      </c>
      <c r="J3" s="62">
        <f t="shared" si="0"/>
        <v>275.15528804815131</v>
      </c>
      <c r="K3" s="62">
        <f t="shared" si="0"/>
        <v>247.71186586414439</v>
      </c>
      <c r="L3" s="62">
        <f t="shared" si="0"/>
        <v>215.39604471195179</v>
      </c>
      <c r="M3" s="62">
        <f t="shared" si="0"/>
        <v>170.56225279449694</v>
      </c>
      <c r="N3" s="62">
        <f t="shared" si="0"/>
        <v>144.68804815133274</v>
      </c>
      <c r="O3" s="62">
        <f t="shared" si="0"/>
        <v>140.69931212381772</v>
      </c>
      <c r="P3" s="62">
        <f t="shared" si="0"/>
        <v>147.30816852966461</v>
      </c>
      <c r="Q3" s="62">
        <f t="shared" si="0"/>
        <v>192.79638865004301</v>
      </c>
      <c r="R3" s="62">
        <f t="shared" si="0"/>
        <v>183.1231298366294</v>
      </c>
      <c r="S3" s="62">
        <f t="shared" si="0"/>
        <v>267.11358555460021</v>
      </c>
      <c r="T3" s="62">
        <f t="shared" si="0"/>
        <v>270.00266552020634</v>
      </c>
      <c r="U3" s="62">
        <f t="shared" si="0"/>
        <v>275.88245915735166</v>
      </c>
      <c r="V3" s="62">
        <f t="shared" si="0"/>
        <v>301.62949269131548</v>
      </c>
      <c r="W3" s="62">
        <f t="shared" si="0"/>
        <v>349.21066208082544</v>
      </c>
      <c r="X3" s="62">
        <f t="shared" ref="X3:Y3" si="1">SUM(X4,X10)</f>
        <v>273.86732588134129</v>
      </c>
      <c r="Y3" s="62">
        <f t="shared" si="1"/>
        <v>263.24978503869306</v>
      </c>
      <c r="DA3" s="172" t="s">
        <v>970</v>
      </c>
    </row>
    <row r="4" spans="1:105" ht="11.45" customHeight="1" x14ac:dyDescent="0.25">
      <c r="A4" s="70" t="s">
        <v>166</v>
      </c>
      <c r="B4" s="71">
        <f>SUM(B5:B9)</f>
        <v>143.12722093952183</v>
      </c>
      <c r="C4" s="71">
        <f t="shared" ref="C4:W4" si="2">SUM(C5:C9)</f>
        <v>129.86013101416191</v>
      </c>
      <c r="D4" s="71">
        <f t="shared" si="2"/>
        <v>134.47171935339077</v>
      </c>
      <c r="E4" s="71">
        <f t="shared" si="2"/>
        <v>141.87086132689379</v>
      </c>
      <c r="F4" s="71">
        <f t="shared" si="2"/>
        <v>126.26963491402212</v>
      </c>
      <c r="G4" s="71">
        <f t="shared" si="2"/>
        <v>152.70777530733125</v>
      </c>
      <c r="H4" s="71">
        <f t="shared" si="2"/>
        <v>126.55510275097184</v>
      </c>
      <c r="I4" s="71">
        <f t="shared" si="2"/>
        <v>122.07520169014467</v>
      </c>
      <c r="J4" s="71">
        <f t="shared" si="2"/>
        <v>127.24945749456448</v>
      </c>
      <c r="K4" s="71">
        <f t="shared" si="2"/>
        <v>118.65358599581951</v>
      </c>
      <c r="L4" s="71">
        <f t="shared" si="2"/>
        <v>105.29306451486636</v>
      </c>
      <c r="M4" s="71">
        <f t="shared" si="2"/>
        <v>82.27138693957319</v>
      </c>
      <c r="N4" s="71">
        <f t="shared" si="2"/>
        <v>60.782642602599942</v>
      </c>
      <c r="O4" s="71">
        <f t="shared" si="2"/>
        <v>58.434213368046493</v>
      </c>
      <c r="P4" s="71">
        <f t="shared" si="2"/>
        <v>57.351253924699577</v>
      </c>
      <c r="Q4" s="71">
        <f t="shared" si="2"/>
        <v>78.957428793094508</v>
      </c>
      <c r="R4" s="71">
        <f t="shared" si="2"/>
        <v>67.694286099707114</v>
      </c>
      <c r="S4" s="71">
        <f t="shared" si="2"/>
        <v>84.235777536612758</v>
      </c>
      <c r="T4" s="71">
        <f t="shared" si="2"/>
        <v>84.051561665995479</v>
      </c>
      <c r="U4" s="71">
        <f t="shared" si="2"/>
        <v>84.399683052790962</v>
      </c>
      <c r="V4" s="71">
        <f t="shared" si="2"/>
        <v>87.591085018464497</v>
      </c>
      <c r="W4" s="71">
        <f t="shared" si="2"/>
        <v>101.56039662210884</v>
      </c>
      <c r="X4" s="71">
        <f t="shared" ref="X4:Y4" si="3">SUM(X5:X9)</f>
        <v>83.018779968451199</v>
      </c>
      <c r="Y4" s="71">
        <f t="shared" si="3"/>
        <v>99.939178312796614</v>
      </c>
      <c r="DA4" s="186" t="s">
        <v>971</v>
      </c>
    </row>
    <row r="5" spans="1:105" ht="11.45" customHeight="1" x14ac:dyDescent="0.25">
      <c r="A5" s="72" t="s">
        <v>144</v>
      </c>
      <c r="B5" s="73">
        <v>37.957259932308617</v>
      </c>
      <c r="C5" s="73">
        <v>18.963598374315747</v>
      </c>
      <c r="D5" s="73">
        <v>37.022607481007952</v>
      </c>
      <c r="E5" s="73">
        <v>39.611518510552266</v>
      </c>
      <c r="F5" s="73">
        <v>33.589808949864974</v>
      </c>
      <c r="G5" s="73">
        <v>97.942771115422318</v>
      </c>
      <c r="H5" s="73">
        <v>71.019911434293604</v>
      </c>
      <c r="I5" s="73">
        <v>42.991043746339137</v>
      </c>
      <c r="J5" s="73">
        <v>41.407367022936455</v>
      </c>
      <c r="K5" s="73">
        <v>54.909698618847457</v>
      </c>
      <c r="L5" s="73">
        <v>46.693846865760996</v>
      </c>
      <c r="M5" s="73">
        <v>58.003286308514262</v>
      </c>
      <c r="N5" s="73">
        <v>54.609073514390822</v>
      </c>
      <c r="O5" s="73">
        <v>58.047617260812245</v>
      </c>
      <c r="P5" s="73">
        <v>56.807144817479276</v>
      </c>
      <c r="Q5" s="73">
        <v>78.957428793094508</v>
      </c>
      <c r="R5" s="73">
        <v>67.694286099707114</v>
      </c>
      <c r="S5" s="73">
        <v>84.235777536612758</v>
      </c>
      <c r="T5" s="73">
        <v>84.051561665995479</v>
      </c>
      <c r="U5" s="73">
        <v>84.399683052790962</v>
      </c>
      <c r="V5" s="73">
        <v>87.591085018464497</v>
      </c>
      <c r="W5" s="73">
        <v>101.56039662210884</v>
      </c>
      <c r="X5" s="73">
        <v>83.018779968451199</v>
      </c>
      <c r="Y5" s="73">
        <v>99.939178312796614</v>
      </c>
      <c r="DA5" s="187" t="s">
        <v>972</v>
      </c>
    </row>
    <row r="6" spans="1:105" ht="11.45" customHeight="1" x14ac:dyDescent="0.25">
      <c r="A6" s="72" t="s">
        <v>145</v>
      </c>
      <c r="B6" s="73">
        <v>105.16996100721322</v>
      </c>
      <c r="C6" s="73">
        <v>110.89653263984617</v>
      </c>
      <c r="D6" s="73">
        <v>97.449111872382801</v>
      </c>
      <c r="E6" s="73">
        <v>102.25934281634153</v>
      </c>
      <c r="F6" s="73">
        <v>92.679825964157146</v>
      </c>
      <c r="G6" s="73">
        <v>54.765004191908922</v>
      </c>
      <c r="H6" s="73">
        <v>55.535191316678237</v>
      </c>
      <c r="I6" s="73">
        <v>79.084157943805522</v>
      </c>
      <c r="J6" s="73">
        <v>85.842090471628026</v>
      </c>
      <c r="K6" s="73">
        <v>63.743887376972054</v>
      </c>
      <c r="L6" s="73">
        <v>58.599217649105363</v>
      </c>
      <c r="M6" s="73">
        <v>24.268100631058928</v>
      </c>
      <c r="N6" s="73">
        <v>6.1735690882091205</v>
      </c>
      <c r="O6" s="73">
        <v>0.38659610723424453</v>
      </c>
      <c r="P6" s="73">
        <v>0.5441091072203017</v>
      </c>
      <c r="Q6" s="73">
        <v>0</v>
      </c>
      <c r="R6" s="73">
        <v>0</v>
      </c>
      <c r="S6" s="73">
        <v>0</v>
      </c>
      <c r="T6" s="73">
        <v>0</v>
      </c>
      <c r="U6" s="73">
        <v>0</v>
      </c>
      <c r="V6" s="73">
        <v>0</v>
      </c>
      <c r="W6" s="73">
        <v>0</v>
      </c>
      <c r="X6" s="73">
        <v>0</v>
      </c>
      <c r="Y6" s="73">
        <v>0</v>
      </c>
      <c r="DA6" s="187" t="s">
        <v>973</v>
      </c>
    </row>
    <row r="7" spans="1:105" ht="11.45" customHeight="1" x14ac:dyDescent="0.25">
      <c r="A7" s="72" t="s">
        <v>146</v>
      </c>
      <c r="B7" s="73">
        <v>0</v>
      </c>
      <c r="C7" s="73">
        <v>0</v>
      </c>
      <c r="D7" s="73">
        <v>0</v>
      </c>
      <c r="E7" s="73">
        <v>0</v>
      </c>
      <c r="F7" s="73">
        <v>0</v>
      </c>
      <c r="G7" s="73">
        <v>0</v>
      </c>
      <c r="H7" s="73">
        <v>0</v>
      </c>
      <c r="I7" s="73">
        <v>0</v>
      </c>
      <c r="J7" s="73">
        <v>0</v>
      </c>
      <c r="K7" s="73">
        <v>0</v>
      </c>
      <c r="L7" s="73">
        <v>0</v>
      </c>
      <c r="M7" s="73">
        <v>0</v>
      </c>
      <c r="N7" s="73">
        <v>0</v>
      </c>
      <c r="O7" s="73">
        <v>0</v>
      </c>
      <c r="P7" s="73">
        <v>0</v>
      </c>
      <c r="Q7" s="73">
        <v>0</v>
      </c>
      <c r="R7" s="73">
        <v>0</v>
      </c>
      <c r="S7" s="73">
        <v>0</v>
      </c>
      <c r="T7" s="73">
        <v>0</v>
      </c>
      <c r="U7" s="73">
        <v>0</v>
      </c>
      <c r="V7" s="73">
        <v>0</v>
      </c>
      <c r="W7" s="73">
        <v>0</v>
      </c>
      <c r="X7" s="73">
        <v>0</v>
      </c>
      <c r="Y7" s="73">
        <v>0</v>
      </c>
      <c r="DA7" s="187" t="s">
        <v>974</v>
      </c>
    </row>
    <row r="8" spans="1:105" ht="11.45" customHeight="1" x14ac:dyDescent="0.25">
      <c r="A8" s="72" t="s">
        <v>55</v>
      </c>
      <c r="B8" s="73">
        <v>0</v>
      </c>
      <c r="C8" s="73">
        <v>0</v>
      </c>
      <c r="D8" s="73">
        <v>0</v>
      </c>
      <c r="E8" s="73">
        <v>0</v>
      </c>
      <c r="F8" s="73">
        <v>0</v>
      </c>
      <c r="G8" s="73">
        <v>0</v>
      </c>
      <c r="H8" s="73">
        <v>0</v>
      </c>
      <c r="I8" s="73">
        <v>0</v>
      </c>
      <c r="J8" s="73">
        <v>0</v>
      </c>
      <c r="K8" s="73">
        <v>0</v>
      </c>
      <c r="L8" s="73">
        <v>0</v>
      </c>
      <c r="M8" s="73">
        <v>0</v>
      </c>
      <c r="N8" s="73">
        <v>0</v>
      </c>
      <c r="O8" s="73">
        <v>0</v>
      </c>
      <c r="P8" s="73">
        <v>0</v>
      </c>
      <c r="Q8" s="73">
        <v>0</v>
      </c>
      <c r="R8" s="73">
        <v>0</v>
      </c>
      <c r="S8" s="73">
        <v>0</v>
      </c>
      <c r="T8" s="73">
        <v>0</v>
      </c>
      <c r="U8" s="73">
        <v>0</v>
      </c>
      <c r="V8" s="73">
        <v>0</v>
      </c>
      <c r="W8" s="73">
        <v>0</v>
      </c>
      <c r="X8" s="73">
        <v>0</v>
      </c>
      <c r="Y8" s="73">
        <v>0</v>
      </c>
      <c r="DA8" s="187" t="s">
        <v>975</v>
      </c>
    </row>
    <row r="9" spans="1:105" ht="11.45" customHeight="1" x14ac:dyDescent="0.25">
      <c r="A9" s="74" t="s">
        <v>147</v>
      </c>
      <c r="B9" s="75">
        <v>0</v>
      </c>
      <c r="C9" s="75">
        <v>0</v>
      </c>
      <c r="D9" s="75">
        <v>0</v>
      </c>
      <c r="E9" s="75">
        <v>0</v>
      </c>
      <c r="F9" s="75">
        <v>0</v>
      </c>
      <c r="G9" s="75">
        <v>0</v>
      </c>
      <c r="H9" s="75">
        <v>0</v>
      </c>
      <c r="I9" s="75">
        <v>0</v>
      </c>
      <c r="J9" s="75">
        <v>0</v>
      </c>
      <c r="K9" s="75">
        <v>0</v>
      </c>
      <c r="L9" s="75">
        <v>0</v>
      </c>
      <c r="M9" s="75">
        <v>0</v>
      </c>
      <c r="N9" s="75">
        <v>0</v>
      </c>
      <c r="O9" s="75">
        <v>0</v>
      </c>
      <c r="P9" s="75">
        <v>0</v>
      </c>
      <c r="Q9" s="75">
        <v>0</v>
      </c>
      <c r="R9" s="75">
        <v>0</v>
      </c>
      <c r="S9" s="75">
        <v>0</v>
      </c>
      <c r="T9" s="75">
        <v>0</v>
      </c>
      <c r="U9" s="75">
        <v>0</v>
      </c>
      <c r="V9" s="75">
        <v>0</v>
      </c>
      <c r="W9" s="75">
        <v>0</v>
      </c>
      <c r="X9" s="75">
        <v>0</v>
      </c>
      <c r="Y9" s="75">
        <v>0</v>
      </c>
      <c r="DA9" s="188" t="s">
        <v>976</v>
      </c>
    </row>
    <row r="10" spans="1:105" ht="11.45" customHeight="1" x14ac:dyDescent="0.25">
      <c r="A10" s="70" t="s">
        <v>167</v>
      </c>
      <c r="B10" s="71">
        <f>SUM(B11:B15)</f>
        <v>141.36693211292865</v>
      </c>
      <c r="C10" s="71">
        <f t="shared" ref="C10:W10" si="4">SUM(C11:C15)</f>
        <v>129.14434018102295</v>
      </c>
      <c r="D10" s="71">
        <f t="shared" si="4"/>
        <v>134.52131590026357</v>
      </c>
      <c r="E10" s="71">
        <f t="shared" si="4"/>
        <v>141.78244907723342</v>
      </c>
      <c r="F10" s="71">
        <f t="shared" si="4"/>
        <v>126.07103576525566</v>
      </c>
      <c r="G10" s="71">
        <f t="shared" si="4"/>
        <v>170.99532013548895</v>
      </c>
      <c r="H10" s="71">
        <f t="shared" si="4"/>
        <v>169.29382244249328</v>
      </c>
      <c r="I10" s="71">
        <f t="shared" si="4"/>
        <v>126.12385248010473</v>
      </c>
      <c r="J10" s="71">
        <f t="shared" si="4"/>
        <v>147.90583055358681</v>
      </c>
      <c r="K10" s="71">
        <f t="shared" si="4"/>
        <v>129.05827986832486</v>
      </c>
      <c r="L10" s="71">
        <f t="shared" si="4"/>
        <v>110.10298019708542</v>
      </c>
      <c r="M10" s="71">
        <f t="shared" si="4"/>
        <v>88.290865854923766</v>
      </c>
      <c r="N10" s="71">
        <f t="shared" si="4"/>
        <v>83.905405548732801</v>
      </c>
      <c r="O10" s="71">
        <f t="shared" si="4"/>
        <v>82.26509875577122</v>
      </c>
      <c r="P10" s="71">
        <f t="shared" si="4"/>
        <v>89.95691460496505</v>
      </c>
      <c r="Q10" s="71">
        <f t="shared" si="4"/>
        <v>113.83895985694851</v>
      </c>
      <c r="R10" s="71">
        <f t="shared" si="4"/>
        <v>115.42884373692229</v>
      </c>
      <c r="S10" s="71">
        <f t="shared" si="4"/>
        <v>182.87780801798743</v>
      </c>
      <c r="T10" s="71">
        <f t="shared" si="4"/>
        <v>185.95110385421086</v>
      </c>
      <c r="U10" s="71">
        <f t="shared" si="4"/>
        <v>191.48277610456068</v>
      </c>
      <c r="V10" s="71">
        <f t="shared" si="4"/>
        <v>214.03840767285098</v>
      </c>
      <c r="W10" s="71">
        <f t="shared" si="4"/>
        <v>247.6502654587166</v>
      </c>
      <c r="X10" s="71">
        <f t="shared" ref="X10:Y10" si="5">SUM(X11:X15)</f>
        <v>190.84854591289007</v>
      </c>
      <c r="Y10" s="71">
        <f t="shared" si="5"/>
        <v>163.31060672589643</v>
      </c>
      <c r="DA10" s="186" t="s">
        <v>977</v>
      </c>
    </row>
    <row r="11" spans="1:105" ht="11.45" customHeight="1" x14ac:dyDescent="0.25">
      <c r="A11" s="72" t="s">
        <v>144</v>
      </c>
      <c r="B11" s="73">
        <v>7.232421924957074</v>
      </c>
      <c r="C11" s="73">
        <v>3.6312425543170948</v>
      </c>
      <c r="D11" s="73">
        <v>7.1399892515801717</v>
      </c>
      <c r="E11" s="73">
        <v>7.632161627022966</v>
      </c>
      <c r="F11" s="73">
        <v>6.4646192530585109</v>
      </c>
      <c r="G11" s="73">
        <v>21.193600337716074</v>
      </c>
      <c r="H11" s="73">
        <v>18.332367155560213</v>
      </c>
      <c r="I11" s="73">
        <v>8.3608049209007564</v>
      </c>
      <c r="J11" s="73">
        <v>8.9174825041486656</v>
      </c>
      <c r="K11" s="73">
        <v>11.279295362235938</v>
      </c>
      <c r="L11" s="73">
        <v>9.1531006836800994</v>
      </c>
      <c r="M11" s="73">
        <v>11.288287208252711</v>
      </c>
      <c r="N11" s="73">
        <v>13.648278162307367</v>
      </c>
      <c r="O11" s="73">
        <v>20.551780847528249</v>
      </c>
      <c r="P11" s="73">
        <v>20.758031450792419</v>
      </c>
      <c r="Q11" s="73">
        <v>68.935950398651002</v>
      </c>
      <c r="R11" s="73">
        <v>64.793504098057298</v>
      </c>
      <c r="S11" s="73">
        <v>132.30171171532191</v>
      </c>
      <c r="T11" s="73">
        <v>110.30398433572421</v>
      </c>
      <c r="U11" s="73">
        <v>112.76067808220473</v>
      </c>
      <c r="V11" s="73">
        <v>129.64889778463089</v>
      </c>
      <c r="W11" s="73">
        <v>186.20108231168308</v>
      </c>
      <c r="X11" s="73">
        <v>153.07967231013859</v>
      </c>
      <c r="Y11" s="73">
        <v>126.00905900448628</v>
      </c>
      <c r="DA11" s="187" t="s">
        <v>978</v>
      </c>
    </row>
    <row r="12" spans="1:105" ht="11.45" customHeight="1" x14ac:dyDescent="0.25">
      <c r="A12" s="72" t="s">
        <v>145</v>
      </c>
      <c r="B12" s="73">
        <v>134.13451018797159</v>
      </c>
      <c r="C12" s="73">
        <v>125.51309762670586</v>
      </c>
      <c r="D12" s="73">
        <v>127.38132664868341</v>
      </c>
      <c r="E12" s="73">
        <v>134.15028745021047</v>
      </c>
      <c r="F12" s="73">
        <v>119.60641651219714</v>
      </c>
      <c r="G12" s="73">
        <v>149.80171979777288</v>
      </c>
      <c r="H12" s="73">
        <v>150.96145528693307</v>
      </c>
      <c r="I12" s="73">
        <v>117.76304755920397</v>
      </c>
      <c r="J12" s="73">
        <v>138.98834804943814</v>
      </c>
      <c r="K12" s="73">
        <v>117.77898450608893</v>
      </c>
      <c r="L12" s="73">
        <v>100.94987951340532</v>
      </c>
      <c r="M12" s="73">
        <v>77.002578646671054</v>
      </c>
      <c r="N12" s="73">
        <v>70.257127386425438</v>
      </c>
      <c r="O12" s="73">
        <v>61.713317908242978</v>
      </c>
      <c r="P12" s="73">
        <v>69.198883154172634</v>
      </c>
      <c r="Q12" s="73">
        <v>44.903009458297504</v>
      </c>
      <c r="R12" s="73">
        <v>50.635339638864991</v>
      </c>
      <c r="S12" s="73">
        <v>50.576096302665519</v>
      </c>
      <c r="T12" s="73">
        <v>75.647119518486647</v>
      </c>
      <c r="U12" s="73">
        <v>78.722098022355965</v>
      </c>
      <c r="V12" s="73">
        <v>84.38950988822009</v>
      </c>
      <c r="W12" s="73">
        <v>61.449183147033523</v>
      </c>
      <c r="X12" s="73">
        <v>37.768873602751484</v>
      </c>
      <c r="Y12" s="73">
        <v>37.301547721410174</v>
      </c>
      <c r="DA12" s="187" t="s">
        <v>979</v>
      </c>
    </row>
    <row r="13" spans="1:105" ht="11.45" customHeight="1" x14ac:dyDescent="0.25">
      <c r="A13" s="72" t="s">
        <v>146</v>
      </c>
      <c r="B13" s="73">
        <v>0</v>
      </c>
      <c r="C13" s="73">
        <v>0</v>
      </c>
      <c r="D13" s="73">
        <v>0</v>
      </c>
      <c r="E13" s="73">
        <v>0</v>
      </c>
      <c r="F13" s="73">
        <v>0</v>
      </c>
      <c r="G13" s="73">
        <v>0</v>
      </c>
      <c r="H13" s="73">
        <v>0</v>
      </c>
      <c r="I13" s="73">
        <v>0</v>
      </c>
      <c r="J13" s="73">
        <v>0</v>
      </c>
      <c r="K13" s="73">
        <v>0</v>
      </c>
      <c r="L13" s="73">
        <v>0</v>
      </c>
      <c r="M13" s="73">
        <v>0</v>
      </c>
      <c r="N13" s="73">
        <v>0</v>
      </c>
      <c r="O13" s="73">
        <v>0</v>
      </c>
      <c r="P13" s="73">
        <v>0</v>
      </c>
      <c r="Q13" s="73">
        <v>0</v>
      </c>
      <c r="R13" s="73">
        <v>0</v>
      </c>
      <c r="S13" s="73">
        <v>0</v>
      </c>
      <c r="T13" s="73">
        <v>0</v>
      </c>
      <c r="U13" s="73">
        <v>0</v>
      </c>
      <c r="V13" s="73">
        <v>0</v>
      </c>
      <c r="W13" s="73">
        <v>0</v>
      </c>
      <c r="X13" s="73">
        <v>0</v>
      </c>
      <c r="Y13" s="73">
        <v>0</v>
      </c>
      <c r="DA13" s="187" t="s">
        <v>980</v>
      </c>
    </row>
    <row r="14" spans="1:105" ht="11.45" customHeight="1" x14ac:dyDescent="0.25">
      <c r="A14" s="72" t="s">
        <v>55</v>
      </c>
      <c r="B14" s="73">
        <v>0</v>
      </c>
      <c r="C14" s="73">
        <v>0</v>
      </c>
      <c r="D14" s="73">
        <v>0</v>
      </c>
      <c r="E14" s="73">
        <v>0</v>
      </c>
      <c r="F14" s="73">
        <v>0</v>
      </c>
      <c r="G14" s="73">
        <v>0</v>
      </c>
      <c r="H14" s="73">
        <v>0</v>
      </c>
      <c r="I14" s="73">
        <v>0</v>
      </c>
      <c r="J14" s="73">
        <v>0</v>
      </c>
      <c r="K14" s="73">
        <v>0</v>
      </c>
      <c r="L14" s="73">
        <v>0</v>
      </c>
      <c r="M14" s="73">
        <v>0</v>
      </c>
      <c r="N14" s="73">
        <v>0</v>
      </c>
      <c r="O14" s="73">
        <v>0</v>
      </c>
      <c r="P14" s="73">
        <v>0</v>
      </c>
      <c r="Q14" s="73">
        <v>0</v>
      </c>
      <c r="R14" s="73">
        <v>0</v>
      </c>
      <c r="S14" s="73">
        <v>0</v>
      </c>
      <c r="T14" s="73">
        <v>0</v>
      </c>
      <c r="U14" s="73">
        <v>0</v>
      </c>
      <c r="V14" s="73">
        <v>0</v>
      </c>
      <c r="W14" s="73">
        <v>0</v>
      </c>
      <c r="X14" s="73">
        <v>0</v>
      </c>
      <c r="Y14" s="73">
        <v>0</v>
      </c>
      <c r="DA14" s="187" t="s">
        <v>981</v>
      </c>
    </row>
    <row r="15" spans="1:105" ht="11.45" customHeight="1" x14ac:dyDescent="0.25">
      <c r="A15" s="74" t="s">
        <v>147</v>
      </c>
      <c r="B15" s="75">
        <v>0</v>
      </c>
      <c r="C15" s="75">
        <v>0</v>
      </c>
      <c r="D15" s="75">
        <v>0</v>
      </c>
      <c r="E15" s="75">
        <v>0</v>
      </c>
      <c r="F15" s="75">
        <v>0</v>
      </c>
      <c r="G15" s="75">
        <v>0</v>
      </c>
      <c r="H15" s="75">
        <v>0</v>
      </c>
      <c r="I15" s="75">
        <v>0</v>
      </c>
      <c r="J15" s="75">
        <v>0</v>
      </c>
      <c r="K15" s="75">
        <v>0</v>
      </c>
      <c r="L15" s="75">
        <v>0</v>
      </c>
      <c r="M15" s="75">
        <v>0</v>
      </c>
      <c r="N15" s="75">
        <v>0</v>
      </c>
      <c r="O15" s="75">
        <v>0</v>
      </c>
      <c r="P15" s="75">
        <v>0</v>
      </c>
      <c r="Q15" s="75">
        <v>0</v>
      </c>
      <c r="R15" s="75">
        <v>0</v>
      </c>
      <c r="S15" s="75">
        <v>0</v>
      </c>
      <c r="T15" s="75">
        <v>0</v>
      </c>
      <c r="U15" s="75">
        <v>0</v>
      </c>
      <c r="V15" s="75">
        <v>0</v>
      </c>
      <c r="W15" s="75">
        <v>0</v>
      </c>
      <c r="X15" s="75">
        <v>0</v>
      </c>
      <c r="Y15" s="75">
        <v>0</v>
      </c>
      <c r="DA15" s="188" t="s">
        <v>982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DA16" s="181"/>
    </row>
    <row r="17" spans="1:105" ht="11.45" customHeight="1" x14ac:dyDescent="0.25">
      <c r="A17" s="68" t="s">
        <v>36</v>
      </c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X17" s="69"/>
      <c r="Y17" s="69"/>
      <c r="DA17" s="179"/>
    </row>
    <row r="18" spans="1:105" ht="11.45" customHeight="1" x14ac:dyDescent="0.25">
      <c r="A18" s="50"/>
      <c r="B18" s="50"/>
      <c r="C18" s="50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DA18" s="181"/>
    </row>
    <row r="19" spans="1:105" ht="11.45" customHeight="1" x14ac:dyDescent="0.25">
      <c r="A19" s="53" t="s">
        <v>62</v>
      </c>
      <c r="B19" s="62">
        <f>IF(B3=0,0,B3/MBunk_act!B7*100)</f>
        <v>5935.6262997348531</v>
      </c>
      <c r="C19" s="62">
        <f>IF(C3=0,0,C3/MBunk_act!C7*100)</f>
        <v>6204.5068662866788</v>
      </c>
      <c r="D19" s="62">
        <f>IF(D3=0,0,D3/MBunk_act!D7*100)</f>
        <v>6322.4196750722003</v>
      </c>
      <c r="E19" s="62">
        <f>IF(E3=0,0,E3/MBunk_act!E7*100)</f>
        <v>6307.6708833866633</v>
      </c>
      <c r="F19" s="62">
        <f>IF(F3=0,0,F3/MBunk_act!F7*100)</f>
        <v>6374.3848795384347</v>
      </c>
      <c r="G19" s="62">
        <f>IF(G3=0,0,G3/MBunk_act!G7*100)</f>
        <v>3228.4568188088087</v>
      </c>
      <c r="H19" s="62">
        <f>IF(H3=0,0,H3/MBunk_act!H7*100)</f>
        <v>3414.8915575340056</v>
      </c>
      <c r="I19" s="62">
        <f>IF(I3=0,0,I3/MBunk_act!I7*100)</f>
        <v>3270.5050600157015</v>
      </c>
      <c r="J19" s="62">
        <f>IF(J3=0,0,J3/MBunk_act!J7*100)</f>
        <v>4801.5553153871288</v>
      </c>
      <c r="K19" s="62">
        <f>IF(K3=0,0,K3/MBunk_act!K7*100)</f>
        <v>4134.0231474871762</v>
      </c>
      <c r="L19" s="62">
        <f>IF(L3=0,0,L3/MBunk_act!L7*100)</f>
        <v>2833.2373081324713</v>
      </c>
      <c r="M19" s="62">
        <f>IF(M3=0,0,M3/MBunk_act!M7*100)</f>
        <v>2510.6716531235106</v>
      </c>
      <c r="N19" s="62">
        <f>IF(N3=0,0,N3/MBunk_act!N7*100)</f>
        <v>2127.9785247806835</v>
      </c>
      <c r="O19" s="62">
        <f>IF(O3=0,0,O3/MBunk_act!O7*100)</f>
        <v>1869.4579452127589</v>
      </c>
      <c r="P19" s="62">
        <f>IF(P3=0,0,P3/MBunk_act!P7*100)</f>
        <v>1806.0970913967435</v>
      </c>
      <c r="Q19" s="62">
        <f>IF(Q3=0,0,Q3/MBunk_act!Q7*100)</f>
        <v>2268.2250964989385</v>
      </c>
      <c r="R19" s="62">
        <f>IF(R3=0,0,R3/MBunk_act!R7*100)</f>
        <v>1997.3126377451322</v>
      </c>
      <c r="S19" s="62">
        <f>IF(S3=0,0,S3/MBunk_act!S7*100)</f>
        <v>2707.506055135239</v>
      </c>
      <c r="T19" s="62">
        <f>IF(T3=0,0,T3/MBunk_act!T7*100)</f>
        <v>2468.7458987925334</v>
      </c>
      <c r="U19" s="62">
        <f>IF(U3=0,0,U3/MBunk_act!U7*100)</f>
        <v>2522.468763902134</v>
      </c>
      <c r="V19" s="62">
        <f>IF(V3=0,0,V3/MBunk_act!V7*100)</f>
        <v>2908.7471988573238</v>
      </c>
      <c r="W19" s="62">
        <f>IF(W3=0,0,W3/MBunk_act!W7*100)</f>
        <v>3085.7996848800649</v>
      </c>
      <c r="X19" s="62">
        <f>IF(X3=0,0,X3/MBunk_act!X7*100)</f>
        <v>1821.7994759811834</v>
      </c>
      <c r="Y19" s="62">
        <f>IF(Y3=0,0,Y3/MBunk_act!Y7*100)</f>
        <v>1757.3159981085262</v>
      </c>
      <c r="DA19" s="172" t="s">
        <v>983</v>
      </c>
    </row>
    <row r="20" spans="1:105" ht="11.45" customHeight="1" x14ac:dyDescent="0.25">
      <c r="A20" s="55" t="s">
        <v>166</v>
      </c>
      <c r="B20" s="63">
        <f>IF(B4=0,0,B4/MBunk_act!B8*100)</f>
        <v>5330.4559909307063</v>
      </c>
      <c r="C20" s="63">
        <f>IF(C4=0,0,C4/MBunk_act!C8*100)</f>
        <v>5575.5833410257037</v>
      </c>
      <c r="D20" s="63">
        <f>IF(D4=0,0,D4/MBunk_act!D8*100)</f>
        <v>5698.6085840107389</v>
      </c>
      <c r="E20" s="63">
        <f>IF(E4=0,0,E4/MBunk_act!E8*100)</f>
        <v>5706.3563656395454</v>
      </c>
      <c r="F20" s="63">
        <f>IF(F4=0,0,F4/MBunk_act!F8*100)</f>
        <v>5753.2057989685536</v>
      </c>
      <c r="G20" s="63">
        <f>IF(G4=0,0,G4/MBunk_act!G8*100)</f>
        <v>2868.9137610733819</v>
      </c>
      <c r="H20" s="63">
        <f>IF(H4=0,0,H4/MBunk_act!H8*100)</f>
        <v>3073.6931077238473</v>
      </c>
      <c r="I20" s="63">
        <f>IF(I4=0,0,I4/MBunk_act!I8*100)</f>
        <v>2830.9413479582277</v>
      </c>
      <c r="J20" s="63">
        <f>IF(J4=0,0,J4/MBunk_act!J8*100)</f>
        <v>4366.0894080986409</v>
      </c>
      <c r="K20" s="63">
        <f>IF(K4=0,0,K4/MBunk_act!K8*100)</f>
        <v>3683.8666109830087</v>
      </c>
      <c r="L20" s="63">
        <f>IF(L4=0,0,L4/MBunk_act!L8*100)</f>
        <v>2506.1310122810019</v>
      </c>
      <c r="M20" s="63">
        <f>IF(M4=0,0,M4/MBunk_act!M8*100)</f>
        <v>2185.8329734950153</v>
      </c>
      <c r="N20" s="63">
        <f>IF(N4=0,0,N4/MBunk_act!N8*100)</f>
        <v>1902.2175801514493</v>
      </c>
      <c r="O20" s="63">
        <f>IF(O4=0,0,O4/MBunk_act!O8*100)</f>
        <v>1692.4247331660772</v>
      </c>
      <c r="P20" s="63">
        <f>IF(P4=0,0,P4/MBunk_act!P8*100)</f>
        <v>1665.0124495702296</v>
      </c>
      <c r="Q20" s="63">
        <f>IF(Q4=0,0,Q4/MBunk_act!Q8*100)</f>
        <v>2070.8168136365343</v>
      </c>
      <c r="R20" s="63">
        <f>IF(R4=0,0,R4/MBunk_act!R8*100)</f>
        <v>1865.4540311319331</v>
      </c>
      <c r="S20" s="63">
        <f>IF(S4=0,0,S4/MBunk_act!S8*100)</f>
        <v>2594.1209768664735</v>
      </c>
      <c r="T20" s="63">
        <f>IF(T4=0,0,T4/MBunk_act!T8*100)</f>
        <v>2350.4916971156317</v>
      </c>
      <c r="U20" s="63">
        <f>IF(U4=0,0,U4/MBunk_act!U8*100)</f>
        <v>2411.6420759056041</v>
      </c>
      <c r="V20" s="63">
        <f>IF(V4=0,0,V4/MBunk_act!V8*100)</f>
        <v>2564.0314956723028</v>
      </c>
      <c r="W20" s="63">
        <f>IF(W4=0,0,W4/MBunk_act!W8*100)</f>
        <v>2638.2681593789557</v>
      </c>
      <c r="X20" s="63">
        <f>IF(X4=0,0,X4/MBunk_act!X8*100)</f>
        <v>1763.5005249677743</v>
      </c>
      <c r="Y20" s="63">
        <f>IF(Y4=0,0,Y4/MBunk_act!Y8*100)</f>
        <v>1621.9279567369251</v>
      </c>
      <c r="DA20" s="181" t="s">
        <v>984</v>
      </c>
    </row>
    <row r="21" spans="1:105" ht="11.45" customHeight="1" x14ac:dyDescent="0.25">
      <c r="A21" s="57" t="s">
        <v>167</v>
      </c>
      <c r="B21" s="64">
        <f>IF(B10=0,0,B10/MBunk_act!B9*100)</f>
        <v>6706.5007129306177</v>
      </c>
      <c r="C21" s="64">
        <f>IF(C10=0,0,C10/MBunk_act!C9*100)</f>
        <v>6998.2859913276498</v>
      </c>
      <c r="D21" s="64">
        <f>IF(D10=0,0,D10/MBunk_act!D9*100)</f>
        <v>7099.2709175112877</v>
      </c>
      <c r="E21" s="64">
        <f>IF(E10=0,0,E10/MBunk_act!E9*100)</f>
        <v>7051.159013731738</v>
      </c>
      <c r="F21" s="64">
        <f>IF(F10=0,0,F10/MBunk_act!F9*100)</f>
        <v>7147.3014447700552</v>
      </c>
      <c r="G21" s="64">
        <f>IF(G10=0,0,G10/MBunk_act!G9*100)</f>
        <v>3635.3248471790694</v>
      </c>
      <c r="H21" s="64">
        <f>IF(H10=0,0,H10/MBunk_act!H9*100)</f>
        <v>3723.9099014633161</v>
      </c>
      <c r="I21" s="64">
        <f>IF(I10=0,0,I10/MBunk_act!I9*100)</f>
        <v>3848.9522356353732</v>
      </c>
      <c r="J21" s="64">
        <f>IF(J10=0,0,J10/MBunk_act!J9*100)</f>
        <v>5252.2444755450661</v>
      </c>
      <c r="K21" s="64">
        <f>IF(K10=0,0,K10/MBunk_act!K9*100)</f>
        <v>4657.2421104713148</v>
      </c>
      <c r="L21" s="64">
        <f>IF(L10=0,0,L10/MBunk_act!L9*100)</f>
        <v>3237.3212816824152</v>
      </c>
      <c r="M21" s="64">
        <f>IF(M10=0,0,M10/MBunk_act!M9*100)</f>
        <v>2914.2313985606816</v>
      </c>
      <c r="N21" s="64">
        <f>IF(N10=0,0,N10/MBunk_act!N9*100)</f>
        <v>2328.1434584696731</v>
      </c>
      <c r="O21" s="64">
        <f>IF(O10=0,0,O10/MBunk_act!O9*100)</f>
        <v>2019.5103826931672</v>
      </c>
      <c r="P21" s="64">
        <f>IF(P10=0,0,P10/MBunk_act!P9*100)</f>
        <v>1909.2379342034228</v>
      </c>
      <c r="Q21" s="64">
        <f>IF(Q10=0,0,Q10/MBunk_act!Q9*100)</f>
        <v>2428.8157784207756</v>
      </c>
      <c r="R21" s="64">
        <f>IF(R10=0,0,R10/MBunk_act!R9*100)</f>
        <v>2083.6889143303792</v>
      </c>
      <c r="S21" s="64">
        <f>IF(S10=0,0,S10/MBunk_act!S9*100)</f>
        <v>2763.1353322183872</v>
      </c>
      <c r="T21" s="64">
        <f>IF(T10=0,0,T10/MBunk_act!T9*100)</f>
        <v>2526.193445823028</v>
      </c>
      <c r="U21" s="64">
        <f>IF(U10=0,0,U10/MBunk_act!U9*100)</f>
        <v>2574.6189134475189</v>
      </c>
      <c r="V21" s="64">
        <f>IF(V10=0,0,V10/MBunk_act!V9*100)</f>
        <v>3078.098451460065</v>
      </c>
      <c r="W21" s="64">
        <f>IF(W10=0,0,W10/MBunk_act!W9*100)</f>
        <v>3316.5126188545196</v>
      </c>
      <c r="X21" s="64">
        <f>IF(X10=0,0,X10/MBunk_act!X9*100)</f>
        <v>1848.3800223985468</v>
      </c>
      <c r="Y21" s="64">
        <f>IF(Y10=0,0,Y10/MBunk_act!Y9*100)</f>
        <v>1851.9160612144542</v>
      </c>
      <c r="DA21" s="182" t="s">
        <v>985</v>
      </c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DA22" s="181"/>
    </row>
    <row r="23" spans="1:105" ht="11.45" customHeight="1" x14ac:dyDescent="0.25">
      <c r="A23" s="53" t="s">
        <v>63</v>
      </c>
      <c r="B23" s="62">
        <f>IF(B3=0,0,B3/MBunk_act!B3*1000)</f>
        <v>5.18068729017949</v>
      </c>
      <c r="C23" s="62">
        <f>IF(C3=0,0,C3/MBunk_act!C3*1000)</f>
        <v>5.2346765569161997</v>
      </c>
      <c r="D23" s="62">
        <f>IF(D3=0,0,D3/MBunk_act!D3*1000)</f>
        <v>5.2220436724553672</v>
      </c>
      <c r="E23" s="62">
        <f>IF(E3=0,0,E3/MBunk_act!E3*1000)</f>
        <v>5.216619545276048</v>
      </c>
      <c r="F23" s="62">
        <f>IF(F3=0,0,F3/MBunk_act!F3*1000)</f>
        <v>5.2192828901518427</v>
      </c>
      <c r="G23" s="62">
        <f>IF(G3=0,0,G3/MBunk_act!G3*1000)</f>
        <v>2.669384545953903</v>
      </c>
      <c r="H23" s="62">
        <f>IF(H3=0,0,H3/MBunk_act!H3*1000)</f>
        <v>2.5403664977712048</v>
      </c>
      <c r="I23" s="62">
        <f>IF(I3=0,0,I3/MBunk_act!I3*1000)</f>
        <v>2.8058594385459577</v>
      </c>
      <c r="J23" s="62">
        <f>IF(J3=0,0,J3/MBunk_act!J3*1000)</f>
        <v>3.3170548073930552</v>
      </c>
      <c r="K23" s="62">
        <f>IF(K3=0,0,K3/MBunk_act!K3*1000)</f>
        <v>2.9744551922829516</v>
      </c>
      <c r="L23" s="62">
        <f>IF(L3=0,0,L3/MBunk_act!L3*1000)</f>
        <v>1.9543985511593833</v>
      </c>
      <c r="M23" s="62">
        <f>IF(M3=0,0,M3/MBunk_act!M3*1000)</f>
        <v>1.6723116418119184</v>
      </c>
      <c r="N23" s="62">
        <f>IF(N3=0,0,N3/MBunk_act!N3*1000)</f>
        <v>1.1643918331585403</v>
      </c>
      <c r="O23" s="62">
        <f>IF(O3=0,0,O3/MBunk_act!O3*1000)</f>
        <v>0.99234822343503615</v>
      </c>
      <c r="P23" s="62">
        <f>IF(P3=0,0,P3/MBunk_act!P3*1000)</f>
        <v>0.87402379083663639</v>
      </c>
      <c r="Q23" s="62">
        <f>IF(Q3=0,0,Q3/MBunk_act!Q3*1000)</f>
        <v>1.120738279975811</v>
      </c>
      <c r="R23" s="62">
        <f>IF(R3=0,0,R3/MBunk_act!R3*1000)</f>
        <v>0.90804616206536271</v>
      </c>
      <c r="S23" s="62">
        <f>IF(S3=0,0,S3/MBunk_act!S3*1000)</f>
        <v>1.1019254129983234</v>
      </c>
      <c r="T23" s="62">
        <f>IF(T3=0,0,T3/MBunk_act!T3*1000)</f>
        <v>0.97883817201210188</v>
      </c>
      <c r="U23" s="62">
        <f>IF(U3=0,0,U3/MBunk_act!U3*1000)</f>
        <v>0.97115453788717543</v>
      </c>
      <c r="V23" s="62">
        <f>IF(V3=0,0,V3/MBunk_act!V3*1000)</f>
        <v>1.1301189190574712</v>
      </c>
      <c r="W23" s="62">
        <f>IF(W3=0,0,W3/MBunk_act!W3*1000)</f>
        <v>1.20850607330596</v>
      </c>
      <c r="X23" s="62">
        <f>IF(X3=0,0,X3/MBunk_act!X3*1000)</f>
        <v>0.72332557135476072</v>
      </c>
      <c r="Y23" s="62">
        <f>IF(Y3=0,0,Y3/MBunk_act!Y3*1000)</f>
        <v>0.71458519759795491</v>
      </c>
      <c r="DA23" s="172" t="s">
        <v>432</v>
      </c>
    </row>
    <row r="24" spans="1:105" ht="11.45" customHeight="1" x14ac:dyDescent="0.25">
      <c r="A24" s="55" t="s">
        <v>166</v>
      </c>
      <c r="B24" s="63">
        <f>IF(B4=0,0,B4/MBunk_act!B4*1000)</f>
        <v>9.5745602615714045</v>
      </c>
      <c r="C24" s="63">
        <f>IF(C4=0,0,C4/MBunk_act!C4*1000)</f>
        <v>9.8142613674345398</v>
      </c>
      <c r="D24" s="63">
        <f>IF(D4=0,0,D4/MBunk_act!D4*1000)</f>
        <v>9.7538036403939508</v>
      </c>
      <c r="E24" s="63">
        <f>IF(E4=0,0,E4/MBunk_act!E4*1000)</f>
        <v>9.7251630538785747</v>
      </c>
      <c r="F24" s="63">
        <f>IF(F4=0,0,F4/MBunk_act!F4*1000)</f>
        <v>9.739834559352273</v>
      </c>
      <c r="G24" s="63">
        <f>IF(G4=0,0,G4/MBunk_act!G4*1000)</f>
        <v>5.5105054986827433</v>
      </c>
      <c r="H24" s="63">
        <f>IF(H4=0,0,H4/MBunk_act!H4*1000)</f>
        <v>5.8295041425914471</v>
      </c>
      <c r="I24" s="63">
        <f>IF(I4=0,0,I4/MBunk_act!I4*1000)</f>
        <v>5.3341072380573484</v>
      </c>
      <c r="J24" s="63">
        <f>IF(J4=0,0,J4/MBunk_act!J4*1000)</f>
        <v>6.9527572107546529</v>
      </c>
      <c r="K24" s="63">
        <f>IF(K4=0,0,K4/MBunk_act!K4*1000)</f>
        <v>6.1158122158846435</v>
      </c>
      <c r="L24" s="63">
        <f>IF(L4=0,0,L4/MBunk_act!L4*1000)</f>
        <v>3.9714565917536149</v>
      </c>
      <c r="M24" s="63">
        <f>IF(M4=0,0,M4/MBunk_act!M4*1000)</f>
        <v>3.4579408440911172</v>
      </c>
      <c r="N24" s="63">
        <f>IF(N4=0,0,N4/MBunk_act!N4*1000)</f>
        <v>2.9993911384544756</v>
      </c>
      <c r="O24" s="63">
        <f>IF(O4=0,0,O4/MBunk_act!O4*1000)</f>
        <v>2.5503122191092724</v>
      </c>
      <c r="P24" s="63">
        <f>IF(P4=0,0,P4/MBunk_act!P4*1000)</f>
        <v>2.3995942233674699</v>
      </c>
      <c r="Q24" s="63">
        <f>IF(Q4=0,0,Q4/MBunk_act!Q4*1000)</f>
        <v>2.9721347305723618</v>
      </c>
      <c r="R24" s="63">
        <f>IF(R4=0,0,R4/MBunk_act!R4*1000)</f>
        <v>2.6226201869992583</v>
      </c>
      <c r="S24" s="63">
        <f>IF(S4=0,0,S4/MBunk_act!S4*1000)</f>
        <v>3.5941985068523437</v>
      </c>
      <c r="T24" s="63">
        <f>IF(T4=0,0,T4/MBunk_act!T4*1000)</f>
        <v>3.191829711881216</v>
      </c>
      <c r="U24" s="63">
        <f>IF(U4=0,0,U4/MBunk_act!U4*1000)</f>
        <v>3.2476550960025929</v>
      </c>
      <c r="V24" s="63">
        <f>IF(V4=0,0,V4/MBunk_act!V4*1000)</f>
        <v>3.1659344966593199</v>
      </c>
      <c r="W24" s="63">
        <f>IF(W4=0,0,W4/MBunk_act!W4*1000)</f>
        <v>3.5105827081934056</v>
      </c>
      <c r="X24" s="63">
        <f>IF(X4=0,0,X4/MBunk_act!X4*1000)</f>
        <v>2.2848134865842731</v>
      </c>
      <c r="Y24" s="63">
        <f>IF(Y4=0,0,Y4/MBunk_act!Y4*1000)</f>
        <v>1.9605593507754102</v>
      </c>
      <c r="DA24" s="181" t="s">
        <v>433</v>
      </c>
    </row>
    <row r="25" spans="1:105" ht="11.45" customHeight="1" x14ac:dyDescent="0.25">
      <c r="A25" s="57" t="s">
        <v>167</v>
      </c>
      <c r="B25" s="64">
        <f>IF(B10=0,0,B10/MBunk_act!B5*1000)</f>
        <v>3.5372094764815403</v>
      </c>
      <c r="C25" s="64">
        <f>IF(C10=0,0,C10/MBunk_act!C5*1000)</f>
        <v>3.5629148089330163</v>
      </c>
      <c r="D25" s="64">
        <f>IF(D10=0,0,D10/MBunk_act!D5*1000)</f>
        <v>3.5658898665854584</v>
      </c>
      <c r="E25" s="64">
        <f>IF(E10=0,0,E10/MBunk_act!E5*1000)</f>
        <v>3.5635452235367193</v>
      </c>
      <c r="F25" s="64">
        <f>IF(F10=0,0,F10/MBunk_act!F5*1000)</f>
        <v>3.5629875859278037</v>
      </c>
      <c r="G25" s="64">
        <f>IF(G10=0,0,G10/MBunk_act!G5*1000)</f>
        <v>1.8277918667325932</v>
      </c>
      <c r="H25" s="64">
        <f>IF(H10=0,0,H10/MBunk_act!H5*1000)</f>
        <v>1.786747099536288</v>
      </c>
      <c r="I25" s="64">
        <f>IF(I10=0,0,I10/MBunk_act!I5*1000)</f>
        <v>1.9234515677406572</v>
      </c>
      <c r="J25" s="64">
        <f>IF(J10=0,0,J10/MBunk_act!J5*1000)</f>
        <v>2.2878048063319172</v>
      </c>
      <c r="K25" s="64">
        <f>IF(K10=0,0,K10/MBunk_act!K5*1000)</f>
        <v>2.0203671539455268</v>
      </c>
      <c r="L25" s="64">
        <f>IF(L10=0,0,L10/MBunk_act!L5*1000)</f>
        <v>1.315472060276208</v>
      </c>
      <c r="M25" s="64">
        <f>IF(M10=0,0,M10/MBunk_act!M5*1000)</f>
        <v>1.1290407973978336</v>
      </c>
      <c r="N25" s="64">
        <f>IF(N10=0,0,N10/MBunk_act!N5*1000)</f>
        <v>0.80681669610405593</v>
      </c>
      <c r="O25" s="64">
        <f>IF(O10=0,0,O10/MBunk_act!O5*1000)</f>
        <v>0.69204982932064596</v>
      </c>
      <c r="P25" s="64">
        <f>IF(P10=0,0,P10/MBunk_act!P5*1000)</f>
        <v>0.62193736080780859</v>
      </c>
      <c r="Q25" s="64">
        <f>IF(Q10=0,0,Q10/MBunk_act!Q5*1000)</f>
        <v>0.78261167988587421</v>
      </c>
      <c r="R25" s="64">
        <f>IF(R10=0,0,R10/MBunk_act!R5*1000)</f>
        <v>0.6563845988490824</v>
      </c>
      <c r="S25" s="64">
        <f>IF(S10=0,0,S10/MBunk_act!S5*1000)</f>
        <v>0.83517428489341183</v>
      </c>
      <c r="T25" s="64">
        <f>IF(T10=0,0,T10/MBunk_act!T5*1000)</f>
        <v>0.745275304993537</v>
      </c>
      <c r="U25" s="64">
        <f>IF(U10=0,0,U10/MBunk_act!U5*1000)</f>
        <v>0.74192565019735934</v>
      </c>
      <c r="V25" s="64">
        <f>IF(V10=0,0,V10/MBunk_act!V5*1000)</f>
        <v>0.8946824992061857</v>
      </c>
      <c r="W25" s="64">
        <f>IF(W10=0,0,W10/MBunk_act!W5*1000)</f>
        <v>0.95238807127899394</v>
      </c>
      <c r="X25" s="64">
        <f>IF(X10=0,0,X10/MBunk_act!X5*1000)</f>
        <v>0.55756804971045681</v>
      </c>
      <c r="Y25" s="64">
        <f>IF(Y10=0,0,Y10/MBunk_act!Y5*1000)</f>
        <v>0.51449308701829322</v>
      </c>
      <c r="DA25" s="182" t="s">
        <v>434</v>
      </c>
    </row>
    <row r="26" spans="1:105" ht="11.45" customHeight="1" x14ac:dyDescent="0.25">
      <c r="A26" s="50"/>
      <c r="B26" s="50"/>
      <c r="C26" s="50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DA26" s="181"/>
    </row>
    <row r="27" spans="1:105" ht="11.45" customHeight="1" x14ac:dyDescent="0.25">
      <c r="A27" s="53" t="s">
        <v>40</v>
      </c>
      <c r="B27" s="76">
        <f>IF(B3=0,0,B3/B$3)</f>
        <v>1</v>
      </c>
      <c r="C27" s="76">
        <f t="shared" ref="C27:W28" si="6">IF(C3=0,0,C3/C$3)</f>
        <v>1</v>
      </c>
      <c r="D27" s="76">
        <f t="shared" si="6"/>
        <v>1</v>
      </c>
      <c r="E27" s="76">
        <f t="shared" si="6"/>
        <v>1</v>
      </c>
      <c r="F27" s="76">
        <f t="shared" si="6"/>
        <v>1</v>
      </c>
      <c r="G27" s="76">
        <f t="shared" si="6"/>
        <v>1</v>
      </c>
      <c r="H27" s="76">
        <f t="shared" si="6"/>
        <v>1</v>
      </c>
      <c r="I27" s="76">
        <f t="shared" si="6"/>
        <v>1</v>
      </c>
      <c r="J27" s="76">
        <f t="shared" si="6"/>
        <v>1</v>
      </c>
      <c r="K27" s="76">
        <f t="shared" si="6"/>
        <v>1</v>
      </c>
      <c r="L27" s="76">
        <f t="shared" si="6"/>
        <v>1</v>
      </c>
      <c r="M27" s="76">
        <f t="shared" si="6"/>
        <v>1</v>
      </c>
      <c r="N27" s="76">
        <f t="shared" si="6"/>
        <v>1</v>
      </c>
      <c r="O27" s="76">
        <f t="shared" si="6"/>
        <v>1</v>
      </c>
      <c r="P27" s="76">
        <f t="shared" si="6"/>
        <v>1</v>
      </c>
      <c r="Q27" s="76">
        <f t="shared" si="6"/>
        <v>1</v>
      </c>
      <c r="R27" s="76">
        <f t="shared" si="6"/>
        <v>1</v>
      </c>
      <c r="S27" s="76">
        <f t="shared" si="6"/>
        <v>1</v>
      </c>
      <c r="T27" s="76">
        <f t="shared" si="6"/>
        <v>1</v>
      </c>
      <c r="U27" s="76">
        <f t="shared" si="6"/>
        <v>1</v>
      </c>
      <c r="V27" s="76">
        <f t="shared" si="6"/>
        <v>1</v>
      </c>
      <c r="W27" s="76">
        <f t="shared" si="6"/>
        <v>1</v>
      </c>
      <c r="X27" s="76">
        <f t="shared" ref="X27:Y27" si="7">IF(X3=0,0,X3/X$3)</f>
        <v>1</v>
      </c>
      <c r="Y27" s="76">
        <f t="shared" si="7"/>
        <v>1</v>
      </c>
      <c r="DA27" s="183"/>
    </row>
    <row r="28" spans="1:105" ht="11.45" customHeight="1" x14ac:dyDescent="0.25">
      <c r="A28" s="55" t="s">
        <v>166</v>
      </c>
      <c r="B28" s="77">
        <f>IF(B4=0,0,B4/B$3)</f>
        <v>0.50309371705482586</v>
      </c>
      <c r="C28" s="77">
        <f t="shared" si="6"/>
        <v>0.50138181173057728</v>
      </c>
      <c r="D28" s="77">
        <f t="shared" si="6"/>
        <v>0.49990781072300622</v>
      </c>
      <c r="E28" s="77">
        <f t="shared" si="6"/>
        <v>0.50015584561578785</v>
      </c>
      <c r="F28" s="77">
        <f t="shared" si="6"/>
        <v>0.50039351395126253</v>
      </c>
      <c r="G28" s="77">
        <f t="shared" si="6"/>
        <v>0.47175259506996581</v>
      </c>
      <c r="H28" s="77">
        <f t="shared" si="6"/>
        <v>0.42776935109097791</v>
      </c>
      <c r="I28" s="77">
        <f t="shared" si="6"/>
        <v>0.49184394395962744</v>
      </c>
      <c r="J28" s="77">
        <f t="shared" si="6"/>
        <v>0.46246415395911356</v>
      </c>
      <c r="K28" s="77">
        <f t="shared" si="6"/>
        <v>0.47899839429126956</v>
      </c>
      <c r="L28" s="77">
        <f t="shared" si="6"/>
        <v>0.48883471679191848</v>
      </c>
      <c r="M28" s="77">
        <f t="shared" si="6"/>
        <v>0.4823540120491866</v>
      </c>
      <c r="N28" s="77">
        <f t="shared" si="6"/>
        <v>0.42009442645204464</v>
      </c>
      <c r="O28" s="77">
        <f t="shared" si="6"/>
        <v>0.41531271536440362</v>
      </c>
      <c r="P28" s="77">
        <f t="shared" si="6"/>
        <v>0.38932840247179029</v>
      </c>
      <c r="Q28" s="77">
        <f t="shared" si="6"/>
        <v>0.40953790341174467</v>
      </c>
      <c r="R28" s="77">
        <f t="shared" si="6"/>
        <v>0.36966540578516527</v>
      </c>
      <c r="S28" s="77">
        <f t="shared" si="6"/>
        <v>0.31535564678118655</v>
      </c>
      <c r="T28" s="77">
        <f t="shared" si="6"/>
        <v>0.31129900700815588</v>
      </c>
      <c r="U28" s="77">
        <f t="shared" si="6"/>
        <v>0.30592623869810065</v>
      </c>
      <c r="V28" s="77">
        <f t="shared" si="6"/>
        <v>0.29039297263979524</v>
      </c>
      <c r="W28" s="77">
        <f t="shared" si="6"/>
        <v>0.29082845299437765</v>
      </c>
      <c r="X28" s="77">
        <f t="shared" ref="X28:Y28" si="8">IF(X4=0,0,X4/X$3)</f>
        <v>0.30313502971296696</v>
      </c>
      <c r="Y28" s="77">
        <f t="shared" si="8"/>
        <v>0.37963631498543227</v>
      </c>
      <c r="DA28" s="184"/>
    </row>
    <row r="29" spans="1:105" ht="11.45" customHeight="1" x14ac:dyDescent="0.25">
      <c r="A29" s="57" t="s">
        <v>167</v>
      </c>
      <c r="B29" s="78">
        <f>IF(B10=0,0,B10/B$3)</f>
        <v>0.49690628294517419</v>
      </c>
      <c r="C29" s="78">
        <f t="shared" ref="C29:W29" si="9">IF(C10=0,0,C10/C$3)</f>
        <v>0.49861818826942272</v>
      </c>
      <c r="D29" s="78">
        <f t="shared" si="9"/>
        <v>0.50009218927699384</v>
      </c>
      <c r="E29" s="78">
        <f t="shared" si="9"/>
        <v>0.49984415438421226</v>
      </c>
      <c r="F29" s="78">
        <f t="shared" si="9"/>
        <v>0.49960648604873753</v>
      </c>
      <c r="G29" s="78">
        <f t="shared" si="9"/>
        <v>0.52824740493003419</v>
      </c>
      <c r="H29" s="78">
        <f t="shared" si="9"/>
        <v>0.57223064890902209</v>
      </c>
      <c r="I29" s="78">
        <f t="shared" si="9"/>
        <v>0.50815605604037262</v>
      </c>
      <c r="J29" s="78">
        <f t="shared" si="9"/>
        <v>0.53753584604088644</v>
      </c>
      <c r="K29" s="78">
        <f t="shared" si="9"/>
        <v>0.52100160570873033</v>
      </c>
      <c r="L29" s="78">
        <f t="shared" si="9"/>
        <v>0.51116528320808152</v>
      </c>
      <c r="M29" s="78">
        <f t="shared" si="9"/>
        <v>0.51764598795081351</v>
      </c>
      <c r="N29" s="78">
        <f t="shared" si="9"/>
        <v>0.57990557354795547</v>
      </c>
      <c r="O29" s="78">
        <f t="shared" si="9"/>
        <v>0.58468728463559627</v>
      </c>
      <c r="P29" s="78">
        <f t="shared" si="9"/>
        <v>0.61067159752820976</v>
      </c>
      <c r="Q29" s="78">
        <f t="shared" si="9"/>
        <v>0.59046209658825533</v>
      </c>
      <c r="R29" s="78">
        <f t="shared" si="9"/>
        <v>0.63033459421483473</v>
      </c>
      <c r="S29" s="78">
        <f t="shared" si="9"/>
        <v>0.68464435321881334</v>
      </c>
      <c r="T29" s="78">
        <f t="shared" si="9"/>
        <v>0.68870099299184417</v>
      </c>
      <c r="U29" s="78">
        <f t="shared" si="9"/>
        <v>0.69407376130189935</v>
      </c>
      <c r="V29" s="78">
        <f t="shared" si="9"/>
        <v>0.70960702736020476</v>
      </c>
      <c r="W29" s="78">
        <f t="shared" si="9"/>
        <v>0.70917154700562235</v>
      </c>
      <c r="X29" s="78">
        <f t="shared" ref="X29:Y29" si="10">IF(X10=0,0,X10/X$3)</f>
        <v>0.69686497028703298</v>
      </c>
      <c r="Y29" s="78">
        <f t="shared" si="10"/>
        <v>0.62036368501456773</v>
      </c>
      <c r="DA29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A23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45" customHeight="1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986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DA2" s="181"/>
    </row>
    <row r="3" spans="1:105" ht="11.45" customHeight="1" x14ac:dyDescent="0.25">
      <c r="A3" s="53" t="s">
        <v>44</v>
      </c>
      <c r="B3" s="62">
        <f t="shared" ref="B3" si="0">SUM(B4:B5)</f>
        <v>915.68336759999988</v>
      </c>
      <c r="C3" s="62">
        <f t="shared" ref="C3:W3" si="1">SUM(C4:C5)</f>
        <v>836.20373544000006</v>
      </c>
      <c r="D3" s="62">
        <f t="shared" si="1"/>
        <v>865.59261228000014</v>
      </c>
      <c r="E3" s="62">
        <f t="shared" si="1"/>
        <v>912.67475760000002</v>
      </c>
      <c r="F3" s="62">
        <f t="shared" si="1"/>
        <v>812.19684204000032</v>
      </c>
      <c r="G3" s="62">
        <f t="shared" si="1"/>
        <v>1032.5264075999999</v>
      </c>
      <c r="H3" s="62">
        <f t="shared" si="1"/>
        <v>946.37775276000025</v>
      </c>
      <c r="I3" s="62">
        <f t="shared" si="1"/>
        <v>797.21468784000012</v>
      </c>
      <c r="J3" s="62">
        <f t="shared" si="1"/>
        <v>884.71050120000018</v>
      </c>
      <c r="K3" s="62">
        <f t="shared" si="1"/>
        <v>793.58594831999994</v>
      </c>
      <c r="L3" s="62">
        <f t="shared" si="1"/>
        <v>690.29274383999996</v>
      </c>
      <c r="M3" s="62">
        <f t="shared" si="1"/>
        <v>543.14754227999981</v>
      </c>
      <c r="N3" s="62">
        <f t="shared" si="1"/>
        <v>459.44292203999998</v>
      </c>
      <c r="O3" s="62">
        <f t="shared" si="1"/>
        <v>445.08818844000007</v>
      </c>
      <c r="P3" s="62">
        <f t="shared" si="1"/>
        <v>466.64763012000003</v>
      </c>
      <c r="Q3" s="62">
        <f t="shared" si="1"/>
        <v>604.33913808000011</v>
      </c>
      <c r="R3" s="62">
        <f t="shared" si="1"/>
        <v>575.12064204000001</v>
      </c>
      <c r="S3" s="62">
        <f t="shared" si="1"/>
        <v>835.68602556000019</v>
      </c>
      <c r="T3" s="62">
        <f t="shared" si="1"/>
        <v>848.11308443999985</v>
      </c>
      <c r="U3" s="62">
        <f t="shared" si="1"/>
        <v>866.77951932000019</v>
      </c>
      <c r="V3" s="62">
        <f t="shared" si="1"/>
        <v>947.44063475999997</v>
      </c>
      <c r="W3" s="62">
        <f t="shared" si="1"/>
        <v>1091.8878127200001</v>
      </c>
      <c r="X3" s="62">
        <f t="shared" ref="X3:Y3" si="2">SUM(X4:X5)</f>
        <v>854.86945427999979</v>
      </c>
      <c r="Y3" s="62">
        <f t="shared" si="2"/>
        <v>821.86482816000012</v>
      </c>
      <c r="DA3" s="172" t="s">
        <v>987</v>
      </c>
    </row>
    <row r="4" spans="1:105" ht="11.45" customHeight="1" x14ac:dyDescent="0.25">
      <c r="A4" s="55" t="s">
        <v>166</v>
      </c>
      <c r="B4" s="63">
        <v>458.57132559511126</v>
      </c>
      <c r="C4" s="63">
        <v>418.20246472306377</v>
      </c>
      <c r="D4" s="63">
        <v>430.65158826266406</v>
      </c>
      <c r="E4" s="63">
        <v>454.27142809736245</v>
      </c>
      <c r="F4" s="63">
        <v>404.54634177284083</v>
      </c>
      <c r="G4" s="63">
        <v>481.33004696481288</v>
      </c>
      <c r="H4" s="63">
        <v>400.29991639770088</v>
      </c>
      <c r="I4" s="63">
        <v>389.65501596910769</v>
      </c>
      <c r="J4" s="63">
        <v>406.64143014569606</v>
      </c>
      <c r="K4" s="63">
        <v>376.92025183395418</v>
      </c>
      <c r="L4" s="63">
        <v>334.75950860749242</v>
      </c>
      <c r="M4" s="63">
        <v>258.59328510623618</v>
      </c>
      <c r="N4" s="63">
        <v>189.42618059291797</v>
      </c>
      <c r="O4" s="63">
        <v>181.34081593543712</v>
      </c>
      <c r="P4" s="63">
        <v>178.00278488789539</v>
      </c>
      <c r="Q4" s="63">
        <v>244.95901148735771</v>
      </c>
      <c r="R4" s="63">
        <v>210.01602584831002</v>
      </c>
      <c r="S4" s="63">
        <v>261.33465986220511</v>
      </c>
      <c r="T4" s="63">
        <v>260.76314508194366</v>
      </c>
      <c r="U4" s="63">
        <v>261.84316341702009</v>
      </c>
      <c r="V4" s="63">
        <v>271.74422887368263</v>
      </c>
      <c r="W4" s="63">
        <v>315.08288381588699</v>
      </c>
      <c r="X4" s="63">
        <v>257.5590237271864</v>
      </c>
      <c r="Y4" s="63">
        <v>310.05318565417247</v>
      </c>
      <c r="DA4" s="181" t="s">
        <v>988</v>
      </c>
    </row>
    <row r="5" spans="1:105" ht="11.45" customHeight="1" x14ac:dyDescent="0.25">
      <c r="A5" s="57" t="s">
        <v>167</v>
      </c>
      <c r="B5" s="64">
        <v>457.11204200488862</v>
      </c>
      <c r="C5" s="64">
        <v>418.00127071693629</v>
      </c>
      <c r="D5" s="64">
        <v>434.94102401733613</v>
      </c>
      <c r="E5" s="64">
        <v>458.40332950263763</v>
      </c>
      <c r="F5" s="64">
        <v>407.65050026715943</v>
      </c>
      <c r="G5" s="64">
        <v>551.19636063518703</v>
      </c>
      <c r="H5" s="64">
        <v>546.07783636229931</v>
      </c>
      <c r="I5" s="64">
        <v>407.55967187089243</v>
      </c>
      <c r="J5" s="64">
        <v>478.06907105430412</v>
      </c>
      <c r="K5" s="64">
        <v>416.66569648604582</v>
      </c>
      <c r="L5" s="64">
        <v>355.53323523250754</v>
      </c>
      <c r="M5" s="64">
        <v>284.55425717376363</v>
      </c>
      <c r="N5" s="64">
        <v>270.01674144708204</v>
      </c>
      <c r="O5" s="64">
        <v>263.74737250456297</v>
      </c>
      <c r="P5" s="64">
        <v>288.64484523210461</v>
      </c>
      <c r="Q5" s="64">
        <v>359.38012659264234</v>
      </c>
      <c r="R5" s="64">
        <v>365.10461619169001</v>
      </c>
      <c r="S5" s="64">
        <v>574.35136569779502</v>
      </c>
      <c r="T5" s="64">
        <v>587.34993935805619</v>
      </c>
      <c r="U5" s="64">
        <v>604.93635590298004</v>
      </c>
      <c r="V5" s="64">
        <v>675.69640588631739</v>
      </c>
      <c r="W5" s="64">
        <v>776.80492890411313</v>
      </c>
      <c r="X5" s="64">
        <v>597.31043055281339</v>
      </c>
      <c r="Y5" s="64">
        <v>511.81164250582765</v>
      </c>
      <c r="DA5" s="182" t="s">
        <v>989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DA6" s="181"/>
    </row>
    <row r="7" spans="1:105" ht="11.45" customHeight="1" x14ac:dyDescent="0.25">
      <c r="A7" s="68" t="s">
        <v>36</v>
      </c>
      <c r="B7" s="69"/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X7" s="69"/>
      <c r="Y7" s="69"/>
      <c r="DA7" s="179"/>
    </row>
    <row r="8" spans="1:105" ht="11.45" customHeight="1" x14ac:dyDescent="0.25">
      <c r="A8" s="50"/>
      <c r="B8" s="50"/>
      <c r="C8" s="50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DA8" s="181"/>
    </row>
    <row r="9" spans="1:105" ht="11.45" customHeight="1" x14ac:dyDescent="0.25">
      <c r="A9" s="53" t="s">
        <v>148</v>
      </c>
      <c r="B9" s="79">
        <f>IF(B3=0,0,B3/MBunk_ene!B3)</f>
        <v>3.2186368604601192</v>
      </c>
      <c r="C9" s="79">
        <f>IF(C3=0,0,C3/MBunk_ene!C3)</f>
        <v>3.2285301160296953</v>
      </c>
      <c r="D9" s="79">
        <f>IF(D3=0,0,D3/MBunk_ene!D3)</f>
        <v>3.217899717975099</v>
      </c>
      <c r="E9" s="79">
        <f>IF(E3=0,0,E3/MBunk_ene!E3)</f>
        <v>3.2175713243032207</v>
      </c>
      <c r="F9" s="79">
        <f>IF(F3=0,0,F3/MBunk_ene!F3)</f>
        <v>3.2186521493092708</v>
      </c>
      <c r="G9" s="79">
        <f>IF(G3=0,0,G3/MBunk_ene!G3)</f>
        <v>3.1897328821879869</v>
      </c>
      <c r="H9" s="79">
        <f>IF(H3=0,0,H3/MBunk_ene!H3)</f>
        <v>3.1988547943553738</v>
      </c>
      <c r="I9" s="79">
        <f>IF(I3=0,0,I3/MBunk_ene!I3)</f>
        <v>3.2119972838138198</v>
      </c>
      <c r="J9" s="79">
        <f>IF(J3=0,0,J3/MBunk_ene!J3)</f>
        <v>3.215313459813204</v>
      </c>
      <c r="K9" s="79">
        <f>IF(K3=0,0,K3/MBunk_ene!K3)</f>
        <v>3.2036654584614688</v>
      </c>
      <c r="L9" s="79">
        <f>IF(L3=0,0,L3/MBunk_ene!L3)</f>
        <v>3.2047605366343914</v>
      </c>
      <c r="M9" s="79">
        <f>IF(M3=0,0,M3/MBunk_ene!M3)</f>
        <v>3.1844533792269658</v>
      </c>
      <c r="N9" s="79">
        <f>IF(N3=0,0,N3/MBunk_ene!N3)</f>
        <v>3.1754034138290228</v>
      </c>
      <c r="O9" s="79">
        <f>IF(O3=0,0,O3/MBunk_ene!O3)</f>
        <v>3.1633998896051114</v>
      </c>
      <c r="P9" s="79">
        <f>IF(P3=0,0,P3/MBunk_ene!P3)</f>
        <v>3.1678326787833733</v>
      </c>
      <c r="Q9" s="79">
        <f>IF(Q3=0,0,Q3/MBunk_ene!Q3)</f>
        <v>3.1345978122908438</v>
      </c>
      <c r="R9" s="79">
        <f>IF(R3=0,0,R3/MBunk_ene!R3)</f>
        <v>3.1406226103337431</v>
      </c>
      <c r="S9" s="79">
        <f>IF(S3=0,0,S3/MBunk_ene!S3)</f>
        <v>3.1285792664753065</v>
      </c>
      <c r="T9" s="79">
        <f>IF(T3=0,0,T3/MBunk_ene!T3)</f>
        <v>3.1411285618457319</v>
      </c>
      <c r="U9" s="79">
        <f>IF(U3=0,0,U3/MBunk_ene!U3)</f>
        <v>3.1418435299129541</v>
      </c>
      <c r="V9" s="79">
        <f>IF(V3=0,0,V3/MBunk_ene!V3)</f>
        <v>3.1410742573823871</v>
      </c>
      <c r="W9" s="79">
        <f>IF(W3=0,0,W3/MBunk_ene!W3)</f>
        <v>3.1267310288117165</v>
      </c>
      <c r="X9" s="79">
        <f>IF(X3=0,0,X3/MBunk_ene!X3)</f>
        <v>3.1214729669883647</v>
      </c>
      <c r="Y9" s="79">
        <f>IF(Y3=0,0,Y3/MBunk_ene!Y3)</f>
        <v>3.1219961985503635</v>
      </c>
      <c r="DA9" s="172"/>
    </row>
    <row r="10" spans="1:105" ht="11.45" customHeight="1" x14ac:dyDescent="0.25">
      <c r="A10" s="55" t="s">
        <v>166</v>
      </c>
      <c r="B10" s="80">
        <f>IF(B4=0,0,B4/MBunk_ene!B4)</f>
        <v>3.2039420774394816</v>
      </c>
      <c r="C10" s="80">
        <f>IF(C4=0,0,C4/MBunk_ene!C4)</f>
        <v>3.2204069213318185</v>
      </c>
      <c r="D10" s="80">
        <f>IF(D4=0,0,D4/MBunk_ene!D4)</f>
        <v>3.2025439277006238</v>
      </c>
      <c r="E10" s="80">
        <f>IF(E4=0,0,E4/MBunk_ene!E4)</f>
        <v>3.2020065561641049</v>
      </c>
      <c r="F10" s="80">
        <f>IF(F4=0,0,F4/MBunk_ene!F4)</f>
        <v>3.2038291870274218</v>
      </c>
      <c r="G10" s="80">
        <f>IF(G4=0,0,G4/MBunk_ene!G4)</f>
        <v>3.1519681692442614</v>
      </c>
      <c r="H10" s="80">
        <f>IF(H4=0,0,H4/MBunk_ene!H4)</f>
        <v>3.1630484089242059</v>
      </c>
      <c r="I10" s="80">
        <f>IF(I4=0,0,I4/MBunk_ene!I4)</f>
        <v>3.1919260470127506</v>
      </c>
      <c r="J10" s="80">
        <f>IF(J4=0,0,J4/MBunk_ene!J4)</f>
        <v>3.1956240769283117</v>
      </c>
      <c r="K10" s="80">
        <f>IF(K4=0,0,K4/MBunk_ene!K4)</f>
        <v>3.1766444197247785</v>
      </c>
      <c r="L10" s="80">
        <f>IF(L4=0,0,L4/MBunk_ene!L4)</f>
        <v>3.1793120482330308</v>
      </c>
      <c r="M10" s="80">
        <f>IF(M4=0,0,M4/MBunk_ene!M4)</f>
        <v>3.1431740089196278</v>
      </c>
      <c r="N10" s="80">
        <f>IF(N4=0,0,N4/MBunk_ene!N4)</f>
        <v>3.1164518764245925</v>
      </c>
      <c r="O10" s="80">
        <f>IF(O4=0,0,O4/MBunk_ene!O4)</f>
        <v>3.1033328846794999</v>
      </c>
      <c r="P10" s="80">
        <f>IF(P4=0,0,P4/MBunk_ene!P4)</f>
        <v>3.1037296084512387</v>
      </c>
      <c r="Q10" s="80">
        <f>IF(Q4=0,0,Q4/MBunk_ene!Q4)</f>
        <v>3.1024188000000001</v>
      </c>
      <c r="R10" s="80">
        <f>IF(R4=0,0,R4/MBunk_ene!R4)</f>
        <v>3.1024188000000001</v>
      </c>
      <c r="S10" s="80">
        <f>IF(S4=0,0,S4/MBunk_ene!S4)</f>
        <v>3.1024188000000001</v>
      </c>
      <c r="T10" s="80">
        <f>IF(T4=0,0,T4/MBunk_ene!T4)</f>
        <v>3.1024187999999997</v>
      </c>
      <c r="U10" s="80">
        <f>IF(U4=0,0,U4/MBunk_ene!U4)</f>
        <v>3.1024188000000001</v>
      </c>
      <c r="V10" s="80">
        <f>IF(V4=0,0,V4/MBunk_ene!V4)</f>
        <v>3.1024188000000001</v>
      </c>
      <c r="W10" s="80">
        <f>IF(W4=0,0,W4/MBunk_ene!W4)</f>
        <v>3.1024188000000001</v>
      </c>
      <c r="X10" s="80">
        <f>IF(X4=0,0,X4/MBunk_ene!X4)</f>
        <v>3.1024188000000001</v>
      </c>
      <c r="Y10" s="80">
        <f>IF(Y4=0,0,Y4/MBunk_ene!Y4)</f>
        <v>3.1024187999999997</v>
      </c>
      <c r="DA10" s="181"/>
    </row>
    <row r="11" spans="1:105" ht="11.45" customHeight="1" x14ac:dyDescent="0.25">
      <c r="A11" s="57" t="s">
        <v>167</v>
      </c>
      <c r="B11" s="81">
        <f>IF(B5=0,0,B5/MBunk_ene!B10)</f>
        <v>3.233514621649511</v>
      </c>
      <c r="C11" s="81">
        <f>IF(C5=0,0,C5/MBunk_ene!C10)</f>
        <v>3.2366983340579973</v>
      </c>
      <c r="D11" s="81">
        <f>IF(D5=0,0,D5/MBunk_ene!D10)</f>
        <v>3.2332498467366237</v>
      </c>
      <c r="E11" s="81">
        <f>IF(E5=0,0,E5/MBunk_ene!E10)</f>
        <v>3.233145798271059</v>
      </c>
      <c r="F11" s="81">
        <f>IF(F5=0,0,F5/MBunk_ene!F10)</f>
        <v>3.2334984621384795</v>
      </c>
      <c r="G11" s="81">
        <f>IF(G5=0,0,G5/MBunk_ene!G10)</f>
        <v>3.2234587484525541</v>
      </c>
      <c r="H11" s="81">
        <f>IF(H5=0,0,H5/MBunk_ene!H10)</f>
        <v>3.2256217532556111</v>
      </c>
      <c r="I11" s="81">
        <f>IF(I5=0,0,I5/MBunk_ene!I10)</f>
        <v>3.2314242219581937</v>
      </c>
      <c r="J11" s="81">
        <f>IF(J5=0,0,J5/MBunk_ene!J10)</f>
        <v>3.232253044149588</v>
      </c>
      <c r="K11" s="81">
        <f>IF(K5=0,0,K5/MBunk_ene!K10)</f>
        <v>3.2285080578414656</v>
      </c>
      <c r="L11" s="81">
        <f>IF(L5=0,0,L5/MBunk_ene!L10)</f>
        <v>3.229097292335771</v>
      </c>
      <c r="M11" s="81">
        <f>IF(M5=0,0,M5/MBunk_ene!M10)</f>
        <v>3.2229184119830978</v>
      </c>
      <c r="N11" s="81">
        <f>IF(N5=0,0,N5/MBunk_ene!N10)</f>
        <v>3.2181090083672212</v>
      </c>
      <c r="O11" s="81">
        <f>IF(O5=0,0,O5/MBunk_ene!O10)</f>
        <v>3.2060664424360161</v>
      </c>
      <c r="P11" s="81">
        <f>IF(P5=0,0,P5/MBunk_ene!P10)</f>
        <v>3.2087010375984288</v>
      </c>
      <c r="Q11" s="81">
        <f>IF(Q5=0,0,Q5/MBunk_ene!Q10)</f>
        <v>3.1569168151592741</v>
      </c>
      <c r="R11" s="81">
        <f>IF(R5=0,0,R5/MBunk_ene!R10)</f>
        <v>3.1630275793441376</v>
      </c>
      <c r="S11" s="81">
        <f>IF(S5=0,0,S5/MBunk_ene!S10)</f>
        <v>3.1406291005046558</v>
      </c>
      <c r="T11" s="81">
        <f>IF(T5=0,0,T5/MBunk_ene!T10)</f>
        <v>3.1586257203321018</v>
      </c>
      <c r="U11" s="81">
        <f>IF(U5=0,0,U5/MBunk_ene!U10)</f>
        <v>3.1592207310209965</v>
      </c>
      <c r="V11" s="81">
        <f>IF(V5=0,0,V5/MBunk_ene!V10)</f>
        <v>3.1568932568359038</v>
      </c>
      <c r="W11" s="81">
        <f>IF(W5=0,0,W5/MBunk_ene!W10)</f>
        <v>3.1367013779099171</v>
      </c>
      <c r="X11" s="81">
        <f>IF(X5=0,0,X5/MBunk_ene!X10)</f>
        <v>3.1297614959322071</v>
      </c>
      <c r="Y11" s="81">
        <f>IF(Y5=0,0,Y5/MBunk_ene!Y10)</f>
        <v>3.1339767377440575</v>
      </c>
      <c r="DA11" s="182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DA12" s="181"/>
    </row>
    <row r="13" spans="1:105" ht="11.45" customHeight="1" x14ac:dyDescent="0.25">
      <c r="A13" s="53" t="s">
        <v>49</v>
      </c>
      <c r="B13" s="62">
        <f>IF(B3=0,0,B3/MBunk_act!B7*100)</f>
        <v>19104.625598243103</v>
      </c>
      <c r="C13" s="62">
        <f>IF(C3=0,0,C3/MBunk_act!C7*100)</f>
        <v>20031.437272919571</v>
      </c>
      <c r="D13" s="62">
        <f>IF(D3=0,0,D3/MBunk_act!D7*100)</f>
        <v>20344.912489335049</v>
      </c>
      <c r="E13" s="62">
        <f>IF(E3=0,0,E3/MBunk_act!E7*100)</f>
        <v>20295.38095752729</v>
      </c>
      <c r="F13" s="62">
        <f>IF(F3=0,0,F3/MBunk_act!F7*100)</f>
        <v>20516.927593050899</v>
      </c>
      <c r="G13" s="62">
        <f>IF(G3=0,0,G3/MBunk_act!G7*100)</f>
        <v>10297.914873678483</v>
      </c>
      <c r="H13" s="62">
        <f>IF(H3=0,0,H3/MBunk_act!H7*100)</f>
        <v>10923.742231021342</v>
      </c>
      <c r="I13" s="62">
        <f>IF(I3=0,0,I3/MBunk_act!I7*100)</f>
        <v>10504.853369469787</v>
      </c>
      <c r="J13" s="62">
        <f>IF(J3=0,0,J3/MBunk_act!J7*100)</f>
        <v>15438.505433601869</v>
      </c>
      <c r="K13" s="62">
        <f>IF(K3=0,0,K3/MBunk_act!K7*100)</f>
        <v>13244.027162084827</v>
      </c>
      <c r="L13" s="62">
        <f>IF(L3=0,0,L3/MBunk_act!L7*100)</f>
        <v>9079.8471160231966</v>
      </c>
      <c r="M13" s="62">
        <f>IF(M3=0,0,M3/MBunk_act!M7*100)</f>
        <v>7995.1168299185174</v>
      </c>
      <c r="N13" s="62">
        <f>IF(N3=0,0,N3/MBunk_act!N7*100)</f>
        <v>6757.1902721434299</v>
      </c>
      <c r="O13" s="62">
        <f>IF(O3=0,0,O3/MBunk_act!O7*100)</f>
        <v>5913.8430575074399</v>
      </c>
      <c r="P13" s="62">
        <f>IF(P3=0,0,P3/MBunk_act!P7*100)</f>
        <v>5721.4133871822032</v>
      </c>
      <c r="Q13" s="62">
        <f>IF(Q3=0,0,Q3/MBunk_act!Q7*100)</f>
        <v>7109.9734252687613</v>
      </c>
      <c r="R13" s="62">
        <f>IF(R3=0,0,R3/MBunk_act!R7*100)</f>
        <v>6272.8052300076915</v>
      </c>
      <c r="S13" s="62">
        <f>IF(S3=0,0,S3/MBunk_act!S7*100)</f>
        <v>8470.6473079524567</v>
      </c>
      <c r="T13" s="62">
        <f>IF(T3=0,0,T3/MBunk_act!T7*100)</f>
        <v>7754.6482546367388</v>
      </c>
      <c r="U13" s="62">
        <f>IF(U3=0,0,U3/MBunk_act!U7*100)</f>
        <v>7925.2021652734475</v>
      </c>
      <c r="V13" s="62">
        <f>IF(V3=0,0,V3/MBunk_act!V7*100)</f>
        <v>9136.5909475638673</v>
      </c>
      <c r="W13" s="62">
        <f>IF(W3=0,0,W3/MBunk_act!W7*100)</f>
        <v>9648.4656234119157</v>
      </c>
      <c r="X13" s="62">
        <f>IF(X3=0,0,X3/MBunk_act!X7*100)</f>
        <v>5686.6978155488332</v>
      </c>
      <c r="Y13" s="62">
        <f>IF(Y3=0,0,Y3/MBunk_act!Y7*100)</f>
        <v>5486.3338657465565</v>
      </c>
      <c r="DA13" s="172" t="s">
        <v>990</v>
      </c>
    </row>
    <row r="14" spans="1:105" ht="11.45" customHeight="1" x14ac:dyDescent="0.25">
      <c r="A14" s="55" t="s">
        <v>166</v>
      </c>
      <c r="B14" s="63">
        <f>IF(B4=0,0,B4/MBunk_act!B8*100)</f>
        <v>17078.472241282259</v>
      </c>
      <c r="C14" s="63">
        <f>IF(C4=0,0,C4/MBunk_act!C8*100)</f>
        <v>17955.647181901564</v>
      </c>
      <c r="D14" s="63">
        <f>IF(D4=0,0,D4/MBunk_act!D8*100)</f>
        <v>18250.044317066244</v>
      </c>
      <c r="E14" s="63">
        <f>IF(E4=0,0,E4/MBunk_act!E8*100)</f>
        <v>18271.790494586596</v>
      </c>
      <c r="F14" s="63">
        <f>IF(F4=0,0,F4/MBunk_act!F8*100)</f>
        <v>18432.288657710869</v>
      </c>
      <c r="G14" s="63">
        <f>IF(G4=0,0,G4/MBunk_act!G8*100)</f>
        <v>9042.7248552101355</v>
      </c>
      <c r="H14" s="63">
        <f>IF(H4=0,0,H4/MBunk_act!H8*100)</f>
        <v>9722.2400939072122</v>
      </c>
      <c r="I14" s="63">
        <f>IF(I4=0,0,I4/MBunk_act!I8*100)</f>
        <v>9036.1554261132533</v>
      </c>
      <c r="J14" s="63">
        <f>IF(J4=0,0,J4/MBunk_act!J8*100)</f>
        <v>13952.380434541697</v>
      </c>
      <c r="K14" s="63">
        <f>IF(K4=0,0,K4/MBunk_act!K8*100)</f>
        <v>11702.334312789608</v>
      </c>
      <c r="L14" s="63">
        <f>IF(L4=0,0,L4/MBunk_act!L8*100)</f>
        <v>7967.7725217954321</v>
      </c>
      <c r="M14" s="63">
        <f>IF(M4=0,0,M4/MBunk_act!M8*100)</f>
        <v>6870.4533901290379</v>
      </c>
      <c r="N14" s="63">
        <f>IF(N4=0,0,N4/MBunk_act!N8*100)</f>
        <v>5928.1695470308314</v>
      </c>
      <c r="O14" s="63">
        <f>IF(O4=0,0,O4/MBunk_act!O8*100)</f>
        <v>5252.1573292792154</v>
      </c>
      <c r="P14" s="63">
        <f>IF(P4=0,0,P4/MBunk_act!P8*100)</f>
        <v>5167.7484381710465</v>
      </c>
      <c r="Q14" s="63">
        <f>IF(Q4=0,0,Q4/MBunk_act!Q8*100)</f>
        <v>6424.5410139820806</v>
      </c>
      <c r="R14" s="63">
        <f>IF(R4=0,0,R4/MBunk_act!R8*100)</f>
        <v>5787.419656719494</v>
      </c>
      <c r="S14" s="63">
        <f>IF(S4=0,0,S4/MBunk_act!S8*100)</f>
        <v>8048.0496881049121</v>
      </c>
      <c r="T14" s="63">
        <f>IF(T4=0,0,T4/MBunk_act!T8*100)</f>
        <v>7292.2096303754415</v>
      </c>
      <c r="U14" s="63">
        <f>IF(U4=0,0,U4/MBunk_act!U8*100)</f>
        <v>7481.923715160573</v>
      </c>
      <c r="V14" s="63">
        <f>IF(V4=0,0,V4/MBunk_act!V8*100)</f>
        <v>7954.6995159658709</v>
      </c>
      <c r="W14" s="63">
        <f>IF(W4=0,0,W4/MBunk_act!W8*100)</f>
        <v>8185.0127370986702</v>
      </c>
      <c r="X14" s="63">
        <f>IF(X4=0,0,X4/MBunk_act!X8*100)</f>
        <v>5471.1171824698922</v>
      </c>
      <c r="Y14" s="63">
        <f>IF(Y4=0,0,Y4/MBunk_act!Y8*100)</f>
        <v>5031.8997852262228</v>
      </c>
      <c r="DA14" s="181" t="s">
        <v>991</v>
      </c>
    </row>
    <row r="15" spans="1:105" ht="11.45" customHeight="1" x14ac:dyDescent="0.25">
      <c r="A15" s="57" t="s">
        <v>167</v>
      </c>
      <c r="B15" s="64">
        <f>IF(B5=0,0,B5/MBunk_act!B9*100)</f>
        <v>21685.568115364025</v>
      </c>
      <c r="C15" s="64">
        <f>IF(C5=0,0,C5/MBunk_act!C9*100)</f>
        <v>22651.340609391624</v>
      </c>
      <c r="D15" s="64">
        <f>IF(D5=0,0,D5/MBunk_act!D9*100)</f>
        <v>22953.716605985141</v>
      </c>
      <c r="E15" s="64">
        <f>IF(E5=0,0,E5/MBunk_act!E9*100)</f>
        <v>22797.425138187875</v>
      </c>
      <c r="F15" s="64">
        <f>IF(F5=0,0,F5/MBunk_act!F9*100)</f>
        <v>23110.788230104106</v>
      </c>
      <c r="G15" s="64">
        <f>IF(G5=0,0,G5/MBunk_act!G9*100)</f>
        <v>11718.319682106316</v>
      </c>
      <c r="H15" s="64">
        <f>IF(H5=0,0,H5/MBunk_act!H9*100)</f>
        <v>12011.924785324032</v>
      </c>
      <c r="I15" s="64">
        <f>IF(I5=0,0,I5/MBunk_act!I9*100)</f>
        <v>12437.597483392285</v>
      </c>
      <c r="J15" s="64">
        <f>IF(J5=0,0,J5/MBunk_act!J9*100)</f>
        <v>16976.583194698396</v>
      </c>
      <c r="K15" s="64">
        <f>IF(K5=0,0,K5/MBunk_act!K9*100)</f>
        <v>15035.943680975233</v>
      </c>
      <c r="L15" s="64">
        <f>IF(L5=0,0,L5/MBunk_act!L9*100)</f>
        <v>10453.625385101655</v>
      </c>
      <c r="M15" s="64">
        <f>IF(M5=0,0,M5/MBunk_act!M9*100)</f>
        <v>9392.330031200474</v>
      </c>
      <c r="N15" s="64">
        <f>IF(N5=0,0,N5/MBunk_act!N9*100)</f>
        <v>7492.2194364724719</v>
      </c>
      <c r="O15" s="64">
        <f>IF(O5=0,0,O5/MBunk_act!O9*100)</f>
        <v>6474.68446810368</v>
      </c>
      <c r="P15" s="64">
        <f>IF(P5=0,0,P5/MBunk_act!P9*100)</f>
        <v>6126.1737405008043</v>
      </c>
      <c r="Q15" s="64">
        <f>IF(Q5=0,0,Q5/MBunk_act!Q9*100)</f>
        <v>7667.5693718207085</v>
      </c>
      <c r="R15" s="64">
        <f>IF(R5=0,0,R5/MBunk_act!R9*100)</f>
        <v>6590.7655028006329</v>
      </c>
      <c r="S15" s="64">
        <f>IF(S5=0,0,S5/MBunk_act!S9*100)</f>
        <v>8677.9832329976671</v>
      </c>
      <c r="T15" s="64">
        <f>IF(T5=0,0,T5/MBunk_act!T9*100)</f>
        <v>7979.2995925109954</v>
      </c>
      <c r="U15" s="64">
        <f>IF(U5=0,0,U5/MBunk_act!U9*100)</f>
        <v>8133.7894458421561</v>
      </c>
      <c r="V15" s="64">
        <f>IF(V5=0,0,V5/MBunk_act!V9*100)</f>
        <v>9717.2282452913169</v>
      </c>
      <c r="W15" s="64">
        <f>IF(W5=0,0,W5/MBunk_act!W9*100)</f>
        <v>10402.9097014166</v>
      </c>
      <c r="X15" s="64">
        <f>IF(X5=0,0,X5/MBunk_act!X9*100)</f>
        <v>5784.9886239532825</v>
      </c>
      <c r="Y15" s="64">
        <f>IF(Y5=0,0,Y5/MBunk_act!Y9*100)</f>
        <v>5803.8618561006988</v>
      </c>
      <c r="DA15" s="182" t="s">
        <v>992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DA16" s="181"/>
    </row>
    <row r="17" spans="1:105" ht="11.45" customHeight="1" x14ac:dyDescent="0.25">
      <c r="A17" s="53" t="s">
        <v>50</v>
      </c>
      <c r="B17" s="62">
        <f>IF(B3=0,0,B3/MBunk_act!B3*1000)</f>
        <v>16.67475107468896</v>
      </c>
      <c r="C17" s="62">
        <f>IF(C3=0,0,C3/MBunk_act!C3*1000)</f>
        <v>16.900310911678584</v>
      </c>
      <c r="D17" s="62">
        <f>IF(D3=0,0,D3/MBunk_act!D3*1000)</f>
        <v>16.804012860847777</v>
      </c>
      <c r="E17" s="62">
        <f>IF(E3=0,0,E3/MBunk_act!E3*1000)</f>
        <v>16.784845458679918</v>
      </c>
      <c r="F17" s="62">
        <f>IF(F3=0,0,F3/MBunk_act!F3*1000)</f>
        <v>16.799056092240335</v>
      </c>
      <c r="G17" s="62">
        <f>IF(G3=0,0,G3/MBunk_act!G3*1000)</f>
        <v>8.5146236614336139</v>
      </c>
      <c r="H17" s="62">
        <f>IF(H3=0,0,H3/MBunk_act!H3*1000)</f>
        <v>8.1262635508151888</v>
      </c>
      <c r="I17" s="62">
        <f>IF(I3=0,0,I3/MBunk_act!I3*1000)</f>
        <v>9.0124128953729858</v>
      </c>
      <c r="J17" s="62">
        <f>IF(J3=0,0,J3/MBunk_act!J3*1000)</f>
        <v>10.665370969148986</v>
      </c>
      <c r="K17" s="62">
        <f>IF(K3=0,0,K3/MBunk_act!K3*1000)</f>
        <v>9.5291593572582585</v>
      </c>
      <c r="L17" s="62">
        <f>IF(L3=0,0,L3/MBunk_act!L3*1000)</f>
        <v>6.2633793496110215</v>
      </c>
      <c r="M17" s="62">
        <f>IF(M3=0,0,M3/MBunk_act!M3*1000)</f>
        <v>5.325398458888559</v>
      </c>
      <c r="N17" s="62">
        <f>IF(N3=0,0,N3/MBunk_act!N3*1000)</f>
        <v>3.6974138020462624</v>
      </c>
      <c r="O17" s="62">
        <f>IF(O3=0,0,O3/MBunk_act!O3*1000)</f>
        <v>3.139194260464222</v>
      </c>
      <c r="P17" s="62">
        <f>IF(P3=0,0,P3/MBunk_act!P3*1000)</f>
        <v>2.7687611266464205</v>
      </c>
      <c r="Q17" s="62">
        <f>IF(Q3=0,0,Q3/MBunk_act!Q3*1000)</f>
        <v>3.5130637605627801</v>
      </c>
      <c r="R17" s="62">
        <f>IF(R3=0,0,R3/MBunk_act!R3*1000)</f>
        <v>2.8518303078092564</v>
      </c>
      <c r="S17" s="62">
        <f>IF(S3=0,0,S3/MBunk_act!S3*1000)</f>
        <v>3.447461000308794</v>
      </c>
      <c r="T17" s="62">
        <f>IF(T3=0,0,T3/MBunk_act!T3*1000)</f>
        <v>3.0746565395320791</v>
      </c>
      <c r="U17" s="62">
        <f>IF(U3=0,0,U3/MBunk_act!U3*1000)</f>
        <v>3.0512156014064273</v>
      </c>
      <c r="V17" s="62">
        <f>IF(V3=0,0,V3/MBunk_act!V3*1000)</f>
        <v>3.5497874444322322</v>
      </c>
      <c r="W17" s="62">
        <f>IF(W3=0,0,W3/MBunk_act!W3*1000)</f>
        <v>3.7786734379131524</v>
      </c>
      <c r="X17" s="62">
        <f>IF(X3=0,0,X3/MBunk_act!X3*1000)</f>
        <v>2.2578412173152991</v>
      </c>
      <c r="Y17" s="62">
        <f>IF(Y3=0,0,Y3/MBunk_act!Y3*1000)</f>
        <v>2.2309322704411758</v>
      </c>
      <c r="DA17" s="172" t="s">
        <v>452</v>
      </c>
    </row>
    <row r="18" spans="1:105" ht="11.45" customHeight="1" x14ac:dyDescent="0.25">
      <c r="A18" s="55" t="s">
        <v>166</v>
      </c>
      <c r="B18" s="63">
        <f>IF(B4=0,0,B4/MBunk_act!B4*1000)</f>
        <v>30.676336495028593</v>
      </c>
      <c r="C18" s="63">
        <f>IF(C4=0,0,C4/MBunk_act!C4*1000)</f>
        <v>31.605915235445668</v>
      </c>
      <c r="D18" s="63">
        <f>IF(D4=0,0,D4/MBunk_act!D4*1000)</f>
        <v>31.236984620527892</v>
      </c>
      <c r="E18" s="63">
        <f>IF(E4=0,0,E4/MBunk_act!E4*1000)</f>
        <v>31.140035858284126</v>
      </c>
      <c r="F18" s="63">
        <f>IF(F4=0,0,F4/MBunk_act!F4*1000)</f>
        <v>31.20476623807118</v>
      </c>
      <c r="G18" s="63">
        <f>IF(G4=0,0,G4/MBunk_act!G4*1000)</f>
        <v>17.36893792829348</v>
      </c>
      <c r="H18" s="63">
        <f>IF(H4=0,0,H4/MBunk_act!H4*1000)</f>
        <v>18.439003803040944</v>
      </c>
      <c r="I18" s="63">
        <f>IF(I4=0,0,I4/MBunk_act!I4*1000)</f>
        <v>17.026075830714493</v>
      </c>
      <c r="J18" s="63">
        <f>IF(J4=0,0,J4/MBunk_act!J4*1000)</f>
        <v>22.218398343724502</v>
      </c>
      <c r="K18" s="63">
        <f>IF(K4=0,0,K4/MBunk_act!K4*1000)</f>
        <v>19.427760747674583</v>
      </c>
      <c r="L18" s="63">
        <f>IF(L4=0,0,L4/MBunk_act!L4*1000)</f>
        <v>12.626499791196757</v>
      </c>
      <c r="M18" s="63">
        <f>IF(M4=0,0,M4/MBunk_act!M4*1000)</f>
        <v>10.8689097855288</v>
      </c>
      <c r="N18" s="63">
        <f>IF(N4=0,0,N4/MBunk_act!N4*1000)</f>
        <v>9.3474581415677456</v>
      </c>
      <c r="O18" s="63">
        <f>IF(O4=0,0,O4/MBunk_act!O4*1000)</f>
        <v>7.9144677757617545</v>
      </c>
      <c r="P18" s="63">
        <f>IF(P4=0,0,P4/MBunk_act!P4*1000)</f>
        <v>7.4476916393341721</v>
      </c>
      <c r="Q18" s="63">
        <f>IF(Q4=0,0,Q4/MBunk_act!Q4*1000)</f>
        <v>9.2208066642606301</v>
      </c>
      <c r="R18" s="63">
        <f>IF(R4=0,0,R4/MBunk_act!R4*1000)</f>
        <v>8.1364661734060135</v>
      </c>
      <c r="S18" s="63">
        <f>IF(S4=0,0,S4/MBunk_act!S4*1000)</f>
        <v>11.150709018590641</v>
      </c>
      <c r="T18" s="63">
        <f>IF(T4=0,0,T4/MBunk_act!T4*1000)</f>
        <v>9.9023925045388665</v>
      </c>
      <c r="U18" s="63">
        <f>IF(U4=0,0,U4/MBunk_act!U4*1000)</f>
        <v>10.07558622575425</v>
      </c>
      <c r="V18" s="63">
        <f>IF(V4=0,0,V4/MBunk_act!V4*1000)</f>
        <v>9.8220547020044133</v>
      </c>
      <c r="W18" s="63">
        <f>IF(W4=0,0,W4/MBunk_act!W4*1000)</f>
        <v>10.891297792854136</v>
      </c>
      <c r="X18" s="63">
        <f>IF(X4=0,0,X4/MBunk_act!X4*1000)</f>
        <v>7.0884483152725961</v>
      </c>
      <c r="Y18" s="63">
        <f>IF(Y4=0,0,Y4/MBunk_act!Y4*1000)</f>
        <v>6.0824761883614267</v>
      </c>
      <c r="DA18" s="181" t="s">
        <v>453</v>
      </c>
    </row>
    <row r="19" spans="1:105" ht="11.45" customHeight="1" x14ac:dyDescent="0.25">
      <c r="A19" s="57" t="s">
        <v>167</v>
      </c>
      <c r="B19" s="64">
        <f>IF(B5=0,0,B5/MBunk_act!B5*1000)</f>
        <v>11.437618562040274</v>
      </c>
      <c r="C19" s="64">
        <f>IF(C5=0,0,C5/MBunk_act!C5*1000)</f>
        <v>11.532080426464063</v>
      </c>
      <c r="D19" s="64">
        <f>IF(D5=0,0,D5/MBunk_act!D5*1000)</f>
        <v>11.529412864617111</v>
      </c>
      <c r="E19" s="64">
        <f>IF(E5=0,0,E5/MBunk_act!E5*1000)</f>
        <v>11.521461266426646</v>
      </c>
      <c r="F19" s="64">
        <f>IF(F5=0,0,F5/MBunk_act!F5*1000)</f>
        <v>11.520914879716047</v>
      </c>
      <c r="G19" s="64">
        <f>IF(G5=0,0,G5/MBunk_act!G5*1000)</f>
        <v>5.8918116831696024</v>
      </c>
      <c r="H19" s="64">
        <f>IF(H5=0,0,H5/MBunk_act!H5*1000)</f>
        <v>5.7633703118306201</v>
      </c>
      <c r="I19" s="64">
        <f>IF(I5=0,0,I5/MBunk_act!I5*1000)</f>
        <v>6.2154879857606211</v>
      </c>
      <c r="J19" s="64">
        <f>IF(J5=0,0,J5/MBunk_act!J5*1000)</f>
        <v>7.3947640496863976</v>
      </c>
      <c r="K19" s="64">
        <f>IF(K5=0,0,K5/MBunk_act!K5*1000)</f>
        <v>6.5227716363113624</v>
      </c>
      <c r="L19" s="64">
        <f>IF(L5=0,0,L5/MBunk_act!L5*1000)</f>
        <v>4.2477872679812609</v>
      </c>
      <c r="M19" s="64">
        <f>IF(M5=0,0,M5/MBunk_act!M5*1000)</f>
        <v>3.6388063738135563</v>
      </c>
      <c r="N19" s="64">
        <f>IF(N5=0,0,N5/MBunk_act!N5*1000)</f>
        <v>2.5964240778335412</v>
      </c>
      <c r="O19" s="64">
        <f>IF(O5=0,0,O5/MBunk_act!O5*1000)</f>
        <v>2.2187577342784959</v>
      </c>
      <c r="P19" s="64">
        <f>IF(P5=0,0,P5/MBunk_act!P5*1000)</f>
        <v>1.9956110549452437</v>
      </c>
      <c r="Q19" s="64">
        <f>IF(Q5=0,0,Q5/MBunk_act!Q5*1000)</f>
        <v>2.4706399719717633</v>
      </c>
      <c r="R19" s="64">
        <f>IF(R5=0,0,R5/MBunk_act!R5*1000)</f>
        <v>2.0761625888163859</v>
      </c>
      <c r="S19" s="64">
        <f>IF(S5=0,0,S5/MBunk_act!S5*1000)</f>
        <v>2.6229726631294152</v>
      </c>
      <c r="T19" s="64">
        <f>IF(T5=0,0,T5/MBunk_act!T5*1000)</f>
        <v>2.3540457470809373</v>
      </c>
      <c r="U19" s="64">
        <f>IF(U5=0,0,U5/MBunk_act!U5*1000)</f>
        <v>2.3439068949797299</v>
      </c>
      <c r="V19" s="64">
        <f>IF(V5=0,0,V5/MBunk_act!V5*1000)</f>
        <v>2.8244171487531013</v>
      </c>
      <c r="W19" s="64">
        <f>IF(W5=0,0,W5/MBunk_act!W5*1000)</f>
        <v>2.9873569754857887</v>
      </c>
      <c r="X19" s="64">
        <f>IF(X5=0,0,X5/MBunk_act!X5*1000)</f>
        <v>1.7450550133458027</v>
      </c>
      <c r="Y19" s="64">
        <f>IF(Y5=0,0,Y5/MBunk_act!Y5*1000)</f>
        <v>1.6124093664454602</v>
      </c>
      <c r="DA19" s="182" t="s">
        <v>454</v>
      </c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DA20" s="181"/>
    </row>
    <row r="21" spans="1:105" ht="11.45" customHeight="1" x14ac:dyDescent="0.25">
      <c r="A21" s="53" t="s">
        <v>41</v>
      </c>
      <c r="B21" s="76">
        <f t="shared" ref="B21:W23" si="3">IF(B3=0,0,B3/B$3)</f>
        <v>1</v>
      </c>
      <c r="C21" s="76">
        <f t="shared" si="3"/>
        <v>1</v>
      </c>
      <c r="D21" s="76">
        <f t="shared" si="3"/>
        <v>1</v>
      </c>
      <c r="E21" s="76">
        <f t="shared" si="3"/>
        <v>1</v>
      </c>
      <c r="F21" s="76">
        <f t="shared" si="3"/>
        <v>1</v>
      </c>
      <c r="G21" s="76">
        <f t="shared" si="3"/>
        <v>1</v>
      </c>
      <c r="H21" s="76">
        <f t="shared" si="3"/>
        <v>1</v>
      </c>
      <c r="I21" s="76">
        <f t="shared" si="3"/>
        <v>1</v>
      </c>
      <c r="J21" s="76">
        <f t="shared" si="3"/>
        <v>1</v>
      </c>
      <c r="K21" s="76">
        <f t="shared" si="3"/>
        <v>1</v>
      </c>
      <c r="L21" s="76">
        <f t="shared" si="3"/>
        <v>1</v>
      </c>
      <c r="M21" s="76">
        <f t="shared" si="3"/>
        <v>1</v>
      </c>
      <c r="N21" s="76">
        <f t="shared" si="3"/>
        <v>1</v>
      </c>
      <c r="O21" s="76">
        <f t="shared" si="3"/>
        <v>1</v>
      </c>
      <c r="P21" s="76">
        <f t="shared" si="3"/>
        <v>1</v>
      </c>
      <c r="Q21" s="76">
        <f t="shared" si="3"/>
        <v>1</v>
      </c>
      <c r="R21" s="76">
        <f t="shared" si="3"/>
        <v>1</v>
      </c>
      <c r="S21" s="76">
        <f t="shared" si="3"/>
        <v>1</v>
      </c>
      <c r="T21" s="76">
        <f t="shared" si="3"/>
        <v>1</v>
      </c>
      <c r="U21" s="76">
        <f t="shared" si="3"/>
        <v>1</v>
      </c>
      <c r="V21" s="76">
        <f t="shared" si="3"/>
        <v>1</v>
      </c>
      <c r="W21" s="76">
        <f t="shared" si="3"/>
        <v>1</v>
      </c>
      <c r="X21" s="76">
        <f t="shared" ref="X21:Y21" si="4">IF(X3=0,0,X3/X$3)</f>
        <v>1</v>
      </c>
      <c r="Y21" s="76">
        <f t="shared" si="4"/>
        <v>1</v>
      </c>
      <c r="DA21" s="183"/>
    </row>
    <row r="22" spans="1:105" ht="11.45" customHeight="1" x14ac:dyDescent="0.25">
      <c r="A22" s="55" t="s">
        <v>166</v>
      </c>
      <c r="B22" s="77">
        <f t="shared" si="3"/>
        <v>0.50079682761632305</v>
      </c>
      <c r="C22" s="77">
        <f t="shared" si="3"/>
        <v>0.50012030202545177</v>
      </c>
      <c r="D22" s="77">
        <f t="shared" si="3"/>
        <v>0.49752225487266261</v>
      </c>
      <c r="E22" s="77">
        <f t="shared" si="3"/>
        <v>0.49773637795344505</v>
      </c>
      <c r="F22" s="77">
        <f t="shared" si="3"/>
        <v>0.49808903560464363</v>
      </c>
      <c r="G22" s="77">
        <f t="shared" si="3"/>
        <v>0.46616729937553314</v>
      </c>
      <c r="H22" s="77">
        <f t="shared" si="3"/>
        <v>0.42298111428578378</v>
      </c>
      <c r="I22" s="77">
        <f t="shared" si="3"/>
        <v>0.48877049295824176</v>
      </c>
      <c r="J22" s="77">
        <f t="shared" si="3"/>
        <v>0.45963219560990554</v>
      </c>
      <c r="K22" s="77">
        <f t="shared" si="3"/>
        <v>0.47495832383610648</v>
      </c>
      <c r="L22" s="77">
        <f t="shared" si="3"/>
        <v>0.48495295886390616</v>
      </c>
      <c r="M22" s="77">
        <f t="shared" si="3"/>
        <v>0.4761013628465024</v>
      </c>
      <c r="N22" s="77">
        <f t="shared" si="3"/>
        <v>0.41229535053415439</v>
      </c>
      <c r="O22" s="77">
        <f t="shared" si="3"/>
        <v>0.40742670923491087</v>
      </c>
      <c r="P22" s="77">
        <f t="shared" si="3"/>
        <v>0.38145009938681435</v>
      </c>
      <c r="Q22" s="77">
        <f t="shared" si="3"/>
        <v>0.40533368774625178</v>
      </c>
      <c r="R22" s="77">
        <f t="shared" si="3"/>
        <v>0.36516864549212835</v>
      </c>
      <c r="S22" s="77">
        <f t="shared" si="3"/>
        <v>0.31271871476740631</v>
      </c>
      <c r="T22" s="77">
        <f t="shared" si="3"/>
        <v>0.30746270735125236</v>
      </c>
      <c r="U22" s="77">
        <f t="shared" si="3"/>
        <v>0.30208739083087643</v>
      </c>
      <c r="V22" s="77">
        <f t="shared" si="3"/>
        <v>0.28681926751275477</v>
      </c>
      <c r="W22" s="77">
        <f t="shared" si="3"/>
        <v>0.28856708550577598</v>
      </c>
      <c r="X22" s="77">
        <f t="shared" ref="X22:Y22" si="5">IF(X4=0,0,X4/X$3)</f>
        <v>0.30128462590128618</v>
      </c>
      <c r="Y22" s="77">
        <f t="shared" si="5"/>
        <v>0.3772556934311484</v>
      </c>
      <c r="DA22" s="184"/>
    </row>
    <row r="23" spans="1:105" ht="11.45" customHeight="1" x14ac:dyDescent="0.25">
      <c r="A23" s="57" t="s">
        <v>167</v>
      </c>
      <c r="B23" s="78">
        <f t="shared" si="3"/>
        <v>0.49920317238367701</v>
      </c>
      <c r="C23" s="78">
        <f t="shared" si="3"/>
        <v>0.49987969797454829</v>
      </c>
      <c r="D23" s="78">
        <f t="shared" si="3"/>
        <v>0.50247774512733745</v>
      </c>
      <c r="E23" s="78">
        <f t="shared" si="3"/>
        <v>0.50226362204655506</v>
      </c>
      <c r="F23" s="78">
        <f t="shared" si="3"/>
        <v>0.50191096439535632</v>
      </c>
      <c r="G23" s="78">
        <f t="shared" si="3"/>
        <v>0.53383270062446697</v>
      </c>
      <c r="H23" s="78">
        <f t="shared" si="3"/>
        <v>0.57701888571421622</v>
      </c>
      <c r="I23" s="78">
        <f t="shared" si="3"/>
        <v>0.51122950704175818</v>
      </c>
      <c r="J23" s="78">
        <f t="shared" si="3"/>
        <v>0.54036780439009446</v>
      </c>
      <c r="K23" s="78">
        <f t="shared" si="3"/>
        <v>0.52504167616389363</v>
      </c>
      <c r="L23" s="78">
        <f t="shared" si="3"/>
        <v>0.51504704113609379</v>
      </c>
      <c r="M23" s="78">
        <f t="shared" si="3"/>
        <v>0.5238986371534976</v>
      </c>
      <c r="N23" s="78">
        <f t="shared" si="3"/>
        <v>0.58770464946584566</v>
      </c>
      <c r="O23" s="78">
        <f t="shared" si="3"/>
        <v>0.59257329076508924</v>
      </c>
      <c r="P23" s="78">
        <f t="shared" si="3"/>
        <v>0.6185499006131856</v>
      </c>
      <c r="Q23" s="78">
        <f t="shared" si="3"/>
        <v>0.59466631225374811</v>
      </c>
      <c r="R23" s="78">
        <f t="shared" si="3"/>
        <v>0.63483135450787165</v>
      </c>
      <c r="S23" s="78">
        <f t="shared" si="3"/>
        <v>0.68728128523259358</v>
      </c>
      <c r="T23" s="78">
        <f t="shared" si="3"/>
        <v>0.69253729264874764</v>
      </c>
      <c r="U23" s="78">
        <f t="shared" si="3"/>
        <v>0.69791260916912357</v>
      </c>
      <c r="V23" s="78">
        <f t="shared" si="3"/>
        <v>0.71318073248724523</v>
      </c>
      <c r="W23" s="78">
        <f t="shared" si="3"/>
        <v>0.71143291449422408</v>
      </c>
      <c r="X23" s="78">
        <f t="shared" ref="X23:Y23" si="6">IF(X5=0,0,X5/X$3)</f>
        <v>0.69871537409871387</v>
      </c>
      <c r="Y23" s="78">
        <f t="shared" si="6"/>
        <v>0.6227443065688516</v>
      </c>
      <c r="DA23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cover</vt:lpstr>
      <vt:lpstr>index</vt:lpstr>
      <vt:lpstr>Transport</vt:lpstr>
      <vt:lpstr>TrRoad_act</vt:lpstr>
      <vt:lpstr>TrRoad_ene</vt:lpstr>
      <vt:lpstr>TrRoad_emi</vt:lpstr>
      <vt:lpstr>TrRoad_tech</vt:lpstr>
      <vt:lpstr>TrRail_act</vt:lpstr>
      <vt:lpstr>TrRail_ene</vt:lpstr>
      <vt:lpstr>TrRail_emi</vt:lpstr>
      <vt:lpstr>TrAvia_act</vt:lpstr>
      <vt:lpstr>TrAvia_ene</vt:lpstr>
      <vt:lpstr>TrAvia_emi</vt:lpstr>
      <vt:lpstr>TrAvia_png</vt:lpstr>
      <vt:lpstr>TrNavi_act</vt:lpstr>
      <vt:lpstr>TrNavi_ene</vt:lpstr>
      <vt:lpstr>TrNavi_emi</vt:lpstr>
      <vt:lpstr>MBunk_act</vt:lpstr>
      <vt:lpstr>MBunk_ene</vt:lpstr>
      <vt:lpstr>MBunk_emi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JRC-IDEES-2023</dc:title>
  <dc:creator>JRC C.6</dc:creator>
  <dc:description>v2023-1.00</dc:description>
  <cp:lastModifiedBy>JRC-SVQ-ROZSAMA</cp:lastModifiedBy>
  <dcterms:created xsi:type="dcterms:W3CDTF">2025-11-06T10:29:27Z</dcterms:created>
  <dcterms:modified xsi:type="dcterms:W3CDTF">2025-11-06T10:29:27Z</dcterms:modified>
</cp:coreProperties>
</file>