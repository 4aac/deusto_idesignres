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PL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23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AA121" i="59" l="1"/>
  <c r="AA117" i="59"/>
  <c r="AA114" i="59"/>
  <c r="AA113" i="59"/>
  <c r="AA78" i="59"/>
  <c r="AA109" i="59"/>
  <c r="AA106" i="59"/>
  <c r="AA102" i="59"/>
  <c r="AA98" i="59"/>
  <c r="AA93" i="59"/>
  <c r="AA5" i="59"/>
  <c r="Z111" i="59"/>
  <c r="V75" i="57"/>
  <c r="X54" i="57"/>
  <c r="H54" i="57"/>
  <c r="V54" i="57"/>
  <c r="N54" i="57"/>
  <c r="F54" i="57"/>
  <c r="T54" i="57"/>
  <c r="D54" i="57"/>
  <c r="U39" i="57"/>
  <c r="V39" i="57"/>
  <c r="N39" i="57"/>
  <c r="F39" i="57"/>
  <c r="T39" i="57"/>
  <c r="L39" i="57"/>
  <c r="I39" i="57"/>
  <c r="D39" i="57"/>
  <c r="R39" i="57"/>
  <c r="O39" i="57"/>
  <c r="J39" i="57"/>
  <c r="Y16" i="57"/>
  <c r="J16" i="57"/>
  <c r="G16" i="57"/>
  <c r="X16" i="57"/>
  <c r="P16" i="57"/>
  <c r="M16" i="57"/>
  <c r="H16" i="57"/>
  <c r="V16" i="57"/>
  <c r="S16" i="57"/>
  <c r="N16" i="57"/>
  <c r="F16" i="57"/>
  <c r="K75" i="57"/>
  <c r="Y75" i="57"/>
  <c r="T75" i="57"/>
  <c r="Q75" i="57"/>
  <c r="D75" i="57"/>
  <c r="U75" i="57"/>
  <c r="O75" i="57"/>
  <c r="J75" i="57"/>
  <c r="F75" i="57"/>
  <c r="S54" i="57"/>
  <c r="P54" i="57"/>
  <c r="L54" i="57"/>
  <c r="R54" i="57"/>
  <c r="Q54" i="57"/>
  <c r="I54" i="57"/>
  <c r="E39" i="57"/>
  <c r="O16" i="57"/>
  <c r="AA89" i="59" l="1"/>
  <c r="AA80" i="59"/>
  <c r="Z54" i="55"/>
  <c r="Z99" i="59"/>
  <c r="Z103" i="59"/>
  <c r="Z107" i="59"/>
  <c r="Z115" i="59"/>
  <c r="AA66" i="59"/>
  <c r="AA70" i="59"/>
  <c r="AA74" i="59"/>
  <c r="AA79" i="59"/>
  <c r="AA81" i="59"/>
  <c r="AA82" i="59"/>
  <c r="AA84" i="59"/>
  <c r="AA88" i="59"/>
  <c r="H39" i="57"/>
  <c r="J54" i="57"/>
  <c r="E16" i="57"/>
  <c r="Q39" i="57"/>
  <c r="K54" i="57"/>
  <c r="E75" i="57"/>
  <c r="AA94" i="59"/>
  <c r="W16" i="57"/>
  <c r="I16" i="57"/>
  <c r="Q16" i="57"/>
  <c r="K16" i="57"/>
  <c r="U16" i="57"/>
  <c r="K39" i="57"/>
  <c r="S39" i="57"/>
  <c r="M39" i="57"/>
  <c r="G39" i="57"/>
  <c r="W39" i="57"/>
  <c r="Y39" i="57"/>
  <c r="E54" i="57"/>
  <c r="M54" i="57"/>
  <c r="U54" i="57"/>
  <c r="G54" i="57"/>
  <c r="O54" i="57"/>
  <c r="W54" i="57"/>
  <c r="Y54" i="57"/>
  <c r="G75" i="57"/>
  <c r="W75" i="57"/>
  <c r="I75" i="57"/>
  <c r="S75" i="57"/>
  <c r="M75" i="57"/>
  <c r="AA54" i="57"/>
  <c r="Z5" i="59"/>
  <c r="AA97" i="59"/>
  <c r="AA101" i="59"/>
  <c r="AA105" i="59"/>
  <c r="AA110" i="59"/>
  <c r="AA39" i="55"/>
  <c r="AA16" i="57"/>
  <c r="AA75" i="57"/>
  <c r="AA21" i="59"/>
  <c r="AA68" i="59"/>
  <c r="AA72" i="59"/>
  <c r="AA76" i="59"/>
  <c r="AA86" i="59"/>
  <c r="AA90" i="59"/>
  <c r="Z80" i="59"/>
  <c r="Z87" i="59"/>
  <c r="AA54" i="55"/>
  <c r="AA69" i="59"/>
  <c r="AA73" i="59"/>
  <c r="AA87" i="59"/>
  <c r="L16" i="57"/>
  <c r="R16" i="57"/>
  <c r="P39" i="57"/>
  <c r="X39" i="57"/>
  <c r="Z75" i="55"/>
  <c r="Z39" i="57"/>
  <c r="Z79" i="59"/>
  <c r="Z84" i="59"/>
  <c r="Z88" i="59"/>
  <c r="D16" i="57"/>
  <c r="T16" i="57"/>
  <c r="AA16" i="55"/>
  <c r="AA75" i="55"/>
  <c r="AA39" i="57"/>
  <c r="N75" i="57"/>
  <c r="H75" i="57"/>
  <c r="P75" i="57"/>
  <c r="X75" i="57"/>
  <c r="R75" i="57"/>
  <c r="L75" i="57"/>
  <c r="Z16" i="55"/>
  <c r="Z54" i="57"/>
  <c r="Z67" i="59"/>
  <c r="Z71" i="59"/>
  <c r="Z75" i="59"/>
  <c r="Z83" i="59"/>
  <c r="AA20" i="59"/>
  <c r="AA67" i="59"/>
  <c r="AA71" i="59"/>
  <c r="AA75" i="59"/>
  <c r="AA77" i="59"/>
  <c r="AA83" i="59"/>
  <c r="Z39" i="55"/>
  <c r="Z16" i="57"/>
  <c r="Z75" i="57"/>
  <c r="Z68" i="59"/>
  <c r="Z72" i="59"/>
  <c r="Z76" i="59"/>
  <c r="AA118" i="59"/>
  <c r="AA122" i="59"/>
  <c r="Z65" i="59"/>
  <c r="Z69" i="59"/>
  <c r="Z73" i="59"/>
  <c r="Z77" i="59"/>
  <c r="Z81" i="59"/>
  <c r="Z85" i="59"/>
  <c r="Z89" i="59"/>
  <c r="Z119" i="59"/>
  <c r="AA65" i="59"/>
  <c r="AA85" i="59"/>
  <c r="AA99" i="59"/>
  <c r="AA103" i="59"/>
  <c r="AA107" i="59"/>
  <c r="AA111" i="59"/>
  <c r="AA115" i="59"/>
  <c r="AA119" i="59"/>
  <c r="Z66" i="59"/>
  <c r="Z70" i="59"/>
  <c r="Z74" i="59"/>
  <c r="Z78" i="59"/>
  <c r="Z82" i="59"/>
  <c r="Z86" i="59"/>
  <c r="Z90" i="59"/>
  <c r="Z100" i="59"/>
  <c r="Z104" i="59"/>
  <c r="Z108" i="59"/>
  <c r="Z112" i="59"/>
  <c r="Z116" i="59"/>
  <c r="Z120" i="59"/>
  <c r="AA100" i="59"/>
  <c r="AA104" i="59"/>
  <c r="AA108" i="59"/>
  <c r="AA112" i="59"/>
  <c r="AA116" i="59"/>
  <c r="AA120" i="59"/>
  <c r="Z20" i="59"/>
  <c r="Z93" i="59"/>
  <c r="Z97" i="59"/>
  <c r="Z101" i="59"/>
  <c r="Z105" i="59"/>
  <c r="Z109" i="59"/>
  <c r="Z113" i="59"/>
  <c r="Z117" i="59"/>
  <c r="Z121" i="59"/>
  <c r="Z21" i="59"/>
  <c r="Z94" i="59"/>
  <c r="Z98" i="59"/>
  <c r="Z102" i="59"/>
  <c r="Z106" i="59"/>
  <c r="Z110" i="59"/>
  <c r="Z114" i="59"/>
  <c r="Z118" i="59"/>
  <c r="Z122" i="59"/>
  <c r="AA95" i="59" l="1"/>
  <c r="AA9" i="59"/>
  <c r="AA10" i="59" s="1"/>
  <c r="Z9" i="59"/>
  <c r="Z10" i="59" s="1"/>
  <c r="AA12" i="59"/>
  <c r="AA13" i="59" s="1"/>
  <c r="Z12" i="59"/>
  <c r="Z13" i="59" s="1"/>
  <c r="AA96" i="59"/>
  <c r="X12" i="59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Z96" i="59" s="1"/>
  <c r="W21" i="59"/>
  <c r="Y20" i="59"/>
  <c r="Z95" i="59" s="1"/>
  <c r="W20" i="59"/>
  <c r="V20" i="59"/>
  <c r="U93" i="59"/>
  <c r="Y89" i="59"/>
  <c r="T118" i="59"/>
  <c r="W117" i="59"/>
  <c r="U117" i="59"/>
  <c r="Y84" i="59"/>
  <c r="U116" i="59"/>
  <c r="Y115" i="59"/>
  <c r="Y114" i="59"/>
  <c r="W81" i="59"/>
  <c r="W112" i="59"/>
  <c r="T112" i="59"/>
  <c r="V111" i="59"/>
  <c r="W78" i="59"/>
  <c r="U110" i="59"/>
  <c r="Y77" i="59"/>
  <c r="U109" i="59"/>
  <c r="Y107" i="59"/>
  <c r="U107" i="59"/>
  <c r="Y74" i="59"/>
  <c r="T106" i="59"/>
  <c r="R106" i="59"/>
  <c r="L106" i="59"/>
  <c r="J106" i="59"/>
  <c r="Y105" i="59"/>
  <c r="W73" i="59"/>
  <c r="W105" i="59"/>
  <c r="Y71" i="59"/>
  <c r="Y103" i="59"/>
  <c r="U103" i="59"/>
  <c r="Y102" i="59"/>
  <c r="X102" i="59"/>
  <c r="W69" i="59"/>
  <c r="W101" i="59"/>
  <c r="U101" i="59"/>
  <c r="Y68" i="59"/>
  <c r="X100" i="59"/>
  <c r="T67" i="59"/>
  <c r="Y66" i="59"/>
  <c r="W98" i="59"/>
  <c r="T98" i="59"/>
  <c r="Y97" i="59"/>
  <c r="W67" i="59"/>
  <c r="V74" i="59"/>
  <c r="E106" i="59"/>
  <c r="X122" i="59"/>
  <c r="U115" i="59"/>
  <c r="V113" i="59"/>
  <c r="X110" i="59"/>
  <c r="W104" i="59"/>
  <c r="Y93" i="59"/>
  <c r="W90" i="59"/>
  <c r="T80" i="59"/>
  <c r="Y122" i="59"/>
  <c r="W122" i="59"/>
  <c r="T90" i="59"/>
  <c r="U121" i="59"/>
  <c r="Y120" i="59"/>
  <c r="W87" i="59"/>
  <c r="W84" i="59"/>
  <c r="V115" i="59"/>
  <c r="T83" i="59"/>
  <c r="Y82" i="59"/>
  <c r="W113" i="59"/>
  <c r="U113" i="59"/>
  <c r="Y80" i="59"/>
  <c r="W80" i="59"/>
  <c r="Y111" i="59"/>
  <c r="W110" i="59"/>
  <c r="U108" i="59"/>
  <c r="Y75" i="59"/>
  <c r="W75" i="59"/>
  <c r="W74" i="59"/>
  <c r="Y73" i="59"/>
  <c r="Y72" i="59"/>
  <c r="W72" i="59"/>
  <c r="V103" i="59"/>
  <c r="T71" i="59"/>
  <c r="Y70" i="59"/>
  <c r="V101" i="59"/>
  <c r="U100" i="59"/>
  <c r="Y67" i="59"/>
  <c r="Y99" i="59"/>
  <c r="Y65" i="59"/>
  <c r="W65" i="59"/>
  <c r="U94" i="59"/>
  <c r="X20" i="59"/>
  <c r="U20" i="59"/>
  <c r="W5" i="59"/>
  <c r="T5" i="59"/>
  <c r="Y5" i="59"/>
  <c r="X21" i="59"/>
  <c r="U5" i="59"/>
  <c r="U71" i="59" l="1"/>
  <c r="Y69" i="59"/>
  <c r="V94" i="59"/>
  <c r="U104" i="59"/>
  <c r="W111" i="59"/>
  <c r="X112" i="59"/>
  <c r="Y118" i="59"/>
  <c r="T119" i="59"/>
  <c r="W85" i="59"/>
  <c r="M106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7" i="4"/>
  <c r="B5" i="4"/>
  <c r="B4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16" i="55" l="1"/>
  <c r="V54" i="55"/>
  <c r="J16" i="55"/>
  <c r="P16" i="55"/>
  <c r="Y16" i="55"/>
  <c r="O16" i="55"/>
  <c r="R54" i="55"/>
  <c r="M16" i="55"/>
  <c r="X54" i="55"/>
  <c r="H54" i="55"/>
  <c r="L16" i="55"/>
  <c r="G54" i="55"/>
  <c r="F54" i="55"/>
  <c r="N16" i="55"/>
  <c r="W54" i="55"/>
  <c r="I54" i="55"/>
  <c r="E16" i="55"/>
  <c r="R16" i="55"/>
  <c r="T54" i="55"/>
  <c r="D54" i="55"/>
  <c r="X16" i="55"/>
  <c r="H16" i="55"/>
  <c r="Q54" i="55"/>
  <c r="W16" i="55"/>
  <c r="G16" i="55"/>
  <c r="Y54" i="55"/>
  <c r="N54" i="55"/>
  <c r="K54" i="55"/>
  <c r="M54" i="55"/>
  <c r="P54" i="55"/>
  <c r="Q16" i="55"/>
  <c r="O54" i="55"/>
  <c r="K16" i="55"/>
  <c r="U54" i="55"/>
  <c r="J54" i="55"/>
  <c r="V16" i="55"/>
  <c r="U16" i="55"/>
  <c r="T16" i="55"/>
  <c r="D16" i="55"/>
  <c r="L54" i="55"/>
  <c r="S54" i="55"/>
  <c r="F16" i="55"/>
  <c r="I16" i="55"/>
  <c r="E54" i="55"/>
  <c r="Y39" i="55" l="1"/>
  <c r="T39" i="55"/>
  <c r="G75" i="55"/>
  <c r="S39" i="55"/>
  <c r="R75" i="55"/>
  <c r="P75" i="55"/>
  <c r="Y75" i="55"/>
  <c r="I39" i="55"/>
  <c r="L75" i="55"/>
  <c r="H75" i="55"/>
  <c r="M75" i="55"/>
  <c r="O39" i="55"/>
  <c r="X39" i="55"/>
  <c r="J39" i="55"/>
  <c r="H39" i="55"/>
  <c r="K75" i="55"/>
  <c r="K39" i="55"/>
  <c r="Q39" i="55"/>
  <c r="N75" i="55"/>
  <c r="E75" i="55"/>
  <c r="G39" i="55"/>
  <c r="W75" i="55"/>
  <c r="D75" i="55"/>
  <c r="U75" i="55"/>
  <c r="X75" i="55"/>
  <c r="R39" i="55"/>
  <c r="I75" i="55"/>
  <c r="M39" i="55"/>
  <c r="U39" i="55"/>
  <c r="E39" i="55"/>
  <c r="F39" i="55"/>
  <c r="V39" i="55"/>
  <c r="F75" i="55"/>
  <c r="L39" i="55"/>
  <c r="S75" i="55"/>
  <c r="D39" i="55"/>
  <c r="V75" i="55"/>
  <c r="Q75" i="55"/>
  <c r="J75" i="55"/>
  <c r="W39" i="55"/>
  <c r="P39" i="55"/>
  <c r="N39" i="55"/>
  <c r="T75" i="55"/>
  <c r="O75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<sst xmlns="http://schemas.openxmlformats.org/spreadsheetml/2006/main" count="722" uniqueCount="281">
  <si>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</si>
  <si>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</si>
  <si>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</si>
  <si>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</si>
  <si>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</si>
  <si>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</si>
  <si>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</si>
  <si>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</si>
  <si>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</si>
  <si>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</si>
  <si>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</si>
  <si>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</si>
  <si>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</si>
  <si>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</si>
  <si>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</si>
  <si>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</si>
  <si>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</si>
  <si>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</si>
  <si>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</si>
  <si>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</si>
  <si>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</si>
  <si>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</si>
  <si>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</si>
  <si>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</si>
  <si>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</si>
  <si>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</si>
  <si>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</si>
  <si>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</si>
  <si>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</si>
  <si>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</si>
  <si>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</si>
  <si>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</si>
  <si>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</si>
  <si>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</si>
  <si>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</si>
  <si>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</si>
  <si>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</si>
  <si>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</si>
  <si>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</si>
  <si>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</si>
  <si>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</si>
  <si>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</si>
  <si>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</si>
  <si>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</si>
  <si>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</si>
  <si>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</si>
  <si>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</si>
  <si>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</si>
  <si>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</si>
  <si>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</si>
  <si>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</si>
  <si>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</si>
  <si>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</si>
  <si>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</si>
  <si>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</si>
  <si>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</si>
  <si>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</si>
  <si>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</si>
  <si>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</si>
  <si>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</si>
  <si>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</si>
  <si>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</si>
  <si>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</si>
  <si>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</si>
  <si>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</si>
  <si>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</si>
  <si>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</si>
  <si>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</si>
  <si>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</si>
  <si>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</si>
  <si>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</si>
  <si>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</si>
  <si>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</si>
  <si>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</si>
  <si>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</si>
  <si>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</si>
  <si>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</si>
  <si>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</si>
  <si>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</si>
  <si>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</si>
  <si>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</si>
  <si>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</si>
  <si>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</si>
  <si>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</si>
  <si>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</si>
  <si>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</si>
  <si>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</si>
  <si>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</si>
  <si>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</si>
  <si>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</si>
  <si>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</si>
  <si>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</si>
  <si>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</si>
  <si>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</si>
  <si>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</si>
  <si>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</si>
  <si>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</si>
  <si>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</si>
  <si>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</si>
  <si>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</si>
  <si>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</si>
  <si>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</si>
  <si>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</si>
  <si>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</si>
  <si>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</si>
  <si>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</si>
  <si>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</si>
  <si>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</si>
  <si>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</si>
  <si>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</si>
  <si>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</si>
  <si>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</si>
  <si>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</si>
  <si>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</si>
  <si>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</si>
  <si>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</si>
  <si>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</si>
  <si>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</si>
  <si>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</si>
  <si>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</si>
  <si>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</si>
  <si>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</si>
  <si>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</si>
  <si>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</si>
  <si>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</si>
  <si>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</si>
  <si>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</si>
  <si>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</si>
  <si>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</si>
  <si>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</si>
  <si>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</si>
  <si>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</si>
  <si>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</si>
  <si>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</si>
  <si>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</si>
  <si>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</si>
  <si>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</si>
  <si>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</si>
  <si>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</si>
  <si>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</si>
  <si>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</si>
  <si>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</si>
  <si>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</si>
  <si>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</si>
  <si>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</si>
  <si>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</si>
  <si>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</si>
  <si>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</si>
  <si>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</si>
  <si>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</si>
  <si>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</si>
  <si>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</si>
  <si>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</si>
  <si>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</si>
  <si>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</si>
  <si>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</si>
  <si>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</si>
  <si>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</si>
  <si>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</si>
  <si>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</si>
  <si>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</si>
  <si>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</si>
  <si>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</si>
  <si>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</si>
  <si>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</si>
  <si>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</si>
  <si>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</si>
  <si>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</si>
  <si>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</si>
  <si>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</si>
  <si>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</si>
  <si>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</si>
  <si>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</si>
  <si>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</si>
  <si>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</si>
  <si>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</si>
  <si>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</si>
  <si>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</si>
  <si>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</si>
  <si>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</si>
  <si>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</si>
  <si>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</si>
  <si>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</si>
  <si>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</si>
  <si>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</si>
  <si>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</si>
  <si>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</si>
  <si>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</si>
  <si>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</si>
  <si>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</si>
  <si>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</si>
  <si>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</si>
  <si>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</si>
  <si>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</si>
  <si>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</si>
  <si>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</si>
  <si>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</si>
  <si>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</si>
  <si>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</si>
  <si>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</si>
  <si>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</si>
  <si>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</si>
  <si>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</si>
  <si>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</si>
  <si>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</si>
  <si>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</si>
  <si>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</si>
  <si>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</si>
  <si>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</si>
  <si>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</si>
  <si>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</si>
  <si>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</si>
  <si>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</si>
  <si>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</si>
  <si>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</si>
  <si>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</si>
  <si>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</si>
  <si>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</si>
  <si>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</si>
  <si>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</si>
  <si>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</si>
  <si>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</si>
  <si>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</si>
  <si>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</si>
  <si>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</si>
  <si>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</si>
  <si>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</si>
  <si>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</si>
  <si>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</si>
  <si>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</si>
  <si>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</si>
  <si>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</si>
  <si>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</si>
  <si>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</si>
  <si>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</si>
  <si>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</si>
  <si>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</si>
  <si>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</si>
  <si>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</si>
  <si>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</si>
  <si>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</si>
  <si>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</si>
  <si>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</si>
  <si>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</si>
  <si>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</si>
  <si>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</si>
  <si>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</si>
  <si>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</si>
  <si>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</si>
  <si>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</si>
  <si>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</si>
  <si>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</si>
  <si>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</si>
  <si>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</si>
  <si>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</si>
  <si>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</si>
  <si>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</si>
  <si>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</si>
  <si>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</si>
  <si>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</si>
  <si>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</si>
  <si>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Demographic and macro-economic data at 2015 prices - JRC-IDEES structure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</si>
  <si>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</si>
  <si>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</si>
  <si>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</si>
  <si>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</si>
  <si>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</si>
  <si>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</si>
  <si>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</si>
  <si>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</si>
  <si>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</si>
  <si>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</si>
  <si>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</si>
  <si>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Macro-economic data at 2023 prices - NACE structure</t>
  </si>
  <si>
    <t>ESA2010 [million euro, 2023 prices]</t>
  </si>
  <si>
    <t>ESA2010 [euro, 2023 prices per capita]</t>
  </si>
  <si>
    <t>Gross value added [million euro, 2023 prices]</t>
  </si>
  <si>
    <t>JRC-IDEES-2023 - Integrated Database of the European Energy System</t>
  </si>
  <si>
    <t>v2023-1.00</t>
  </si>
  <si>
    <t>PL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</si>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</sst>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4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23" ht="15" customHeight="1" x14ac:dyDescent="0.25"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6" spans="1:23" ht="31.5" x14ac:dyDescent="0.25">
      <c r="A6" s="136"/>
      <c r="B6" s="137" t="s">
        <v>277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258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45967.478587962964</v>
      </c>
      <c r="M30" s="149"/>
      <c r="N30" s="149"/>
      <c r="O30" s="149"/>
      <c r="V30" s="134"/>
    </row>
    <row r="31" spans="12:32" ht="15" customHeight="1" x14ac:dyDescent="0.25">
      <c r="L31" s="140" t="s">
        <v>278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255</v>
      </c>
    </row>
    <row r="39" spans="2:32" ht="15" customHeight="1" x14ac:dyDescent="0.25">
      <c r="B39" s="142" t="s">
        <v>256</v>
      </c>
    </row>
    <row r="40" spans="2:32" ht="15" customHeight="1" x14ac:dyDescent="0.25">
      <c r="B40" s="143" t="s">
        <v>257</v>
      </c>
      <c r="AA40" s="141"/>
      <c r="AB40" s="141"/>
      <c r="AC40" s="141"/>
      <c r="AD40" s="141"/>
      <c r="AE40" s="141"/>
      <c r="AF40" s="141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HYPERLINK("#"&amp;CELL("address",Macro_euro2023!D$2),MID(CELL("filename",Macro_euro2023!D$2),FIND("]",CELL("filename",Macro_euro2023!D$2))+1,256))</f>
        <v>Macro_euro2023</v>
      </c>
      <c r="C5" s="9"/>
      <c r="D5" s="147" t="s">
        <v>273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261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262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  <c r="Z1" s="33">
        <v>2022</v>
      </c>
      <c r="AA1" s="33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187532.79999999999</v>
      </c>
      <c r="E2" s="19">
        <v>213857.2</v>
      </c>
      <c r="F2" s="19">
        <v>211220</v>
      </c>
      <c r="G2" s="19">
        <v>193199.6</v>
      </c>
      <c r="H2" s="19">
        <v>207064.4</v>
      </c>
      <c r="I2" s="19">
        <v>246903.6</v>
      </c>
      <c r="J2" s="19">
        <v>275514</v>
      </c>
      <c r="K2" s="19">
        <v>314356.3</v>
      </c>
      <c r="L2" s="19">
        <v>367420.9</v>
      </c>
      <c r="M2" s="19">
        <v>317876.90000000002</v>
      </c>
      <c r="N2" s="19">
        <v>360890.7</v>
      </c>
      <c r="O2" s="19">
        <v>379540.6</v>
      </c>
      <c r="P2" s="19">
        <v>387660.3</v>
      </c>
      <c r="Q2" s="19">
        <v>390177</v>
      </c>
      <c r="R2" s="19">
        <v>408714.7</v>
      </c>
      <c r="S2" s="19">
        <v>432485.8</v>
      </c>
      <c r="T2" s="19">
        <v>427658.6</v>
      </c>
      <c r="U2" s="19">
        <v>469071.2</v>
      </c>
      <c r="V2" s="19">
        <v>503951</v>
      </c>
      <c r="W2" s="19">
        <v>538423.5</v>
      </c>
      <c r="X2" s="19">
        <v>531827.4</v>
      </c>
      <c r="Y2" s="19">
        <v>583001.4</v>
      </c>
      <c r="Z2" s="19">
        <v>661712.30000000005</v>
      </c>
      <c r="AA2" s="19">
        <v>751931.7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119602.6</v>
      </c>
      <c r="E3" s="23">
        <v>138091</v>
      </c>
      <c r="F3" s="23">
        <v>140339.1</v>
      </c>
      <c r="G3" s="23">
        <v>125540.7</v>
      </c>
      <c r="H3" s="23">
        <v>132798.20000000001</v>
      </c>
      <c r="I3" s="23">
        <v>155226</v>
      </c>
      <c r="J3" s="23">
        <v>170701</v>
      </c>
      <c r="K3" s="23">
        <v>189298.6</v>
      </c>
      <c r="L3" s="23">
        <v>227267.20000000001</v>
      </c>
      <c r="M3" s="23">
        <v>195477.9</v>
      </c>
      <c r="N3" s="23">
        <v>225316.8</v>
      </c>
      <c r="O3" s="23">
        <v>234800.5</v>
      </c>
      <c r="P3" s="23">
        <v>240246.6</v>
      </c>
      <c r="Q3" s="23">
        <v>239662.7</v>
      </c>
      <c r="R3" s="23">
        <v>247384.3</v>
      </c>
      <c r="S3" s="23">
        <v>256141.6</v>
      </c>
      <c r="T3" s="23">
        <v>252935.2</v>
      </c>
      <c r="U3" s="23">
        <v>280063</v>
      </c>
      <c r="V3" s="23">
        <v>297652.5</v>
      </c>
      <c r="W3" s="23">
        <v>311366.3</v>
      </c>
      <c r="X3" s="23">
        <v>301624.59999999998</v>
      </c>
      <c r="Y3" s="23">
        <v>329188.90000000002</v>
      </c>
      <c r="Z3" s="23">
        <v>384704.3</v>
      </c>
      <c r="AA3" s="23">
        <v>433456.4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166535.6</v>
      </c>
      <c r="E4" s="27">
        <v>190238.8</v>
      </c>
      <c r="F4" s="27">
        <v>186424</v>
      </c>
      <c r="G4" s="27">
        <v>170307.8</v>
      </c>
      <c r="H4" s="27">
        <v>183256.6</v>
      </c>
      <c r="I4" s="27">
        <v>217058.4</v>
      </c>
      <c r="J4" s="27">
        <v>241593.2</v>
      </c>
      <c r="K4" s="27">
        <v>274429.8</v>
      </c>
      <c r="L4" s="27">
        <v>320720.09999999998</v>
      </c>
      <c r="M4" s="27">
        <v>282249.3</v>
      </c>
      <c r="N4" s="27">
        <v>317377.5</v>
      </c>
      <c r="O4" s="27">
        <v>333465.5</v>
      </c>
      <c r="P4" s="27">
        <v>343268.1</v>
      </c>
      <c r="Q4" s="27">
        <v>345870.2</v>
      </c>
      <c r="R4" s="27">
        <v>362168.6</v>
      </c>
      <c r="S4" s="27">
        <v>383948.79999999999</v>
      </c>
      <c r="T4" s="27">
        <v>377878.6</v>
      </c>
      <c r="U4" s="27">
        <v>412150.8</v>
      </c>
      <c r="V4" s="27">
        <v>441983.8</v>
      </c>
      <c r="W4" s="27">
        <v>473955.7</v>
      </c>
      <c r="X4" s="27">
        <v>469239</v>
      </c>
      <c r="Y4" s="27">
        <v>508282.2</v>
      </c>
      <c r="Z4" s="27">
        <v>590308.80000000005</v>
      </c>
      <c r="AA4" s="27">
        <v>679422.1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5983.2</v>
      </c>
      <c r="E6" s="19">
        <v>7110.6</v>
      </c>
      <c r="F6" s="19">
        <v>5934</v>
      </c>
      <c r="G6" s="19">
        <v>5200.5</v>
      </c>
      <c r="H6" s="19">
        <v>6902.7</v>
      </c>
      <c r="I6" s="19">
        <v>7327.1</v>
      </c>
      <c r="J6" s="19">
        <v>7565.4</v>
      </c>
      <c r="K6" s="19">
        <v>9726.5</v>
      </c>
      <c r="L6" s="19">
        <v>9711.2999999999993</v>
      </c>
      <c r="M6" s="19">
        <v>8348.7000000000007</v>
      </c>
      <c r="N6" s="19">
        <v>10521.9</v>
      </c>
      <c r="O6" s="19">
        <v>12038.3</v>
      </c>
      <c r="P6" s="19">
        <v>11574.1</v>
      </c>
      <c r="Q6" s="19">
        <v>12589.2</v>
      </c>
      <c r="R6" s="19">
        <v>12143.7</v>
      </c>
      <c r="S6" s="19">
        <v>10741.4</v>
      </c>
      <c r="T6" s="19">
        <v>11220.9</v>
      </c>
      <c r="U6" s="19">
        <v>14003.5</v>
      </c>
      <c r="V6" s="19">
        <v>12173.6</v>
      </c>
      <c r="W6" s="19">
        <v>12762.2</v>
      </c>
      <c r="X6" s="19">
        <v>13659.7</v>
      </c>
      <c r="Y6" s="19">
        <v>13091.4</v>
      </c>
      <c r="Z6" s="19">
        <v>18568.099999999999</v>
      </c>
      <c r="AA6" s="19">
        <v>20793.7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39922.699999999997</v>
      </c>
      <c r="E7" s="23">
        <v>42746.400000000001</v>
      </c>
      <c r="F7" s="23">
        <v>41990.2</v>
      </c>
      <c r="G7" s="23">
        <v>41104</v>
      </c>
      <c r="H7" s="23">
        <v>46641.599999999999</v>
      </c>
      <c r="I7" s="23">
        <v>55010.7</v>
      </c>
      <c r="J7" s="23">
        <v>61234.1</v>
      </c>
      <c r="K7" s="23">
        <v>69473.5</v>
      </c>
      <c r="L7" s="23">
        <v>79939.399999999994</v>
      </c>
      <c r="M7" s="23">
        <v>70567.3</v>
      </c>
      <c r="N7" s="23">
        <v>80199.5</v>
      </c>
      <c r="O7" s="23">
        <v>84285.1</v>
      </c>
      <c r="P7" s="23">
        <v>88456.5</v>
      </c>
      <c r="Q7" s="23">
        <v>84595.6</v>
      </c>
      <c r="R7" s="23">
        <v>92115.8</v>
      </c>
      <c r="S7" s="23">
        <v>100191.4</v>
      </c>
      <c r="T7" s="23">
        <v>100941.3</v>
      </c>
      <c r="U7" s="23">
        <v>103703.3</v>
      </c>
      <c r="V7" s="23">
        <v>108268</v>
      </c>
      <c r="W7" s="23">
        <v>115705.3</v>
      </c>
      <c r="X7" s="23">
        <v>114065.5</v>
      </c>
      <c r="Y7" s="23">
        <v>130515.2</v>
      </c>
      <c r="Z7" s="23">
        <v>154450</v>
      </c>
      <c r="AA7" s="23">
        <v>174179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14034</v>
      </c>
      <c r="E8" s="23">
        <v>15744.7</v>
      </c>
      <c r="F8" s="23">
        <v>14309.9</v>
      </c>
      <c r="G8" s="23">
        <v>12047.5</v>
      </c>
      <c r="H8" s="23">
        <v>13790.8</v>
      </c>
      <c r="I8" s="23">
        <v>16736.8</v>
      </c>
      <c r="J8" s="23">
        <v>19222</v>
      </c>
      <c r="K8" s="23">
        <v>22555.7</v>
      </c>
      <c r="L8" s="23">
        <v>25938.6</v>
      </c>
      <c r="M8" s="23">
        <v>24672.799999999999</v>
      </c>
      <c r="N8" s="23">
        <v>26976</v>
      </c>
      <c r="O8" s="23">
        <v>31073.1</v>
      </c>
      <c r="P8" s="23">
        <v>28726.1</v>
      </c>
      <c r="Q8" s="23">
        <v>27294.799999999999</v>
      </c>
      <c r="R8" s="23">
        <v>30233.5</v>
      </c>
      <c r="S8" s="23">
        <v>33852.9</v>
      </c>
      <c r="T8" s="23">
        <v>30236.5</v>
      </c>
      <c r="U8" s="23">
        <v>31431.8</v>
      </c>
      <c r="V8" s="23">
        <v>37179.599999999999</v>
      </c>
      <c r="W8" s="23">
        <v>39530.400000000001</v>
      </c>
      <c r="X8" s="23">
        <v>37861.4</v>
      </c>
      <c r="Y8" s="23">
        <v>35558.6</v>
      </c>
      <c r="Z8" s="23">
        <v>38647.5</v>
      </c>
      <c r="AA8" s="23">
        <v>46816.6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43618.8</v>
      </c>
      <c r="E9" s="23">
        <v>50394.9</v>
      </c>
      <c r="F9" s="23">
        <v>49931.6</v>
      </c>
      <c r="G9" s="23">
        <v>44034.2</v>
      </c>
      <c r="H9" s="23">
        <v>46039.6</v>
      </c>
      <c r="I9" s="23">
        <v>55359.199999999997</v>
      </c>
      <c r="J9" s="23">
        <v>61785.2</v>
      </c>
      <c r="K9" s="23">
        <v>68460.5</v>
      </c>
      <c r="L9" s="23">
        <v>79548.399999999994</v>
      </c>
      <c r="M9" s="23">
        <v>71719.199999999997</v>
      </c>
      <c r="N9" s="23">
        <v>79738.899999999994</v>
      </c>
      <c r="O9" s="23">
        <v>81480.399999999994</v>
      </c>
      <c r="P9" s="23">
        <v>87655.3</v>
      </c>
      <c r="Q9" s="23">
        <v>89130</v>
      </c>
      <c r="R9" s="23">
        <v>87081</v>
      </c>
      <c r="S9" s="23">
        <v>92973.6</v>
      </c>
      <c r="T9" s="23">
        <v>90452.2</v>
      </c>
      <c r="U9" s="23">
        <v>102563.1</v>
      </c>
      <c r="V9" s="23">
        <v>109676.9</v>
      </c>
      <c r="W9" s="23">
        <v>115678.5</v>
      </c>
      <c r="X9" s="23">
        <v>110266</v>
      </c>
      <c r="Y9" s="23">
        <v>119423.5</v>
      </c>
      <c r="Z9" s="23">
        <v>139378.4</v>
      </c>
      <c r="AA9" s="23">
        <v>156585.20000000001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5858.2</v>
      </c>
      <c r="E10" s="23">
        <v>7443.2</v>
      </c>
      <c r="F10" s="23">
        <v>8221.2999999999993</v>
      </c>
      <c r="G10" s="23">
        <v>7535.7</v>
      </c>
      <c r="H10" s="23">
        <v>8713</v>
      </c>
      <c r="I10" s="23">
        <v>9623.4</v>
      </c>
      <c r="J10" s="23">
        <v>10265.4</v>
      </c>
      <c r="K10" s="23">
        <v>11541.9</v>
      </c>
      <c r="L10" s="23">
        <v>13737.1</v>
      </c>
      <c r="M10" s="23">
        <v>11703.3</v>
      </c>
      <c r="N10" s="23">
        <v>11128</v>
      </c>
      <c r="O10" s="23">
        <v>11245.7</v>
      </c>
      <c r="P10" s="23">
        <v>12231.7</v>
      </c>
      <c r="Q10" s="23">
        <v>12360.7</v>
      </c>
      <c r="R10" s="23">
        <v>13400.3</v>
      </c>
      <c r="S10" s="23">
        <v>14677.9</v>
      </c>
      <c r="T10" s="23">
        <v>14783.9</v>
      </c>
      <c r="U10" s="23">
        <v>16327.7</v>
      </c>
      <c r="V10" s="23">
        <v>17768.400000000001</v>
      </c>
      <c r="W10" s="23">
        <v>19385.900000000001</v>
      </c>
      <c r="X10" s="23">
        <v>20720.900000000001</v>
      </c>
      <c r="Y10" s="23">
        <v>25135.4</v>
      </c>
      <c r="Z10" s="23">
        <v>29587.1</v>
      </c>
      <c r="AA10" s="23">
        <v>33532.400000000001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7797.3</v>
      </c>
      <c r="E11" s="23">
        <v>7813.8</v>
      </c>
      <c r="F11" s="23">
        <v>6791.4</v>
      </c>
      <c r="G11" s="23">
        <v>6012.4</v>
      </c>
      <c r="H11" s="23">
        <v>6551.9</v>
      </c>
      <c r="I11" s="23">
        <v>7886.9</v>
      </c>
      <c r="J11" s="23">
        <v>8989.7000000000007</v>
      </c>
      <c r="K11" s="23">
        <v>11474.2</v>
      </c>
      <c r="L11" s="23">
        <v>15170.4</v>
      </c>
      <c r="M11" s="23">
        <v>10769</v>
      </c>
      <c r="N11" s="23">
        <v>12955.7</v>
      </c>
      <c r="O11" s="23">
        <v>14530.4</v>
      </c>
      <c r="P11" s="23">
        <v>13480.5</v>
      </c>
      <c r="Q11" s="23">
        <v>14230.1</v>
      </c>
      <c r="R11" s="23">
        <v>15792.1</v>
      </c>
      <c r="S11" s="23">
        <v>15194.9</v>
      </c>
      <c r="T11" s="23">
        <v>15256.7</v>
      </c>
      <c r="U11" s="23">
        <v>17546.400000000001</v>
      </c>
      <c r="V11" s="23">
        <v>19172.400000000001</v>
      </c>
      <c r="W11" s="23">
        <v>20170.599999999999</v>
      </c>
      <c r="X11" s="23">
        <v>19547.400000000001</v>
      </c>
      <c r="Y11" s="23">
        <v>19332.3</v>
      </c>
      <c r="Z11" s="23">
        <v>30879.599999999999</v>
      </c>
      <c r="AA11" s="23">
        <v>34725.699999999997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11101.7</v>
      </c>
      <c r="E12" s="23">
        <v>12596.9</v>
      </c>
      <c r="F12" s="23">
        <v>12630.3</v>
      </c>
      <c r="G12" s="23">
        <v>11689.2</v>
      </c>
      <c r="H12" s="23">
        <v>11492.7</v>
      </c>
      <c r="I12" s="23">
        <v>13596.1</v>
      </c>
      <c r="J12" s="23">
        <v>15280.9</v>
      </c>
      <c r="K12" s="23">
        <v>16519.3</v>
      </c>
      <c r="L12" s="23">
        <v>19080.900000000001</v>
      </c>
      <c r="M12" s="23">
        <v>15854.5</v>
      </c>
      <c r="N12" s="23">
        <v>18676.7</v>
      </c>
      <c r="O12" s="23">
        <v>19392.599999999999</v>
      </c>
      <c r="P12" s="23">
        <v>20233</v>
      </c>
      <c r="Q12" s="23">
        <v>20061.900000000001</v>
      </c>
      <c r="R12" s="23">
        <v>21211</v>
      </c>
      <c r="S12" s="23">
        <v>21841.3</v>
      </c>
      <c r="T12" s="23">
        <v>22619.200000000001</v>
      </c>
      <c r="U12" s="23">
        <v>23804.1</v>
      </c>
      <c r="V12" s="23">
        <v>25039.1</v>
      </c>
      <c r="W12" s="23">
        <v>30685.3</v>
      </c>
      <c r="X12" s="23">
        <v>30977</v>
      </c>
      <c r="Y12" s="23">
        <v>32032.6</v>
      </c>
      <c r="Z12" s="23">
        <v>35187.300000000003</v>
      </c>
      <c r="AA12" s="23">
        <v>39695.5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10864.2</v>
      </c>
      <c r="E13" s="23">
        <v>12834.6</v>
      </c>
      <c r="F13" s="23">
        <v>12111.3</v>
      </c>
      <c r="G13" s="23">
        <v>11031.2</v>
      </c>
      <c r="H13" s="23">
        <v>11493.5</v>
      </c>
      <c r="I13" s="23">
        <v>14065.9</v>
      </c>
      <c r="J13" s="23">
        <v>16044.6</v>
      </c>
      <c r="K13" s="23">
        <v>18833.400000000001</v>
      </c>
      <c r="L13" s="23">
        <v>22940.400000000001</v>
      </c>
      <c r="M13" s="23">
        <v>20464</v>
      </c>
      <c r="N13" s="23">
        <v>22192.9</v>
      </c>
      <c r="O13" s="23">
        <v>22902</v>
      </c>
      <c r="P13" s="23">
        <v>24726</v>
      </c>
      <c r="Q13" s="23">
        <v>26411.7</v>
      </c>
      <c r="R13" s="23">
        <v>28150</v>
      </c>
      <c r="S13" s="23">
        <v>31536.799999999999</v>
      </c>
      <c r="T13" s="23">
        <v>30518</v>
      </c>
      <c r="U13" s="23">
        <v>35801</v>
      </c>
      <c r="V13" s="23">
        <v>39100.6</v>
      </c>
      <c r="W13" s="23">
        <v>42188.2</v>
      </c>
      <c r="X13" s="23">
        <v>41743.599999999999</v>
      </c>
      <c r="Y13" s="23">
        <v>44586.2</v>
      </c>
      <c r="Z13" s="23">
        <v>47712.6</v>
      </c>
      <c r="AA13" s="23">
        <v>59018.5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24019.299999999988</v>
      </c>
      <c r="E14" s="23">
        <v>29623.499999999971</v>
      </c>
      <c r="F14" s="23">
        <v>30369.600000000035</v>
      </c>
      <c r="G14" s="23">
        <v>27922.100000000006</v>
      </c>
      <c r="H14" s="23">
        <v>28225.500000000029</v>
      </c>
      <c r="I14" s="23">
        <v>33031.000000000029</v>
      </c>
      <c r="J14" s="23">
        <v>36528.899999999994</v>
      </c>
      <c r="K14" s="23">
        <v>40594.899999999994</v>
      </c>
      <c r="L14" s="23">
        <v>48258.899999999965</v>
      </c>
      <c r="M14" s="23">
        <v>42552.700000000012</v>
      </c>
      <c r="N14" s="23">
        <v>49380.499999999942</v>
      </c>
      <c r="O14" s="23">
        <v>50827.700000000012</v>
      </c>
      <c r="P14" s="23">
        <v>49773.199999999953</v>
      </c>
      <c r="Q14" s="23">
        <v>52615.400000000023</v>
      </c>
      <c r="R14" s="23">
        <v>55148.79999999993</v>
      </c>
      <c r="S14" s="23">
        <v>55697.400000000023</v>
      </c>
      <c r="T14" s="23">
        <v>54863.499999999942</v>
      </c>
      <c r="U14" s="23">
        <v>59336.799999999988</v>
      </c>
      <c r="V14" s="23">
        <v>65187.299999999988</v>
      </c>
      <c r="W14" s="23">
        <v>69409</v>
      </c>
      <c r="X14" s="23">
        <v>71791.599999999977</v>
      </c>
      <c r="Y14" s="23">
        <v>80128.900000000023</v>
      </c>
      <c r="Z14" s="23">
        <v>85921.700000000128</v>
      </c>
      <c r="AA14" s="23">
        <v>101461.69999999984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3336.2</v>
      </c>
      <c r="E15" s="23">
        <v>3930.2</v>
      </c>
      <c r="F15" s="23">
        <v>4134.3999999999996</v>
      </c>
      <c r="G15" s="23">
        <v>3731</v>
      </c>
      <c r="H15" s="23">
        <v>3405.3</v>
      </c>
      <c r="I15" s="23">
        <v>4421.3</v>
      </c>
      <c r="J15" s="23">
        <v>4677</v>
      </c>
      <c r="K15" s="23">
        <v>5249.9</v>
      </c>
      <c r="L15" s="23">
        <v>6394.7</v>
      </c>
      <c r="M15" s="23">
        <v>5597.8</v>
      </c>
      <c r="N15" s="23">
        <v>5607.4</v>
      </c>
      <c r="O15" s="23">
        <v>5690.2</v>
      </c>
      <c r="P15" s="23">
        <v>6411.7</v>
      </c>
      <c r="Q15" s="23">
        <v>6580.8</v>
      </c>
      <c r="R15" s="23">
        <v>6892.4</v>
      </c>
      <c r="S15" s="23">
        <v>7241.2</v>
      </c>
      <c r="T15" s="23">
        <v>6986.4</v>
      </c>
      <c r="U15" s="23">
        <v>7633.1</v>
      </c>
      <c r="V15" s="23">
        <v>8417.9</v>
      </c>
      <c r="W15" s="23">
        <v>8440.2999999999993</v>
      </c>
      <c r="X15" s="23">
        <v>8605.9</v>
      </c>
      <c r="Y15" s="23">
        <v>8478.1</v>
      </c>
      <c r="Z15" s="23">
        <v>9976.5</v>
      </c>
      <c r="AA15" s="23">
        <v>12613.8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166535.6</v>
      </c>
      <c r="E16" s="30">
        <f t="shared" ref="E16:Y16" si="0">SUM(E6:E15)</f>
        <v>190238.8</v>
      </c>
      <c r="F16" s="30">
        <f t="shared" si="0"/>
        <v>186424</v>
      </c>
      <c r="G16" s="30">
        <f t="shared" si="0"/>
        <v>170307.8</v>
      </c>
      <c r="H16" s="30">
        <f t="shared" si="0"/>
        <v>183256.6</v>
      </c>
      <c r="I16" s="30">
        <f t="shared" si="0"/>
        <v>217058.4</v>
      </c>
      <c r="J16" s="30">
        <f t="shared" si="0"/>
        <v>241593.2</v>
      </c>
      <c r="K16" s="30">
        <f t="shared" si="0"/>
        <v>274429.80000000005</v>
      </c>
      <c r="L16" s="30">
        <f t="shared" si="0"/>
        <v>320720.09999999998</v>
      </c>
      <c r="M16" s="30">
        <f t="shared" si="0"/>
        <v>282249.3</v>
      </c>
      <c r="N16" s="30">
        <f t="shared" si="0"/>
        <v>317377.5</v>
      </c>
      <c r="O16" s="30">
        <f t="shared" si="0"/>
        <v>333465.5</v>
      </c>
      <c r="P16" s="30">
        <f t="shared" si="0"/>
        <v>343268.1</v>
      </c>
      <c r="Q16" s="30">
        <f t="shared" si="0"/>
        <v>345870.2</v>
      </c>
      <c r="R16" s="30">
        <f t="shared" si="0"/>
        <v>362168.6</v>
      </c>
      <c r="S16" s="30">
        <f t="shared" si="0"/>
        <v>383948.79999999999</v>
      </c>
      <c r="T16" s="30">
        <f t="shared" si="0"/>
        <v>377878.6</v>
      </c>
      <c r="U16" s="30">
        <f t="shared" si="0"/>
        <v>412150.8</v>
      </c>
      <c r="V16" s="30">
        <f t="shared" si="0"/>
        <v>441983.8</v>
      </c>
      <c r="W16" s="30">
        <f t="shared" si="0"/>
        <v>473955.7</v>
      </c>
      <c r="X16" s="30">
        <f t="shared" si="0"/>
        <v>469239</v>
      </c>
      <c r="Y16" s="30">
        <f t="shared" si="0"/>
        <v>508282.2</v>
      </c>
      <c r="Z16" s="30">
        <f t="shared" ref="Z16:AA16" si="1">SUM(Z6:Z15)</f>
        <v>590308.80000000005</v>
      </c>
      <c r="AA16" s="30">
        <f t="shared" si="1"/>
        <v>679422.1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5983.2</v>
      </c>
      <c r="E18" s="19">
        <v>7110.6</v>
      </c>
      <c r="F18" s="19">
        <v>5934</v>
      </c>
      <c r="G18" s="19">
        <v>5200.5</v>
      </c>
      <c r="H18" s="19">
        <v>6902.7</v>
      </c>
      <c r="I18" s="19">
        <v>7327.1</v>
      </c>
      <c r="J18" s="19">
        <v>7565.4</v>
      </c>
      <c r="K18" s="19">
        <v>9726.5</v>
      </c>
      <c r="L18" s="19">
        <v>9711.2999999999993</v>
      </c>
      <c r="M18" s="19">
        <v>8348.7000000000007</v>
      </c>
      <c r="N18" s="19">
        <v>10521.9</v>
      </c>
      <c r="O18" s="19">
        <v>12038.3</v>
      </c>
      <c r="P18" s="19">
        <v>11574.1</v>
      </c>
      <c r="Q18" s="19">
        <v>12589.2</v>
      </c>
      <c r="R18" s="19">
        <v>12143.7</v>
      </c>
      <c r="S18" s="19">
        <v>10741.4</v>
      </c>
      <c r="T18" s="19">
        <v>11220.9</v>
      </c>
      <c r="U18" s="19">
        <v>14003.5</v>
      </c>
      <c r="V18" s="19">
        <v>12173.6</v>
      </c>
      <c r="W18" s="19">
        <v>12762.2</v>
      </c>
      <c r="X18" s="19">
        <v>13659.7</v>
      </c>
      <c r="Y18" s="19">
        <v>13091.4</v>
      </c>
      <c r="Z18" s="19">
        <v>18568.099999999999</v>
      </c>
      <c r="AA18" s="19">
        <v>20793.7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4075.640521784087</v>
      </c>
      <c r="E19" s="23">
        <v>4373.0000000000009</v>
      </c>
      <c r="F19" s="23">
        <v>4096.2999999999993</v>
      </c>
      <c r="G19" s="23">
        <v>3612.6317817522804</v>
      </c>
      <c r="H19" s="23">
        <v>4680.6000000000004</v>
      </c>
      <c r="I19" s="23">
        <v>5561</v>
      </c>
      <c r="J19" s="23">
        <v>5864.362611412178</v>
      </c>
      <c r="K19" s="23">
        <v>6246.5363436956368</v>
      </c>
      <c r="L19" s="23">
        <v>7725.0400541314048</v>
      </c>
      <c r="M19" s="23">
        <v>6028.5000000000009</v>
      </c>
      <c r="N19" s="23">
        <v>7826.1</v>
      </c>
      <c r="O19" s="23">
        <v>9053.8000000000011</v>
      </c>
      <c r="P19" s="23">
        <v>8732.9640227900982</v>
      </c>
      <c r="Q19" s="23">
        <v>7617.8681142010473</v>
      </c>
      <c r="R19" s="23">
        <v>6639.3288542273322</v>
      </c>
      <c r="S19" s="23">
        <v>6650.6720254394495</v>
      </c>
      <c r="T19" s="23">
        <v>6209.7</v>
      </c>
      <c r="U19" s="23">
        <v>7568.2308950258221</v>
      </c>
      <c r="V19" s="23">
        <v>7594.7000000000016</v>
      </c>
      <c r="W19" s="23">
        <v>7643.6000000000022</v>
      </c>
      <c r="X19" s="23">
        <v>6880.0246905605254</v>
      </c>
      <c r="Y19" s="23">
        <v>8033.827093345204</v>
      </c>
      <c r="Z19" s="23">
        <v>11587.66922184063</v>
      </c>
      <c r="AA19" s="23">
        <v>9877.5458259582174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29864.799999999999</v>
      </c>
      <c r="E20" s="23">
        <v>30800.6</v>
      </c>
      <c r="F20" s="23">
        <v>29861.3</v>
      </c>
      <c r="G20" s="23">
        <v>29737</v>
      </c>
      <c r="H20" s="23">
        <v>34356.1</v>
      </c>
      <c r="I20" s="23">
        <v>40404.699999999997</v>
      </c>
      <c r="J20" s="23">
        <v>45549.2</v>
      </c>
      <c r="K20" s="23">
        <v>52286.1</v>
      </c>
      <c r="L20" s="23">
        <v>60652.9</v>
      </c>
      <c r="M20" s="23">
        <v>53010.9</v>
      </c>
      <c r="N20" s="23">
        <v>58355.6</v>
      </c>
      <c r="O20" s="23">
        <v>61253.7</v>
      </c>
      <c r="P20" s="23">
        <v>64182.9</v>
      </c>
      <c r="Q20" s="23">
        <v>60704.5</v>
      </c>
      <c r="R20" s="23">
        <v>69105.899999999994</v>
      </c>
      <c r="S20" s="23">
        <v>76417.399999999994</v>
      </c>
      <c r="T20" s="23">
        <v>78155.5</v>
      </c>
      <c r="U20" s="23">
        <v>79206.7</v>
      </c>
      <c r="V20" s="23">
        <v>83076.899999999994</v>
      </c>
      <c r="W20" s="23">
        <v>89709.4</v>
      </c>
      <c r="X20" s="23">
        <v>86200.5</v>
      </c>
      <c r="Y20" s="23">
        <v>100862.8</v>
      </c>
      <c r="Z20" s="23">
        <v>116801</v>
      </c>
      <c r="AA20" s="23">
        <v>131271.20000000001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4226.342020123685</v>
      </c>
      <c r="E21" s="23">
        <v>5544.5000000000018</v>
      </c>
      <c r="F21" s="23">
        <v>5901.5999999999985</v>
      </c>
      <c r="G21" s="23">
        <v>5768.050743826373</v>
      </c>
      <c r="H21" s="23">
        <v>5577.9</v>
      </c>
      <c r="I21" s="23">
        <v>6605.5</v>
      </c>
      <c r="J21" s="23">
        <v>7247.5537927956657</v>
      </c>
      <c r="K21" s="23">
        <v>8010.1466047604927</v>
      </c>
      <c r="L21" s="23">
        <v>7901.5409692840522</v>
      </c>
      <c r="M21" s="23">
        <v>8256.8000000000011</v>
      </c>
      <c r="N21" s="23">
        <v>10139.4</v>
      </c>
      <c r="O21" s="23">
        <v>10112.600000000004</v>
      </c>
      <c r="P21" s="23">
        <v>11539.152462129794</v>
      </c>
      <c r="Q21" s="23">
        <v>12153.649128967994</v>
      </c>
      <c r="R21" s="23">
        <v>11965.752002624975</v>
      </c>
      <c r="S21" s="23">
        <v>12396.447857121826</v>
      </c>
      <c r="T21" s="23">
        <v>11740</v>
      </c>
      <c r="U21" s="23">
        <v>11711.547808870659</v>
      </c>
      <c r="V21" s="23">
        <v>11995.300000000003</v>
      </c>
      <c r="W21" s="23">
        <v>12468.600000000004</v>
      </c>
      <c r="X21" s="23">
        <v>14571.952294822519</v>
      </c>
      <c r="Y21" s="23">
        <v>14777.04983424557</v>
      </c>
      <c r="Z21" s="23">
        <v>18784.050107439485</v>
      </c>
      <c r="AA21" s="23">
        <v>26501.294278969479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1755.9174580922268</v>
      </c>
      <c r="E22" s="23">
        <v>2028.3000000000006</v>
      </c>
      <c r="F22" s="23">
        <v>2130.9999999999995</v>
      </c>
      <c r="G22" s="23">
        <v>1986.3174744213463</v>
      </c>
      <c r="H22" s="23">
        <v>2027</v>
      </c>
      <c r="I22" s="23">
        <v>2439.5</v>
      </c>
      <c r="J22" s="23">
        <v>2572.9835957921582</v>
      </c>
      <c r="K22" s="23">
        <v>2930.7170515438729</v>
      </c>
      <c r="L22" s="23">
        <v>3659.9189765845344</v>
      </c>
      <c r="M22" s="23">
        <v>3271.1000000000004</v>
      </c>
      <c r="N22" s="23">
        <v>3878.4</v>
      </c>
      <c r="O22" s="23">
        <v>3865.0000000000014</v>
      </c>
      <c r="P22" s="23">
        <v>4001.4835150801068</v>
      </c>
      <c r="Q22" s="23">
        <v>4119.5827568309687</v>
      </c>
      <c r="R22" s="23">
        <v>4404.8191431477044</v>
      </c>
      <c r="S22" s="23">
        <v>4726.8801174387254</v>
      </c>
      <c r="T22" s="23">
        <v>4836.1000000000004</v>
      </c>
      <c r="U22" s="23">
        <v>5216.8212961035269</v>
      </c>
      <c r="V22" s="23">
        <v>5601.1000000000022</v>
      </c>
      <c r="W22" s="23">
        <v>5883.7000000000016</v>
      </c>
      <c r="X22" s="23">
        <v>6413.0230146169552</v>
      </c>
      <c r="Y22" s="23">
        <v>6841.5230724092216</v>
      </c>
      <c r="Z22" s="23">
        <v>7277.2806707198843</v>
      </c>
      <c r="AA22" s="23">
        <v>6528.9598950722957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14034</v>
      </c>
      <c r="E23" s="23">
        <v>15744.7</v>
      </c>
      <c r="F23" s="23">
        <v>14309.9</v>
      </c>
      <c r="G23" s="23">
        <v>12047.5</v>
      </c>
      <c r="H23" s="23">
        <v>13790.8</v>
      </c>
      <c r="I23" s="23">
        <v>16736.8</v>
      </c>
      <c r="J23" s="23">
        <v>19222</v>
      </c>
      <c r="K23" s="23">
        <v>22555.7</v>
      </c>
      <c r="L23" s="23">
        <v>25938.6</v>
      </c>
      <c r="M23" s="23">
        <v>24672.799999999999</v>
      </c>
      <c r="N23" s="23">
        <v>26976</v>
      </c>
      <c r="O23" s="23">
        <v>31073.1</v>
      </c>
      <c r="P23" s="23">
        <v>28726.1</v>
      </c>
      <c r="Q23" s="23">
        <v>27294.799999999999</v>
      </c>
      <c r="R23" s="23">
        <v>30233.5</v>
      </c>
      <c r="S23" s="23">
        <v>33852.9</v>
      </c>
      <c r="T23" s="23">
        <v>30236.5</v>
      </c>
      <c r="U23" s="23">
        <v>31431.8</v>
      </c>
      <c r="V23" s="23">
        <v>37179.599999999999</v>
      </c>
      <c r="W23" s="23">
        <v>39530.400000000001</v>
      </c>
      <c r="X23" s="23">
        <v>37861.4</v>
      </c>
      <c r="Y23" s="23">
        <v>35558.6</v>
      </c>
      <c r="Z23" s="23">
        <v>38647.5</v>
      </c>
      <c r="AA23" s="23">
        <v>46816.6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33043.700000000004</v>
      </c>
      <c r="E24" s="23">
        <v>38474.200000000004</v>
      </c>
      <c r="F24" s="23">
        <v>37882.199999999997</v>
      </c>
      <c r="G24" s="23">
        <v>32662.899999999998</v>
      </c>
      <c r="H24" s="23">
        <v>34123</v>
      </c>
      <c r="I24" s="23">
        <v>40500.6</v>
      </c>
      <c r="J24" s="23">
        <v>44851.5</v>
      </c>
      <c r="K24" s="23">
        <v>49607.7</v>
      </c>
      <c r="L24" s="23">
        <v>57860.899999999994</v>
      </c>
      <c r="M24" s="23">
        <v>52842.5</v>
      </c>
      <c r="N24" s="23">
        <v>57208.299999999988</v>
      </c>
      <c r="O24" s="23">
        <v>58602.899999999994</v>
      </c>
      <c r="P24" s="23">
        <v>62349.600000000006</v>
      </c>
      <c r="Q24" s="23">
        <v>63390.399999999994</v>
      </c>
      <c r="R24" s="23">
        <v>58770.5</v>
      </c>
      <c r="S24" s="23">
        <v>62652.600000000006</v>
      </c>
      <c r="T24" s="23">
        <v>60567.899999999994</v>
      </c>
      <c r="U24" s="23">
        <v>67837</v>
      </c>
      <c r="V24" s="23">
        <v>70755.399999999994</v>
      </c>
      <c r="W24" s="23">
        <v>74570.600000000006</v>
      </c>
      <c r="X24" s="23">
        <v>73436.600000000006</v>
      </c>
      <c r="Y24" s="23">
        <v>81039.399999999994</v>
      </c>
      <c r="Z24" s="23">
        <v>91442</v>
      </c>
      <c r="AA24" s="23">
        <v>99372.300000000017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8552.7000000000007</v>
      </c>
      <c r="E25" s="23">
        <v>9647.2999999999993</v>
      </c>
      <c r="F25" s="23">
        <v>9932.9</v>
      </c>
      <c r="G25" s="23">
        <v>9475</v>
      </c>
      <c r="H25" s="23">
        <v>10265.1</v>
      </c>
      <c r="I25" s="23">
        <v>12684.1</v>
      </c>
      <c r="J25" s="23">
        <v>14658</v>
      </c>
      <c r="K25" s="23">
        <v>16210.1</v>
      </c>
      <c r="L25" s="23">
        <v>18229.5</v>
      </c>
      <c r="M25" s="23">
        <v>15977.9</v>
      </c>
      <c r="N25" s="23">
        <v>19140.400000000001</v>
      </c>
      <c r="O25" s="23">
        <v>19180.7</v>
      </c>
      <c r="P25" s="23">
        <v>21470.799999999999</v>
      </c>
      <c r="Q25" s="23">
        <v>22032.9</v>
      </c>
      <c r="R25" s="23">
        <v>23618</v>
      </c>
      <c r="S25" s="23">
        <v>25489.1</v>
      </c>
      <c r="T25" s="23">
        <v>25170.3</v>
      </c>
      <c r="U25" s="23">
        <v>28660.3</v>
      </c>
      <c r="V25" s="23">
        <v>32726.7</v>
      </c>
      <c r="W25" s="23">
        <v>34091.4</v>
      </c>
      <c r="X25" s="23">
        <v>31578.2</v>
      </c>
      <c r="Y25" s="23">
        <v>31635.4</v>
      </c>
      <c r="Z25" s="23">
        <v>38468</v>
      </c>
      <c r="AA25" s="23">
        <v>45582.8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2022.4</v>
      </c>
      <c r="E26" s="23">
        <v>2273.4</v>
      </c>
      <c r="F26" s="23">
        <v>2116.5</v>
      </c>
      <c r="G26" s="23">
        <v>1896.3</v>
      </c>
      <c r="H26" s="23">
        <v>1651.5</v>
      </c>
      <c r="I26" s="23">
        <v>2174.5</v>
      </c>
      <c r="J26" s="23">
        <v>2275.6999999999998</v>
      </c>
      <c r="K26" s="23">
        <v>2642.7</v>
      </c>
      <c r="L26" s="23">
        <v>3458</v>
      </c>
      <c r="M26" s="23">
        <v>2898.8</v>
      </c>
      <c r="N26" s="23">
        <v>3390.2</v>
      </c>
      <c r="O26" s="23">
        <v>3696.8</v>
      </c>
      <c r="P26" s="23">
        <v>3834.9</v>
      </c>
      <c r="Q26" s="23">
        <v>3706.7</v>
      </c>
      <c r="R26" s="23">
        <v>4692.5</v>
      </c>
      <c r="S26" s="23">
        <v>4831.8999999999996</v>
      </c>
      <c r="T26" s="23">
        <v>4714</v>
      </c>
      <c r="U26" s="23">
        <v>6065.8</v>
      </c>
      <c r="V26" s="23">
        <v>6194.8</v>
      </c>
      <c r="W26" s="23">
        <v>7016.5</v>
      </c>
      <c r="X26" s="23">
        <v>5251.2</v>
      </c>
      <c r="Y26" s="23">
        <v>6748.7</v>
      </c>
      <c r="Z26" s="23">
        <v>9468.4</v>
      </c>
      <c r="AA26" s="23">
        <v>11630.1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5858.2</v>
      </c>
      <c r="E27" s="23">
        <v>7443.2</v>
      </c>
      <c r="F27" s="23">
        <v>8221.2999999999993</v>
      </c>
      <c r="G27" s="23">
        <v>7535.7</v>
      </c>
      <c r="H27" s="23">
        <v>8713</v>
      </c>
      <c r="I27" s="23">
        <v>9623.4</v>
      </c>
      <c r="J27" s="23">
        <v>10265.4</v>
      </c>
      <c r="K27" s="23">
        <v>11541.9</v>
      </c>
      <c r="L27" s="23">
        <v>13737.1</v>
      </c>
      <c r="M27" s="23">
        <v>11703.3</v>
      </c>
      <c r="N27" s="23">
        <v>11128</v>
      </c>
      <c r="O27" s="23">
        <v>11245.7</v>
      </c>
      <c r="P27" s="23">
        <v>12231.7</v>
      </c>
      <c r="Q27" s="23">
        <v>12360.7</v>
      </c>
      <c r="R27" s="23">
        <v>13400.3</v>
      </c>
      <c r="S27" s="23">
        <v>14677.9</v>
      </c>
      <c r="T27" s="23">
        <v>14783.9</v>
      </c>
      <c r="U27" s="23">
        <v>16327.7</v>
      </c>
      <c r="V27" s="23">
        <v>17768.400000000001</v>
      </c>
      <c r="W27" s="23">
        <v>19385.900000000001</v>
      </c>
      <c r="X27" s="23">
        <v>20720.900000000001</v>
      </c>
      <c r="Y27" s="23">
        <v>25135.4</v>
      </c>
      <c r="Z27" s="23">
        <v>29587.1</v>
      </c>
      <c r="AA27" s="23">
        <v>33532.400000000001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7797.3</v>
      </c>
      <c r="E28" s="23">
        <v>7813.8</v>
      </c>
      <c r="F28" s="23">
        <v>6791.4</v>
      </c>
      <c r="G28" s="23">
        <v>6012.4</v>
      </c>
      <c r="H28" s="23">
        <v>6551.9</v>
      </c>
      <c r="I28" s="23">
        <v>7886.9</v>
      </c>
      <c r="J28" s="23">
        <v>8989.7000000000007</v>
      </c>
      <c r="K28" s="23">
        <v>11474.2</v>
      </c>
      <c r="L28" s="23">
        <v>15170.4</v>
      </c>
      <c r="M28" s="23">
        <v>10769</v>
      </c>
      <c r="N28" s="23">
        <v>12955.7</v>
      </c>
      <c r="O28" s="23">
        <v>14530.4</v>
      </c>
      <c r="P28" s="23">
        <v>13480.5</v>
      </c>
      <c r="Q28" s="23">
        <v>14230.1</v>
      </c>
      <c r="R28" s="23">
        <v>15792.1</v>
      </c>
      <c r="S28" s="23">
        <v>15194.9</v>
      </c>
      <c r="T28" s="23">
        <v>15256.7</v>
      </c>
      <c r="U28" s="23">
        <v>17546.400000000001</v>
      </c>
      <c r="V28" s="23">
        <v>19172.400000000001</v>
      </c>
      <c r="W28" s="23">
        <v>20170.599999999999</v>
      </c>
      <c r="X28" s="23">
        <v>19547.400000000001</v>
      </c>
      <c r="Y28" s="23">
        <v>19332.3</v>
      </c>
      <c r="Z28" s="23">
        <v>30879.599999999999</v>
      </c>
      <c r="AA28" s="23">
        <v>34725.699999999997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11101.7</v>
      </c>
      <c r="E29" s="23">
        <v>12596.9</v>
      </c>
      <c r="F29" s="23">
        <v>12630.3</v>
      </c>
      <c r="G29" s="23">
        <v>11689.2</v>
      </c>
      <c r="H29" s="23">
        <v>11492.7</v>
      </c>
      <c r="I29" s="23">
        <v>13596.1</v>
      </c>
      <c r="J29" s="23">
        <v>15280.9</v>
      </c>
      <c r="K29" s="23">
        <v>16519.3</v>
      </c>
      <c r="L29" s="23">
        <v>19080.900000000001</v>
      </c>
      <c r="M29" s="23">
        <v>15854.5</v>
      </c>
      <c r="N29" s="23">
        <v>18676.7</v>
      </c>
      <c r="O29" s="23">
        <v>19392.599999999999</v>
      </c>
      <c r="P29" s="23">
        <v>20233</v>
      </c>
      <c r="Q29" s="23">
        <v>20061.900000000001</v>
      </c>
      <c r="R29" s="23">
        <v>21211</v>
      </c>
      <c r="S29" s="23">
        <v>21841.3</v>
      </c>
      <c r="T29" s="23">
        <v>22619.200000000001</v>
      </c>
      <c r="U29" s="23">
        <v>23804.1</v>
      </c>
      <c r="V29" s="23">
        <v>25039.1</v>
      </c>
      <c r="W29" s="23">
        <v>30685.3</v>
      </c>
      <c r="X29" s="23">
        <v>30977</v>
      </c>
      <c r="Y29" s="23">
        <v>32032.6</v>
      </c>
      <c r="Z29" s="23">
        <v>35187.300000000003</v>
      </c>
      <c r="AA29" s="23">
        <v>39695.5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8602.1</v>
      </c>
      <c r="E30" s="23">
        <v>9719.2000000000007</v>
      </c>
      <c r="F30" s="23">
        <v>9316.4</v>
      </c>
      <c r="G30" s="23">
        <v>8648.3000000000011</v>
      </c>
      <c r="H30" s="23">
        <v>8663.2000000000007</v>
      </c>
      <c r="I30" s="23">
        <v>10904.599999999999</v>
      </c>
      <c r="J30" s="23">
        <v>12356.400000000001</v>
      </c>
      <c r="K30" s="23">
        <v>14280.7</v>
      </c>
      <c r="L30" s="23">
        <v>17207.100000000002</v>
      </c>
      <c r="M30" s="23">
        <v>15294.4</v>
      </c>
      <c r="N30" s="23">
        <v>15527.800000000001</v>
      </c>
      <c r="O30" s="23">
        <v>15607.9</v>
      </c>
      <c r="P30" s="23">
        <v>16695.599999999999</v>
      </c>
      <c r="Q30" s="23">
        <v>18267.300000000003</v>
      </c>
      <c r="R30" s="23">
        <v>19452.5</v>
      </c>
      <c r="S30" s="23">
        <v>21954.799999999999</v>
      </c>
      <c r="T30" s="23">
        <v>20600.3</v>
      </c>
      <c r="U30" s="23">
        <v>23883.7</v>
      </c>
      <c r="V30" s="23">
        <v>26223.699999999997</v>
      </c>
      <c r="W30" s="23">
        <v>27117.199999999997</v>
      </c>
      <c r="X30" s="23">
        <v>27153</v>
      </c>
      <c r="Y30" s="23">
        <v>28697.699999999997</v>
      </c>
      <c r="Z30" s="23">
        <v>30885.199999999997</v>
      </c>
      <c r="AA30" s="23">
        <v>38448.5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2262.1</v>
      </c>
      <c r="E31" s="23">
        <v>3115.4</v>
      </c>
      <c r="F31" s="23">
        <v>2794.9</v>
      </c>
      <c r="G31" s="23">
        <v>2382.9</v>
      </c>
      <c r="H31" s="23">
        <v>2830.3</v>
      </c>
      <c r="I31" s="23">
        <v>3161.3</v>
      </c>
      <c r="J31" s="23">
        <v>3688.2</v>
      </c>
      <c r="K31" s="23">
        <v>4552.7</v>
      </c>
      <c r="L31" s="23">
        <v>5733.3</v>
      </c>
      <c r="M31" s="23">
        <v>5169.6000000000004</v>
      </c>
      <c r="N31" s="23">
        <v>6665.1</v>
      </c>
      <c r="O31" s="23">
        <v>7294.1</v>
      </c>
      <c r="P31" s="23">
        <v>8030.4</v>
      </c>
      <c r="Q31" s="23">
        <v>8144.4</v>
      </c>
      <c r="R31" s="23">
        <v>8697.5</v>
      </c>
      <c r="S31" s="23">
        <v>9582</v>
      </c>
      <c r="T31" s="23">
        <v>9917.7000000000007</v>
      </c>
      <c r="U31" s="23">
        <v>11917.3</v>
      </c>
      <c r="V31" s="23">
        <v>12876.9</v>
      </c>
      <c r="W31" s="23">
        <v>15071</v>
      </c>
      <c r="X31" s="23">
        <v>14590.6</v>
      </c>
      <c r="Y31" s="23">
        <v>15888.5</v>
      </c>
      <c r="Z31" s="23">
        <v>16827.400000000001</v>
      </c>
      <c r="AA31" s="23">
        <v>20570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10359.599999999988</v>
      </c>
      <c r="E32" s="23">
        <v>12561.599999999969</v>
      </c>
      <c r="F32" s="23">
        <v>12479.800000000032</v>
      </c>
      <c r="G32" s="23">
        <v>11356.100000000006</v>
      </c>
      <c r="H32" s="23">
        <v>11544.400000000031</v>
      </c>
      <c r="I32" s="23">
        <v>13278.800000000028</v>
      </c>
      <c r="J32" s="23">
        <v>14712.899999999994</v>
      </c>
      <c r="K32" s="23">
        <v>16193.199999999997</v>
      </c>
      <c r="L32" s="23">
        <v>19418.299999999967</v>
      </c>
      <c r="M32" s="23">
        <v>17267.600000000013</v>
      </c>
      <c r="N32" s="23">
        <v>19481.899999999943</v>
      </c>
      <c r="O32" s="23">
        <v>19385.900000000009</v>
      </c>
      <c r="P32" s="23">
        <v>19769.699999999953</v>
      </c>
      <c r="Q32" s="23">
        <v>20349.800000000021</v>
      </c>
      <c r="R32" s="23">
        <v>20779.899999999929</v>
      </c>
      <c r="S32" s="23">
        <v>21339.000000000022</v>
      </c>
      <c r="T32" s="23">
        <v>21287.899999999943</v>
      </c>
      <c r="U32" s="23">
        <v>22897.69999999999</v>
      </c>
      <c r="V32" s="23">
        <v>23855.399999999987</v>
      </c>
      <c r="W32" s="23">
        <v>25819.5</v>
      </c>
      <c r="X32" s="23">
        <v>26901.599999999977</v>
      </c>
      <c r="Y32" s="23">
        <v>27940.800000000017</v>
      </c>
      <c r="Z32" s="23">
        <v>30834.800000000134</v>
      </c>
      <c r="AA32" s="23">
        <v>34837.49999999984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8531.5</v>
      </c>
      <c r="E33" s="23">
        <v>10338.5</v>
      </c>
      <c r="F33" s="23">
        <v>10264.700000000001</v>
      </c>
      <c r="G33" s="23">
        <v>9322.2000000000007</v>
      </c>
      <c r="H33" s="23">
        <v>9474.9</v>
      </c>
      <c r="I33" s="23">
        <v>11622.4</v>
      </c>
      <c r="J33" s="23">
        <v>12499.8</v>
      </c>
      <c r="K33" s="23">
        <v>13835.9</v>
      </c>
      <c r="L33" s="23">
        <v>16178.1</v>
      </c>
      <c r="M33" s="23">
        <v>14290.8</v>
      </c>
      <c r="N33" s="23">
        <v>16355.7</v>
      </c>
      <c r="O33" s="23">
        <v>16677.7</v>
      </c>
      <c r="P33" s="23">
        <v>16622.900000000001</v>
      </c>
      <c r="Q33" s="23">
        <v>16912.400000000001</v>
      </c>
      <c r="R33" s="23">
        <v>17543.400000000001</v>
      </c>
      <c r="S33" s="23">
        <v>18112.400000000001</v>
      </c>
      <c r="T33" s="23">
        <v>17493.599999999999</v>
      </c>
      <c r="U33" s="23">
        <v>18664.099999999999</v>
      </c>
      <c r="V33" s="23">
        <v>20111</v>
      </c>
      <c r="W33" s="23">
        <v>21884.799999999999</v>
      </c>
      <c r="X33" s="23">
        <v>22806.9</v>
      </c>
      <c r="Y33" s="23">
        <v>24094.9</v>
      </c>
      <c r="Z33" s="23">
        <v>25632.6</v>
      </c>
      <c r="AA33" s="23">
        <v>29736.7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5128.2</v>
      </c>
      <c r="E34" s="23">
        <v>6723.4</v>
      </c>
      <c r="F34" s="23">
        <v>7625.1</v>
      </c>
      <c r="G34" s="23">
        <v>7243.8</v>
      </c>
      <c r="H34" s="23">
        <v>7206.2</v>
      </c>
      <c r="I34" s="23">
        <v>8129.8</v>
      </c>
      <c r="J34" s="23">
        <v>9316.2000000000007</v>
      </c>
      <c r="K34" s="23">
        <v>10565.8</v>
      </c>
      <c r="L34" s="23">
        <v>12662.5</v>
      </c>
      <c r="M34" s="23">
        <v>10994.3</v>
      </c>
      <c r="N34" s="23">
        <v>13542.9</v>
      </c>
      <c r="O34" s="23">
        <v>14764.1</v>
      </c>
      <c r="P34" s="23">
        <v>13380.6</v>
      </c>
      <c r="Q34" s="23">
        <v>15353.2</v>
      </c>
      <c r="R34" s="23">
        <v>16825.5</v>
      </c>
      <c r="S34" s="23">
        <v>16246</v>
      </c>
      <c r="T34" s="23">
        <v>16082</v>
      </c>
      <c r="U34" s="23">
        <v>17775</v>
      </c>
      <c r="V34" s="23">
        <v>21220.9</v>
      </c>
      <c r="W34" s="23">
        <v>21704.7</v>
      </c>
      <c r="X34" s="23">
        <v>22083.1</v>
      </c>
      <c r="Y34" s="23">
        <v>28093.200000000001</v>
      </c>
      <c r="Z34" s="23">
        <v>29454.3</v>
      </c>
      <c r="AA34" s="23">
        <v>36887.5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1262.1999999999998</v>
      </c>
      <c r="E35" s="23">
        <v>1429.4</v>
      </c>
      <c r="F35" s="23">
        <v>1434.3999999999996</v>
      </c>
      <c r="G35" s="23">
        <v>1329.2000000000003</v>
      </c>
      <c r="H35" s="23">
        <v>1318.8000000000002</v>
      </c>
      <c r="I35" s="23">
        <v>1755.6</v>
      </c>
      <c r="J35" s="23">
        <v>1818.9</v>
      </c>
      <c r="K35" s="23">
        <v>2256.9999999999995</v>
      </c>
      <c r="L35" s="23">
        <v>2994.7999999999997</v>
      </c>
      <c r="M35" s="23">
        <v>2637.3</v>
      </c>
      <c r="N35" s="23">
        <v>2892.0999999999995</v>
      </c>
      <c r="O35" s="23">
        <v>2847.5999999999995</v>
      </c>
      <c r="P35" s="23">
        <v>2742.1</v>
      </c>
      <c r="Q35" s="23">
        <v>2681.3</v>
      </c>
      <c r="R35" s="23">
        <v>2738</v>
      </c>
      <c r="S35" s="23">
        <v>2993.5</v>
      </c>
      <c r="T35" s="23">
        <v>3127.1</v>
      </c>
      <c r="U35" s="23">
        <v>3165.4000000000005</v>
      </c>
      <c r="V35" s="23">
        <v>3662.0999999999995</v>
      </c>
      <c r="W35" s="23">
        <v>3685.7999999999993</v>
      </c>
      <c r="X35" s="23">
        <v>3731.4999999999991</v>
      </c>
      <c r="Y35" s="23">
        <v>3891.4000000000005</v>
      </c>
      <c r="Z35" s="23">
        <v>4413</v>
      </c>
      <c r="AA35" s="23">
        <v>6148.5999999999995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2059.5</v>
      </c>
      <c r="E36" s="23">
        <v>2483.6</v>
      </c>
      <c r="F36" s="23">
        <v>2682.9</v>
      </c>
      <c r="G36" s="23">
        <v>2386.1</v>
      </c>
      <c r="H36" s="23">
        <v>2069.6999999999998</v>
      </c>
      <c r="I36" s="23">
        <v>2643.3</v>
      </c>
      <c r="J36" s="23">
        <v>2833.2</v>
      </c>
      <c r="K36" s="23">
        <v>2963.8</v>
      </c>
      <c r="L36" s="23">
        <v>3364.9</v>
      </c>
      <c r="M36" s="23">
        <v>2930</v>
      </c>
      <c r="N36" s="23">
        <v>2667.5</v>
      </c>
      <c r="O36" s="23">
        <v>2793.3</v>
      </c>
      <c r="P36" s="23">
        <v>3619.4</v>
      </c>
      <c r="Q36" s="23">
        <v>3844</v>
      </c>
      <c r="R36" s="23">
        <v>4099.3999999999996</v>
      </c>
      <c r="S36" s="23">
        <v>4191.8</v>
      </c>
      <c r="T36" s="23">
        <v>3804.1</v>
      </c>
      <c r="U36" s="23">
        <v>4408.7</v>
      </c>
      <c r="V36" s="23">
        <v>4686.1000000000004</v>
      </c>
      <c r="W36" s="23">
        <v>4677</v>
      </c>
      <c r="X36" s="23">
        <v>4798.3</v>
      </c>
      <c r="Y36" s="23">
        <v>4528.3999999999996</v>
      </c>
      <c r="Z36" s="23">
        <v>5495</v>
      </c>
      <c r="AA36" s="23">
        <v>6391.2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14.5</v>
      </c>
      <c r="E37" s="23">
        <v>17.2</v>
      </c>
      <c r="F37" s="23">
        <v>17.100000000000001</v>
      </c>
      <c r="G37" s="23">
        <v>15.7</v>
      </c>
      <c r="H37" s="23">
        <v>16.8</v>
      </c>
      <c r="I37" s="23">
        <v>22.4</v>
      </c>
      <c r="J37" s="23">
        <v>24.9</v>
      </c>
      <c r="K37" s="23">
        <v>29.1</v>
      </c>
      <c r="L37" s="23">
        <v>35</v>
      </c>
      <c r="M37" s="23">
        <v>30.5</v>
      </c>
      <c r="N37" s="23">
        <v>47.8</v>
      </c>
      <c r="O37" s="23">
        <v>49.3</v>
      </c>
      <c r="P37" s="23">
        <v>50.2</v>
      </c>
      <c r="Q37" s="23">
        <v>55.5</v>
      </c>
      <c r="R37" s="23">
        <v>55</v>
      </c>
      <c r="S37" s="23">
        <v>55.9</v>
      </c>
      <c r="T37" s="23">
        <v>55.2</v>
      </c>
      <c r="U37" s="23">
        <v>59</v>
      </c>
      <c r="V37" s="23">
        <v>69.7</v>
      </c>
      <c r="W37" s="23">
        <v>77.5</v>
      </c>
      <c r="X37" s="23">
        <v>76.099999999999994</v>
      </c>
      <c r="Y37" s="23">
        <v>58.3</v>
      </c>
      <c r="Z37" s="23">
        <v>68.5</v>
      </c>
      <c r="AA37" s="23">
        <v>74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166535.6</v>
      </c>
      <c r="E39" s="30">
        <f t="shared" ref="E39:Y39" si="2">SUM(E18:E38)</f>
        <v>190238.79999999996</v>
      </c>
      <c r="F39" s="30">
        <f t="shared" si="2"/>
        <v>186424</v>
      </c>
      <c r="G39" s="30">
        <f t="shared" si="2"/>
        <v>170307.80000000002</v>
      </c>
      <c r="H39" s="30">
        <f t="shared" si="2"/>
        <v>183256.6</v>
      </c>
      <c r="I39" s="30">
        <f t="shared" si="2"/>
        <v>217058.39999999997</v>
      </c>
      <c r="J39" s="30">
        <f t="shared" si="2"/>
        <v>241593.2</v>
      </c>
      <c r="K39" s="30">
        <f t="shared" si="2"/>
        <v>274429.8</v>
      </c>
      <c r="L39" s="30">
        <f t="shared" si="2"/>
        <v>320720.09999999998</v>
      </c>
      <c r="M39" s="30">
        <f t="shared" si="2"/>
        <v>282249.3</v>
      </c>
      <c r="N39" s="30">
        <f t="shared" si="2"/>
        <v>317377.49999999994</v>
      </c>
      <c r="O39" s="30">
        <f t="shared" si="2"/>
        <v>333465.49999999994</v>
      </c>
      <c r="P39" s="30">
        <f t="shared" si="2"/>
        <v>343268.09999999992</v>
      </c>
      <c r="Q39" s="30">
        <f t="shared" si="2"/>
        <v>345870.20000000013</v>
      </c>
      <c r="R39" s="30">
        <f t="shared" si="2"/>
        <v>362168.6</v>
      </c>
      <c r="S39" s="30">
        <f t="shared" si="2"/>
        <v>383948.79999999999</v>
      </c>
      <c r="T39" s="30">
        <f t="shared" si="2"/>
        <v>377878.59999999992</v>
      </c>
      <c r="U39" s="30">
        <f t="shared" si="2"/>
        <v>412150.8</v>
      </c>
      <c r="V39" s="30">
        <f t="shared" si="2"/>
        <v>441983.80000000005</v>
      </c>
      <c r="W39" s="30">
        <f t="shared" si="2"/>
        <v>473955.7</v>
      </c>
      <c r="X39" s="30">
        <f t="shared" si="2"/>
        <v>469239</v>
      </c>
      <c r="Y39" s="30">
        <f t="shared" si="2"/>
        <v>508282.20000000007</v>
      </c>
      <c r="Z39" s="30">
        <f t="shared" ref="Z39:AA39" si="3">SUM(Z18:Z38)</f>
        <v>590308.80000000016</v>
      </c>
      <c r="AA39" s="30">
        <f t="shared" si="3"/>
        <v>679422.09999999974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5597.3</v>
      </c>
      <c r="E41" s="19">
        <v>5707.1</v>
      </c>
      <c r="F41" s="19">
        <v>5515.4</v>
      </c>
      <c r="G41" s="19">
        <v>5222.7</v>
      </c>
      <c r="H41" s="19">
        <v>4930.3999999999996</v>
      </c>
      <c r="I41" s="19">
        <v>7099.9</v>
      </c>
      <c r="J41" s="19">
        <v>7948.6</v>
      </c>
      <c r="K41" s="19">
        <v>8043.7</v>
      </c>
      <c r="L41" s="19">
        <v>9944.2000000000007</v>
      </c>
      <c r="M41" s="19">
        <v>9954.7000000000007</v>
      </c>
      <c r="N41" s="19">
        <v>10450.6</v>
      </c>
      <c r="O41" s="19">
        <v>9798.2999999999993</v>
      </c>
      <c r="P41" s="19">
        <v>9984</v>
      </c>
      <c r="Q41" s="19">
        <v>9912.2999999999993</v>
      </c>
      <c r="R41" s="19">
        <v>12105.5</v>
      </c>
      <c r="S41" s="19">
        <v>13667.9</v>
      </c>
      <c r="T41" s="19">
        <v>13559.3</v>
      </c>
      <c r="U41" s="19">
        <v>13596.2</v>
      </c>
      <c r="V41" s="19">
        <v>14292.4</v>
      </c>
      <c r="W41" s="19">
        <v>15332.5</v>
      </c>
      <c r="X41" s="19">
        <v>13266.5</v>
      </c>
      <c r="Y41" s="19">
        <v>14033.6</v>
      </c>
      <c r="Z41" s="19">
        <v>15871.8</v>
      </c>
      <c r="AA41" s="19">
        <v>17925.559441740566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1808</v>
      </c>
      <c r="E42" s="23">
        <v>1874.9</v>
      </c>
      <c r="F42" s="23">
        <v>1823.5</v>
      </c>
      <c r="G42" s="23">
        <v>1682.7</v>
      </c>
      <c r="H42" s="23">
        <v>1815.9</v>
      </c>
      <c r="I42" s="23">
        <v>2004.2</v>
      </c>
      <c r="J42" s="23">
        <v>2215.1</v>
      </c>
      <c r="K42" s="23">
        <v>2545.9</v>
      </c>
      <c r="L42" s="23">
        <v>2640</v>
      </c>
      <c r="M42" s="23">
        <v>2109.9</v>
      </c>
      <c r="N42" s="23">
        <v>2142.1</v>
      </c>
      <c r="O42" s="23">
        <v>2257</v>
      </c>
      <c r="P42" s="23">
        <v>2344.5</v>
      </c>
      <c r="Q42" s="23">
        <v>2027.2</v>
      </c>
      <c r="R42" s="23">
        <v>2371.6999999999998</v>
      </c>
      <c r="S42" s="23">
        <v>2495.9</v>
      </c>
      <c r="T42" s="23">
        <v>2672.6</v>
      </c>
      <c r="U42" s="23">
        <v>2612.1999999999998</v>
      </c>
      <c r="V42" s="23">
        <v>2612</v>
      </c>
      <c r="W42" s="23">
        <v>2748.3</v>
      </c>
      <c r="X42" s="23">
        <v>2637</v>
      </c>
      <c r="Y42" s="23">
        <v>3077.8</v>
      </c>
      <c r="Z42" s="23">
        <v>3013.4</v>
      </c>
      <c r="AA42" s="23">
        <v>3127.7876553787773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3015.3</v>
      </c>
      <c r="E43" s="23">
        <v>3075.1</v>
      </c>
      <c r="F43" s="23">
        <v>2992.4</v>
      </c>
      <c r="G43" s="23">
        <v>2856.2</v>
      </c>
      <c r="H43" s="23">
        <v>3250.6</v>
      </c>
      <c r="I43" s="23">
        <v>3706.9</v>
      </c>
      <c r="J43" s="23">
        <v>3979.3</v>
      </c>
      <c r="K43" s="23">
        <v>5103.5</v>
      </c>
      <c r="L43" s="23">
        <v>5193.5</v>
      </c>
      <c r="M43" s="23">
        <v>4660.8</v>
      </c>
      <c r="N43" s="23">
        <v>5173.8999999999996</v>
      </c>
      <c r="O43" s="23">
        <v>5482.9</v>
      </c>
      <c r="P43" s="23">
        <v>5889.8</v>
      </c>
      <c r="Q43" s="23">
        <v>5154.5</v>
      </c>
      <c r="R43" s="23">
        <v>6161.6</v>
      </c>
      <c r="S43" s="23">
        <v>6919.1</v>
      </c>
      <c r="T43" s="23">
        <v>6858.7</v>
      </c>
      <c r="U43" s="23">
        <v>6960.8</v>
      </c>
      <c r="V43" s="23">
        <v>7377.4</v>
      </c>
      <c r="W43" s="23">
        <v>7864.4</v>
      </c>
      <c r="X43" s="23">
        <v>7725.6</v>
      </c>
      <c r="Y43" s="23">
        <v>9812.7000000000007</v>
      </c>
      <c r="Z43" s="23">
        <v>10644</v>
      </c>
      <c r="AA43" s="23">
        <v>11628.811240126806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842.8</v>
      </c>
      <c r="E44" s="23">
        <v>846.1</v>
      </c>
      <c r="F44" s="23">
        <v>829.6</v>
      </c>
      <c r="G44" s="23">
        <v>981.7</v>
      </c>
      <c r="H44" s="23">
        <v>2692</v>
      </c>
      <c r="I44" s="23">
        <v>1553.1</v>
      </c>
      <c r="J44" s="23">
        <v>1261.8</v>
      </c>
      <c r="K44" s="23">
        <v>1343.9</v>
      </c>
      <c r="L44" s="23">
        <v>2397.1</v>
      </c>
      <c r="M44" s="23">
        <v>1794.5</v>
      </c>
      <c r="N44" s="23">
        <v>2069.6999999999998</v>
      </c>
      <c r="O44" s="23">
        <v>2534.6</v>
      </c>
      <c r="P44" s="23">
        <v>2607.1</v>
      </c>
      <c r="Q44" s="23">
        <v>2236.6</v>
      </c>
      <c r="R44" s="23">
        <v>1281.2</v>
      </c>
      <c r="S44" s="23">
        <v>2036</v>
      </c>
      <c r="T44" s="23">
        <v>2400.8000000000002</v>
      </c>
      <c r="U44" s="23">
        <v>2346</v>
      </c>
      <c r="V44" s="23">
        <v>2460.1999999999998</v>
      </c>
      <c r="W44" s="23">
        <v>2667.3</v>
      </c>
      <c r="X44" s="23">
        <v>2021.6</v>
      </c>
      <c r="Y44" s="23">
        <v>3511.6</v>
      </c>
      <c r="Z44" s="23">
        <v>8176.7</v>
      </c>
      <c r="AA44" s="23">
        <v>11052.798536278266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1676.6</v>
      </c>
      <c r="E45" s="23">
        <v>1749.1</v>
      </c>
      <c r="F45" s="23">
        <v>1701.7</v>
      </c>
      <c r="G45" s="23">
        <v>1579.7</v>
      </c>
      <c r="H45" s="23">
        <v>1726.8</v>
      </c>
      <c r="I45" s="23">
        <v>2048.5</v>
      </c>
      <c r="J45" s="23">
        <v>2294.6999999999998</v>
      </c>
      <c r="K45" s="23">
        <v>2334.1999999999998</v>
      </c>
      <c r="L45" s="23">
        <v>2616.1</v>
      </c>
      <c r="M45" s="23">
        <v>2116.6</v>
      </c>
      <c r="N45" s="23">
        <v>2930.9</v>
      </c>
      <c r="O45" s="23">
        <v>3354.9</v>
      </c>
      <c r="P45" s="23">
        <v>3367.3</v>
      </c>
      <c r="Q45" s="23">
        <v>2942.5</v>
      </c>
      <c r="R45" s="23">
        <v>3278</v>
      </c>
      <c r="S45" s="23">
        <v>3889.2</v>
      </c>
      <c r="T45" s="23">
        <v>4133.3999999999996</v>
      </c>
      <c r="U45" s="23">
        <v>3731.3</v>
      </c>
      <c r="V45" s="23">
        <v>3715.4</v>
      </c>
      <c r="W45" s="23">
        <v>4036</v>
      </c>
      <c r="X45" s="23">
        <v>4118.6000000000004</v>
      </c>
      <c r="Y45" s="23">
        <v>4889.3999999999996</v>
      </c>
      <c r="Z45" s="23">
        <v>5461.3</v>
      </c>
      <c r="AA45" s="23">
        <v>6054.6431221988469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551.6</v>
      </c>
      <c r="E46" s="23">
        <v>571.9</v>
      </c>
      <c r="F46" s="23">
        <v>579.4</v>
      </c>
      <c r="G46" s="23">
        <v>475</v>
      </c>
      <c r="H46" s="23">
        <v>470.1</v>
      </c>
      <c r="I46" s="23">
        <v>622.20000000000005</v>
      </c>
      <c r="J46" s="23">
        <v>664.5</v>
      </c>
      <c r="K46" s="23">
        <v>1125.0999999999999</v>
      </c>
      <c r="L46" s="23">
        <v>1298.9000000000001</v>
      </c>
      <c r="M46" s="23">
        <v>1180.5999999999999</v>
      </c>
      <c r="N46" s="23">
        <v>1249.9000000000001</v>
      </c>
      <c r="O46" s="23">
        <v>1079.5</v>
      </c>
      <c r="P46" s="23">
        <v>1158</v>
      </c>
      <c r="Q46" s="23">
        <v>1183.0999999999999</v>
      </c>
      <c r="R46" s="23">
        <v>1330.7</v>
      </c>
      <c r="S46" s="23">
        <v>1367.1</v>
      </c>
      <c r="T46" s="23">
        <v>1297.2</v>
      </c>
      <c r="U46" s="23">
        <v>1193.5999999999999</v>
      </c>
      <c r="V46" s="23">
        <v>1921.4</v>
      </c>
      <c r="W46" s="23">
        <v>1438.2</v>
      </c>
      <c r="X46" s="23">
        <v>1530.3</v>
      </c>
      <c r="Y46" s="23">
        <v>1764</v>
      </c>
      <c r="Z46" s="23">
        <v>1705.9</v>
      </c>
      <c r="AA46" s="23">
        <v>1748.0117358854147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4205.1000000000004</v>
      </c>
      <c r="E47" s="23">
        <v>4381.3999999999996</v>
      </c>
      <c r="F47" s="23">
        <v>4239.6000000000004</v>
      </c>
      <c r="G47" s="23">
        <v>4232.3999999999996</v>
      </c>
      <c r="H47" s="23">
        <v>4614.7</v>
      </c>
      <c r="I47" s="23">
        <v>5411.9</v>
      </c>
      <c r="J47" s="23">
        <v>6274</v>
      </c>
      <c r="K47" s="23">
        <v>7779.2</v>
      </c>
      <c r="L47" s="23">
        <v>8452.5</v>
      </c>
      <c r="M47" s="23">
        <v>6992.3</v>
      </c>
      <c r="N47" s="23">
        <v>7896.7</v>
      </c>
      <c r="O47" s="23">
        <v>8122.6</v>
      </c>
      <c r="P47" s="23">
        <v>8262.2000000000007</v>
      </c>
      <c r="Q47" s="23">
        <v>8049.6</v>
      </c>
      <c r="R47" s="23">
        <v>9023</v>
      </c>
      <c r="S47" s="23">
        <v>9876.2000000000007</v>
      </c>
      <c r="T47" s="23">
        <v>10237.4</v>
      </c>
      <c r="U47" s="23">
        <v>10460.200000000001</v>
      </c>
      <c r="V47" s="23">
        <v>11170.7</v>
      </c>
      <c r="W47" s="23">
        <v>12033</v>
      </c>
      <c r="X47" s="23">
        <v>12559.3</v>
      </c>
      <c r="Y47" s="23">
        <v>14170.9</v>
      </c>
      <c r="Z47" s="23">
        <v>15251.3</v>
      </c>
      <c r="AA47" s="23">
        <v>16597.163115846575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3127.6</v>
      </c>
      <c r="E48" s="23">
        <v>3215.1</v>
      </c>
      <c r="F48" s="23">
        <v>3095.3</v>
      </c>
      <c r="G48" s="23">
        <v>3128.5</v>
      </c>
      <c r="H48" s="23">
        <v>4296.6000000000004</v>
      </c>
      <c r="I48" s="23">
        <v>5001.5</v>
      </c>
      <c r="J48" s="23">
        <v>6505</v>
      </c>
      <c r="K48" s="23">
        <v>7528.6</v>
      </c>
      <c r="L48" s="23">
        <v>8051.6</v>
      </c>
      <c r="M48" s="23">
        <v>6514.9</v>
      </c>
      <c r="N48" s="23">
        <v>7161.2</v>
      </c>
      <c r="O48" s="23">
        <v>8637.7999999999993</v>
      </c>
      <c r="P48" s="23">
        <v>8901.7000000000007</v>
      </c>
      <c r="Q48" s="23">
        <v>7950</v>
      </c>
      <c r="R48" s="23">
        <v>9751.5</v>
      </c>
      <c r="S48" s="23">
        <v>10969.9</v>
      </c>
      <c r="T48" s="23">
        <v>11603.9</v>
      </c>
      <c r="U48" s="23">
        <v>11501.3</v>
      </c>
      <c r="V48" s="23">
        <v>12023.2</v>
      </c>
      <c r="W48" s="23">
        <v>13198.3</v>
      </c>
      <c r="X48" s="23">
        <v>12902.3</v>
      </c>
      <c r="Y48" s="23">
        <v>16239.2</v>
      </c>
      <c r="Z48" s="23">
        <v>18392.7</v>
      </c>
      <c r="AA48" s="23">
        <v>20533.273812838626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869</v>
      </c>
      <c r="E49" s="23">
        <v>908.5</v>
      </c>
      <c r="F49" s="23">
        <v>883.8</v>
      </c>
      <c r="G49" s="23">
        <v>951</v>
      </c>
      <c r="H49" s="23">
        <v>947.9</v>
      </c>
      <c r="I49" s="23">
        <v>1128.8</v>
      </c>
      <c r="J49" s="23">
        <v>1329.9</v>
      </c>
      <c r="K49" s="23">
        <v>1322.3</v>
      </c>
      <c r="L49" s="23">
        <v>1687.3</v>
      </c>
      <c r="M49" s="23">
        <v>2059.8000000000002</v>
      </c>
      <c r="N49" s="23">
        <v>1830.9</v>
      </c>
      <c r="O49" s="23">
        <v>1665.3</v>
      </c>
      <c r="P49" s="23">
        <v>1694.3</v>
      </c>
      <c r="Q49" s="23">
        <v>1512.3</v>
      </c>
      <c r="R49" s="23">
        <v>1643.5</v>
      </c>
      <c r="S49" s="23">
        <v>1584.1</v>
      </c>
      <c r="T49" s="23">
        <v>1674</v>
      </c>
      <c r="U49" s="23">
        <v>1681.7</v>
      </c>
      <c r="V49" s="23">
        <v>2010.3</v>
      </c>
      <c r="W49" s="23">
        <v>2139.8000000000002</v>
      </c>
      <c r="X49" s="23">
        <v>2226.4</v>
      </c>
      <c r="Y49" s="23">
        <v>2546.4</v>
      </c>
      <c r="Z49" s="23">
        <v>2951.7</v>
      </c>
      <c r="AA49" s="23">
        <v>3333.6292122430059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1259.2</v>
      </c>
      <c r="E50" s="23">
        <v>1333.6</v>
      </c>
      <c r="F50" s="23">
        <v>1294.7</v>
      </c>
      <c r="G50" s="23">
        <v>1389.2</v>
      </c>
      <c r="H50" s="23">
        <v>1339.1</v>
      </c>
      <c r="I50" s="23">
        <v>1563.5</v>
      </c>
      <c r="J50" s="23">
        <v>1809.1</v>
      </c>
      <c r="K50" s="23">
        <v>2010.2</v>
      </c>
      <c r="L50" s="23">
        <v>2630.6</v>
      </c>
      <c r="M50" s="23">
        <v>2131.1999999999998</v>
      </c>
      <c r="N50" s="23">
        <v>2316.6</v>
      </c>
      <c r="O50" s="23">
        <v>2448.1999999999998</v>
      </c>
      <c r="P50" s="23">
        <v>2563.6</v>
      </c>
      <c r="Q50" s="23">
        <v>2348.1</v>
      </c>
      <c r="R50" s="23">
        <v>2721.8</v>
      </c>
      <c r="S50" s="23">
        <v>3151.9</v>
      </c>
      <c r="T50" s="23">
        <v>2880.7</v>
      </c>
      <c r="U50" s="23">
        <v>2824.5</v>
      </c>
      <c r="V50" s="23">
        <v>3188.8</v>
      </c>
      <c r="W50" s="23">
        <v>3089.2</v>
      </c>
      <c r="X50" s="23">
        <v>4278.8999999999996</v>
      </c>
      <c r="Y50" s="23">
        <v>5241.6000000000004</v>
      </c>
      <c r="Z50" s="23">
        <v>6917.9</v>
      </c>
      <c r="AA50" s="23">
        <v>8336.8457270572926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1585.7</v>
      </c>
      <c r="E51" s="23">
        <v>1683.2</v>
      </c>
      <c r="F51" s="23">
        <v>1634</v>
      </c>
      <c r="G51" s="23">
        <v>1566.1</v>
      </c>
      <c r="H51" s="23">
        <v>1709.6</v>
      </c>
      <c r="I51" s="23">
        <v>2165.8000000000002</v>
      </c>
      <c r="J51" s="23">
        <v>2483.1</v>
      </c>
      <c r="K51" s="23">
        <v>3294.4</v>
      </c>
      <c r="L51" s="23">
        <v>3841.6</v>
      </c>
      <c r="M51" s="23">
        <v>3647.5</v>
      </c>
      <c r="N51" s="23">
        <v>3414.3</v>
      </c>
      <c r="O51" s="23">
        <v>3320.4</v>
      </c>
      <c r="P51" s="23">
        <v>3366.1</v>
      </c>
      <c r="Q51" s="23">
        <v>2930.6</v>
      </c>
      <c r="R51" s="23">
        <v>3202</v>
      </c>
      <c r="S51" s="23">
        <v>3493.2</v>
      </c>
      <c r="T51" s="23">
        <v>3348</v>
      </c>
      <c r="U51" s="23">
        <v>3731.3</v>
      </c>
      <c r="V51" s="23">
        <v>3996.9</v>
      </c>
      <c r="W51" s="23">
        <v>4495.3</v>
      </c>
      <c r="X51" s="23">
        <v>4166.6000000000004</v>
      </c>
      <c r="Y51" s="23">
        <v>4799.6000000000004</v>
      </c>
      <c r="Z51" s="23">
        <v>5227.2</v>
      </c>
      <c r="AA51" s="23">
        <v>5722.3370748145835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2175.3000000000002</v>
      </c>
      <c r="E52" s="23">
        <v>2267.9</v>
      </c>
      <c r="F52" s="23">
        <v>2193.1999999999998</v>
      </c>
      <c r="G52" s="23">
        <v>2682.5</v>
      </c>
      <c r="H52" s="23">
        <v>3261.7</v>
      </c>
      <c r="I52" s="23">
        <v>3925.7</v>
      </c>
      <c r="J52" s="23">
        <v>4286.6000000000004</v>
      </c>
      <c r="K52" s="23">
        <v>4395.7</v>
      </c>
      <c r="L52" s="23">
        <v>5155.6000000000004</v>
      </c>
      <c r="M52" s="23">
        <v>4533.8999999999996</v>
      </c>
      <c r="N52" s="23">
        <v>5656.5</v>
      </c>
      <c r="O52" s="23">
        <v>6146.9</v>
      </c>
      <c r="P52" s="23">
        <v>6335.5</v>
      </c>
      <c r="Q52" s="23">
        <v>7522.1</v>
      </c>
      <c r="R52" s="23">
        <v>7968.1</v>
      </c>
      <c r="S52" s="23">
        <v>7517.7</v>
      </c>
      <c r="T52" s="23">
        <v>8315.9</v>
      </c>
      <c r="U52" s="23">
        <v>9138.1</v>
      </c>
      <c r="V52" s="23">
        <v>8248.7000000000007</v>
      </c>
      <c r="W52" s="23">
        <v>10091.200000000001</v>
      </c>
      <c r="X52" s="23">
        <v>8249.2000000000007</v>
      </c>
      <c r="Y52" s="23">
        <v>9435.5</v>
      </c>
      <c r="Z52" s="23">
        <v>10211.700000000001</v>
      </c>
      <c r="AA52" s="23">
        <v>11321.488262328776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3151.2999999999993</v>
      </c>
      <c r="E53" s="23">
        <v>3186.7000000000007</v>
      </c>
      <c r="F53" s="23">
        <v>3078.7000000000007</v>
      </c>
      <c r="G53" s="23">
        <v>2989.2999999999993</v>
      </c>
      <c r="H53" s="23">
        <v>3300.7000000000007</v>
      </c>
      <c r="I53" s="23">
        <v>4172.7000000000044</v>
      </c>
      <c r="J53" s="23">
        <v>4497.5</v>
      </c>
      <c r="K53" s="23">
        <v>5459.4000000000015</v>
      </c>
      <c r="L53" s="23">
        <v>6743.9000000000015</v>
      </c>
      <c r="M53" s="23">
        <v>5314.2000000000044</v>
      </c>
      <c r="N53" s="23">
        <v>6062.2999999999956</v>
      </c>
      <c r="O53" s="23">
        <v>6405.3000000000029</v>
      </c>
      <c r="P53" s="23">
        <v>7708.8000000000102</v>
      </c>
      <c r="Q53" s="23">
        <v>6935.6000000000058</v>
      </c>
      <c r="R53" s="23">
        <v>8267.2999999999884</v>
      </c>
      <c r="S53" s="23">
        <v>9449.1999999999971</v>
      </c>
      <c r="T53" s="23">
        <v>9173.6000000000058</v>
      </c>
      <c r="U53" s="23">
        <v>9429.4999999999854</v>
      </c>
      <c r="V53" s="23">
        <v>10059.499999999971</v>
      </c>
      <c r="W53" s="23">
        <v>10575.899999999994</v>
      </c>
      <c r="X53" s="23">
        <v>10518.199999999997</v>
      </c>
      <c r="Y53" s="23">
        <v>11340.5</v>
      </c>
      <c r="Z53" s="23">
        <v>12975.400000000009</v>
      </c>
      <c r="AA53" s="23">
        <v>13888.851063262482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29864.799999999999</v>
      </c>
      <c r="E54" s="30">
        <f t="shared" ref="E54:Y54" si="4">SUM(E41:E53)</f>
        <v>30800.6</v>
      </c>
      <c r="F54" s="30">
        <f t="shared" si="4"/>
        <v>29861.3</v>
      </c>
      <c r="G54" s="30">
        <f t="shared" si="4"/>
        <v>29737</v>
      </c>
      <c r="H54" s="30">
        <f t="shared" si="4"/>
        <v>34356.1</v>
      </c>
      <c r="I54" s="30">
        <f t="shared" si="4"/>
        <v>40404.699999999997</v>
      </c>
      <c r="J54" s="30">
        <f t="shared" si="4"/>
        <v>45549.2</v>
      </c>
      <c r="K54" s="30">
        <f t="shared" si="4"/>
        <v>52286.1</v>
      </c>
      <c r="L54" s="30">
        <f t="shared" si="4"/>
        <v>60652.9</v>
      </c>
      <c r="M54" s="30">
        <f t="shared" si="4"/>
        <v>53010.9</v>
      </c>
      <c r="N54" s="30">
        <f t="shared" si="4"/>
        <v>58355.6</v>
      </c>
      <c r="O54" s="30">
        <f t="shared" si="4"/>
        <v>61253.7</v>
      </c>
      <c r="P54" s="30">
        <f t="shared" si="4"/>
        <v>64182.9</v>
      </c>
      <c r="Q54" s="30">
        <f t="shared" si="4"/>
        <v>60704.5</v>
      </c>
      <c r="R54" s="30">
        <f t="shared" si="4"/>
        <v>69105.899999999994</v>
      </c>
      <c r="S54" s="30">
        <f t="shared" si="4"/>
        <v>76417.399999999994</v>
      </c>
      <c r="T54" s="30">
        <f t="shared" si="4"/>
        <v>78155.5</v>
      </c>
      <c r="U54" s="30">
        <f t="shared" si="4"/>
        <v>79206.7</v>
      </c>
      <c r="V54" s="30">
        <f t="shared" si="4"/>
        <v>83076.899999999994</v>
      </c>
      <c r="W54" s="30">
        <f t="shared" si="4"/>
        <v>89709.4</v>
      </c>
      <c r="X54" s="30">
        <f t="shared" si="4"/>
        <v>86200.5</v>
      </c>
      <c r="Y54" s="30">
        <f t="shared" si="4"/>
        <v>100862.8</v>
      </c>
      <c r="Z54" s="30">
        <f t="shared" ref="Z54:AA54" si="5">SUM(Z41:Z53)</f>
        <v>116801</v>
      </c>
      <c r="AA54" s="30">
        <f t="shared" si="5"/>
        <v>131271.20000000001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5597.3</v>
      </c>
      <c r="E56" s="19">
        <v>5707.1</v>
      </c>
      <c r="F56" s="19">
        <v>5515.4</v>
      </c>
      <c r="G56" s="19">
        <v>5222.7</v>
      </c>
      <c r="H56" s="19">
        <v>4930.3999999999996</v>
      </c>
      <c r="I56" s="19">
        <v>7099.9</v>
      </c>
      <c r="J56" s="19">
        <v>7948.6</v>
      </c>
      <c r="K56" s="19">
        <v>8043.7</v>
      </c>
      <c r="L56" s="19">
        <v>9944.2000000000007</v>
      </c>
      <c r="M56" s="19">
        <v>9954.7000000000007</v>
      </c>
      <c r="N56" s="19">
        <v>10450.6</v>
      </c>
      <c r="O56" s="19">
        <v>9798.2999999999993</v>
      </c>
      <c r="P56" s="19">
        <v>9984</v>
      </c>
      <c r="Q56" s="19">
        <v>9912.2999999999993</v>
      </c>
      <c r="R56" s="19">
        <v>12105.5</v>
      </c>
      <c r="S56" s="19">
        <v>13667.9</v>
      </c>
      <c r="T56" s="19">
        <v>13559.3</v>
      </c>
      <c r="U56" s="19">
        <v>13596.2</v>
      </c>
      <c r="V56" s="19">
        <v>14292.4</v>
      </c>
      <c r="W56" s="19">
        <v>15332.5</v>
      </c>
      <c r="X56" s="19">
        <v>13266.5</v>
      </c>
      <c r="Y56" s="19">
        <v>14033.6</v>
      </c>
      <c r="Z56" s="19">
        <v>15871.8</v>
      </c>
      <c r="AA56" s="19">
        <v>17925.559441740566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1808</v>
      </c>
      <c r="E57" s="23">
        <v>1874.9</v>
      </c>
      <c r="F57" s="23">
        <v>1823.5</v>
      </c>
      <c r="G57" s="23">
        <v>1682.7</v>
      </c>
      <c r="H57" s="23">
        <v>1815.9</v>
      </c>
      <c r="I57" s="23">
        <v>2004.2</v>
      </c>
      <c r="J57" s="23">
        <v>2215.1</v>
      </c>
      <c r="K57" s="23">
        <v>2545.9</v>
      </c>
      <c r="L57" s="23">
        <v>2640</v>
      </c>
      <c r="M57" s="23">
        <v>2109.9</v>
      </c>
      <c r="N57" s="23">
        <v>2142.1</v>
      </c>
      <c r="O57" s="23">
        <v>2257</v>
      </c>
      <c r="P57" s="23">
        <v>2344.5</v>
      </c>
      <c r="Q57" s="23">
        <v>2027.2</v>
      </c>
      <c r="R57" s="23">
        <v>2371.6999999999998</v>
      </c>
      <c r="S57" s="23">
        <v>2495.9</v>
      </c>
      <c r="T57" s="23">
        <v>2672.6</v>
      </c>
      <c r="U57" s="23">
        <v>2612.1999999999998</v>
      </c>
      <c r="V57" s="23">
        <v>2612</v>
      </c>
      <c r="W57" s="23">
        <v>2748.3</v>
      </c>
      <c r="X57" s="23">
        <v>2637</v>
      </c>
      <c r="Y57" s="23">
        <v>3077.8</v>
      </c>
      <c r="Z57" s="23">
        <v>3013.4</v>
      </c>
      <c r="AA57" s="23">
        <v>3127.7876553787773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1191.3</v>
      </c>
      <c r="E58" s="23">
        <v>1201.5</v>
      </c>
      <c r="F58" s="23">
        <v>1171.5</v>
      </c>
      <c r="G58" s="23">
        <v>1213.5</v>
      </c>
      <c r="H58" s="23">
        <v>1486.5</v>
      </c>
      <c r="I58" s="23">
        <v>1600</v>
      </c>
      <c r="J58" s="23">
        <v>1747.2</v>
      </c>
      <c r="K58" s="23">
        <v>2204.5</v>
      </c>
      <c r="L58" s="23">
        <v>2415.6</v>
      </c>
      <c r="M58" s="23">
        <v>2085.6999999999998</v>
      </c>
      <c r="N58" s="23">
        <v>2497.6</v>
      </c>
      <c r="O58" s="23">
        <v>2520.3000000000002</v>
      </c>
      <c r="P58" s="23">
        <v>2640.1</v>
      </c>
      <c r="Q58" s="23">
        <v>2298.5</v>
      </c>
      <c r="R58" s="23">
        <v>2672.6</v>
      </c>
      <c r="S58" s="23">
        <v>2890</v>
      </c>
      <c r="T58" s="23">
        <v>2925.6</v>
      </c>
      <c r="U58" s="23">
        <v>3088.6</v>
      </c>
      <c r="V58" s="23">
        <v>3142.6</v>
      </c>
      <c r="W58" s="23">
        <v>3431.9</v>
      </c>
      <c r="X58" s="23">
        <v>3404.7</v>
      </c>
      <c r="Y58" s="23">
        <v>4576.8</v>
      </c>
      <c r="Z58" s="23">
        <v>4990.3</v>
      </c>
      <c r="AA58" s="23">
        <v>5465.2843175971666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1077.8</v>
      </c>
      <c r="E59" s="23">
        <v>1134.2</v>
      </c>
      <c r="F59" s="23">
        <v>1103.3</v>
      </c>
      <c r="G59" s="23">
        <v>1043.3</v>
      </c>
      <c r="H59" s="23">
        <v>1076.5</v>
      </c>
      <c r="I59" s="23">
        <v>1171.3</v>
      </c>
      <c r="J59" s="23">
        <v>1263.5999999999999</v>
      </c>
      <c r="K59" s="23">
        <v>1618.3</v>
      </c>
      <c r="L59" s="23">
        <v>1433.3</v>
      </c>
      <c r="M59" s="23">
        <v>1416.3</v>
      </c>
      <c r="N59" s="23">
        <v>1437.4</v>
      </c>
      <c r="O59" s="23">
        <v>1666.7</v>
      </c>
      <c r="P59" s="23">
        <v>1898.6</v>
      </c>
      <c r="Q59" s="23">
        <v>1680</v>
      </c>
      <c r="R59" s="23">
        <v>2177.9</v>
      </c>
      <c r="S59" s="23">
        <v>2426.3000000000002</v>
      </c>
      <c r="T59" s="23">
        <v>2437.9</v>
      </c>
      <c r="U59" s="23">
        <v>2467.6999999999998</v>
      </c>
      <c r="V59" s="23">
        <v>2755.1</v>
      </c>
      <c r="W59" s="23">
        <v>2855.3</v>
      </c>
      <c r="X59" s="23">
        <v>2879.8</v>
      </c>
      <c r="Y59" s="23">
        <v>3460.5</v>
      </c>
      <c r="Z59" s="23">
        <v>3809.8</v>
      </c>
      <c r="AA59" s="23">
        <v>4192.6401084072586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746.20000000000027</v>
      </c>
      <c r="E60" s="23">
        <v>739.40000000000009</v>
      </c>
      <c r="F60" s="23">
        <v>717.59999999999991</v>
      </c>
      <c r="G60" s="23">
        <v>599.39999999999964</v>
      </c>
      <c r="H60" s="23">
        <v>687.59999999999991</v>
      </c>
      <c r="I60" s="23">
        <v>935.59999999999991</v>
      </c>
      <c r="J60" s="23">
        <v>968.5</v>
      </c>
      <c r="K60" s="23">
        <v>1280.6999999999998</v>
      </c>
      <c r="L60" s="23">
        <v>1344.6000000000004</v>
      </c>
      <c r="M60" s="23">
        <v>1158.8000000000002</v>
      </c>
      <c r="N60" s="23">
        <v>1238.8999999999996</v>
      </c>
      <c r="O60" s="23">
        <v>1295.8999999999996</v>
      </c>
      <c r="P60" s="23">
        <v>1351.1000000000004</v>
      </c>
      <c r="Q60" s="23">
        <v>1176</v>
      </c>
      <c r="R60" s="23">
        <v>1311.1000000000004</v>
      </c>
      <c r="S60" s="23">
        <v>1602.8000000000002</v>
      </c>
      <c r="T60" s="23">
        <v>1495.1999999999998</v>
      </c>
      <c r="U60" s="23">
        <v>1404.5000000000009</v>
      </c>
      <c r="V60" s="23">
        <v>1479.6999999999998</v>
      </c>
      <c r="W60" s="23">
        <v>1577.1999999999989</v>
      </c>
      <c r="X60" s="23">
        <v>1441.1000000000004</v>
      </c>
      <c r="Y60" s="23">
        <v>1775.4000000000005</v>
      </c>
      <c r="Z60" s="23">
        <v>1843.8999999999996</v>
      </c>
      <c r="AA60" s="23">
        <v>1970.8868141223811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842.8</v>
      </c>
      <c r="E61" s="23">
        <v>846.1</v>
      </c>
      <c r="F61" s="23">
        <v>829.6</v>
      </c>
      <c r="G61" s="23">
        <v>981.7</v>
      </c>
      <c r="H61" s="23">
        <v>2692</v>
      </c>
      <c r="I61" s="23">
        <v>1553.1</v>
      </c>
      <c r="J61" s="23">
        <v>1261.8</v>
      </c>
      <c r="K61" s="23">
        <v>1343.9</v>
      </c>
      <c r="L61" s="23">
        <v>2397.1</v>
      </c>
      <c r="M61" s="23">
        <v>1794.5</v>
      </c>
      <c r="N61" s="23">
        <v>2069.6999999999998</v>
      </c>
      <c r="O61" s="23">
        <v>2534.6</v>
      </c>
      <c r="P61" s="23">
        <v>2607.1</v>
      </c>
      <c r="Q61" s="23">
        <v>2236.6</v>
      </c>
      <c r="R61" s="23">
        <v>1281.2</v>
      </c>
      <c r="S61" s="23">
        <v>2036</v>
      </c>
      <c r="T61" s="23">
        <v>2400.8000000000002</v>
      </c>
      <c r="U61" s="23">
        <v>2346</v>
      </c>
      <c r="V61" s="23">
        <v>2460.1999999999998</v>
      </c>
      <c r="W61" s="23">
        <v>2667.3</v>
      </c>
      <c r="X61" s="23">
        <v>2021.6</v>
      </c>
      <c r="Y61" s="23">
        <v>3511.6</v>
      </c>
      <c r="Z61" s="23">
        <v>8176.7</v>
      </c>
      <c r="AA61" s="23">
        <v>11052.798536278266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1676.6</v>
      </c>
      <c r="E62" s="23">
        <v>1749.1</v>
      </c>
      <c r="F62" s="23">
        <v>1701.7</v>
      </c>
      <c r="G62" s="23">
        <v>1579.7</v>
      </c>
      <c r="H62" s="23">
        <v>1726.8</v>
      </c>
      <c r="I62" s="23">
        <v>2048.5</v>
      </c>
      <c r="J62" s="23">
        <v>2294.6999999999998</v>
      </c>
      <c r="K62" s="23">
        <v>2334.1999999999998</v>
      </c>
      <c r="L62" s="23">
        <v>2616.1</v>
      </c>
      <c r="M62" s="23">
        <v>2116.6</v>
      </c>
      <c r="N62" s="23">
        <v>2930.9</v>
      </c>
      <c r="O62" s="23">
        <v>3354.9</v>
      </c>
      <c r="P62" s="23">
        <v>3367.3</v>
      </c>
      <c r="Q62" s="23">
        <v>2942.5</v>
      </c>
      <c r="R62" s="23">
        <v>3278</v>
      </c>
      <c r="S62" s="23">
        <v>3889.2</v>
      </c>
      <c r="T62" s="23">
        <v>4133.3999999999996</v>
      </c>
      <c r="U62" s="23">
        <v>3731.3</v>
      </c>
      <c r="V62" s="23">
        <v>3715.4</v>
      </c>
      <c r="W62" s="23">
        <v>4036</v>
      </c>
      <c r="X62" s="23">
        <v>4118.6000000000004</v>
      </c>
      <c r="Y62" s="23">
        <v>4889.3999999999996</v>
      </c>
      <c r="Z62" s="23">
        <v>5461.3</v>
      </c>
      <c r="AA62" s="23">
        <v>6054.6431221988469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551.6</v>
      </c>
      <c r="E63" s="23">
        <v>571.9</v>
      </c>
      <c r="F63" s="23">
        <v>579.4</v>
      </c>
      <c r="G63" s="23">
        <v>475</v>
      </c>
      <c r="H63" s="23">
        <v>470.1</v>
      </c>
      <c r="I63" s="23">
        <v>622.20000000000005</v>
      </c>
      <c r="J63" s="23">
        <v>664.5</v>
      </c>
      <c r="K63" s="23">
        <v>1125.0999999999999</v>
      </c>
      <c r="L63" s="23">
        <v>1298.9000000000001</v>
      </c>
      <c r="M63" s="23">
        <v>1180.5999999999999</v>
      </c>
      <c r="N63" s="23">
        <v>1249.9000000000001</v>
      </c>
      <c r="O63" s="23">
        <v>1079.5</v>
      </c>
      <c r="P63" s="23">
        <v>1158</v>
      </c>
      <c r="Q63" s="23">
        <v>1183.0999999999999</v>
      </c>
      <c r="R63" s="23">
        <v>1330.7</v>
      </c>
      <c r="S63" s="23">
        <v>1367.1</v>
      </c>
      <c r="T63" s="23">
        <v>1297.2</v>
      </c>
      <c r="U63" s="23">
        <v>1193.5999999999999</v>
      </c>
      <c r="V63" s="23">
        <v>1921.4</v>
      </c>
      <c r="W63" s="23">
        <v>1438.2</v>
      </c>
      <c r="X63" s="23">
        <v>1530.3</v>
      </c>
      <c r="Y63" s="23">
        <v>1764</v>
      </c>
      <c r="Z63" s="23">
        <v>1705.9</v>
      </c>
      <c r="AA63" s="23">
        <v>1748.0117358854147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1904.6</v>
      </c>
      <c r="E64" s="23">
        <v>1965.9</v>
      </c>
      <c r="F64" s="23">
        <v>1894</v>
      </c>
      <c r="G64" s="23">
        <v>1942</v>
      </c>
      <c r="H64" s="23">
        <v>2080.5</v>
      </c>
      <c r="I64" s="23">
        <v>2592.6</v>
      </c>
      <c r="J64" s="23">
        <v>2859.2</v>
      </c>
      <c r="K64" s="23">
        <v>3275.9</v>
      </c>
      <c r="L64" s="23">
        <v>3770.7</v>
      </c>
      <c r="M64" s="23">
        <v>3494.8</v>
      </c>
      <c r="N64" s="23">
        <v>4187.3</v>
      </c>
      <c r="O64" s="23">
        <v>4372.7</v>
      </c>
      <c r="P64" s="23">
        <v>4687.3</v>
      </c>
      <c r="Q64" s="23">
        <v>4680.6000000000004</v>
      </c>
      <c r="R64" s="23">
        <v>5141.3999999999996</v>
      </c>
      <c r="S64" s="23">
        <v>5527.1</v>
      </c>
      <c r="T64" s="23">
        <v>5980.7</v>
      </c>
      <c r="U64" s="23">
        <v>6062.7</v>
      </c>
      <c r="V64" s="23">
        <v>6375.2</v>
      </c>
      <c r="W64" s="23">
        <v>7007.6</v>
      </c>
      <c r="X64" s="23">
        <v>7618.7</v>
      </c>
      <c r="Y64" s="23">
        <v>8525.6</v>
      </c>
      <c r="Z64" s="23">
        <v>9141.9</v>
      </c>
      <c r="AA64" s="23">
        <v>9941.2917708283803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2300.5000000000005</v>
      </c>
      <c r="E65" s="23">
        <v>2415.4999999999995</v>
      </c>
      <c r="F65" s="23">
        <v>2345.6000000000004</v>
      </c>
      <c r="G65" s="23">
        <v>2290.3999999999996</v>
      </c>
      <c r="H65" s="23">
        <v>2534.1999999999998</v>
      </c>
      <c r="I65" s="23">
        <v>2819.2999999999997</v>
      </c>
      <c r="J65" s="23">
        <v>3414.8</v>
      </c>
      <c r="K65" s="23">
        <v>4503.2999999999993</v>
      </c>
      <c r="L65" s="23">
        <v>4681.8</v>
      </c>
      <c r="M65" s="23">
        <v>3497.5</v>
      </c>
      <c r="N65" s="23">
        <v>3709.3999999999996</v>
      </c>
      <c r="O65" s="23">
        <v>3749.9000000000005</v>
      </c>
      <c r="P65" s="23">
        <v>3574.9000000000005</v>
      </c>
      <c r="Q65" s="23">
        <v>3369</v>
      </c>
      <c r="R65" s="23">
        <v>3881.6000000000004</v>
      </c>
      <c r="S65" s="23">
        <v>4349.1000000000004</v>
      </c>
      <c r="T65" s="23">
        <v>4256.7</v>
      </c>
      <c r="U65" s="23">
        <v>4397.5000000000009</v>
      </c>
      <c r="V65" s="23">
        <v>4795.5000000000009</v>
      </c>
      <c r="W65" s="23">
        <v>5025.3999999999996</v>
      </c>
      <c r="X65" s="23">
        <v>4940.5999999999995</v>
      </c>
      <c r="Y65" s="23">
        <v>5645.2999999999993</v>
      </c>
      <c r="Z65" s="23">
        <v>6109.4</v>
      </c>
      <c r="AA65" s="23">
        <v>6655.8713450181949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792.1</v>
      </c>
      <c r="E66" s="23">
        <v>802.3</v>
      </c>
      <c r="F66" s="23">
        <v>772</v>
      </c>
      <c r="G66" s="23">
        <v>690.1</v>
      </c>
      <c r="H66" s="23">
        <v>1361.7</v>
      </c>
      <c r="I66" s="23">
        <v>1455.4</v>
      </c>
      <c r="J66" s="23">
        <v>2219.3000000000002</v>
      </c>
      <c r="K66" s="23">
        <v>2686.8</v>
      </c>
      <c r="L66" s="23">
        <v>1789.8</v>
      </c>
      <c r="M66" s="23">
        <v>1506.6</v>
      </c>
      <c r="N66" s="23">
        <v>1097.7</v>
      </c>
      <c r="O66" s="23">
        <v>1658.3</v>
      </c>
      <c r="P66" s="23">
        <v>1715.8</v>
      </c>
      <c r="Q66" s="23">
        <v>1668.9</v>
      </c>
      <c r="R66" s="23">
        <v>2039.8</v>
      </c>
      <c r="S66" s="23">
        <v>2219.8000000000002</v>
      </c>
      <c r="T66" s="23">
        <v>2309.3000000000002</v>
      </c>
      <c r="U66" s="23">
        <v>2234.9</v>
      </c>
      <c r="V66" s="23">
        <v>2322.4</v>
      </c>
      <c r="W66" s="23">
        <v>2186.1</v>
      </c>
      <c r="X66" s="23">
        <v>1856.2</v>
      </c>
      <c r="Y66" s="23">
        <v>3272.4</v>
      </c>
      <c r="Z66" s="23">
        <v>3505.7</v>
      </c>
      <c r="AA66" s="23">
        <v>3626.762730187203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2335.5</v>
      </c>
      <c r="E67" s="23">
        <v>2412.8000000000002</v>
      </c>
      <c r="F67" s="23">
        <v>2323.3000000000002</v>
      </c>
      <c r="G67" s="23">
        <v>2438.4</v>
      </c>
      <c r="H67" s="23">
        <v>2934.9000000000005</v>
      </c>
      <c r="I67" s="23">
        <v>3546.1</v>
      </c>
      <c r="J67" s="23">
        <v>4285.7</v>
      </c>
      <c r="K67" s="23">
        <v>4841.8</v>
      </c>
      <c r="L67" s="23">
        <v>6261.8</v>
      </c>
      <c r="M67" s="23">
        <v>5008.2999999999993</v>
      </c>
      <c r="N67" s="23">
        <v>6063.5</v>
      </c>
      <c r="O67" s="23">
        <v>6979.4999999999991</v>
      </c>
      <c r="P67" s="23">
        <v>7185.9000000000005</v>
      </c>
      <c r="Q67" s="23">
        <v>6281.1</v>
      </c>
      <c r="R67" s="23">
        <v>7711.7</v>
      </c>
      <c r="S67" s="23">
        <v>8750.0999999999985</v>
      </c>
      <c r="T67" s="23">
        <v>9294.5999999999985</v>
      </c>
      <c r="U67" s="23">
        <v>9266.4</v>
      </c>
      <c r="V67" s="23">
        <v>9700.8000000000011</v>
      </c>
      <c r="W67" s="23">
        <v>11012.199999999999</v>
      </c>
      <c r="X67" s="23">
        <v>11046.099999999999</v>
      </c>
      <c r="Y67" s="23">
        <v>12966.800000000001</v>
      </c>
      <c r="Z67" s="23">
        <v>14887</v>
      </c>
      <c r="AA67" s="23">
        <v>16906.511082651425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869</v>
      </c>
      <c r="E68" s="23">
        <v>908.5</v>
      </c>
      <c r="F68" s="23">
        <v>883.8</v>
      </c>
      <c r="G68" s="23">
        <v>951</v>
      </c>
      <c r="H68" s="23">
        <v>947.9</v>
      </c>
      <c r="I68" s="23">
        <v>1128.8</v>
      </c>
      <c r="J68" s="23">
        <v>1329.9</v>
      </c>
      <c r="K68" s="23">
        <v>1322.3</v>
      </c>
      <c r="L68" s="23">
        <v>1687.3</v>
      </c>
      <c r="M68" s="23">
        <v>2059.8000000000002</v>
      </c>
      <c r="N68" s="23">
        <v>1830.9</v>
      </c>
      <c r="O68" s="23">
        <v>1665.3</v>
      </c>
      <c r="P68" s="23">
        <v>1694.3</v>
      </c>
      <c r="Q68" s="23">
        <v>1512.3</v>
      </c>
      <c r="R68" s="23">
        <v>1643.5</v>
      </c>
      <c r="S68" s="23">
        <v>1584.1</v>
      </c>
      <c r="T68" s="23">
        <v>1674</v>
      </c>
      <c r="U68" s="23">
        <v>1681.7</v>
      </c>
      <c r="V68" s="23">
        <v>2010.3</v>
      </c>
      <c r="W68" s="23">
        <v>2139.8000000000002</v>
      </c>
      <c r="X68" s="23">
        <v>2226.4</v>
      </c>
      <c r="Y68" s="23">
        <v>2546.4</v>
      </c>
      <c r="Z68" s="23">
        <v>2951.7</v>
      </c>
      <c r="AA68" s="23">
        <v>3333.6292122430059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1259.2</v>
      </c>
      <c r="E69" s="23">
        <v>1333.6</v>
      </c>
      <c r="F69" s="23">
        <v>1294.7</v>
      </c>
      <c r="G69" s="23">
        <v>1389.2</v>
      </c>
      <c r="H69" s="23">
        <v>1339.1</v>
      </c>
      <c r="I69" s="23">
        <v>1563.5</v>
      </c>
      <c r="J69" s="23">
        <v>1809.1</v>
      </c>
      <c r="K69" s="23">
        <v>2010.2</v>
      </c>
      <c r="L69" s="23">
        <v>2630.6</v>
      </c>
      <c r="M69" s="23">
        <v>2131.1999999999998</v>
      </c>
      <c r="N69" s="23">
        <v>2316.6</v>
      </c>
      <c r="O69" s="23">
        <v>2448.1999999999998</v>
      </c>
      <c r="P69" s="23">
        <v>2563.6</v>
      </c>
      <c r="Q69" s="23">
        <v>2348.1</v>
      </c>
      <c r="R69" s="23">
        <v>2721.8</v>
      </c>
      <c r="S69" s="23">
        <v>3151.9</v>
      </c>
      <c r="T69" s="23">
        <v>2880.7</v>
      </c>
      <c r="U69" s="23">
        <v>2824.5</v>
      </c>
      <c r="V69" s="23">
        <v>3188.8</v>
      </c>
      <c r="W69" s="23">
        <v>3089.2</v>
      </c>
      <c r="X69" s="23">
        <v>4278.8999999999996</v>
      </c>
      <c r="Y69" s="23">
        <v>5241.6000000000004</v>
      </c>
      <c r="Z69" s="23">
        <v>6917.9</v>
      </c>
      <c r="AA69" s="23">
        <v>8336.8457270572926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1585.7</v>
      </c>
      <c r="E70" s="23">
        <v>1683.2</v>
      </c>
      <c r="F70" s="23">
        <v>1634</v>
      </c>
      <c r="G70" s="23">
        <v>1566.1</v>
      </c>
      <c r="H70" s="23">
        <v>1709.6</v>
      </c>
      <c r="I70" s="23">
        <v>2165.8000000000002</v>
      </c>
      <c r="J70" s="23">
        <v>2483.1</v>
      </c>
      <c r="K70" s="23">
        <v>3294.4</v>
      </c>
      <c r="L70" s="23">
        <v>3841.6</v>
      </c>
      <c r="M70" s="23">
        <v>3647.5</v>
      </c>
      <c r="N70" s="23">
        <v>3414.3</v>
      </c>
      <c r="O70" s="23">
        <v>3320.4</v>
      </c>
      <c r="P70" s="23">
        <v>3366.1</v>
      </c>
      <c r="Q70" s="23">
        <v>2930.6</v>
      </c>
      <c r="R70" s="23">
        <v>3202</v>
      </c>
      <c r="S70" s="23">
        <v>3493.2</v>
      </c>
      <c r="T70" s="23">
        <v>3348</v>
      </c>
      <c r="U70" s="23">
        <v>3731.3</v>
      </c>
      <c r="V70" s="23">
        <v>3996.9</v>
      </c>
      <c r="W70" s="23">
        <v>4495.3</v>
      </c>
      <c r="X70" s="23">
        <v>4166.6000000000004</v>
      </c>
      <c r="Y70" s="23">
        <v>4799.6000000000004</v>
      </c>
      <c r="Z70" s="23">
        <v>5227.2</v>
      </c>
      <c r="AA70" s="23">
        <v>5722.3370748145835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1460.3</v>
      </c>
      <c r="E71" s="23">
        <v>1501</v>
      </c>
      <c r="F71" s="23">
        <v>1449.2</v>
      </c>
      <c r="G71" s="23">
        <v>2057</v>
      </c>
      <c r="H71" s="23">
        <v>2650</v>
      </c>
      <c r="I71" s="23">
        <v>3168.8</v>
      </c>
      <c r="J71" s="23">
        <v>3351</v>
      </c>
      <c r="K71" s="23">
        <v>3504.2</v>
      </c>
      <c r="L71" s="23">
        <v>4171.6000000000004</v>
      </c>
      <c r="M71" s="23">
        <v>3524.1</v>
      </c>
      <c r="N71" s="23">
        <v>4711.2</v>
      </c>
      <c r="O71" s="23">
        <v>4880.6000000000004</v>
      </c>
      <c r="P71" s="23">
        <v>4943</v>
      </c>
      <c r="Q71" s="23">
        <v>6027.4</v>
      </c>
      <c r="R71" s="23">
        <v>6162.1</v>
      </c>
      <c r="S71" s="23">
        <v>5933.2</v>
      </c>
      <c r="T71" s="23">
        <v>6806.2</v>
      </c>
      <c r="U71" s="23">
        <v>7412</v>
      </c>
      <c r="V71" s="23">
        <v>6457.4</v>
      </c>
      <c r="W71" s="23">
        <v>8102.7</v>
      </c>
      <c r="X71" s="23">
        <v>6754</v>
      </c>
      <c r="Y71" s="23">
        <v>7571.2</v>
      </c>
      <c r="Z71" s="23">
        <v>8227.5</v>
      </c>
      <c r="AA71" s="23">
        <v>9172.7662865984585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715.00000000000023</v>
      </c>
      <c r="E72" s="23">
        <v>766.90000000000009</v>
      </c>
      <c r="F72" s="23">
        <v>743.99999999999977</v>
      </c>
      <c r="G72" s="23">
        <v>625.5</v>
      </c>
      <c r="H72" s="23">
        <v>611.69999999999982</v>
      </c>
      <c r="I72" s="23">
        <v>756.89999999999964</v>
      </c>
      <c r="J72" s="23">
        <v>935.60000000000036</v>
      </c>
      <c r="K72" s="23">
        <v>891.5</v>
      </c>
      <c r="L72" s="23">
        <v>984</v>
      </c>
      <c r="M72" s="23">
        <v>1009.7999999999997</v>
      </c>
      <c r="N72" s="23">
        <v>945.30000000000018</v>
      </c>
      <c r="O72" s="23">
        <v>1266.2999999999993</v>
      </c>
      <c r="P72" s="23">
        <v>1392.5</v>
      </c>
      <c r="Q72" s="23">
        <v>1494.7000000000007</v>
      </c>
      <c r="R72" s="23">
        <v>1806</v>
      </c>
      <c r="S72" s="23">
        <v>1584.5</v>
      </c>
      <c r="T72" s="23">
        <v>1509.6999999999998</v>
      </c>
      <c r="U72" s="23">
        <v>1726.1000000000004</v>
      </c>
      <c r="V72" s="23">
        <v>1791.3000000000011</v>
      </c>
      <c r="W72" s="23">
        <v>1988.5000000000009</v>
      </c>
      <c r="X72" s="23">
        <v>1495.2000000000007</v>
      </c>
      <c r="Y72" s="23">
        <v>1864.3000000000002</v>
      </c>
      <c r="Z72" s="23">
        <v>1984.2000000000007</v>
      </c>
      <c r="AA72" s="23">
        <v>2148.7219757303174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1642.4</v>
      </c>
      <c r="E73" s="23">
        <v>1658.2</v>
      </c>
      <c r="F73" s="23">
        <v>1609.4</v>
      </c>
      <c r="G73" s="23">
        <v>1630.1</v>
      </c>
      <c r="H73" s="23">
        <v>1849.7</v>
      </c>
      <c r="I73" s="23">
        <v>2201.8000000000002</v>
      </c>
      <c r="J73" s="23">
        <v>2415.1</v>
      </c>
      <c r="K73" s="23">
        <v>2886.1</v>
      </c>
      <c r="L73" s="23">
        <v>3239.7</v>
      </c>
      <c r="M73" s="23">
        <v>3340.2</v>
      </c>
      <c r="N73" s="23">
        <v>3578</v>
      </c>
      <c r="O73" s="23">
        <v>3606.8</v>
      </c>
      <c r="P73" s="23">
        <v>3877.5</v>
      </c>
      <c r="Q73" s="23">
        <v>3457.1</v>
      </c>
      <c r="R73" s="23">
        <v>4382.8</v>
      </c>
      <c r="S73" s="23">
        <v>4690.1000000000004</v>
      </c>
      <c r="T73" s="23">
        <v>4948.2</v>
      </c>
      <c r="U73" s="23">
        <v>4800.6000000000004</v>
      </c>
      <c r="V73" s="23">
        <v>5243.9</v>
      </c>
      <c r="W73" s="23">
        <v>5669.2</v>
      </c>
      <c r="X73" s="23">
        <v>5601.2</v>
      </c>
      <c r="Y73" s="23">
        <v>6161.6</v>
      </c>
      <c r="Z73" s="23">
        <v>6906.8</v>
      </c>
      <c r="AA73" s="23">
        <v>7417.1605924414389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1508.8999999999992</v>
      </c>
      <c r="E74" s="23">
        <v>1528.5000000000007</v>
      </c>
      <c r="F74" s="23">
        <v>1469.3000000000006</v>
      </c>
      <c r="G74" s="23">
        <v>1359.1999999999994</v>
      </c>
      <c r="H74" s="23">
        <v>1451.0000000000007</v>
      </c>
      <c r="I74" s="23">
        <v>1970.9000000000042</v>
      </c>
      <c r="J74" s="23">
        <v>2082.4</v>
      </c>
      <c r="K74" s="23">
        <v>2573.3000000000015</v>
      </c>
      <c r="L74" s="23">
        <v>3504.2000000000016</v>
      </c>
      <c r="M74" s="23">
        <v>1974.0000000000045</v>
      </c>
      <c r="N74" s="23">
        <v>2484.2999999999956</v>
      </c>
      <c r="O74" s="23">
        <v>2798.5000000000027</v>
      </c>
      <c r="P74" s="23">
        <v>3831.3000000000102</v>
      </c>
      <c r="Q74" s="23">
        <v>3478.5000000000059</v>
      </c>
      <c r="R74" s="23">
        <v>3884.4999999999882</v>
      </c>
      <c r="S74" s="23">
        <v>4759.0999999999967</v>
      </c>
      <c r="T74" s="23">
        <v>4225.400000000006</v>
      </c>
      <c r="U74" s="23">
        <v>4628.8999999999851</v>
      </c>
      <c r="V74" s="23">
        <v>4815.5999999999713</v>
      </c>
      <c r="W74" s="23">
        <v>4906.6999999999944</v>
      </c>
      <c r="X74" s="23">
        <v>4916.9999999999973</v>
      </c>
      <c r="Y74" s="23">
        <v>5178.8999999999996</v>
      </c>
      <c r="Z74" s="23">
        <v>6068.6000000000085</v>
      </c>
      <c r="AA74" s="23">
        <v>6471.6904708210432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29864.799999999999</v>
      </c>
      <c r="E75" s="30">
        <f t="shared" ref="E75:Y75" si="6">SUM(E56:E74)</f>
        <v>30800.6</v>
      </c>
      <c r="F75" s="30">
        <f t="shared" si="6"/>
        <v>29861.3</v>
      </c>
      <c r="G75" s="30">
        <f t="shared" si="6"/>
        <v>29737</v>
      </c>
      <c r="H75" s="30">
        <f t="shared" si="6"/>
        <v>34356.1</v>
      </c>
      <c r="I75" s="30">
        <f t="shared" si="6"/>
        <v>40404.700000000004</v>
      </c>
      <c r="J75" s="30">
        <f t="shared" si="6"/>
        <v>45549.2</v>
      </c>
      <c r="K75" s="30">
        <f t="shared" si="6"/>
        <v>52286.1</v>
      </c>
      <c r="L75" s="30">
        <f t="shared" si="6"/>
        <v>60652.900000000009</v>
      </c>
      <c r="M75" s="30">
        <f t="shared" si="6"/>
        <v>53010.899999999994</v>
      </c>
      <c r="N75" s="30">
        <f t="shared" si="6"/>
        <v>58355.6</v>
      </c>
      <c r="O75" s="30">
        <f t="shared" si="6"/>
        <v>61253.7</v>
      </c>
      <c r="P75" s="30">
        <f t="shared" si="6"/>
        <v>64182.900000000016</v>
      </c>
      <c r="Q75" s="30">
        <f t="shared" si="6"/>
        <v>60704.5</v>
      </c>
      <c r="R75" s="30">
        <f t="shared" si="6"/>
        <v>69105.899999999994</v>
      </c>
      <c r="S75" s="30">
        <f t="shared" si="6"/>
        <v>76417.39999999998</v>
      </c>
      <c r="T75" s="30">
        <f t="shared" si="6"/>
        <v>78155.5</v>
      </c>
      <c r="U75" s="30">
        <f t="shared" si="6"/>
        <v>79206.7</v>
      </c>
      <c r="V75" s="30">
        <f t="shared" si="6"/>
        <v>83076.89999999998</v>
      </c>
      <c r="W75" s="30">
        <f t="shared" si="6"/>
        <v>89709.39999999998</v>
      </c>
      <c r="X75" s="30">
        <f t="shared" si="6"/>
        <v>86200.499999999985</v>
      </c>
      <c r="Y75" s="30">
        <f t="shared" si="6"/>
        <v>100862.8</v>
      </c>
      <c r="Z75" s="30">
        <f t="shared" ref="Z75:AA75" si="7">SUM(Z56:Z74)</f>
        <v>116801</v>
      </c>
      <c r="AA75" s="30">
        <f t="shared" si="7"/>
        <v>131271.19999999998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274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333356.7786692786</v>
      </c>
      <c r="E2" s="19">
        <v>337469.58513634285</v>
      </c>
      <c r="F2" s="19">
        <v>343885.49795038567</v>
      </c>
      <c r="G2" s="19">
        <v>356002.40481152968</v>
      </c>
      <c r="H2" s="19">
        <v>374122.2892880353</v>
      </c>
      <c r="I2" s="19">
        <v>386323.48055848264</v>
      </c>
      <c r="J2" s="19">
        <v>410283.41556976311</v>
      </c>
      <c r="K2" s="19">
        <v>438019.82730171253</v>
      </c>
      <c r="L2" s="19">
        <v>457221.29024427419</v>
      </c>
      <c r="M2" s="19">
        <v>469181.70841635606</v>
      </c>
      <c r="N2" s="19">
        <v>484046.13775289204</v>
      </c>
      <c r="O2" s="19">
        <v>509483.99109736813</v>
      </c>
      <c r="P2" s="19">
        <v>517190.44485772343</v>
      </c>
      <c r="Q2" s="19">
        <v>520728.82383641956</v>
      </c>
      <c r="R2" s="19">
        <v>541141.54272180132</v>
      </c>
      <c r="S2" s="19">
        <v>565124.87000200001</v>
      </c>
      <c r="T2" s="19">
        <v>582252.89506017196</v>
      </c>
      <c r="U2" s="19">
        <v>612257.16344820708</v>
      </c>
      <c r="V2" s="19">
        <v>650493.65041686432</v>
      </c>
      <c r="W2" s="19">
        <v>680293.37279900222</v>
      </c>
      <c r="X2" s="19">
        <v>666443.10266698641</v>
      </c>
      <c r="Y2" s="19">
        <v>712610.59031645523</v>
      </c>
      <c r="Z2" s="19">
        <v>750058.8536294871</v>
      </c>
      <c r="AA2" s="19">
        <v>751931.7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212488.86722040936</v>
      </c>
      <c r="E3" s="23">
        <v>216715.82707608747</v>
      </c>
      <c r="F3" s="23">
        <v>224727.44786524228</v>
      </c>
      <c r="G3" s="23">
        <v>227994.37009786358</v>
      </c>
      <c r="H3" s="23">
        <v>237067.28678309647</v>
      </c>
      <c r="I3" s="23">
        <v>240938.04994934387</v>
      </c>
      <c r="J3" s="23">
        <v>252673.45621426083</v>
      </c>
      <c r="K3" s="23">
        <v>265893.46757353179</v>
      </c>
      <c r="L3" s="23">
        <v>284519.66114874819</v>
      </c>
      <c r="M3" s="23">
        <v>293075.60392121167</v>
      </c>
      <c r="N3" s="23">
        <v>304644.38767355238</v>
      </c>
      <c r="O3" s="23">
        <v>313148.14085006027</v>
      </c>
      <c r="P3" s="23">
        <v>315723.23481747456</v>
      </c>
      <c r="Q3" s="23">
        <v>314770.6618546836</v>
      </c>
      <c r="R3" s="23">
        <v>324766.45609381847</v>
      </c>
      <c r="S3" s="23">
        <v>337487.04932800005</v>
      </c>
      <c r="T3" s="23">
        <v>350231.05545268254</v>
      </c>
      <c r="U3" s="23">
        <v>371468.24198435631</v>
      </c>
      <c r="V3" s="23">
        <v>389505.08104323305</v>
      </c>
      <c r="W3" s="23">
        <v>402142.81049443223</v>
      </c>
      <c r="X3" s="23">
        <v>389133.77376233751</v>
      </c>
      <c r="Y3" s="23">
        <v>413259.81940850284</v>
      </c>
      <c r="Z3" s="23">
        <v>434551.87715956243</v>
      </c>
      <c r="AA3" s="23">
        <v>433456.4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300229.48519391997</v>
      </c>
      <c r="E4" s="27">
        <v>304225.64686135802</v>
      </c>
      <c r="F4" s="27">
        <v>309751.79927378724</v>
      </c>
      <c r="G4" s="27">
        <v>320103.82045225205</v>
      </c>
      <c r="H4" s="27">
        <v>337463.24965048605</v>
      </c>
      <c r="I4" s="27">
        <v>347981.80423571623</v>
      </c>
      <c r="J4" s="27">
        <v>369483.64913611661</v>
      </c>
      <c r="K4" s="27">
        <v>394603.61499619443</v>
      </c>
      <c r="L4" s="27">
        <v>410989.6403457431</v>
      </c>
      <c r="M4" s="27">
        <v>422854.35113683995</v>
      </c>
      <c r="N4" s="27">
        <v>436028.90263666399</v>
      </c>
      <c r="O4" s="27">
        <v>458679.37948680611</v>
      </c>
      <c r="P4" s="27">
        <v>464837.97145548748</v>
      </c>
      <c r="Q4" s="27">
        <v>467657.6732150708</v>
      </c>
      <c r="R4" s="27">
        <v>485569.41013828618</v>
      </c>
      <c r="S4" s="27">
        <v>507749.25107200001</v>
      </c>
      <c r="T4" s="27">
        <v>522464.66254456481</v>
      </c>
      <c r="U4" s="27">
        <v>548627.23982807738</v>
      </c>
      <c r="V4" s="27">
        <v>582870.84680940176</v>
      </c>
      <c r="W4" s="27">
        <v>608989.39566074952</v>
      </c>
      <c r="X4" s="27">
        <v>596438.34945838666</v>
      </c>
      <c r="Y4" s="27">
        <v>635979.13972618291</v>
      </c>
      <c r="Z4" s="27">
        <v>670677.05307868763</v>
      </c>
      <c r="AA4" s="27">
        <v>679422.1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10786.480823393087</v>
      </c>
      <c r="E6" s="19">
        <v>11371.112962089608</v>
      </c>
      <c r="F6" s="19">
        <v>9859.6059353444489</v>
      </c>
      <c r="G6" s="19">
        <v>9774.6545857672809</v>
      </c>
      <c r="H6" s="19">
        <v>12711.17969755201</v>
      </c>
      <c r="I6" s="19">
        <v>11746.596666222164</v>
      </c>
      <c r="J6" s="19">
        <v>11570.241211981034</v>
      </c>
      <c r="K6" s="19">
        <v>13985.769990214201</v>
      </c>
      <c r="L6" s="19">
        <v>12444.632233182812</v>
      </c>
      <c r="M6" s="19">
        <v>12507.680696944637</v>
      </c>
      <c r="N6" s="19">
        <v>14455.506488811321</v>
      </c>
      <c r="O6" s="19">
        <v>16558.594439532779</v>
      </c>
      <c r="P6" s="19">
        <v>15673.117209035614</v>
      </c>
      <c r="Q6" s="19">
        <v>17022.0966699044</v>
      </c>
      <c r="R6" s="19">
        <v>16281.392826148669</v>
      </c>
      <c r="S6" s="19">
        <v>14204.857016</v>
      </c>
      <c r="T6" s="19">
        <v>15514.304678662162</v>
      </c>
      <c r="U6" s="19">
        <v>18640.511077334999</v>
      </c>
      <c r="V6" s="19">
        <v>16054.064743366009</v>
      </c>
      <c r="W6" s="19">
        <v>16398.250860368633</v>
      </c>
      <c r="X6" s="19">
        <v>17362.514458723006</v>
      </c>
      <c r="Y6" s="19">
        <v>16380.383396883366</v>
      </c>
      <c r="Z6" s="19">
        <v>21096.0747819961</v>
      </c>
      <c r="AA6" s="19">
        <v>20793.7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71972.42912957535</v>
      </c>
      <c r="E7" s="23">
        <v>68359.089686196268</v>
      </c>
      <c r="F7" s="23">
        <v>69768.592036788075</v>
      </c>
      <c r="G7" s="23">
        <v>77257.45641637886</v>
      </c>
      <c r="H7" s="23">
        <v>85889.544523352</v>
      </c>
      <c r="I7" s="23">
        <v>88191.577189685893</v>
      </c>
      <c r="J7" s="23">
        <v>93649.153699548973</v>
      </c>
      <c r="K7" s="23">
        <v>99896.200217462218</v>
      </c>
      <c r="L7" s="23">
        <v>102439.05902827573</v>
      </c>
      <c r="M7" s="23">
        <v>105721.0411256245</v>
      </c>
      <c r="N7" s="23">
        <v>110182.03866691601</v>
      </c>
      <c r="O7" s="23">
        <v>115933.54445357437</v>
      </c>
      <c r="P7" s="23">
        <v>119783.74926785311</v>
      </c>
      <c r="Q7" s="23">
        <v>114383.31911865446</v>
      </c>
      <c r="R7" s="23">
        <v>123502.18840180057</v>
      </c>
      <c r="S7" s="23">
        <v>132497.115016</v>
      </c>
      <c r="T7" s="23">
        <v>139564.0352253599</v>
      </c>
      <c r="U7" s="23">
        <v>138042.81161182525</v>
      </c>
      <c r="V7" s="23">
        <v>142779.57889488328</v>
      </c>
      <c r="W7" s="23">
        <v>148670.64732367545</v>
      </c>
      <c r="X7" s="23">
        <v>144985.89961649734</v>
      </c>
      <c r="Y7" s="23">
        <v>163304.84250125365</v>
      </c>
      <c r="Z7" s="23">
        <v>175477.7683273624</v>
      </c>
      <c r="AA7" s="23">
        <v>174179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25300.419821416399</v>
      </c>
      <c r="E8" s="23">
        <v>25178.573151943892</v>
      </c>
      <c r="F8" s="23">
        <v>23776.537744217312</v>
      </c>
      <c r="G8" s="23">
        <v>22644.005599852189</v>
      </c>
      <c r="H8" s="23">
        <v>25395.473796195729</v>
      </c>
      <c r="I8" s="23">
        <v>26831.957948332503</v>
      </c>
      <c r="J8" s="23">
        <v>29397.411449057476</v>
      </c>
      <c r="K8" s="23">
        <v>32432.923679460699</v>
      </c>
      <c r="L8" s="23">
        <v>33239.250938971687</v>
      </c>
      <c r="M8" s="23">
        <v>36963.779306907134</v>
      </c>
      <c r="N8" s="23">
        <v>37060.962662843609</v>
      </c>
      <c r="O8" s="23">
        <v>42740.823943500829</v>
      </c>
      <c r="P8" s="23">
        <v>38899.571652091989</v>
      </c>
      <c r="Q8" s="23">
        <v>36905.818017483762</v>
      </c>
      <c r="R8" s="23">
        <v>40534.88557930167</v>
      </c>
      <c r="S8" s="23">
        <v>44768.429076</v>
      </c>
      <c r="T8" s="23">
        <v>41805.761874392294</v>
      </c>
      <c r="U8" s="23">
        <v>41839.884034746901</v>
      </c>
      <c r="V8" s="23">
        <v>49030.993751433496</v>
      </c>
      <c r="W8" s="23">
        <v>50792.920954907167</v>
      </c>
      <c r="X8" s="23">
        <v>48124.71027383436</v>
      </c>
      <c r="Y8" s="23">
        <v>44492.071211361414</v>
      </c>
      <c r="Z8" s="23">
        <v>43909.207196061754</v>
      </c>
      <c r="AA8" s="23">
        <v>46816.6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78635.738357303519</v>
      </c>
      <c r="E9" s="23">
        <v>80590.400333756581</v>
      </c>
      <c r="F9" s="23">
        <v>82963.582696536047</v>
      </c>
      <c r="G9" s="23">
        <v>82764.944709276708</v>
      </c>
      <c r="H9" s="23">
        <v>84780.973938229319</v>
      </c>
      <c r="I9" s="23">
        <v>88750.282398865296</v>
      </c>
      <c r="J9" s="23">
        <v>94491.985530241698</v>
      </c>
      <c r="K9" s="23">
        <v>98439.603805588791</v>
      </c>
      <c r="L9" s="23">
        <v>101938.00858156165</v>
      </c>
      <c r="M9" s="23">
        <v>107446.77056791018</v>
      </c>
      <c r="N9" s="23">
        <v>109549.24361195954</v>
      </c>
      <c r="O9" s="23">
        <v>112075.6999219912</v>
      </c>
      <c r="P9" s="23">
        <v>118698.80084785681</v>
      </c>
      <c r="Q9" s="23">
        <v>120514.36756812023</v>
      </c>
      <c r="R9" s="23">
        <v>116751.89346688836</v>
      </c>
      <c r="S9" s="23">
        <v>122952.00758400001</v>
      </c>
      <c r="T9" s="23">
        <v>125061.53603144895</v>
      </c>
      <c r="U9" s="23">
        <v>136525.05457034436</v>
      </c>
      <c r="V9" s="23">
        <v>144637.58078560815</v>
      </c>
      <c r="W9" s="23">
        <v>148636.21179351152</v>
      </c>
      <c r="X9" s="23">
        <v>140156.4470160802</v>
      </c>
      <c r="Y9" s="23">
        <v>149426.54846675685</v>
      </c>
      <c r="Z9" s="23">
        <v>158354.22845605985</v>
      </c>
      <c r="AA9" s="23">
        <v>156585.20000000001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10561.13149478563</v>
      </c>
      <c r="E10" s="23">
        <v>11902.999465505774</v>
      </c>
      <c r="F10" s="23">
        <v>13660.057006445453</v>
      </c>
      <c r="G10" s="23">
        <v>14163.804357651474</v>
      </c>
      <c r="H10" s="23">
        <v>16044.80981424235</v>
      </c>
      <c r="I10" s="23">
        <v>15427.958995744886</v>
      </c>
      <c r="J10" s="23">
        <v>15699.520730889326</v>
      </c>
      <c r="K10" s="23">
        <v>16596.140302272481</v>
      </c>
      <c r="L10" s="23">
        <v>17603.529645923372</v>
      </c>
      <c r="M10" s="23">
        <v>17533.40514098628</v>
      </c>
      <c r="N10" s="23">
        <v>15288.196638201502</v>
      </c>
      <c r="O10" s="23">
        <v>15468.378881457829</v>
      </c>
      <c r="P10" s="23">
        <v>16563.609072477422</v>
      </c>
      <c r="Q10" s="23">
        <v>16713.137475589181</v>
      </c>
      <c r="R10" s="23">
        <v>17966.151032077534</v>
      </c>
      <c r="S10" s="23">
        <v>19410.642076</v>
      </c>
      <c r="T10" s="23">
        <v>20440.600035547373</v>
      </c>
      <c r="U10" s="23">
        <v>21734.328754768641</v>
      </c>
      <c r="V10" s="23">
        <v>23432.266871428714</v>
      </c>
      <c r="W10" s="23">
        <v>24909.094933006872</v>
      </c>
      <c r="X10" s="23">
        <v>26337.835080401001</v>
      </c>
      <c r="Y10" s="23">
        <v>31450.226013567852</v>
      </c>
      <c r="Z10" s="23">
        <v>33615.268884936893</v>
      </c>
      <c r="AA10" s="23">
        <v>33532.400000000001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14056.930559607388</v>
      </c>
      <c r="E11" s="23">
        <v>12495.654721567205</v>
      </c>
      <c r="F11" s="23">
        <v>11284.21431568896</v>
      </c>
      <c r="G11" s="23">
        <v>11300.669787802555</v>
      </c>
      <c r="H11" s="23">
        <v>12065.188732002118</v>
      </c>
      <c r="I11" s="23">
        <v>12644.051977839468</v>
      </c>
      <c r="J11" s="23">
        <v>13748.512626344398</v>
      </c>
      <c r="K11" s="23">
        <v>16498.794224203546</v>
      </c>
      <c r="L11" s="23">
        <v>19440.244748929243</v>
      </c>
      <c r="M11" s="23">
        <v>16133.675114137146</v>
      </c>
      <c r="N11" s="23">
        <v>17799.181271167075</v>
      </c>
      <c r="O11" s="23">
        <v>19986.459935720748</v>
      </c>
      <c r="P11" s="23">
        <v>18254.67695426898</v>
      </c>
      <c r="Q11" s="23">
        <v>19240.788757220998</v>
      </c>
      <c r="R11" s="23">
        <v>21172.903122592157</v>
      </c>
      <c r="S11" s="23">
        <v>20094.343556</v>
      </c>
      <c r="T11" s="23">
        <v>21094.305464886507</v>
      </c>
      <c r="U11" s="23">
        <v>23356.579681319017</v>
      </c>
      <c r="V11" s="23">
        <v>25283.806834930547</v>
      </c>
      <c r="W11" s="23">
        <v>25917.362116574848</v>
      </c>
      <c r="X11" s="23">
        <v>24846.227598735117</v>
      </c>
      <c r="Y11" s="23">
        <v>24189.199470153559</v>
      </c>
      <c r="Z11" s="23">
        <v>35083.737745818187</v>
      </c>
      <c r="AA11" s="23">
        <v>34725.699999999997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20014.085131211232</v>
      </c>
      <c r="E12" s="23">
        <v>20144.681584134472</v>
      </c>
      <c r="F12" s="23">
        <v>20985.807355102963</v>
      </c>
      <c r="G12" s="23">
        <v>21970.559058542622</v>
      </c>
      <c r="H12" s="23">
        <v>21163.570039268114</v>
      </c>
      <c r="I12" s="23">
        <v>21796.877746123726</v>
      </c>
      <c r="J12" s="23">
        <v>23370.039777957674</v>
      </c>
      <c r="K12" s="23">
        <v>23753.162000652388</v>
      </c>
      <c r="L12" s="23">
        <v>24451.389945541581</v>
      </c>
      <c r="M12" s="23">
        <v>23752.563106796115</v>
      </c>
      <c r="N12" s="23">
        <v>25658.973953333752</v>
      </c>
      <c r="O12" s="23">
        <v>26674.380811915584</v>
      </c>
      <c r="P12" s="23">
        <v>27398.603821499517</v>
      </c>
      <c r="Q12" s="23">
        <v>27126.076413271305</v>
      </c>
      <c r="R12" s="23">
        <v>28438.171499249765</v>
      </c>
      <c r="S12" s="23">
        <v>28883.808772</v>
      </c>
      <c r="T12" s="23">
        <v>31273.887155896158</v>
      </c>
      <c r="U12" s="23">
        <v>31686.406236725819</v>
      </c>
      <c r="V12" s="23">
        <v>33020.579985839504</v>
      </c>
      <c r="W12" s="23">
        <v>39427.782602190026</v>
      </c>
      <c r="X12" s="23">
        <v>39374.115858171303</v>
      </c>
      <c r="Y12" s="23">
        <v>40080.225888675472</v>
      </c>
      <c r="Z12" s="23">
        <v>39977.914389546124</v>
      </c>
      <c r="AA12" s="23">
        <v>39695.5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19585.921406857065</v>
      </c>
      <c r="E13" s="23">
        <v>20524.806123707604</v>
      </c>
      <c r="F13" s="23">
        <v>20123.465683305902</v>
      </c>
      <c r="G13" s="23">
        <v>20733.808223539279</v>
      </c>
      <c r="H13" s="23">
        <v>21165.043222769935</v>
      </c>
      <c r="I13" s="23">
        <v>22550.047637866865</v>
      </c>
      <c r="J13" s="23">
        <v>24538.014136694808</v>
      </c>
      <c r="K13" s="23">
        <v>27080.614870066329</v>
      </c>
      <c r="L13" s="23">
        <v>29397.180736060778</v>
      </c>
      <c r="M13" s="23">
        <v>30658.327378187627</v>
      </c>
      <c r="N13" s="23">
        <v>30489.70337634275</v>
      </c>
      <c r="O13" s="23">
        <v>31501.535088357967</v>
      </c>
      <c r="P13" s="23">
        <v>33482.819062442402</v>
      </c>
      <c r="Q13" s="23">
        <v>35711.761717703594</v>
      </c>
      <c r="R13" s="23">
        <v>37741.479784257266</v>
      </c>
      <c r="S13" s="23">
        <v>41705.525792</v>
      </c>
      <c r="T13" s="23">
        <v>42194.971007977241</v>
      </c>
      <c r="U13" s="23">
        <v>47655.86725316316</v>
      </c>
      <c r="V13" s="23">
        <v>51564.33297499975</v>
      </c>
      <c r="W13" s="23">
        <v>54207.949017207371</v>
      </c>
      <c r="X13" s="23">
        <v>53059.280845051471</v>
      </c>
      <c r="Y13" s="23">
        <v>55787.696519098114</v>
      </c>
      <c r="Z13" s="23">
        <v>54208.485393953451</v>
      </c>
      <c r="AA13" s="23">
        <v>59018.5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43301.865028968692</v>
      </c>
      <c r="E14" s="23">
        <v>47373.240631235218</v>
      </c>
      <c r="F14" s="23">
        <v>50460.446311768981</v>
      </c>
      <c r="G14" s="23">
        <v>52481.277340496614</v>
      </c>
      <c r="H14" s="23">
        <v>51976.676163422235</v>
      </c>
      <c r="I14" s="23">
        <v>52954.352265150548</v>
      </c>
      <c r="J14" s="23">
        <v>55865.940228981141</v>
      </c>
      <c r="K14" s="23">
        <v>58371.555459388925</v>
      </c>
      <c r="L14" s="23">
        <v>61841.798984476402</v>
      </c>
      <c r="M14" s="23">
        <v>63750.713810877882</v>
      </c>
      <c r="N14" s="23">
        <v>67841.372582019088</v>
      </c>
      <c r="O14" s="23">
        <v>69913.133132937408</v>
      </c>
      <c r="P14" s="23">
        <v>67400.592483974615</v>
      </c>
      <c r="Q14" s="23">
        <v>71142.282680844568</v>
      </c>
      <c r="R14" s="23">
        <v>73939.51404355398</v>
      </c>
      <c r="S14" s="23">
        <v>73656.46965600003</v>
      </c>
      <c r="T14" s="23">
        <v>75855.684903865171</v>
      </c>
      <c r="U14" s="23">
        <v>78985.130695441228</v>
      </c>
      <c r="V14" s="23">
        <v>85966.446625913683</v>
      </c>
      <c r="W14" s="23">
        <v>89184.168401006595</v>
      </c>
      <c r="X14" s="23">
        <v>91252.567260983618</v>
      </c>
      <c r="Y14" s="23">
        <v>100259.8731358394</v>
      </c>
      <c r="Z14" s="23">
        <v>97619.606130742352</v>
      </c>
      <c r="AA14" s="23">
        <v>101461.69999999984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6014.4834408015804</v>
      </c>
      <c r="E15" s="23">
        <v>6285.088201221356</v>
      </c>
      <c r="F15" s="23">
        <v>6869.4901885891622</v>
      </c>
      <c r="G15" s="23">
        <v>7012.640372944471</v>
      </c>
      <c r="H15" s="23">
        <v>6270.7897234522525</v>
      </c>
      <c r="I15" s="23">
        <v>7088.1014098849546</v>
      </c>
      <c r="J15" s="23">
        <v>7152.8297444200298</v>
      </c>
      <c r="K15" s="23">
        <v>7548.8504468848541</v>
      </c>
      <c r="L15" s="23">
        <v>8194.545502819823</v>
      </c>
      <c r="M15" s="23">
        <v>8386.3948884684669</v>
      </c>
      <c r="N15" s="23">
        <v>7703.7233850692937</v>
      </c>
      <c r="O15" s="23">
        <v>7826.8288778174183</v>
      </c>
      <c r="P15" s="23">
        <v>8682.431083986974</v>
      </c>
      <c r="Q15" s="23">
        <v>8898.0247962783087</v>
      </c>
      <c r="R15" s="23">
        <v>9240.8303824161558</v>
      </c>
      <c r="S15" s="23">
        <v>9576.0525280000002</v>
      </c>
      <c r="T15" s="23">
        <v>9659.5761665290065</v>
      </c>
      <c r="U15" s="23">
        <v>10160.665912408025</v>
      </c>
      <c r="V15" s="23">
        <v>11101.195340998613</v>
      </c>
      <c r="W15" s="23">
        <v>10845.007658301027</v>
      </c>
      <c r="X15" s="23">
        <v>10938.75144990917</v>
      </c>
      <c r="Y15" s="23">
        <v>10608.07312259322</v>
      </c>
      <c r="Z15" s="23">
        <v>11334.761772210624</v>
      </c>
      <c r="AA15" s="23">
        <v>12613.8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300229.48519391991</v>
      </c>
      <c r="E16" s="30">
        <f t="shared" ref="E16:S16" si="0">SUM(E6:E15)</f>
        <v>304225.64686135802</v>
      </c>
      <c r="F16" s="30">
        <f t="shared" si="0"/>
        <v>309751.7992737873</v>
      </c>
      <c r="G16" s="30">
        <f t="shared" si="0"/>
        <v>320103.82045225205</v>
      </c>
      <c r="H16" s="30">
        <f t="shared" si="0"/>
        <v>337463.24965048605</v>
      </c>
      <c r="I16" s="30">
        <f t="shared" si="0"/>
        <v>347981.80423571629</v>
      </c>
      <c r="J16" s="30">
        <f t="shared" si="0"/>
        <v>369483.64913611655</v>
      </c>
      <c r="K16" s="30">
        <f t="shared" si="0"/>
        <v>394603.61499619449</v>
      </c>
      <c r="L16" s="30">
        <f t="shared" si="0"/>
        <v>410989.64034574304</v>
      </c>
      <c r="M16" s="30">
        <f t="shared" si="0"/>
        <v>422854.35113683995</v>
      </c>
      <c r="N16" s="30">
        <f t="shared" si="0"/>
        <v>436028.90263666387</v>
      </c>
      <c r="O16" s="30">
        <f t="shared" si="0"/>
        <v>458679.37948680617</v>
      </c>
      <c r="P16" s="30">
        <f t="shared" si="0"/>
        <v>464837.97145548754</v>
      </c>
      <c r="Q16" s="30">
        <f t="shared" si="0"/>
        <v>467657.67321507086</v>
      </c>
      <c r="R16" s="30">
        <f t="shared" si="0"/>
        <v>485569.41013828607</v>
      </c>
      <c r="S16" s="30">
        <f t="shared" si="0"/>
        <v>507749.25107200001</v>
      </c>
      <c r="T16" s="30">
        <f t="shared" ref="T16:Y16" si="1">SUM(T6:T15)</f>
        <v>522464.66254456481</v>
      </c>
      <c r="U16" s="30">
        <f t="shared" si="1"/>
        <v>548627.23982807749</v>
      </c>
      <c r="V16" s="30">
        <f t="shared" si="1"/>
        <v>582870.84680940176</v>
      </c>
      <c r="W16" s="30">
        <f t="shared" si="1"/>
        <v>608989.39566074952</v>
      </c>
      <c r="X16" s="30">
        <f t="shared" si="1"/>
        <v>596438.34945838654</v>
      </c>
      <c r="Y16" s="30">
        <f t="shared" si="1"/>
        <v>635979.1397261828</v>
      </c>
      <c r="Z16" s="30">
        <f t="shared" ref="Z16:AA16" si="2">SUM(Z6:Z15)</f>
        <v>670677.05307868775</v>
      </c>
      <c r="AA16" s="30">
        <f t="shared" si="2"/>
        <v>679422.1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10786.480823393087</v>
      </c>
      <c r="E18" s="19">
        <v>11371.112962089608</v>
      </c>
      <c r="F18" s="19">
        <v>9859.6059353444489</v>
      </c>
      <c r="G18" s="19">
        <v>9774.6545857672809</v>
      </c>
      <c r="H18" s="19">
        <v>12711.17969755201</v>
      </c>
      <c r="I18" s="19">
        <v>11746.596666222164</v>
      </c>
      <c r="J18" s="19">
        <v>11570.241211981034</v>
      </c>
      <c r="K18" s="19">
        <v>13985.769990214201</v>
      </c>
      <c r="L18" s="19">
        <v>12444.632233182812</v>
      </c>
      <c r="M18" s="19">
        <v>12507.680696944637</v>
      </c>
      <c r="N18" s="19">
        <v>14455.506488811321</v>
      </c>
      <c r="O18" s="19">
        <v>16558.594439532779</v>
      </c>
      <c r="P18" s="19">
        <v>15673.117209035614</v>
      </c>
      <c r="Q18" s="19">
        <v>17022.0966699044</v>
      </c>
      <c r="R18" s="19">
        <v>16281.392826148669</v>
      </c>
      <c r="S18" s="19">
        <v>14204.857016</v>
      </c>
      <c r="T18" s="19">
        <v>15514.304678662162</v>
      </c>
      <c r="U18" s="19">
        <v>18640.511077334999</v>
      </c>
      <c r="V18" s="19">
        <v>16054.064743366009</v>
      </c>
      <c r="W18" s="19">
        <v>16398.250860368633</v>
      </c>
      <c r="X18" s="19">
        <v>17362.514458723006</v>
      </c>
      <c r="Y18" s="19">
        <v>16380.383396883366</v>
      </c>
      <c r="Z18" s="19">
        <v>21096.0747819961</v>
      </c>
      <c r="AA18" s="19">
        <v>20793.7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7347.5428418351139</v>
      </c>
      <c r="E19" s="23">
        <v>6993.2040873087872</v>
      </c>
      <c r="F19" s="23">
        <v>6806.1853375381634</v>
      </c>
      <c r="G19" s="23">
        <v>6790.1601407929138</v>
      </c>
      <c r="H19" s="23">
        <v>8619.2283732976866</v>
      </c>
      <c r="I19" s="23">
        <v>8915.2357768914644</v>
      </c>
      <c r="J19" s="23">
        <v>8968.7379343540197</v>
      </c>
      <c r="K19" s="23">
        <v>8981.9174973979116</v>
      </c>
      <c r="L19" s="23">
        <v>9899.3216624213019</v>
      </c>
      <c r="M19" s="23">
        <v>9031.6520034892565</v>
      </c>
      <c r="N19" s="23">
        <v>10751.883151530265</v>
      </c>
      <c r="O19" s="23">
        <v>12453.436310495827</v>
      </c>
      <c r="P19" s="23">
        <v>11825.780726923076</v>
      </c>
      <c r="Q19" s="23">
        <v>10300.264310560842</v>
      </c>
      <c r="R19" s="23">
        <v>8901.530931895446</v>
      </c>
      <c r="S19" s="23">
        <v>8795.1147133221457</v>
      </c>
      <c r="T19" s="23">
        <v>8585.6907880017134</v>
      </c>
      <c r="U19" s="23">
        <v>10074.316551901868</v>
      </c>
      <c r="V19" s="23">
        <v>10015.591567526602</v>
      </c>
      <c r="W19" s="23">
        <v>9821.3215806298067</v>
      </c>
      <c r="X19" s="23">
        <v>8745.0330656038113</v>
      </c>
      <c r="Y19" s="23">
        <v>10052.184482428429</v>
      </c>
      <c r="Z19" s="23">
        <v>13165.285433242199</v>
      </c>
      <c r="AA19" s="23">
        <v>9877.5458259582174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53840.101031967824</v>
      </c>
      <c r="E20" s="23">
        <v>49255.632703307332</v>
      </c>
      <c r="F20" s="23">
        <v>49615.883167694847</v>
      </c>
      <c r="G20" s="23">
        <v>55892.49176366919</v>
      </c>
      <c r="H20" s="23">
        <v>63266.049633776151</v>
      </c>
      <c r="I20" s="23">
        <v>64775.65671544084</v>
      </c>
      <c r="J20" s="23">
        <v>69661.25135653984</v>
      </c>
      <c r="K20" s="23">
        <v>75182.374778732206</v>
      </c>
      <c r="L20" s="23">
        <v>77724.201124052794</v>
      </c>
      <c r="M20" s="23">
        <v>79418.761083481557</v>
      </c>
      <c r="N20" s="23">
        <v>80171.808747324903</v>
      </c>
      <c r="O20" s="23">
        <v>84254.020602643985</v>
      </c>
      <c r="P20" s="23">
        <v>86913.549607815032</v>
      </c>
      <c r="Q20" s="23">
        <v>82079.708583405751</v>
      </c>
      <c r="R20" s="23">
        <v>92652.182160671553</v>
      </c>
      <c r="S20" s="23">
        <v>101057.426456</v>
      </c>
      <c r="T20" s="23">
        <v>108059.80262841488</v>
      </c>
      <c r="U20" s="23">
        <v>105434.59626158817</v>
      </c>
      <c r="V20" s="23">
        <v>109558.5472890635</v>
      </c>
      <c r="W20" s="23">
        <v>115268.31155546487</v>
      </c>
      <c r="X20" s="23">
        <v>109567.37172845322</v>
      </c>
      <c r="Y20" s="23">
        <v>126202.79989024608</v>
      </c>
      <c r="Z20" s="23">
        <v>132703.0030327242</v>
      </c>
      <c r="AA20" s="23">
        <v>131271.20000000001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7619.2266936028436</v>
      </c>
      <c r="E21" s="23">
        <v>8866.6407642541908</v>
      </c>
      <c r="F21" s="23">
        <v>9805.7718887813935</v>
      </c>
      <c r="G21" s="23">
        <v>10841.400568037849</v>
      </c>
      <c r="H21" s="23">
        <v>10271.587818531207</v>
      </c>
      <c r="I21" s="23">
        <v>10589.748233097745</v>
      </c>
      <c r="J21" s="23">
        <v>11084.139051398983</v>
      </c>
      <c r="K21" s="23">
        <v>11517.8191540714</v>
      </c>
      <c r="L21" s="23">
        <v>10125.500338591835</v>
      </c>
      <c r="M21" s="23">
        <v>12369.999877649512</v>
      </c>
      <c r="N21" s="23">
        <v>13930.009075609301</v>
      </c>
      <c r="O21" s="23">
        <v>13909.808040106931</v>
      </c>
      <c r="P21" s="23">
        <v>15625.792850579495</v>
      </c>
      <c r="Q21" s="23">
        <v>16433.180056349302</v>
      </c>
      <c r="R21" s="23">
        <v>16042.813048330601</v>
      </c>
      <c r="S21" s="23">
        <v>16393.55850417219</v>
      </c>
      <c r="T21" s="23">
        <v>16232.025677752566</v>
      </c>
      <c r="U21" s="23">
        <v>15589.619499695929</v>
      </c>
      <c r="V21" s="23">
        <v>15818.929718086541</v>
      </c>
      <c r="W21" s="23">
        <v>16021.001917975929</v>
      </c>
      <c r="X21" s="23">
        <v>18522.05629777212</v>
      </c>
      <c r="Y21" s="23">
        <v>18489.523027315201</v>
      </c>
      <c r="Z21" s="23">
        <v>21341.425658807591</v>
      </c>
      <c r="AA21" s="23">
        <v>26501.294278969479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3165.558562169565</v>
      </c>
      <c r="E22" s="23">
        <v>3243.6121313259582</v>
      </c>
      <c r="F22" s="23">
        <v>3540.75164277368</v>
      </c>
      <c r="G22" s="23">
        <v>3733.4039438789146</v>
      </c>
      <c r="H22" s="23">
        <v>3732.6786977469578</v>
      </c>
      <c r="I22" s="23">
        <v>3910.9364642558398</v>
      </c>
      <c r="J22" s="23">
        <v>3935.0253572561369</v>
      </c>
      <c r="K22" s="23">
        <v>4214.0887872607154</v>
      </c>
      <c r="L22" s="23">
        <v>4690.0359032098022</v>
      </c>
      <c r="M22" s="23">
        <v>4900.6281610041806</v>
      </c>
      <c r="N22" s="23">
        <v>5328.3376924515369</v>
      </c>
      <c r="O22" s="23">
        <v>5316.2795003276387</v>
      </c>
      <c r="P22" s="23">
        <v>5418.6260825355184</v>
      </c>
      <c r="Q22" s="23">
        <v>5570.1661683385773</v>
      </c>
      <c r="R22" s="23">
        <v>5905.6622609029664</v>
      </c>
      <c r="S22" s="23">
        <v>6251.0153425056687</v>
      </c>
      <c r="T22" s="23">
        <v>6686.5161311907323</v>
      </c>
      <c r="U22" s="23">
        <v>6944.2792986392633</v>
      </c>
      <c r="V22" s="23">
        <v>7386.5103202066266</v>
      </c>
      <c r="W22" s="23">
        <v>7560.0122696048447</v>
      </c>
      <c r="X22" s="23">
        <v>8151.4385246682041</v>
      </c>
      <c r="Y22" s="23">
        <v>8560.3351012639214</v>
      </c>
      <c r="Z22" s="23">
        <v>8268.054202588386</v>
      </c>
      <c r="AA22" s="23">
        <v>6528.9598950722957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25300.419821416399</v>
      </c>
      <c r="E23" s="23">
        <v>25178.573151943892</v>
      </c>
      <c r="F23" s="23">
        <v>23776.537744217312</v>
      </c>
      <c r="G23" s="23">
        <v>22644.005599852189</v>
      </c>
      <c r="H23" s="23">
        <v>25395.473796195729</v>
      </c>
      <c r="I23" s="23">
        <v>26831.957948332503</v>
      </c>
      <c r="J23" s="23">
        <v>29397.411449057476</v>
      </c>
      <c r="K23" s="23">
        <v>32432.923679460699</v>
      </c>
      <c r="L23" s="23">
        <v>33239.250938971687</v>
      </c>
      <c r="M23" s="23">
        <v>36963.779306907134</v>
      </c>
      <c r="N23" s="23">
        <v>37060.962662843609</v>
      </c>
      <c r="O23" s="23">
        <v>42740.823943500829</v>
      </c>
      <c r="P23" s="23">
        <v>38899.571652091989</v>
      </c>
      <c r="Q23" s="23">
        <v>36905.818017483762</v>
      </c>
      <c r="R23" s="23">
        <v>40534.88557930167</v>
      </c>
      <c r="S23" s="23">
        <v>44768.429076</v>
      </c>
      <c r="T23" s="23">
        <v>41805.761874392294</v>
      </c>
      <c r="U23" s="23">
        <v>41839.884034746901</v>
      </c>
      <c r="V23" s="23">
        <v>49030.993751433496</v>
      </c>
      <c r="W23" s="23">
        <v>50792.920954907167</v>
      </c>
      <c r="X23" s="23">
        <v>48124.71027383436</v>
      </c>
      <c r="Y23" s="23">
        <v>44492.071211361414</v>
      </c>
      <c r="Z23" s="23">
        <v>43909.207196061754</v>
      </c>
      <c r="AA23" s="23">
        <v>46816.6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59571.004877649793</v>
      </c>
      <c r="E24" s="23">
        <v>61527.082711167553</v>
      </c>
      <c r="F24" s="23">
        <v>62942.966626879926</v>
      </c>
      <c r="G24" s="23">
        <v>61391.897946247103</v>
      </c>
      <c r="H24" s="23">
        <v>62836.800790932139</v>
      </c>
      <c r="I24" s="23">
        <v>64929.400846173427</v>
      </c>
      <c r="J24" s="23">
        <v>68594.214941598242</v>
      </c>
      <c r="K24" s="23">
        <v>71331.093604436232</v>
      </c>
      <c r="L24" s="23">
        <v>74146.367755189043</v>
      </c>
      <c r="M24" s="23">
        <v>79166.471094697015</v>
      </c>
      <c r="N24" s="23">
        <v>78595.591277608095</v>
      </c>
      <c r="O24" s="23">
        <v>80607.864406145003</v>
      </c>
      <c r="P24" s="23">
        <v>84430.978541440549</v>
      </c>
      <c r="Q24" s="23">
        <v>85711.3650385972</v>
      </c>
      <c r="R24" s="23">
        <v>78795.226915122272</v>
      </c>
      <c r="S24" s="23">
        <v>82854.304344000018</v>
      </c>
      <c r="T24" s="23">
        <v>83742.734927389232</v>
      </c>
      <c r="U24" s="23">
        <v>90300.021419871773</v>
      </c>
      <c r="V24" s="23">
        <v>93309.437844414075</v>
      </c>
      <c r="W24" s="23">
        <v>95816.348717948727</v>
      </c>
      <c r="X24" s="23">
        <v>93343.486994550243</v>
      </c>
      <c r="Y24" s="23">
        <v>101399.12020512625</v>
      </c>
      <c r="Z24" s="23">
        <v>103891.47356031513</v>
      </c>
      <c r="AA24" s="23">
        <v>99372.300000000017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15418.761622247974</v>
      </c>
      <c r="E25" s="23">
        <v>15427.74703670113</v>
      </c>
      <c r="F25" s="23">
        <v>16503.956824264053</v>
      </c>
      <c r="G25" s="23">
        <v>17808.836111940192</v>
      </c>
      <c r="H25" s="23">
        <v>18902.969955718945</v>
      </c>
      <c r="I25" s="23">
        <v>20334.785491398852</v>
      </c>
      <c r="J25" s="23">
        <v>22417.399699317684</v>
      </c>
      <c r="K25" s="23">
        <v>23308.562187669893</v>
      </c>
      <c r="L25" s="23">
        <v>23360.355801469021</v>
      </c>
      <c r="M25" s="23">
        <v>23937.435937057471</v>
      </c>
      <c r="N25" s="23">
        <v>26296.027941573691</v>
      </c>
      <c r="O25" s="23">
        <v>26382.913897007584</v>
      </c>
      <c r="P25" s="23">
        <v>29074.776006061969</v>
      </c>
      <c r="Q25" s="23">
        <v>29791.102986554881</v>
      </c>
      <c r="R25" s="23">
        <v>31665.30264812036</v>
      </c>
      <c r="S25" s="23">
        <v>33707.805403999999</v>
      </c>
      <c r="T25" s="23">
        <v>34801.103570420397</v>
      </c>
      <c r="U25" s="23">
        <v>38150.650882261165</v>
      </c>
      <c r="V25" s="23">
        <v>43158.684418472461</v>
      </c>
      <c r="W25" s="23">
        <v>43804.307202611715</v>
      </c>
      <c r="X25" s="23">
        <v>40138.286644688153</v>
      </c>
      <c r="Y25" s="23">
        <v>39583.236392881132</v>
      </c>
      <c r="Z25" s="23">
        <v>43705.268967413249</v>
      </c>
      <c r="AA25" s="23">
        <v>45582.8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3645.9718574057665</v>
      </c>
      <c r="E26" s="23">
        <v>3635.5705858879019</v>
      </c>
      <c r="F26" s="23">
        <v>3516.6592453920671</v>
      </c>
      <c r="G26" s="23">
        <v>3564.2106510894132</v>
      </c>
      <c r="H26" s="23">
        <v>3041.2031915782441</v>
      </c>
      <c r="I26" s="23">
        <v>3486.0960612930207</v>
      </c>
      <c r="J26" s="23">
        <v>3480.3708893257776</v>
      </c>
      <c r="K26" s="23">
        <v>3799.9480134826576</v>
      </c>
      <c r="L26" s="23">
        <v>4431.2850249035837</v>
      </c>
      <c r="M26" s="23">
        <v>4342.8635361557026</v>
      </c>
      <c r="N26" s="23">
        <v>4657.6243927777432</v>
      </c>
      <c r="O26" s="23">
        <v>5084.9216188386054</v>
      </c>
      <c r="P26" s="23">
        <v>5193.0463003542973</v>
      </c>
      <c r="Q26" s="23">
        <v>5011.8995429681499</v>
      </c>
      <c r="R26" s="23">
        <v>6291.3639036457271</v>
      </c>
      <c r="S26" s="23">
        <v>6389.8978360000001</v>
      </c>
      <c r="T26" s="23">
        <v>6517.6975336393189</v>
      </c>
      <c r="U26" s="23">
        <v>8074.3822682114214</v>
      </c>
      <c r="V26" s="23">
        <v>8169.4585227216066</v>
      </c>
      <c r="W26" s="23">
        <v>9015.5558729510994</v>
      </c>
      <c r="X26" s="23">
        <v>6674.6733768418217</v>
      </c>
      <c r="Y26" s="23">
        <v>8444.1918687494672</v>
      </c>
      <c r="Z26" s="23">
        <v>10757.485928331485</v>
      </c>
      <c r="AA26" s="23">
        <v>11630.1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10561.13149478563</v>
      </c>
      <c r="E27" s="23">
        <v>11902.999465505774</v>
      </c>
      <c r="F27" s="23">
        <v>13660.057006445453</v>
      </c>
      <c r="G27" s="23">
        <v>14163.804357651474</v>
      </c>
      <c r="H27" s="23">
        <v>16044.80981424235</v>
      </c>
      <c r="I27" s="23">
        <v>15427.958995744886</v>
      </c>
      <c r="J27" s="23">
        <v>15699.520730889326</v>
      </c>
      <c r="K27" s="23">
        <v>16596.140302272481</v>
      </c>
      <c r="L27" s="23">
        <v>17603.529645923372</v>
      </c>
      <c r="M27" s="23">
        <v>17533.40514098628</v>
      </c>
      <c r="N27" s="23">
        <v>15288.196638201502</v>
      </c>
      <c r="O27" s="23">
        <v>15468.378881457829</v>
      </c>
      <c r="P27" s="23">
        <v>16563.609072477422</v>
      </c>
      <c r="Q27" s="23">
        <v>16713.137475589181</v>
      </c>
      <c r="R27" s="23">
        <v>17966.151032077534</v>
      </c>
      <c r="S27" s="23">
        <v>19410.642076</v>
      </c>
      <c r="T27" s="23">
        <v>20440.600035547373</v>
      </c>
      <c r="U27" s="23">
        <v>21734.328754768641</v>
      </c>
      <c r="V27" s="23">
        <v>23432.266871428714</v>
      </c>
      <c r="W27" s="23">
        <v>24909.094933006872</v>
      </c>
      <c r="X27" s="23">
        <v>26337.835080401001</v>
      </c>
      <c r="Y27" s="23">
        <v>31450.226013567852</v>
      </c>
      <c r="Z27" s="23">
        <v>33615.268884936893</v>
      </c>
      <c r="AA27" s="23">
        <v>33532.400000000001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14056.930559607388</v>
      </c>
      <c r="E28" s="23">
        <v>12495.654721567205</v>
      </c>
      <c r="F28" s="23">
        <v>11284.21431568896</v>
      </c>
      <c r="G28" s="23">
        <v>11300.669787802555</v>
      </c>
      <c r="H28" s="23">
        <v>12065.188732002118</v>
      </c>
      <c r="I28" s="23">
        <v>12644.051977839468</v>
      </c>
      <c r="J28" s="23">
        <v>13748.512626344398</v>
      </c>
      <c r="K28" s="23">
        <v>16498.794224203546</v>
      </c>
      <c r="L28" s="23">
        <v>19440.244748929243</v>
      </c>
      <c r="M28" s="23">
        <v>16133.675114137146</v>
      </c>
      <c r="N28" s="23">
        <v>17799.181271167075</v>
      </c>
      <c r="O28" s="23">
        <v>19986.459935720748</v>
      </c>
      <c r="P28" s="23">
        <v>18254.67695426898</v>
      </c>
      <c r="Q28" s="23">
        <v>19240.788757220998</v>
      </c>
      <c r="R28" s="23">
        <v>21172.903122592157</v>
      </c>
      <c r="S28" s="23">
        <v>20094.343556</v>
      </c>
      <c r="T28" s="23">
        <v>21094.305464886507</v>
      </c>
      <c r="U28" s="23">
        <v>23356.579681319017</v>
      </c>
      <c r="V28" s="23">
        <v>25283.806834930547</v>
      </c>
      <c r="W28" s="23">
        <v>25917.362116574848</v>
      </c>
      <c r="X28" s="23">
        <v>24846.227598735117</v>
      </c>
      <c r="Y28" s="23">
        <v>24189.199470153559</v>
      </c>
      <c r="Z28" s="23">
        <v>35083.737745818187</v>
      </c>
      <c r="AA28" s="23">
        <v>34725.699999999997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20014.085131211232</v>
      </c>
      <c r="E29" s="23">
        <v>20144.681584134472</v>
      </c>
      <c r="F29" s="23">
        <v>20985.807355102963</v>
      </c>
      <c r="G29" s="23">
        <v>21970.559058542622</v>
      </c>
      <c r="H29" s="23">
        <v>21163.570039268114</v>
      </c>
      <c r="I29" s="23">
        <v>21796.877746123726</v>
      </c>
      <c r="J29" s="23">
        <v>23370.039777957674</v>
      </c>
      <c r="K29" s="23">
        <v>23753.162000652388</v>
      </c>
      <c r="L29" s="23">
        <v>24451.389945541581</v>
      </c>
      <c r="M29" s="23">
        <v>23752.563106796115</v>
      </c>
      <c r="N29" s="23">
        <v>25658.973953333752</v>
      </c>
      <c r="O29" s="23">
        <v>26674.380811915584</v>
      </c>
      <c r="P29" s="23">
        <v>27398.603821499517</v>
      </c>
      <c r="Q29" s="23">
        <v>27126.076413271305</v>
      </c>
      <c r="R29" s="23">
        <v>28438.171499249765</v>
      </c>
      <c r="S29" s="23">
        <v>28883.808772</v>
      </c>
      <c r="T29" s="23">
        <v>31273.887155896158</v>
      </c>
      <c r="U29" s="23">
        <v>31686.406236725819</v>
      </c>
      <c r="V29" s="23">
        <v>33020.579985839504</v>
      </c>
      <c r="W29" s="23">
        <v>39427.782602190026</v>
      </c>
      <c r="X29" s="23">
        <v>39374.115858171303</v>
      </c>
      <c r="Y29" s="23">
        <v>40080.225888675472</v>
      </c>
      <c r="Z29" s="23">
        <v>39977.914389546124</v>
      </c>
      <c r="AA29" s="23">
        <v>39695.5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15507.819676913639</v>
      </c>
      <c r="E30" s="23">
        <v>15542.727913416775</v>
      </c>
      <c r="F30" s="23">
        <v>15479.614549383725</v>
      </c>
      <c r="G30" s="23">
        <v>16255.003413920042</v>
      </c>
      <c r="H30" s="23">
        <v>15953.104141253798</v>
      </c>
      <c r="I30" s="23">
        <v>17481.94210622022</v>
      </c>
      <c r="J30" s="23">
        <v>18897.418313866085</v>
      </c>
      <c r="K30" s="23">
        <v>20534.270857888445</v>
      </c>
      <c r="L30" s="23">
        <v>22050.192178142992</v>
      </c>
      <c r="M30" s="23">
        <v>22913.444207044216</v>
      </c>
      <c r="N30" s="23">
        <v>21332.859431943321</v>
      </c>
      <c r="O30" s="23">
        <v>21468.553379861249</v>
      </c>
      <c r="P30" s="23">
        <v>22608.418423477848</v>
      </c>
      <c r="Q30" s="23">
        <v>24699.563633761056</v>
      </c>
      <c r="R30" s="23">
        <v>26080.502149316679</v>
      </c>
      <c r="S30" s="23">
        <v>29033.905712</v>
      </c>
      <c r="T30" s="23">
        <v>28482.50413708741</v>
      </c>
      <c r="U30" s="23">
        <v>31792.364367318594</v>
      </c>
      <c r="V30" s="23">
        <v>34582.783861027725</v>
      </c>
      <c r="W30" s="23">
        <v>34843.102931374546</v>
      </c>
      <c r="X30" s="23">
        <v>34513.521900020183</v>
      </c>
      <c r="Y30" s="23">
        <v>35907.491071141339</v>
      </c>
      <c r="Z30" s="23">
        <v>35090.100164093572</v>
      </c>
      <c r="AA30" s="23">
        <v>38448.5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4078.1017299434257</v>
      </c>
      <c r="E31" s="23">
        <v>4982.0782102908279</v>
      </c>
      <c r="F31" s="23">
        <v>4643.8511339221777</v>
      </c>
      <c r="G31" s="23">
        <v>4478.8048096192388</v>
      </c>
      <c r="H31" s="23">
        <v>5211.9390815161396</v>
      </c>
      <c r="I31" s="23">
        <v>5068.1055316466436</v>
      </c>
      <c r="J31" s="23">
        <v>5640.5958228287263</v>
      </c>
      <c r="K31" s="23">
        <v>6546.344012177884</v>
      </c>
      <c r="L31" s="23">
        <v>7346.9885579177899</v>
      </c>
      <c r="M31" s="23">
        <v>7744.8831711434113</v>
      </c>
      <c r="N31" s="23">
        <v>9156.8439443994284</v>
      </c>
      <c r="O31" s="23">
        <v>10032.98170849672</v>
      </c>
      <c r="P31" s="23">
        <v>10874.400638964549</v>
      </c>
      <c r="Q31" s="23">
        <v>11012.198083942538</v>
      </c>
      <c r="R31" s="23">
        <v>11660.977634940589</v>
      </c>
      <c r="S31" s="23">
        <v>12671.620080000001</v>
      </c>
      <c r="T31" s="23">
        <v>13712.466870889833</v>
      </c>
      <c r="U31" s="23">
        <v>15863.502885844566</v>
      </c>
      <c r="V31" s="23">
        <v>16981.549113972018</v>
      </c>
      <c r="W31" s="23">
        <v>19364.846085832825</v>
      </c>
      <c r="X31" s="23">
        <v>18545.758945031288</v>
      </c>
      <c r="Y31" s="23">
        <v>19880.205447956778</v>
      </c>
      <c r="Z31" s="23">
        <v>19118.385229859879</v>
      </c>
      <c r="AA31" s="23">
        <v>20570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18676.23123713446</v>
      </c>
      <c r="E32" s="23">
        <v>20088.230611282375</v>
      </c>
      <c r="F32" s="23">
        <v>20735.744885728342</v>
      </c>
      <c r="G32" s="23">
        <v>21344.477442828935</v>
      </c>
      <c r="H32" s="23">
        <v>21258.774523073553</v>
      </c>
      <c r="I32" s="23">
        <v>21288.191482500741</v>
      </c>
      <c r="J32" s="23">
        <v>22501.361716202144</v>
      </c>
      <c r="K32" s="23">
        <v>23284.261615744261</v>
      </c>
      <c r="L32" s="23">
        <v>24883.754192910674</v>
      </c>
      <c r="M32" s="23">
        <v>25869.611700331952</v>
      </c>
      <c r="N32" s="23">
        <v>26765.197527478162</v>
      </c>
      <c r="O32" s="23">
        <v>26665.165010453191</v>
      </c>
      <c r="P32" s="23">
        <v>26771.224137295394</v>
      </c>
      <c r="Q32" s="23">
        <v>27515.351476918386</v>
      </c>
      <c r="R32" s="23">
        <v>27860.183863903549</v>
      </c>
      <c r="S32" s="23">
        <v>28219.547160000031</v>
      </c>
      <c r="T32" s="23">
        <v>29433.197566050083</v>
      </c>
      <c r="U32" s="23">
        <v>30479.867925553855</v>
      </c>
      <c r="V32" s="23">
        <v>31459.562995243254</v>
      </c>
      <c r="W32" s="23">
        <v>33175.678024892877</v>
      </c>
      <c r="X32" s="23">
        <v>34193.973437394845</v>
      </c>
      <c r="Y32" s="23">
        <v>34960.433293279486</v>
      </c>
      <c r="Z32" s="23">
        <v>35032.838399615262</v>
      </c>
      <c r="AA32" s="23">
        <v>34837.49999999984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15380.542376116147</v>
      </c>
      <c r="E33" s="23">
        <v>16533.098663764438</v>
      </c>
      <c r="F33" s="23">
        <v>17055.257338141251</v>
      </c>
      <c r="G33" s="23">
        <v>17521.639261501728</v>
      </c>
      <c r="H33" s="23">
        <v>17447.83295179213</v>
      </c>
      <c r="I33" s="23">
        <v>18632.698488283284</v>
      </c>
      <c r="J33" s="23">
        <v>19116.728937203654</v>
      </c>
      <c r="K33" s="23">
        <v>19894.691308035231</v>
      </c>
      <c r="L33" s="23">
        <v>20731.570925793138</v>
      </c>
      <c r="M33" s="23">
        <v>21409.891756069377</v>
      </c>
      <c r="N33" s="23">
        <v>22470.269388518362</v>
      </c>
      <c r="O33" s="23">
        <v>22940.05552978376</v>
      </c>
      <c r="P33" s="23">
        <v>22509.971406336401</v>
      </c>
      <c r="Q33" s="23">
        <v>22867.577583968101</v>
      </c>
      <c r="R33" s="23">
        <v>23520.919234356625</v>
      </c>
      <c r="S33" s="23">
        <v>23952.562256000005</v>
      </c>
      <c r="T33" s="23">
        <v>24187.100885547894</v>
      </c>
      <c r="U33" s="23">
        <v>24844.386246187605</v>
      </c>
      <c r="V33" s="23">
        <v>26521.595588308617</v>
      </c>
      <c r="W33" s="23">
        <v>28119.951139223289</v>
      </c>
      <c r="X33" s="23">
        <v>28989.299253179037</v>
      </c>
      <c r="Y33" s="23">
        <v>30148.318736694702</v>
      </c>
      <c r="Z33" s="23">
        <v>29122.379051006468</v>
      </c>
      <c r="AA33" s="23">
        <v>29736.7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9245.0914157180832</v>
      </c>
      <c r="E34" s="23">
        <v>10751.911356188404</v>
      </c>
      <c r="F34" s="23">
        <v>12669.444087899388</v>
      </c>
      <c r="G34" s="23">
        <v>13615.160636165951</v>
      </c>
      <c r="H34" s="23">
        <v>13270.06868855655</v>
      </c>
      <c r="I34" s="23">
        <v>13033.462294366522</v>
      </c>
      <c r="J34" s="23">
        <v>14247.849575575345</v>
      </c>
      <c r="K34" s="23">
        <v>15192.602535609438</v>
      </c>
      <c r="L34" s="23">
        <v>16226.473865772594</v>
      </c>
      <c r="M34" s="23">
        <v>16471.210354476556</v>
      </c>
      <c r="N34" s="23">
        <v>18605.905666022565</v>
      </c>
      <c r="O34" s="23">
        <v>20307.912592700457</v>
      </c>
      <c r="P34" s="23">
        <v>18119.396940342827</v>
      </c>
      <c r="Q34" s="23">
        <v>20759.353619958078</v>
      </c>
      <c r="R34" s="23">
        <v>22558.410945293806</v>
      </c>
      <c r="S34" s="23">
        <v>21484.360240000002</v>
      </c>
      <c r="T34" s="23">
        <v>22235.386452267187</v>
      </c>
      <c r="U34" s="23">
        <v>23660.876523699761</v>
      </c>
      <c r="V34" s="23">
        <v>27985.288042361812</v>
      </c>
      <c r="W34" s="23">
        <v>27888.539236890432</v>
      </c>
      <c r="X34" s="23">
        <v>28069.29457040974</v>
      </c>
      <c r="Y34" s="23">
        <v>35151.121105865212</v>
      </c>
      <c r="Z34" s="23">
        <v>33464.388680120624</v>
      </c>
      <c r="AA34" s="23">
        <v>36887.5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2275.4873805466564</v>
      </c>
      <c r="E35" s="23">
        <v>2285.8646060825931</v>
      </c>
      <c r="F35" s="23">
        <v>2383.3196416680275</v>
      </c>
      <c r="G35" s="23">
        <v>2498.3118691283285</v>
      </c>
      <c r="H35" s="23">
        <v>2428.5430027571233</v>
      </c>
      <c r="I35" s="23">
        <v>2814.5275903453789</v>
      </c>
      <c r="J35" s="23">
        <v>2781.7579692378863</v>
      </c>
      <c r="K35" s="23">
        <v>3245.3485701859299</v>
      </c>
      <c r="L35" s="23">
        <v>3837.7132425046993</v>
      </c>
      <c r="M35" s="23">
        <v>3951.0949371820871</v>
      </c>
      <c r="N35" s="23">
        <v>3973.3099835857797</v>
      </c>
      <c r="O35" s="23">
        <v>3916.8531707976654</v>
      </c>
      <c r="P35" s="23">
        <v>3713.2264883573284</v>
      </c>
      <c r="Q35" s="23">
        <v>3625.4367077347783</v>
      </c>
      <c r="R35" s="23">
        <v>3670.9119591224298</v>
      </c>
      <c r="S35" s="23">
        <v>3958.7241400000003</v>
      </c>
      <c r="T35" s="23">
        <v>4323.6088157495788</v>
      </c>
      <c r="U35" s="23">
        <v>4213.566163044683</v>
      </c>
      <c r="V35" s="23">
        <v>4829.4334048006058</v>
      </c>
      <c r="W35" s="23">
        <v>4735.9133238114664</v>
      </c>
      <c r="X35" s="23">
        <v>4743.0194442575512</v>
      </c>
      <c r="Y35" s="23">
        <v>4869.045629239954</v>
      </c>
      <c r="Z35" s="23">
        <v>5013.8128302275836</v>
      </c>
      <c r="AA35" s="23">
        <v>6148.5999999999995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3712.8555381364595</v>
      </c>
      <c r="E36" s="23">
        <v>3971.7177386782755</v>
      </c>
      <c r="F36" s="23">
        <v>4457.7581334573006</v>
      </c>
      <c r="G36" s="23">
        <v>4484.8194033456984</v>
      </c>
      <c r="H36" s="23">
        <v>3811.3098671568218</v>
      </c>
      <c r="I36" s="23">
        <v>4237.6627817042272</v>
      </c>
      <c r="J36" s="23">
        <v>4332.990641841101</v>
      </c>
      <c r="K36" s="23">
        <v>4261.6588800695881</v>
      </c>
      <c r="L36" s="23">
        <v>4311.9811973100259</v>
      </c>
      <c r="M36" s="23">
        <v>4389.6060993984438</v>
      </c>
      <c r="N36" s="23">
        <v>3664.7433979513394</v>
      </c>
      <c r="O36" s="23">
        <v>3842.1639141695186</v>
      </c>
      <c r="P36" s="23">
        <v>4901.2260500931825</v>
      </c>
      <c r="Q36" s="23">
        <v>5197.545483359746</v>
      </c>
      <c r="R36" s="23">
        <v>5496.1784095056564</v>
      </c>
      <c r="S36" s="23">
        <v>5543.4039920000005</v>
      </c>
      <c r="T36" s="23">
        <v>5259.646412328666</v>
      </c>
      <c r="U36" s="23">
        <v>5868.5629440244802</v>
      </c>
      <c r="V36" s="23">
        <v>6179.8443183517993</v>
      </c>
      <c r="W36" s="23">
        <v>6009.5139767394412</v>
      </c>
      <c r="X36" s="23">
        <v>6099.0031353024297</v>
      </c>
      <c r="Y36" s="23">
        <v>5666.0806464126545</v>
      </c>
      <c r="Z36" s="23">
        <v>6243.1229327216333</v>
      </c>
      <c r="AA36" s="23">
        <v>6391.2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26.140522118464997</v>
      </c>
      <c r="E37" s="23">
        <v>27.505856460487333</v>
      </c>
      <c r="F37" s="23">
        <v>28.412413463833854</v>
      </c>
      <c r="G37" s="23">
        <v>29.509100470444437</v>
      </c>
      <c r="H37" s="23">
        <v>30.9368535383073</v>
      </c>
      <c r="I37" s="23">
        <v>35.911037835347742</v>
      </c>
      <c r="J37" s="23">
        <v>38.081133341043135</v>
      </c>
      <c r="K37" s="23">
        <v>41.842996629335659</v>
      </c>
      <c r="L37" s="23">
        <v>44.851063005096997</v>
      </c>
      <c r="M37" s="23">
        <v>45.693851887936013</v>
      </c>
      <c r="N37" s="23">
        <v>65.670003532173951</v>
      </c>
      <c r="O37" s="23">
        <v>67.811792850233502</v>
      </c>
      <c r="P37" s="23">
        <v>67.978545536463983</v>
      </c>
      <c r="Q37" s="23">
        <v>75.042605183784048</v>
      </c>
      <c r="R37" s="23">
        <v>73.740013788069263</v>
      </c>
      <c r="S37" s="23">
        <v>73.924396000000002</v>
      </c>
      <c r="T37" s="23">
        <v>76.320938450761645</v>
      </c>
      <c r="U37" s="23">
        <v>78.536805338862777</v>
      </c>
      <c r="V37" s="23">
        <v>91.917617846209083</v>
      </c>
      <c r="W37" s="23">
        <v>99.58035775011902</v>
      </c>
      <c r="X37" s="23">
        <v>96.728870349189265</v>
      </c>
      <c r="Y37" s="23">
        <v>72.946846940609888</v>
      </c>
      <c r="Z37" s="23">
        <v>77.82600926140708</v>
      </c>
      <c r="AA37" s="23">
        <v>74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300229.48519391991</v>
      </c>
      <c r="E39" s="30">
        <f t="shared" ref="E39:S39" si="3">SUM(E18:E38)</f>
        <v>304225.64686135802</v>
      </c>
      <c r="F39" s="30">
        <f t="shared" si="3"/>
        <v>309751.7992737873</v>
      </c>
      <c r="G39" s="30">
        <f t="shared" si="3"/>
        <v>320103.820452252</v>
      </c>
      <c r="H39" s="30">
        <f t="shared" si="3"/>
        <v>337463.24965048605</v>
      </c>
      <c r="I39" s="30">
        <f t="shared" si="3"/>
        <v>347981.80423571623</v>
      </c>
      <c r="J39" s="30">
        <f t="shared" si="3"/>
        <v>369483.6491361165</v>
      </c>
      <c r="K39" s="30">
        <f t="shared" si="3"/>
        <v>394603.61499619449</v>
      </c>
      <c r="L39" s="30">
        <f t="shared" si="3"/>
        <v>410989.64034574304</v>
      </c>
      <c r="M39" s="30">
        <f t="shared" si="3"/>
        <v>422854.35113684001</v>
      </c>
      <c r="N39" s="30">
        <f t="shared" si="3"/>
        <v>436028.90263666393</v>
      </c>
      <c r="O39" s="30">
        <f t="shared" si="3"/>
        <v>458679.37948680611</v>
      </c>
      <c r="P39" s="30">
        <f t="shared" si="3"/>
        <v>464837.97145548754</v>
      </c>
      <c r="Q39" s="30">
        <f t="shared" si="3"/>
        <v>467657.67321507086</v>
      </c>
      <c r="R39" s="30">
        <f t="shared" si="3"/>
        <v>485569.41013828601</v>
      </c>
      <c r="S39" s="30">
        <f t="shared" si="3"/>
        <v>507749.25107200001</v>
      </c>
      <c r="T39" s="30">
        <f t="shared" ref="T39:Y39" si="4">SUM(T18:T38)</f>
        <v>522464.66254456469</v>
      </c>
      <c r="U39" s="30">
        <f t="shared" si="4"/>
        <v>548627.23982807726</v>
      </c>
      <c r="V39" s="30">
        <f t="shared" si="4"/>
        <v>582870.84680940176</v>
      </c>
      <c r="W39" s="30">
        <f t="shared" si="4"/>
        <v>608989.39566074952</v>
      </c>
      <c r="X39" s="30">
        <f t="shared" si="4"/>
        <v>596438.34945838666</v>
      </c>
      <c r="Y39" s="30">
        <f t="shared" si="4"/>
        <v>635979.13972618291</v>
      </c>
      <c r="Z39" s="30">
        <f t="shared" ref="Z39:AA39" si="5">SUM(Z18:Z38)</f>
        <v>670677.05307868763</v>
      </c>
      <c r="AA39" s="30">
        <f t="shared" si="5"/>
        <v>679422.09999999974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10090.782376116147</v>
      </c>
      <c r="E41" s="19">
        <v>9126.667058467865</v>
      </c>
      <c r="F41" s="19">
        <v>9164.0833461069724</v>
      </c>
      <c r="G41" s="19">
        <v>9816.3808297445958</v>
      </c>
      <c r="H41" s="19">
        <v>9079.2299217422787</v>
      </c>
      <c r="I41" s="19">
        <v>11382.356139606492</v>
      </c>
      <c r="J41" s="19">
        <v>12156.293031109055</v>
      </c>
      <c r="K41" s="19">
        <v>11566.065704033925</v>
      </c>
      <c r="L41" s="19">
        <v>12743.084021008161</v>
      </c>
      <c r="M41" s="19">
        <v>14913.72417668317</v>
      </c>
      <c r="N41" s="19">
        <v>14357.551023291573</v>
      </c>
      <c r="O41" s="19">
        <v>13477.490667027239</v>
      </c>
      <c r="P41" s="19">
        <v>13519.876466853713</v>
      </c>
      <c r="Q41" s="19">
        <v>13402.609285823832</v>
      </c>
      <c r="R41" s="19">
        <v>16230.177034754044</v>
      </c>
      <c r="S41" s="19">
        <v>18074.977675999999</v>
      </c>
      <c r="T41" s="19">
        <v>18747.436607525586</v>
      </c>
      <c r="U41" s="19">
        <v>18098.340894038072</v>
      </c>
      <c r="V41" s="19">
        <v>18848.254825038144</v>
      </c>
      <c r="W41" s="19">
        <v>19700.849486499355</v>
      </c>
      <c r="X41" s="19">
        <v>16862.727443988428</v>
      </c>
      <c r="Y41" s="19">
        <v>17559.294532173979</v>
      </c>
      <c r="Z41" s="19">
        <v>18032.68399701023</v>
      </c>
      <c r="AA41" s="19">
        <v>17925.559441740566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3259.4526889782564</v>
      </c>
      <c r="E42" s="23">
        <v>2998.2982719632387</v>
      </c>
      <c r="F42" s="23">
        <v>3029.8266638187738</v>
      </c>
      <c r="G42" s="23">
        <v>3162.7365198482075</v>
      </c>
      <c r="H42" s="23">
        <v>3343.9424012031086</v>
      </c>
      <c r="I42" s="23">
        <v>3213.0759834644618</v>
      </c>
      <c r="J42" s="23">
        <v>3387.691504568058</v>
      </c>
      <c r="K42" s="23">
        <v>3660.7589387843868</v>
      </c>
      <c r="L42" s="23">
        <v>3383.0516095273165</v>
      </c>
      <c r="M42" s="23">
        <v>3160.9658392903675</v>
      </c>
      <c r="N42" s="23">
        <v>2942.9228988759378</v>
      </c>
      <c r="O42" s="23">
        <v>3104.487149350447</v>
      </c>
      <c r="P42" s="23">
        <v>3174.8147412398371</v>
      </c>
      <c r="Q42" s="23">
        <v>2741.0156617759826</v>
      </c>
      <c r="R42" s="23">
        <v>3179.8034672938884</v>
      </c>
      <c r="S42" s="23">
        <v>3300.6779960000003</v>
      </c>
      <c r="T42" s="23">
        <v>3695.2054366577095</v>
      </c>
      <c r="U42" s="23">
        <v>3477.1837780708024</v>
      </c>
      <c r="V42" s="23">
        <v>3444.602838081752</v>
      </c>
      <c r="W42" s="23">
        <v>3531.3122219955112</v>
      </c>
      <c r="X42" s="23">
        <v>3351.8269528359015</v>
      </c>
      <c r="Y42" s="23">
        <v>3851.0429762231411</v>
      </c>
      <c r="Z42" s="23">
        <v>3423.6627198295491</v>
      </c>
      <c r="AA42" s="23">
        <v>3127.7876553787773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5435.9666444005179</v>
      </c>
      <c r="E43" s="23">
        <v>4917.6313489328259</v>
      </c>
      <c r="F43" s="23">
        <v>4972.0062017062237</v>
      </c>
      <c r="G43" s="23">
        <v>5368.4008129734648</v>
      </c>
      <c r="H43" s="23">
        <v>5985.9128637870062</v>
      </c>
      <c r="I43" s="23">
        <v>5942.7958103504707</v>
      </c>
      <c r="J43" s="23">
        <v>6085.7933294784325</v>
      </c>
      <c r="K43" s="23">
        <v>7338.3413504403616</v>
      </c>
      <c r="L43" s="23">
        <v>6655.2570204848935</v>
      </c>
      <c r="M43" s="23">
        <v>6982.619832107941</v>
      </c>
      <c r="N43" s="23">
        <v>7108.1596501070044</v>
      </c>
      <c r="O43" s="23">
        <v>7541.6892295850967</v>
      </c>
      <c r="P43" s="23">
        <v>7975.697958180589</v>
      </c>
      <c r="Q43" s="23">
        <v>6969.4974490056738</v>
      </c>
      <c r="R43" s="23">
        <v>8261.0267083012295</v>
      </c>
      <c r="S43" s="23">
        <v>9150.0946040000017</v>
      </c>
      <c r="T43" s="23">
        <v>9483.0148650767915</v>
      </c>
      <c r="U43" s="23">
        <v>9265.7456712331532</v>
      </c>
      <c r="V43" s="23">
        <v>9729.0248765943015</v>
      </c>
      <c r="W43" s="23">
        <v>10105.029232129496</v>
      </c>
      <c r="X43" s="23">
        <v>9819.8234003902326</v>
      </c>
      <c r="Y43" s="23">
        <v>12277.967838321143</v>
      </c>
      <c r="Z43" s="23">
        <v>12093.139307714117</v>
      </c>
      <c r="AA43" s="23">
        <v>11628.811240126806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1519.3953132029171</v>
      </c>
      <c r="E44" s="23">
        <v>1353.0642529778102</v>
      </c>
      <c r="F44" s="23">
        <v>1378.4174391576939</v>
      </c>
      <c r="G44" s="23">
        <v>1845.1645816455609</v>
      </c>
      <c r="H44" s="23">
        <v>4957.2624836382884</v>
      </c>
      <c r="I44" s="23">
        <v>2489.8853956285079</v>
      </c>
      <c r="J44" s="23">
        <v>1929.749961836475</v>
      </c>
      <c r="K44" s="23">
        <v>1932.3987343699034</v>
      </c>
      <c r="L44" s="23">
        <v>3071.7852322719432</v>
      </c>
      <c r="M44" s="23">
        <v>2688.4464659967598</v>
      </c>
      <c r="N44" s="23">
        <v>2843.4561989652807</v>
      </c>
      <c r="O44" s="23">
        <v>3486.3239383002401</v>
      </c>
      <c r="P44" s="23">
        <v>3530.4156587273956</v>
      </c>
      <c r="Q44" s="23">
        <v>3024.1493829558813</v>
      </c>
      <c r="R44" s="23">
        <v>1717.740103004988</v>
      </c>
      <c r="S44" s="23">
        <v>2692.4878400000002</v>
      </c>
      <c r="T44" s="23">
        <v>3319.4077723295031</v>
      </c>
      <c r="U44" s="23">
        <v>3122.8363614402047</v>
      </c>
      <c r="V44" s="23">
        <v>3244.4149702330496</v>
      </c>
      <c r="W44" s="23">
        <v>3427.234686798613</v>
      </c>
      <c r="X44" s="23">
        <v>2569.6068895916032</v>
      </c>
      <c r="Y44" s="23">
        <v>4393.8275766148481</v>
      </c>
      <c r="Z44" s="23">
        <v>9289.9259843466752</v>
      </c>
      <c r="AA44" s="23">
        <v>11052.798536278266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3022.5654747460976</v>
      </c>
      <c r="E45" s="23">
        <v>2797.1217171533949</v>
      </c>
      <c r="F45" s="23">
        <v>2827.4505258132203</v>
      </c>
      <c r="G45" s="23">
        <v>2969.141784277776</v>
      </c>
      <c r="H45" s="23">
        <v>3179.8665886874428</v>
      </c>
      <c r="I45" s="23">
        <v>3284.0964734691897</v>
      </c>
      <c r="J45" s="23">
        <v>3509.4287822366136</v>
      </c>
      <c r="K45" s="23">
        <v>3356.3547330651299</v>
      </c>
      <c r="L45" s="23">
        <v>3352.42474078955</v>
      </c>
      <c r="M45" s="23">
        <v>3171.0035051149302</v>
      </c>
      <c r="N45" s="23">
        <v>4026.6153421014365</v>
      </c>
      <c r="O45" s="23">
        <v>4614.6406457048361</v>
      </c>
      <c r="P45" s="23">
        <v>4559.8437526879516</v>
      </c>
      <c r="Q45" s="23">
        <v>3978.6101937528751</v>
      </c>
      <c r="R45" s="23">
        <v>4394.9048217689278</v>
      </c>
      <c r="S45" s="23">
        <v>5143.2336480000004</v>
      </c>
      <c r="T45" s="23">
        <v>5714.9450542097493</v>
      </c>
      <c r="U45" s="23">
        <v>4966.8539281508256</v>
      </c>
      <c r="V45" s="23">
        <v>4899.7233478594717</v>
      </c>
      <c r="W45" s="23">
        <v>5185.8880500578116</v>
      </c>
      <c r="X45" s="23">
        <v>5235.0528964542827</v>
      </c>
      <c r="Y45" s="23">
        <v>6117.775530556054</v>
      </c>
      <c r="Z45" s="23">
        <v>6204.8348084572626</v>
      </c>
      <c r="AA45" s="23">
        <v>6054.6431221988469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994.42151727898579</v>
      </c>
      <c r="E46" s="23">
        <v>914.56972731120391</v>
      </c>
      <c r="F46" s="23">
        <v>962.69896847633527</v>
      </c>
      <c r="G46" s="23">
        <v>892.7912562714082</v>
      </c>
      <c r="H46" s="23">
        <v>865.67945525942037</v>
      </c>
      <c r="I46" s="23">
        <v>997.49320273006106</v>
      </c>
      <c r="J46" s="23">
        <v>1016.2615704868741</v>
      </c>
      <c r="K46" s="23">
        <v>1617.7854126345549</v>
      </c>
      <c r="L46" s="23">
        <v>1664.4870210662998</v>
      </c>
      <c r="M46" s="23">
        <v>1768.7266078326968</v>
      </c>
      <c r="N46" s="23">
        <v>1717.1744229051094</v>
      </c>
      <c r="O46" s="23">
        <v>1484.8444296516648</v>
      </c>
      <c r="P46" s="23">
        <v>1568.1106719367588</v>
      </c>
      <c r="Q46" s="23">
        <v>1599.6920034763045</v>
      </c>
      <c r="R46" s="23">
        <v>1784.1061154142503</v>
      </c>
      <c r="S46" s="23">
        <v>1807.9077239999999</v>
      </c>
      <c r="T46" s="23">
        <v>1793.5420535928988</v>
      </c>
      <c r="U46" s="23">
        <v>1588.8395059740103</v>
      </c>
      <c r="V46" s="23">
        <v>2533.866727829356</v>
      </c>
      <c r="W46" s="23">
        <v>1847.9544582738217</v>
      </c>
      <c r="X46" s="23">
        <v>1945.127336338559</v>
      </c>
      <c r="Y46" s="23">
        <v>2207.1738937090195</v>
      </c>
      <c r="Z46" s="23">
        <v>1938.1516671391876</v>
      </c>
      <c r="AA46" s="23">
        <v>1748.0117358854147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7580.9316938177362</v>
      </c>
      <c r="E47" s="23">
        <v>7006.637179998791</v>
      </c>
      <c r="F47" s="23">
        <v>7044.2846854543868</v>
      </c>
      <c r="G47" s="23">
        <v>7955.0520274591736</v>
      </c>
      <c r="H47" s="23">
        <v>8497.8748823349215</v>
      </c>
      <c r="I47" s="23">
        <v>8676.2029312999293</v>
      </c>
      <c r="J47" s="23">
        <v>9595.2221117150457</v>
      </c>
      <c r="K47" s="23">
        <v>11185.740184842884</v>
      </c>
      <c r="L47" s="23">
        <v>10831.531715730925</v>
      </c>
      <c r="M47" s="23">
        <v>10475.577723148033</v>
      </c>
      <c r="N47" s="23">
        <v>10848.876922437617</v>
      </c>
      <c r="O47" s="23">
        <v>11172.577456497094</v>
      </c>
      <c r="P47" s="23">
        <v>11188.293604210614</v>
      </c>
      <c r="Q47" s="23">
        <v>10884.017201574561</v>
      </c>
      <c r="R47" s="23">
        <v>12097.384443813617</v>
      </c>
      <c r="S47" s="23">
        <v>13060.681928000002</v>
      </c>
      <c r="T47" s="23">
        <v>14154.492306083826</v>
      </c>
      <c r="U47" s="23">
        <v>13923.910020433434</v>
      </c>
      <c r="V47" s="23">
        <v>14731.479679693655</v>
      </c>
      <c r="W47" s="23">
        <v>15461.296062028157</v>
      </c>
      <c r="X47" s="23">
        <v>15963.822619928682</v>
      </c>
      <c r="Y47" s="23">
        <v>17731.088736032394</v>
      </c>
      <c r="Z47" s="23">
        <v>17327.705329175151</v>
      </c>
      <c r="AA47" s="23">
        <v>16597.163115846575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5638.4204812214566</v>
      </c>
      <c r="E48" s="23">
        <v>5141.5162270995834</v>
      </c>
      <c r="F48" s="23">
        <v>5142.9791458833297</v>
      </c>
      <c r="G48" s="23">
        <v>5880.2051478844223</v>
      </c>
      <c r="H48" s="23">
        <v>7912.100292422092</v>
      </c>
      <c r="I48" s="23">
        <v>8018.2614166737376</v>
      </c>
      <c r="J48" s="23">
        <v>9948.5049149994211</v>
      </c>
      <c r="K48" s="23">
        <v>10825.401526584757</v>
      </c>
      <c r="L48" s="23">
        <v>10317.794825481114</v>
      </c>
      <c r="M48" s="23">
        <v>9760.3565791709625</v>
      </c>
      <c r="N48" s="23">
        <v>9838.4106546988314</v>
      </c>
      <c r="O48" s="23">
        <v>11881.231324173366</v>
      </c>
      <c r="P48" s="23">
        <v>12054.275274939073</v>
      </c>
      <c r="Q48" s="23">
        <v>10749.346147947446</v>
      </c>
      <c r="R48" s="23">
        <v>13074.10444462468</v>
      </c>
      <c r="S48" s="23">
        <v>14507.034556000001</v>
      </c>
      <c r="T48" s="23">
        <v>16043.850320449148</v>
      </c>
      <c r="U48" s="23">
        <v>15309.751851590889</v>
      </c>
      <c r="V48" s="23">
        <v>15855.723140438178</v>
      </c>
      <c r="W48" s="23">
        <v>16958.599170237365</v>
      </c>
      <c r="X48" s="23">
        <v>16399.801628204266</v>
      </c>
      <c r="Y48" s="23">
        <v>20319.012638729881</v>
      </c>
      <c r="Z48" s="23">
        <v>20896.794752442074</v>
      </c>
      <c r="AA48" s="23">
        <v>20533.273812838626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1566.6285324790401</v>
      </c>
      <c r="E49" s="23">
        <v>1452.8529415321364</v>
      </c>
      <c r="F49" s="23">
        <v>1468.473159025518</v>
      </c>
      <c r="G49" s="23">
        <v>1787.4620730823351</v>
      </c>
      <c r="H49" s="23">
        <v>1745.538301723898</v>
      </c>
      <c r="I49" s="23">
        <v>1809.6597994884164</v>
      </c>
      <c r="J49" s="23">
        <v>2033.899567480051</v>
      </c>
      <c r="K49" s="23">
        <v>1901.3400152223553</v>
      </c>
      <c r="L49" s="23">
        <v>2162.2056745285763</v>
      </c>
      <c r="M49" s="23">
        <v>3085.9080694678892</v>
      </c>
      <c r="N49" s="23">
        <v>2515.3809511936674</v>
      </c>
      <c r="O49" s="23">
        <v>2290.6080858720866</v>
      </c>
      <c r="P49" s="23">
        <v>2294.3436195703371</v>
      </c>
      <c r="Q49" s="23">
        <v>2044.8095823321914</v>
      </c>
      <c r="R49" s="23">
        <v>2203.4856847398514</v>
      </c>
      <c r="S49" s="23">
        <v>2094.8772039999999</v>
      </c>
      <c r="T49" s="23">
        <v>2314.515416061141</v>
      </c>
      <c r="U49" s="23">
        <v>2238.5651786163653</v>
      </c>
      <c r="V49" s="23">
        <v>2651.1045503046498</v>
      </c>
      <c r="W49" s="23">
        <v>2749.4458001768348</v>
      </c>
      <c r="X49" s="23">
        <v>2829.9232187310772</v>
      </c>
      <c r="Y49" s="23">
        <v>3186.1380969051288</v>
      </c>
      <c r="Z49" s="23">
        <v>3353.5625041882522</v>
      </c>
      <c r="AA49" s="23">
        <v>3333.6292122430059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2270.0789966600778</v>
      </c>
      <c r="E50" s="23">
        <v>2132.6633823084831</v>
      </c>
      <c r="F50" s="23">
        <v>2151.2018544810344</v>
      </c>
      <c r="G50" s="23">
        <v>2611.0855014994531</v>
      </c>
      <c r="H50" s="23">
        <v>2465.9250341159109</v>
      </c>
      <c r="I50" s="23">
        <v>2506.5583774806337</v>
      </c>
      <c r="J50" s="23">
        <v>2766.7702139470334</v>
      </c>
      <c r="K50" s="23">
        <v>2890.4739458519084</v>
      </c>
      <c r="L50" s="23">
        <v>3371.0058954630904</v>
      </c>
      <c r="M50" s="23">
        <v>3192.8766276580077</v>
      </c>
      <c r="N50" s="23">
        <v>3182.6596272517613</v>
      </c>
      <c r="O50" s="23">
        <v>3367.4813642178838</v>
      </c>
      <c r="P50" s="23">
        <v>3471.5099469577503</v>
      </c>
      <c r="Q50" s="23">
        <v>3174.9106528296097</v>
      </c>
      <c r="R50" s="23">
        <v>3649.1921732430351</v>
      </c>
      <c r="S50" s="23">
        <v>4168.1986360000001</v>
      </c>
      <c r="T50" s="23">
        <v>3982.9298441142946</v>
      </c>
      <c r="U50" s="23">
        <v>3759.7831640613208</v>
      </c>
      <c r="V50" s="23">
        <v>4205.2639854805093</v>
      </c>
      <c r="W50" s="23">
        <v>3969.3373053118407</v>
      </c>
      <c r="X50" s="23">
        <v>5438.8063513422594</v>
      </c>
      <c r="Y50" s="23">
        <v>6558.4595698782296</v>
      </c>
      <c r="Z50" s="23">
        <v>7859.745247729752</v>
      </c>
      <c r="AA50" s="23">
        <v>8336.8457270572926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2858.6914429827552</v>
      </c>
      <c r="E51" s="23">
        <v>2691.7359066449003</v>
      </c>
      <c r="F51" s="23">
        <v>2714.9639532107904</v>
      </c>
      <c r="G51" s="23">
        <v>2943.5797609403203</v>
      </c>
      <c r="H51" s="23">
        <v>3148.1931433982236</v>
      </c>
      <c r="I51" s="23">
        <v>3472.148470705185</v>
      </c>
      <c r="J51" s="23">
        <v>3797.5607308893254</v>
      </c>
      <c r="K51" s="23">
        <v>4737.0298314667834</v>
      </c>
      <c r="L51" s="23">
        <v>4922.8526754394461</v>
      </c>
      <c r="M51" s="23">
        <v>5464.5352380736595</v>
      </c>
      <c r="N51" s="23">
        <v>4690.7341644330872</v>
      </c>
      <c r="O51" s="23">
        <v>4567.186145637228</v>
      </c>
      <c r="P51" s="23">
        <v>4558.2187675356854</v>
      </c>
      <c r="Q51" s="23">
        <v>3962.519977506262</v>
      </c>
      <c r="R51" s="23">
        <v>4293.0095299890509</v>
      </c>
      <c r="S51" s="23">
        <v>4619.5474080000004</v>
      </c>
      <c r="T51" s="23">
        <v>4629.0308321222819</v>
      </c>
      <c r="U51" s="23">
        <v>4966.8539281508256</v>
      </c>
      <c r="V51" s="23">
        <v>5270.9544730202733</v>
      </c>
      <c r="W51" s="23">
        <v>5776.0462218594848</v>
      </c>
      <c r="X51" s="23">
        <v>5296.0645360963472</v>
      </c>
      <c r="Y51" s="23">
        <v>6005.4148640849271</v>
      </c>
      <c r="Z51" s="23">
        <v>5938.863001623753</v>
      </c>
      <c r="AA51" s="23">
        <v>5722.3370748145835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3921.6191561584078</v>
      </c>
      <c r="E52" s="23">
        <v>3626.7751085313507</v>
      </c>
      <c r="F52" s="23">
        <v>3644.0997198175673</v>
      </c>
      <c r="G52" s="23">
        <v>5041.9211472590578</v>
      </c>
      <c r="H52" s="23">
        <v>6006.3532848748155</v>
      </c>
      <c r="I52" s="23">
        <v>6293.5696977778853</v>
      </c>
      <c r="J52" s="23">
        <v>6555.7665132415868</v>
      </c>
      <c r="K52" s="23">
        <v>6320.5931368924648</v>
      </c>
      <c r="L52" s="23">
        <v>6606.6897265450889</v>
      </c>
      <c r="M52" s="23">
        <v>6792.5034450725598</v>
      </c>
      <c r="N52" s="23">
        <v>7771.1793928816314</v>
      </c>
      <c r="O52" s="23">
        <v>8455.0164192920965</v>
      </c>
      <c r="P52" s="23">
        <v>8579.24452681808</v>
      </c>
      <c r="Q52" s="23">
        <v>10170.774422575532</v>
      </c>
      <c r="R52" s="23">
        <v>10683.05097935845</v>
      </c>
      <c r="S52" s="23">
        <v>9941.7071880000003</v>
      </c>
      <c r="T52" s="23">
        <v>11497.777030121173</v>
      </c>
      <c r="U52" s="23">
        <v>12164.020014695967</v>
      </c>
      <c r="V52" s="23">
        <v>10878.061037704805</v>
      </c>
      <c r="W52" s="23">
        <v>12966.262014554854</v>
      </c>
      <c r="X52" s="23">
        <v>10485.358702819083</v>
      </c>
      <c r="Y52" s="23">
        <v>11806.002989847762</v>
      </c>
      <c r="Z52" s="23">
        <v>11601.9833397768</v>
      </c>
      <c r="AA52" s="23">
        <v>11321.488262328776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5681.1467139254291</v>
      </c>
      <c r="E53" s="23">
        <v>5096.0995803857568</v>
      </c>
      <c r="F53" s="23">
        <v>5115.3975047430004</v>
      </c>
      <c r="G53" s="23">
        <v>5618.5703207834104</v>
      </c>
      <c r="H53" s="23">
        <v>6078.1709805887449</v>
      </c>
      <c r="I53" s="23">
        <v>6689.5530167658781</v>
      </c>
      <c r="J53" s="23">
        <v>6878.3091245518681</v>
      </c>
      <c r="K53" s="23">
        <v>7850.0912645427888</v>
      </c>
      <c r="L53" s="23">
        <v>8642.0309657163925</v>
      </c>
      <c r="M53" s="23">
        <v>7961.5169738645827</v>
      </c>
      <c r="N53" s="23">
        <v>8328.6874981819637</v>
      </c>
      <c r="O53" s="23">
        <v>8810.4437473347043</v>
      </c>
      <c r="P53" s="23">
        <v>10438.904618157256</v>
      </c>
      <c r="Q53" s="23">
        <v>9377.7566218496067</v>
      </c>
      <c r="R53" s="23">
        <v>11084.196654365531</v>
      </c>
      <c r="S53" s="23">
        <v>12496.000047999996</v>
      </c>
      <c r="T53" s="23">
        <v>12683.655090070788</v>
      </c>
      <c r="U53" s="23">
        <v>12551.911965132296</v>
      </c>
      <c r="V53" s="23">
        <v>13266.07283678533</v>
      </c>
      <c r="W53" s="23">
        <v>13589.05684554172</v>
      </c>
      <c r="X53" s="23">
        <v>13369.429751732487</v>
      </c>
      <c r="Y53" s="23">
        <v>14189.600647169578</v>
      </c>
      <c r="Z53" s="23">
        <v>14741.950373291418</v>
      </c>
      <c r="AA53" s="23">
        <v>13888.851063262482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53840.101031967817</v>
      </c>
      <c r="E54" s="30">
        <f t="shared" ref="E54:S54" si="6">SUM(E41:E53)</f>
        <v>49255.632703307347</v>
      </c>
      <c r="F54" s="30">
        <f t="shared" si="6"/>
        <v>49615.883167694847</v>
      </c>
      <c r="G54" s="30">
        <f t="shared" si="6"/>
        <v>55892.49176366919</v>
      </c>
      <c r="H54" s="30">
        <f t="shared" si="6"/>
        <v>63266.049633776165</v>
      </c>
      <c r="I54" s="30">
        <f t="shared" si="6"/>
        <v>64775.656715440855</v>
      </c>
      <c r="J54" s="30">
        <f t="shared" si="6"/>
        <v>69661.25135653984</v>
      </c>
      <c r="K54" s="30">
        <f t="shared" si="6"/>
        <v>75182.374778732206</v>
      </c>
      <c r="L54" s="30">
        <f t="shared" si="6"/>
        <v>77724.201124052779</v>
      </c>
      <c r="M54" s="30">
        <f t="shared" si="6"/>
        <v>79418.761083481557</v>
      </c>
      <c r="N54" s="30">
        <f t="shared" si="6"/>
        <v>80171.808747324918</v>
      </c>
      <c r="O54" s="30">
        <f t="shared" si="6"/>
        <v>84254.020602643985</v>
      </c>
      <c r="P54" s="30">
        <f t="shared" si="6"/>
        <v>86913.549607815046</v>
      </c>
      <c r="Q54" s="30">
        <f t="shared" si="6"/>
        <v>82079.708583405765</v>
      </c>
      <c r="R54" s="30">
        <f t="shared" si="6"/>
        <v>92652.182160671538</v>
      </c>
      <c r="S54" s="30">
        <f t="shared" si="6"/>
        <v>101057.426456</v>
      </c>
      <c r="T54" s="30">
        <f t="shared" ref="T54:Y54" si="7">SUM(T41:T53)</f>
        <v>108059.80262841488</v>
      </c>
      <c r="U54" s="30">
        <f t="shared" si="7"/>
        <v>105434.59626158816</v>
      </c>
      <c r="V54" s="30">
        <f t="shared" si="7"/>
        <v>109558.54728906348</v>
      </c>
      <c r="W54" s="30">
        <f t="shared" si="7"/>
        <v>115268.31155546488</v>
      </c>
      <c r="X54" s="30">
        <f t="shared" si="7"/>
        <v>109567.37172845319</v>
      </c>
      <c r="Y54" s="30">
        <f t="shared" si="7"/>
        <v>126202.7998902461</v>
      </c>
      <c r="Z54" s="30">
        <f t="shared" ref="Z54:AA54" si="8">SUM(Z41:Z53)</f>
        <v>132703.00303272423</v>
      </c>
      <c r="AA54" s="30">
        <f t="shared" si="8"/>
        <v>131271.20000000001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10090.782376116147</v>
      </c>
      <c r="E56" s="19">
        <v>9126.667058467865</v>
      </c>
      <c r="F56" s="19">
        <v>9164.0833461069724</v>
      </c>
      <c r="G56" s="19">
        <v>9816.3808297445958</v>
      </c>
      <c r="H56" s="19">
        <v>9079.2299217422787</v>
      </c>
      <c r="I56" s="19">
        <v>11382.356139606492</v>
      </c>
      <c r="J56" s="19">
        <v>12156.293031109055</v>
      </c>
      <c r="K56" s="19">
        <v>11566.065704033925</v>
      </c>
      <c r="L56" s="19">
        <v>12743.084021008161</v>
      </c>
      <c r="M56" s="19">
        <v>14913.72417668317</v>
      </c>
      <c r="N56" s="19">
        <v>14357.551023291573</v>
      </c>
      <c r="O56" s="19">
        <v>13477.490667027239</v>
      </c>
      <c r="P56" s="19">
        <v>13519.876466853713</v>
      </c>
      <c r="Q56" s="19">
        <v>13402.609285823832</v>
      </c>
      <c r="R56" s="19">
        <v>16230.177034754044</v>
      </c>
      <c r="S56" s="19">
        <v>18074.977675999999</v>
      </c>
      <c r="T56" s="19">
        <v>18747.436607525586</v>
      </c>
      <c r="U56" s="19">
        <v>18098.340894038072</v>
      </c>
      <c r="V56" s="19">
        <v>18848.254825038144</v>
      </c>
      <c r="W56" s="19">
        <v>19700.849486499355</v>
      </c>
      <c r="X56" s="19">
        <v>16862.727443988428</v>
      </c>
      <c r="Y56" s="19">
        <v>17559.294532173979</v>
      </c>
      <c r="Z56" s="19">
        <v>18032.68399701023</v>
      </c>
      <c r="AA56" s="19">
        <v>17925.559441740566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3259.4526889782564</v>
      </c>
      <c r="E57" s="23">
        <v>2998.2982719632387</v>
      </c>
      <c r="F57" s="23">
        <v>3029.8266638187738</v>
      </c>
      <c r="G57" s="23">
        <v>3162.7365198482075</v>
      </c>
      <c r="H57" s="23">
        <v>3343.9424012031086</v>
      </c>
      <c r="I57" s="23">
        <v>3213.0759834644618</v>
      </c>
      <c r="J57" s="23">
        <v>3387.691504568058</v>
      </c>
      <c r="K57" s="23">
        <v>3660.7589387843868</v>
      </c>
      <c r="L57" s="23">
        <v>3383.0516095273165</v>
      </c>
      <c r="M57" s="23">
        <v>3160.9658392903675</v>
      </c>
      <c r="N57" s="23">
        <v>2942.9228988759378</v>
      </c>
      <c r="O57" s="23">
        <v>3104.487149350447</v>
      </c>
      <c r="P57" s="23">
        <v>3174.8147412398371</v>
      </c>
      <c r="Q57" s="23">
        <v>2741.0156617759826</v>
      </c>
      <c r="R57" s="23">
        <v>3179.8034672938884</v>
      </c>
      <c r="S57" s="23">
        <v>3300.6779960000003</v>
      </c>
      <c r="T57" s="23">
        <v>3695.2054366577095</v>
      </c>
      <c r="U57" s="23">
        <v>3477.1837780708024</v>
      </c>
      <c r="V57" s="23">
        <v>3444.602838081752</v>
      </c>
      <c r="W57" s="23">
        <v>3531.3122219955112</v>
      </c>
      <c r="X57" s="23">
        <v>3351.8269528359015</v>
      </c>
      <c r="Y57" s="23">
        <v>3851.0429762231411</v>
      </c>
      <c r="Z57" s="23">
        <v>3423.6627198295491</v>
      </c>
      <c r="AA57" s="23">
        <v>3127.7876553787773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2147.6692413605069</v>
      </c>
      <c r="E58" s="23">
        <v>1921.4120079811357</v>
      </c>
      <c r="F58" s="23">
        <v>1946.4995539696702</v>
      </c>
      <c r="G58" s="23">
        <v>2280.8467147060078</v>
      </c>
      <c r="H58" s="23">
        <v>2737.3590943270119</v>
      </c>
      <c r="I58" s="23">
        <v>2565.0741310962671</v>
      </c>
      <c r="J58" s="23">
        <v>2672.1026575690994</v>
      </c>
      <c r="K58" s="23">
        <v>3169.8586278134176</v>
      </c>
      <c r="L58" s="23">
        <v>3095.4922227174943</v>
      </c>
      <c r="M58" s="23">
        <v>3124.7103895956766</v>
      </c>
      <c r="N58" s="23">
        <v>3431.3263770284029</v>
      </c>
      <c r="O58" s="23">
        <v>3466.6543918954062</v>
      </c>
      <c r="P58" s="23">
        <v>3575.1027504147123</v>
      </c>
      <c r="Q58" s="23">
        <v>3107.8455498185162</v>
      </c>
      <c r="R58" s="23">
        <v>3583.2283790907982</v>
      </c>
      <c r="S58" s="23">
        <v>3821.8516</v>
      </c>
      <c r="T58" s="23">
        <v>4045.009737890367</v>
      </c>
      <c r="U58" s="23">
        <v>4111.3352028747722</v>
      </c>
      <c r="V58" s="23">
        <v>4144.3372430917734</v>
      </c>
      <c r="W58" s="23">
        <v>4409.6752227436582</v>
      </c>
      <c r="X58" s="23">
        <v>4327.6318643611648</v>
      </c>
      <c r="Y58" s="23">
        <v>5726.6402929293881</v>
      </c>
      <c r="Z58" s="23">
        <v>5669.709985652551</v>
      </c>
      <c r="AA58" s="23">
        <v>5465.2843175971666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1943.0520509849362</v>
      </c>
      <c r="E59" s="23">
        <v>1813.787348690973</v>
      </c>
      <c r="F59" s="23">
        <v>1833.1822090437363</v>
      </c>
      <c r="G59" s="23">
        <v>1960.9455108799159</v>
      </c>
      <c r="H59" s="23">
        <v>1982.3525496421314</v>
      </c>
      <c r="I59" s="23">
        <v>1877.794581095661</v>
      </c>
      <c r="J59" s="23">
        <v>1932.5028148490806</v>
      </c>
      <c r="K59" s="23">
        <v>2326.9594998369034</v>
      </c>
      <c r="L59" s="23">
        <v>1836.7151030058722</v>
      </c>
      <c r="M59" s="23">
        <v>2121.8427025863534</v>
      </c>
      <c r="N59" s="23">
        <v>1974.7711940825702</v>
      </c>
      <c r="O59" s="23">
        <v>2292.5337757299026</v>
      </c>
      <c r="P59" s="23">
        <v>2570.9973417436358</v>
      </c>
      <c r="Q59" s="23">
        <v>2271.5599406983283</v>
      </c>
      <c r="R59" s="23">
        <v>2919.9704732552009</v>
      </c>
      <c r="S59" s="23">
        <v>3208.6361720000004</v>
      </c>
      <c r="T59" s="23">
        <v>3370.7031856723156</v>
      </c>
      <c r="U59" s="23">
        <v>3284.8351616052828</v>
      </c>
      <c r="V59" s="23">
        <v>3633.3174882078997</v>
      </c>
      <c r="W59" s="23">
        <v>3668.7973610827726</v>
      </c>
      <c r="X59" s="23">
        <v>3660.4441633586762</v>
      </c>
      <c r="Y59" s="23">
        <v>4329.8896027097853</v>
      </c>
      <c r="Z59" s="23">
        <v>4328.4894902789592</v>
      </c>
      <c r="AA59" s="23">
        <v>4192.6401084072586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1345.245352055075</v>
      </c>
      <c r="E60" s="23">
        <v>1182.4319922607174</v>
      </c>
      <c r="F60" s="23">
        <v>1192.324438692817</v>
      </c>
      <c r="G60" s="23">
        <v>1126.6085873875404</v>
      </c>
      <c r="H60" s="23">
        <v>1266.2012198178627</v>
      </c>
      <c r="I60" s="23">
        <v>1499.9270981585421</v>
      </c>
      <c r="J60" s="23">
        <v>1481.1878570602521</v>
      </c>
      <c r="K60" s="23">
        <v>1841.5232227900401</v>
      </c>
      <c r="L60" s="23">
        <v>1723.049694761527</v>
      </c>
      <c r="M60" s="23">
        <v>1736.0667399259103</v>
      </c>
      <c r="N60" s="23">
        <v>1702.0620789960312</v>
      </c>
      <c r="O60" s="23">
        <v>1782.5010619597886</v>
      </c>
      <c r="P60" s="23">
        <v>1829.5978660222413</v>
      </c>
      <c r="Q60" s="23">
        <v>1590.0919584888297</v>
      </c>
      <c r="R60" s="23">
        <v>1757.8278559552298</v>
      </c>
      <c r="S60" s="23">
        <v>2119.6068320000004</v>
      </c>
      <c r="T60" s="23">
        <v>2067.3019415141084</v>
      </c>
      <c r="U60" s="23">
        <v>1869.5753067530991</v>
      </c>
      <c r="V60" s="23">
        <v>1951.3701452946277</v>
      </c>
      <c r="W60" s="23">
        <v>2026.5566483030661</v>
      </c>
      <c r="X60" s="23">
        <v>1831.7473726703902</v>
      </c>
      <c r="Y60" s="23">
        <v>2221.4379426819696</v>
      </c>
      <c r="Z60" s="23">
        <v>2094.9398317826058</v>
      </c>
      <c r="AA60" s="23">
        <v>1970.8868141223811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1519.3953132029171</v>
      </c>
      <c r="E61" s="23">
        <v>1353.0642529778102</v>
      </c>
      <c r="F61" s="23">
        <v>1378.4174391576939</v>
      </c>
      <c r="G61" s="23">
        <v>1845.1645816455609</v>
      </c>
      <c r="H61" s="23">
        <v>4957.2624836382884</v>
      </c>
      <c r="I61" s="23">
        <v>2489.8853956285079</v>
      </c>
      <c r="J61" s="23">
        <v>1929.749961836475</v>
      </c>
      <c r="K61" s="23">
        <v>1932.3987343699034</v>
      </c>
      <c r="L61" s="23">
        <v>3071.7852322719432</v>
      </c>
      <c r="M61" s="23">
        <v>2688.4464659967598</v>
      </c>
      <c r="N61" s="23">
        <v>2843.4561989652807</v>
      </c>
      <c r="O61" s="23">
        <v>3486.3239383002401</v>
      </c>
      <c r="P61" s="23">
        <v>3530.4156587273956</v>
      </c>
      <c r="Q61" s="23">
        <v>3024.1493829558813</v>
      </c>
      <c r="R61" s="23">
        <v>1717.740103004988</v>
      </c>
      <c r="S61" s="23">
        <v>2692.4878400000002</v>
      </c>
      <c r="T61" s="23">
        <v>3319.4077723295031</v>
      </c>
      <c r="U61" s="23">
        <v>3122.8363614402047</v>
      </c>
      <c r="V61" s="23">
        <v>3244.4149702330496</v>
      </c>
      <c r="W61" s="23">
        <v>3427.234686798613</v>
      </c>
      <c r="X61" s="23">
        <v>2569.6068895916032</v>
      </c>
      <c r="Y61" s="23">
        <v>4393.8275766148481</v>
      </c>
      <c r="Z61" s="23">
        <v>9289.9259843466752</v>
      </c>
      <c r="AA61" s="23">
        <v>11052.798536278266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3022.5654747460976</v>
      </c>
      <c r="E62" s="23">
        <v>2797.1217171533949</v>
      </c>
      <c r="F62" s="23">
        <v>2827.4505258132203</v>
      </c>
      <c r="G62" s="23">
        <v>2969.141784277776</v>
      </c>
      <c r="H62" s="23">
        <v>3179.8665886874428</v>
      </c>
      <c r="I62" s="23">
        <v>3284.0964734691897</v>
      </c>
      <c r="J62" s="23">
        <v>3509.4287822366136</v>
      </c>
      <c r="K62" s="23">
        <v>3356.3547330651299</v>
      </c>
      <c r="L62" s="23">
        <v>3352.42474078955</v>
      </c>
      <c r="M62" s="23">
        <v>3171.0035051149302</v>
      </c>
      <c r="N62" s="23">
        <v>4026.6153421014365</v>
      </c>
      <c r="O62" s="23">
        <v>4614.6406457048361</v>
      </c>
      <c r="P62" s="23">
        <v>4559.8437526879516</v>
      </c>
      <c r="Q62" s="23">
        <v>3978.6101937528751</v>
      </c>
      <c r="R62" s="23">
        <v>4394.9048217689278</v>
      </c>
      <c r="S62" s="23">
        <v>5143.2336480000004</v>
      </c>
      <c r="T62" s="23">
        <v>5714.9450542097493</v>
      </c>
      <c r="U62" s="23">
        <v>4966.8539281508256</v>
      </c>
      <c r="V62" s="23">
        <v>4899.7233478594717</v>
      </c>
      <c r="W62" s="23">
        <v>5185.8880500578116</v>
      </c>
      <c r="X62" s="23">
        <v>5235.0528964542827</v>
      </c>
      <c r="Y62" s="23">
        <v>6117.775530556054</v>
      </c>
      <c r="Z62" s="23">
        <v>6204.8348084572626</v>
      </c>
      <c r="AA62" s="23">
        <v>6054.6431221988469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994.42151727898579</v>
      </c>
      <c r="E63" s="23">
        <v>914.56972731120391</v>
      </c>
      <c r="F63" s="23">
        <v>962.69896847633527</v>
      </c>
      <c r="G63" s="23">
        <v>892.7912562714082</v>
      </c>
      <c r="H63" s="23">
        <v>865.67945525942037</v>
      </c>
      <c r="I63" s="23">
        <v>997.49320273006106</v>
      </c>
      <c r="J63" s="23">
        <v>1016.2615704868741</v>
      </c>
      <c r="K63" s="23">
        <v>1617.7854126345549</v>
      </c>
      <c r="L63" s="23">
        <v>1664.4870210662998</v>
      </c>
      <c r="M63" s="23">
        <v>1768.7266078326968</v>
      </c>
      <c r="N63" s="23">
        <v>1717.1744229051094</v>
      </c>
      <c r="O63" s="23">
        <v>1484.8444296516648</v>
      </c>
      <c r="P63" s="23">
        <v>1568.1106719367588</v>
      </c>
      <c r="Q63" s="23">
        <v>1599.6920034763045</v>
      </c>
      <c r="R63" s="23">
        <v>1784.1061154142503</v>
      </c>
      <c r="S63" s="23">
        <v>1807.9077239999999</v>
      </c>
      <c r="T63" s="23">
        <v>1793.5420535928988</v>
      </c>
      <c r="U63" s="23">
        <v>1588.8395059740103</v>
      </c>
      <c r="V63" s="23">
        <v>2533.866727829356</v>
      </c>
      <c r="W63" s="23">
        <v>1847.9544582738217</v>
      </c>
      <c r="X63" s="23">
        <v>1945.127336338559</v>
      </c>
      <c r="Y63" s="23">
        <v>2207.1738937090195</v>
      </c>
      <c r="Z63" s="23">
        <v>1938.1516671391876</v>
      </c>
      <c r="AA63" s="23">
        <v>1748.0117358854147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3433.602650126099</v>
      </c>
      <c r="E64" s="23">
        <v>3143.8234427716311</v>
      </c>
      <c r="F64" s="23">
        <v>3146.9655614328258</v>
      </c>
      <c r="G64" s="23">
        <v>3650.1065677454203</v>
      </c>
      <c r="H64" s="23">
        <v>3831.1978444314482</v>
      </c>
      <c r="I64" s="23">
        <v>4156.3819951751138</v>
      </c>
      <c r="J64" s="23">
        <v>4372.754074245403</v>
      </c>
      <c r="K64" s="23">
        <v>4710.4286136783739</v>
      </c>
      <c r="L64" s="23">
        <v>4831.99723638055</v>
      </c>
      <c r="M64" s="23">
        <v>5235.7663468183209</v>
      </c>
      <c r="N64" s="23">
        <v>5752.7197864073642</v>
      </c>
      <c r="O64" s="23">
        <v>6014.6171723370398</v>
      </c>
      <c r="P64" s="23">
        <v>6347.3274201806307</v>
      </c>
      <c r="Q64" s="23">
        <v>6328.7282490670214</v>
      </c>
      <c r="R64" s="23">
        <v>6893.2164889087144</v>
      </c>
      <c r="S64" s="23">
        <v>7309.2581240000009</v>
      </c>
      <c r="T64" s="23">
        <v>8269.0695034867786</v>
      </c>
      <c r="U64" s="23">
        <v>8070.2557581003957</v>
      </c>
      <c r="V64" s="23">
        <v>8407.3629453823833</v>
      </c>
      <c r="W64" s="23">
        <v>9004.1201931578598</v>
      </c>
      <c r="X64" s="23">
        <v>9683.9453946040503</v>
      </c>
      <c r="Y64" s="23">
        <v>10667.506659980509</v>
      </c>
      <c r="Z64" s="23">
        <v>10386.534219954123</v>
      </c>
      <c r="AA64" s="23">
        <v>9941.2917708283803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4147.3290436916368</v>
      </c>
      <c r="E65" s="23">
        <v>3862.8137372271594</v>
      </c>
      <c r="F65" s="23">
        <v>3897.319124021561</v>
      </c>
      <c r="G65" s="23">
        <v>4304.9454597137537</v>
      </c>
      <c r="H65" s="23">
        <v>4666.6770379034733</v>
      </c>
      <c r="I65" s="23">
        <v>4519.8209361248164</v>
      </c>
      <c r="J65" s="23">
        <v>5222.4680374696427</v>
      </c>
      <c r="K65" s="23">
        <v>6475.3115711645096</v>
      </c>
      <c r="L65" s="23">
        <v>5999.5344793503755</v>
      </c>
      <c r="M65" s="23">
        <v>5239.8113763297115</v>
      </c>
      <c r="N65" s="23">
        <v>5096.1571360302523</v>
      </c>
      <c r="O65" s="23">
        <v>5157.9602841600545</v>
      </c>
      <c r="P65" s="23">
        <v>4840.9661840299832</v>
      </c>
      <c r="Q65" s="23">
        <v>4555.2889525075398</v>
      </c>
      <c r="R65" s="23">
        <v>5204.1679549049031</v>
      </c>
      <c r="S65" s="23">
        <v>5751.4238040000009</v>
      </c>
      <c r="T65" s="23">
        <v>5885.4228025970488</v>
      </c>
      <c r="U65" s="23">
        <v>5853.654262333037</v>
      </c>
      <c r="V65" s="23">
        <v>6324.1167343112729</v>
      </c>
      <c r="W65" s="23">
        <v>6457.1758688702985</v>
      </c>
      <c r="X65" s="23">
        <v>6279.8772253246316</v>
      </c>
      <c r="Y65" s="23">
        <v>7063.5820760518855</v>
      </c>
      <c r="Z65" s="23">
        <v>6941.171109221028</v>
      </c>
      <c r="AA65" s="23">
        <v>6655.8713450181949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1427.9936255197329</v>
      </c>
      <c r="E66" s="23">
        <v>1283.0202696656388</v>
      </c>
      <c r="F66" s="23">
        <v>1282.7124674900429</v>
      </c>
      <c r="G66" s="23">
        <v>1297.0847283218923</v>
      </c>
      <c r="H66" s="23">
        <v>2507.5424680424435</v>
      </c>
      <c r="I66" s="23">
        <v>2333.2555564984423</v>
      </c>
      <c r="J66" s="23">
        <v>3394.1148282641379</v>
      </c>
      <c r="K66" s="23">
        <v>3863.3595650755688</v>
      </c>
      <c r="L66" s="23">
        <v>2293.5552161863602</v>
      </c>
      <c r="M66" s="23">
        <v>2257.1264673562096</v>
      </c>
      <c r="N66" s="23">
        <v>1508.0745371813255</v>
      </c>
      <c r="O66" s="23">
        <v>2280.9796365830066</v>
      </c>
      <c r="P66" s="23">
        <v>2323.4579368817708</v>
      </c>
      <c r="Q66" s="23">
        <v>2256.5514196615713</v>
      </c>
      <c r="R66" s="23">
        <v>2734.8160022709758</v>
      </c>
      <c r="S66" s="23">
        <v>2935.5523120000003</v>
      </c>
      <c r="T66" s="23">
        <v>3192.8975210931862</v>
      </c>
      <c r="U66" s="23">
        <v>2974.9475635902445</v>
      </c>
      <c r="V66" s="23">
        <v>3062.6897515930555</v>
      </c>
      <c r="W66" s="23">
        <v>2808.9370332585186</v>
      </c>
      <c r="X66" s="23">
        <v>2359.3709479916574</v>
      </c>
      <c r="Y66" s="23">
        <v>4094.5327946561201</v>
      </c>
      <c r="Z66" s="23">
        <v>3982.9874550031354</v>
      </c>
      <c r="AA66" s="23">
        <v>3626.762730187203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4210.426855701724</v>
      </c>
      <c r="E67" s="23">
        <v>3858.4959574339446</v>
      </c>
      <c r="F67" s="23">
        <v>3860.2666783932864</v>
      </c>
      <c r="G67" s="23">
        <v>4583.1204195625296</v>
      </c>
      <c r="H67" s="23">
        <v>5404.557824379649</v>
      </c>
      <c r="I67" s="23">
        <v>5685.0058601752953</v>
      </c>
      <c r="J67" s="23">
        <v>6554.3900867352841</v>
      </c>
      <c r="K67" s="23">
        <v>6962.0419615091887</v>
      </c>
      <c r="L67" s="23">
        <v>8024.2396092947547</v>
      </c>
      <c r="M67" s="23">
        <v>7503.2301118147516</v>
      </c>
      <c r="N67" s="23">
        <v>8330.3361175175069</v>
      </c>
      <c r="O67" s="23">
        <v>9600.2516875903584</v>
      </c>
      <c r="P67" s="23">
        <v>9730.8173380573025</v>
      </c>
      <c r="Q67" s="23">
        <v>8492.794728285875</v>
      </c>
      <c r="R67" s="23">
        <v>10339.288442353703</v>
      </c>
      <c r="S67" s="23">
        <v>11571.482243999999</v>
      </c>
      <c r="T67" s="23">
        <v>12850.952799355962</v>
      </c>
      <c r="U67" s="23">
        <v>12334.804288000645</v>
      </c>
      <c r="V67" s="23">
        <v>12793.033388845124</v>
      </c>
      <c r="W67" s="23">
        <v>14149.662136978846</v>
      </c>
      <c r="X67" s="23">
        <v>14040.430680212607</v>
      </c>
      <c r="Y67" s="23">
        <v>16224.479844073761</v>
      </c>
      <c r="Z67" s="23">
        <v>16913.807297438936</v>
      </c>
      <c r="AA67" s="23">
        <v>16906.511082651425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1566.6285324790401</v>
      </c>
      <c r="E68" s="23">
        <v>1452.8529415321364</v>
      </c>
      <c r="F68" s="23">
        <v>1468.473159025518</v>
      </c>
      <c r="G68" s="23">
        <v>1787.4620730823351</v>
      </c>
      <c r="H68" s="23">
        <v>1745.538301723898</v>
      </c>
      <c r="I68" s="23">
        <v>1809.6597994884164</v>
      </c>
      <c r="J68" s="23">
        <v>2033.899567480051</v>
      </c>
      <c r="K68" s="23">
        <v>1901.3400152223553</v>
      </c>
      <c r="L68" s="23">
        <v>2162.2056745285763</v>
      </c>
      <c r="M68" s="23">
        <v>3085.9080694678892</v>
      </c>
      <c r="N68" s="23">
        <v>2515.3809511936674</v>
      </c>
      <c r="O68" s="23">
        <v>2290.6080858720866</v>
      </c>
      <c r="P68" s="23">
        <v>2294.3436195703371</v>
      </c>
      <c r="Q68" s="23">
        <v>2044.8095823321914</v>
      </c>
      <c r="R68" s="23">
        <v>2203.4856847398514</v>
      </c>
      <c r="S68" s="23">
        <v>2094.8772039999999</v>
      </c>
      <c r="T68" s="23">
        <v>2314.515416061141</v>
      </c>
      <c r="U68" s="23">
        <v>2238.5651786163653</v>
      </c>
      <c r="V68" s="23">
        <v>2651.1045503046498</v>
      </c>
      <c r="W68" s="23">
        <v>2749.4458001768348</v>
      </c>
      <c r="X68" s="23">
        <v>2829.9232187310772</v>
      </c>
      <c r="Y68" s="23">
        <v>3186.1380969051288</v>
      </c>
      <c r="Z68" s="23">
        <v>3353.5625041882522</v>
      </c>
      <c r="AA68" s="23">
        <v>3333.6292122430059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2270.0789966600778</v>
      </c>
      <c r="E69" s="23">
        <v>2132.6633823084831</v>
      </c>
      <c r="F69" s="23">
        <v>2151.2018544810344</v>
      </c>
      <c r="G69" s="23">
        <v>2611.0855014994531</v>
      </c>
      <c r="H69" s="23">
        <v>2465.9250341159109</v>
      </c>
      <c r="I69" s="23">
        <v>2506.5583774806337</v>
      </c>
      <c r="J69" s="23">
        <v>2766.7702139470334</v>
      </c>
      <c r="K69" s="23">
        <v>2890.4739458519084</v>
      </c>
      <c r="L69" s="23">
        <v>3371.0058954630904</v>
      </c>
      <c r="M69" s="23">
        <v>3192.8766276580077</v>
      </c>
      <c r="N69" s="23">
        <v>3182.6596272517613</v>
      </c>
      <c r="O69" s="23">
        <v>3367.4813642178838</v>
      </c>
      <c r="P69" s="23">
        <v>3471.5099469577503</v>
      </c>
      <c r="Q69" s="23">
        <v>3174.9106528296097</v>
      </c>
      <c r="R69" s="23">
        <v>3649.1921732430351</v>
      </c>
      <c r="S69" s="23">
        <v>4168.1986360000001</v>
      </c>
      <c r="T69" s="23">
        <v>3982.9298441142946</v>
      </c>
      <c r="U69" s="23">
        <v>3759.7831640613208</v>
      </c>
      <c r="V69" s="23">
        <v>4205.2639854805093</v>
      </c>
      <c r="W69" s="23">
        <v>3969.3373053118407</v>
      </c>
      <c r="X69" s="23">
        <v>5438.8063513422594</v>
      </c>
      <c r="Y69" s="23">
        <v>6558.4595698782296</v>
      </c>
      <c r="Z69" s="23">
        <v>7859.745247729752</v>
      </c>
      <c r="AA69" s="23">
        <v>8336.8457270572926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2858.6914429827552</v>
      </c>
      <c r="E70" s="23">
        <v>2691.7359066449003</v>
      </c>
      <c r="F70" s="23">
        <v>2714.9639532107904</v>
      </c>
      <c r="G70" s="23">
        <v>2943.5797609403203</v>
      </c>
      <c r="H70" s="23">
        <v>3148.1931433982236</v>
      </c>
      <c r="I70" s="23">
        <v>3472.148470705185</v>
      </c>
      <c r="J70" s="23">
        <v>3797.5607308893254</v>
      </c>
      <c r="K70" s="23">
        <v>4737.0298314667834</v>
      </c>
      <c r="L70" s="23">
        <v>4922.8526754394461</v>
      </c>
      <c r="M70" s="23">
        <v>5464.5352380736595</v>
      </c>
      <c r="N70" s="23">
        <v>4690.7341644330872</v>
      </c>
      <c r="O70" s="23">
        <v>4567.186145637228</v>
      </c>
      <c r="P70" s="23">
        <v>4558.2187675356854</v>
      </c>
      <c r="Q70" s="23">
        <v>3962.519977506262</v>
      </c>
      <c r="R70" s="23">
        <v>4293.0095299890509</v>
      </c>
      <c r="S70" s="23">
        <v>4619.5474080000004</v>
      </c>
      <c r="T70" s="23">
        <v>4629.0308321222819</v>
      </c>
      <c r="U70" s="23">
        <v>4966.8539281508256</v>
      </c>
      <c r="V70" s="23">
        <v>5270.9544730202733</v>
      </c>
      <c r="W70" s="23">
        <v>5776.0462218594848</v>
      </c>
      <c r="X70" s="23">
        <v>5296.0645360963472</v>
      </c>
      <c r="Y70" s="23">
        <v>6005.4148640849271</v>
      </c>
      <c r="Z70" s="23">
        <v>5938.863001623753</v>
      </c>
      <c r="AA70" s="23">
        <v>5722.3370748145835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2632.620996523754</v>
      </c>
      <c r="E71" s="23">
        <v>2400.3657294878772</v>
      </c>
      <c r="F71" s="23">
        <v>2407.910502443744</v>
      </c>
      <c r="G71" s="23">
        <v>3866.2560297900768</v>
      </c>
      <c r="H71" s="23">
        <v>4879.92034979252</v>
      </c>
      <c r="I71" s="23">
        <v>5080.1293166361575</v>
      </c>
      <c r="J71" s="23">
        <v>5124.894691800625</v>
      </c>
      <c r="K71" s="23">
        <v>5038.7020202239864</v>
      </c>
      <c r="L71" s="23">
        <v>5345.734126630362</v>
      </c>
      <c r="M71" s="23">
        <v>5279.662407812305</v>
      </c>
      <c r="N71" s="23">
        <v>6472.4795113133459</v>
      </c>
      <c r="O71" s="23">
        <v>6713.2299428975593</v>
      </c>
      <c r="P71" s="23">
        <v>6693.5846730426592</v>
      </c>
      <c r="Q71" s="23">
        <v>8149.7621348601797</v>
      </c>
      <c r="R71" s="23">
        <v>8261.6970720629379</v>
      </c>
      <c r="S71" s="23">
        <v>7846.3010080000004</v>
      </c>
      <c r="T71" s="23">
        <v>9410.4270160067736</v>
      </c>
      <c r="U71" s="23">
        <v>9866.3525622313718</v>
      </c>
      <c r="V71" s="23">
        <v>8515.7650714506526</v>
      </c>
      <c r="W71" s="23">
        <v>10411.222770863089</v>
      </c>
      <c r="X71" s="23">
        <v>8584.8461279687817</v>
      </c>
      <c r="Y71" s="23">
        <v>9473.3304898241095</v>
      </c>
      <c r="Z71" s="23">
        <v>9347.642207273384</v>
      </c>
      <c r="AA71" s="23">
        <v>9172.7662865984585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1288.9981596346538</v>
      </c>
      <c r="E72" s="23">
        <v>1226.4093790434733</v>
      </c>
      <c r="F72" s="23">
        <v>1236.1892173738233</v>
      </c>
      <c r="G72" s="23">
        <v>1175.6651174689807</v>
      </c>
      <c r="H72" s="23">
        <v>1126.4329350822957</v>
      </c>
      <c r="I72" s="23">
        <v>1213.4403811417274</v>
      </c>
      <c r="J72" s="23">
        <v>1430.8718214409628</v>
      </c>
      <c r="K72" s="23">
        <v>1281.8911166684791</v>
      </c>
      <c r="L72" s="23">
        <v>1260.9555999147271</v>
      </c>
      <c r="M72" s="23">
        <v>1512.841037260255</v>
      </c>
      <c r="N72" s="23">
        <v>1298.6998815682857</v>
      </c>
      <c r="O72" s="23">
        <v>1741.7864763945363</v>
      </c>
      <c r="P72" s="23">
        <v>1885.6598537754203</v>
      </c>
      <c r="Q72" s="23">
        <v>2021.0122877153528</v>
      </c>
      <c r="R72" s="23">
        <v>2421.3539072955105</v>
      </c>
      <c r="S72" s="23">
        <v>2095.4061799999999</v>
      </c>
      <c r="T72" s="23">
        <v>2087.3500141143991</v>
      </c>
      <c r="U72" s="23">
        <v>2297.6674524645946</v>
      </c>
      <c r="V72" s="23">
        <v>2362.2959662541525</v>
      </c>
      <c r="W72" s="23">
        <v>2555.039243691765</v>
      </c>
      <c r="X72" s="23">
        <v>1900.5125748503003</v>
      </c>
      <c r="Y72" s="23">
        <v>2332.6725000236538</v>
      </c>
      <c r="Z72" s="23">
        <v>2254.3411325034158</v>
      </c>
      <c r="AA72" s="23">
        <v>2148.7219757303174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2960.9098984390976</v>
      </c>
      <c r="E73" s="23">
        <v>2651.7564641151221</v>
      </c>
      <c r="F73" s="23">
        <v>2674.089954894398</v>
      </c>
      <c r="G73" s="23">
        <v>3063.8716354695207</v>
      </c>
      <c r="H73" s="23">
        <v>3406.184404155179</v>
      </c>
      <c r="I73" s="23">
        <v>3529.8626386548513</v>
      </c>
      <c r="J73" s="23">
        <v>3693.5640615242278</v>
      </c>
      <c r="K73" s="23">
        <v>4149.9337653582688</v>
      </c>
      <c r="L73" s="23">
        <v>4151.542537646078</v>
      </c>
      <c r="M73" s="23">
        <v>5004.1509533142253</v>
      </c>
      <c r="N73" s="23">
        <v>4915.6333187890887</v>
      </c>
      <c r="O73" s="23">
        <v>4961.1272708361512</v>
      </c>
      <c r="P73" s="23">
        <v>5250.7332732597433</v>
      </c>
      <c r="Q73" s="23">
        <v>4674.4106374929706</v>
      </c>
      <c r="R73" s="23">
        <v>5876.1405896427268</v>
      </c>
      <c r="S73" s="23">
        <v>6202.3758440000011</v>
      </c>
      <c r="T73" s="23">
        <v>6841.5084717764266</v>
      </c>
      <c r="U73" s="23">
        <v>6390.2336899956726</v>
      </c>
      <c r="V73" s="23">
        <v>6915.4490132530236</v>
      </c>
      <c r="W73" s="23">
        <v>7284.3995375093518</v>
      </c>
      <c r="X73" s="23">
        <v>7119.5499158985403</v>
      </c>
      <c r="Y73" s="23">
        <v>7709.5933466425713</v>
      </c>
      <c r="Z73" s="23">
        <v>7847.1340257910433</v>
      </c>
      <c r="AA73" s="23">
        <v>7417.1605924414389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2720.236815486332</v>
      </c>
      <c r="E74" s="23">
        <v>2444.3431162706343</v>
      </c>
      <c r="F74" s="23">
        <v>2441.3075498486023</v>
      </c>
      <c r="G74" s="23">
        <v>2554.6986853138892</v>
      </c>
      <c r="H74" s="23">
        <v>2671.9865764335659</v>
      </c>
      <c r="I74" s="23">
        <v>3159.6903781110273</v>
      </c>
      <c r="J74" s="23">
        <v>3184.7450630276398</v>
      </c>
      <c r="K74" s="23">
        <v>3700.1574991845191</v>
      </c>
      <c r="L74" s="23">
        <v>4490.4884280703136</v>
      </c>
      <c r="M74" s="23">
        <v>2957.3660205503575</v>
      </c>
      <c r="N74" s="23">
        <v>3413.054179392876</v>
      </c>
      <c r="O74" s="23">
        <v>3849.3164764985531</v>
      </c>
      <c r="P74" s="23">
        <v>5188.1713448975133</v>
      </c>
      <c r="Q74" s="23">
        <v>4703.3459843566352</v>
      </c>
      <c r="R74" s="23">
        <v>5208.0560647228031</v>
      </c>
      <c r="S74" s="23">
        <v>6293.6242039999961</v>
      </c>
      <c r="T74" s="23">
        <v>5842.1466182943605</v>
      </c>
      <c r="U74" s="23">
        <v>6161.6782751366227</v>
      </c>
      <c r="V74" s="23">
        <v>6350.6238235323071</v>
      </c>
      <c r="W74" s="23">
        <v>6304.6573080323669</v>
      </c>
      <c r="X74" s="23">
        <v>6249.8798358339473</v>
      </c>
      <c r="Y74" s="23">
        <v>6480.0073005270069</v>
      </c>
      <c r="Z74" s="23">
        <v>6894.8163475003748</v>
      </c>
      <c r="AA74" s="23">
        <v>6471.6904708210432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53840.10103196781</v>
      </c>
      <c r="E75" s="30">
        <f t="shared" ref="E75:S75" si="9">SUM(E56:E74)</f>
        <v>49255.632703307339</v>
      </c>
      <c r="F75" s="30">
        <f t="shared" si="9"/>
        <v>49615.883167694847</v>
      </c>
      <c r="G75" s="30">
        <f t="shared" si="9"/>
        <v>55892.491763669197</v>
      </c>
      <c r="H75" s="30">
        <f t="shared" si="9"/>
        <v>63266.049633776158</v>
      </c>
      <c r="I75" s="30">
        <f t="shared" si="9"/>
        <v>64775.656715440855</v>
      </c>
      <c r="J75" s="30">
        <f t="shared" si="9"/>
        <v>69661.25135653984</v>
      </c>
      <c r="K75" s="30">
        <f t="shared" si="9"/>
        <v>75182.374778732192</v>
      </c>
      <c r="L75" s="30">
        <f t="shared" si="9"/>
        <v>77724.201124052779</v>
      </c>
      <c r="M75" s="30">
        <f t="shared" si="9"/>
        <v>79418.761083481557</v>
      </c>
      <c r="N75" s="30">
        <f t="shared" si="9"/>
        <v>80171.808747324903</v>
      </c>
      <c r="O75" s="30">
        <f t="shared" si="9"/>
        <v>84254.020602643999</v>
      </c>
      <c r="P75" s="30">
        <f t="shared" si="9"/>
        <v>86913.549607815046</v>
      </c>
      <c r="Q75" s="30">
        <f t="shared" si="9"/>
        <v>82079.708583405751</v>
      </c>
      <c r="R75" s="30">
        <f t="shared" si="9"/>
        <v>92652.182160671538</v>
      </c>
      <c r="S75" s="30">
        <f t="shared" si="9"/>
        <v>101057.42645599999</v>
      </c>
      <c r="T75" s="30">
        <f t="shared" ref="T75:Y75" si="10">SUM(T56:T74)</f>
        <v>108059.80262841489</v>
      </c>
      <c r="U75" s="30">
        <f t="shared" si="10"/>
        <v>105434.59626158816</v>
      </c>
      <c r="V75" s="30">
        <f t="shared" si="10"/>
        <v>109558.54728906348</v>
      </c>
      <c r="W75" s="30">
        <f t="shared" si="10"/>
        <v>115268.31155546488</v>
      </c>
      <c r="X75" s="30">
        <f t="shared" si="10"/>
        <v>109567.3717284532</v>
      </c>
      <c r="Y75" s="30">
        <f t="shared" si="10"/>
        <v>126202.7998902461</v>
      </c>
      <c r="Z75" s="30">
        <f t="shared" ref="Z75:AA75" si="11">SUM(Z56:Z74)</f>
        <v>132703.00303272423</v>
      </c>
      <c r="AA75" s="30">
        <f t="shared" si="11"/>
        <v>131271.19999999998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AA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7" width="9.28515625" style="1" customWidth="1"/>
    <col min="28" max="16384" width="9.140625" style="1"/>
  </cols>
  <sheetData>
    <row r="1" spans="1:27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x14ac:dyDescent="0.25">
      <c r="A3" s="40" t="s">
        <v>238</v>
      </c>
      <c r="B3" s="41"/>
      <c r="C3" s="41"/>
      <c r="D3" s="42">
        <v>38263303</v>
      </c>
      <c r="E3" s="42">
        <v>38253955</v>
      </c>
      <c r="F3" s="42">
        <v>38242197</v>
      </c>
      <c r="G3" s="42">
        <v>38218531</v>
      </c>
      <c r="H3" s="42">
        <v>38190608</v>
      </c>
      <c r="I3" s="42">
        <v>38173835</v>
      </c>
      <c r="J3" s="42">
        <v>38157055</v>
      </c>
      <c r="K3" s="42">
        <v>38125479</v>
      </c>
      <c r="L3" s="42">
        <v>38115641</v>
      </c>
      <c r="M3" s="42">
        <v>38135876</v>
      </c>
      <c r="N3" s="42">
        <v>38022869</v>
      </c>
      <c r="O3" s="42">
        <v>38062718</v>
      </c>
      <c r="P3" s="42">
        <v>38063792</v>
      </c>
      <c r="Q3" s="42">
        <v>38062535</v>
      </c>
      <c r="R3" s="42">
        <v>38017856</v>
      </c>
      <c r="S3" s="42">
        <v>38005614</v>
      </c>
      <c r="T3" s="42">
        <v>37967209</v>
      </c>
      <c r="U3" s="42">
        <v>37972964</v>
      </c>
      <c r="V3" s="42">
        <v>37976687</v>
      </c>
      <c r="W3" s="42">
        <v>37972812</v>
      </c>
      <c r="X3" s="42">
        <v>37958138</v>
      </c>
      <c r="Y3" s="42">
        <v>37073357</v>
      </c>
      <c r="Z3" s="42">
        <v>36889761</v>
      </c>
      <c r="AA3" s="42">
        <v>36753736</v>
      </c>
    </row>
    <row r="4" spans="1:27" x14ac:dyDescent="0.25">
      <c r="A4" s="43" t="s">
        <v>239</v>
      </c>
      <c r="B4" s="44"/>
      <c r="C4" s="44"/>
      <c r="D4" s="45">
        <v>13271599</v>
      </c>
      <c r="E4" s="45">
        <v>13351805</v>
      </c>
      <c r="F4" s="45">
        <v>13432180</v>
      </c>
      <c r="G4" s="45">
        <v>13509370</v>
      </c>
      <c r="H4" s="45">
        <v>13586035</v>
      </c>
      <c r="I4" s="45">
        <v>13667682</v>
      </c>
      <c r="J4" s="45">
        <v>13656784</v>
      </c>
      <c r="K4" s="45">
        <v>13616243</v>
      </c>
      <c r="L4" s="45">
        <v>13622459</v>
      </c>
      <c r="M4" s="45">
        <v>13581152</v>
      </c>
      <c r="N4" s="45">
        <v>13579596</v>
      </c>
      <c r="O4" s="45">
        <v>13584125</v>
      </c>
      <c r="P4" s="45">
        <v>13687088</v>
      </c>
      <c r="Q4" s="45">
        <v>13676800</v>
      </c>
      <c r="R4" s="45">
        <v>13705067</v>
      </c>
      <c r="S4" s="45">
        <v>13730352</v>
      </c>
      <c r="T4" s="45">
        <v>13657269</v>
      </c>
      <c r="U4" s="45">
        <v>13679022</v>
      </c>
      <c r="V4" s="45">
        <v>13719901</v>
      </c>
      <c r="W4" s="45">
        <v>13778234</v>
      </c>
      <c r="X4" s="45">
        <v>13838184</v>
      </c>
      <c r="Y4" s="45">
        <v>13406874</v>
      </c>
      <c r="Z4" s="45">
        <v>13619135</v>
      </c>
      <c r="AA4" s="45">
        <v>14175403</v>
      </c>
    </row>
    <row r="5" spans="1:27" x14ac:dyDescent="0.25">
      <c r="A5" s="46" t="s">
        <v>240</v>
      </c>
      <c r="B5" s="47"/>
      <c r="C5" s="47"/>
      <c r="D5" s="48">
        <f>D3/D4</f>
        <v>2.8830966788553511</v>
      </c>
      <c r="E5" s="48">
        <f t="shared" ref="E5:S5" si="0">E3/E4</f>
        <v>2.8650774183715235</v>
      </c>
      <c r="F5" s="48">
        <f t="shared" si="0"/>
        <v>2.8470581097037115</v>
      </c>
      <c r="G5" s="48">
        <f t="shared" si="0"/>
        <v>2.8290387338565752</v>
      </c>
      <c r="H5" s="48">
        <f t="shared" si="0"/>
        <v>2.8110194033800147</v>
      </c>
      <c r="I5" s="48">
        <f t="shared" si="0"/>
        <v>2.7929999395654654</v>
      </c>
      <c r="J5" s="48">
        <f t="shared" si="0"/>
        <v>2.7940000369047353</v>
      </c>
      <c r="K5" s="48">
        <f t="shared" si="0"/>
        <v>2.7999998971816233</v>
      </c>
      <c r="L5" s="48">
        <f t="shared" si="0"/>
        <v>2.7980000527070774</v>
      </c>
      <c r="M5" s="48">
        <f t="shared" si="0"/>
        <v>2.8080000871796442</v>
      </c>
      <c r="N5" s="48">
        <f t="shared" si="0"/>
        <v>2.8000000147279787</v>
      </c>
      <c r="O5" s="48">
        <f t="shared" si="0"/>
        <v>2.8019999815961647</v>
      </c>
      <c r="P5" s="48">
        <f t="shared" si="0"/>
        <v>2.7810000198727445</v>
      </c>
      <c r="Q5" s="48">
        <f t="shared" si="0"/>
        <v>2.7830000438699112</v>
      </c>
      <c r="R5" s="48">
        <f t="shared" si="0"/>
        <v>2.7740000103611315</v>
      </c>
      <c r="S5" s="48">
        <f t="shared" si="0"/>
        <v>2.7679999755286682</v>
      </c>
      <c r="T5" s="48">
        <f t="shared" ref="T5:Y5" si="1">T3/T4</f>
        <v>2.7800000864008756</v>
      </c>
      <c r="U5" s="48">
        <f t="shared" si="1"/>
        <v>2.7759999216318243</v>
      </c>
      <c r="V5" s="48">
        <f t="shared" si="1"/>
        <v>2.7680000752192018</v>
      </c>
      <c r="W5" s="48">
        <f t="shared" si="1"/>
        <v>2.7559999343892692</v>
      </c>
      <c r="X5" s="48">
        <f t="shared" si="1"/>
        <v>2.742999948548162</v>
      </c>
      <c r="Y5" s="48">
        <f t="shared" si="1"/>
        <v>2.765249900909041</v>
      </c>
      <c r="Z5" s="48">
        <f t="shared" ref="Z5:AA5" si="2">Z3/Z4</f>
        <v>2.7086713656924615</v>
      </c>
      <c r="AA5" s="48">
        <f t="shared" si="2"/>
        <v>2.5927824415291756</v>
      </c>
    </row>
    <row r="6" spans="1:27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40" t="s">
        <v>249</v>
      </c>
      <c r="B8" s="41"/>
      <c r="C8" s="41"/>
      <c r="D8" s="42">
        <v>4142.5200000000004</v>
      </c>
      <c r="E8" s="42">
        <v>3695.65</v>
      </c>
      <c r="F8" s="42">
        <v>3547.51</v>
      </c>
      <c r="G8" s="42">
        <v>3406.76</v>
      </c>
      <c r="H8" s="42">
        <v>3730.48</v>
      </c>
      <c r="I8" s="42">
        <v>4062.01</v>
      </c>
      <c r="J8" s="42">
        <v>3861.03</v>
      </c>
      <c r="K8" s="42">
        <v>4141.53</v>
      </c>
      <c r="L8" s="42">
        <v>3581.7</v>
      </c>
      <c r="M8" s="42">
        <v>3233.59</v>
      </c>
      <c r="N8" s="42">
        <v>3209.5</v>
      </c>
      <c r="O8" s="42">
        <v>3673.81</v>
      </c>
      <c r="P8" s="42">
        <v>3520.4</v>
      </c>
      <c r="Q8" s="42">
        <v>3711.96</v>
      </c>
      <c r="R8" s="42">
        <v>3478.36</v>
      </c>
      <c r="S8" s="42">
        <v>3627.17</v>
      </c>
      <c r="T8" s="42">
        <v>4146.46</v>
      </c>
      <c r="U8" s="42">
        <v>3691.56</v>
      </c>
      <c r="V8" s="42">
        <v>3564.36</v>
      </c>
      <c r="W8" s="42">
        <v>3348.46</v>
      </c>
      <c r="X8" s="42">
        <v>3104.32</v>
      </c>
      <c r="Y8" s="42">
        <v>3588.96</v>
      </c>
      <c r="Z8" s="42">
        <v>3344.88</v>
      </c>
      <c r="AA8" s="42">
        <v>3597.66</v>
      </c>
    </row>
    <row r="9" spans="1:27" x14ac:dyDescent="0.25">
      <c r="A9" s="43" t="s">
        <v>259</v>
      </c>
      <c r="B9" s="44"/>
      <c r="C9" s="44"/>
      <c r="D9" s="45">
        <f t="shared" ref="D9:W9" si="3">AVERAGE($D8:$X8)</f>
        <v>3641.8638095238102</v>
      </c>
      <c r="E9" s="45">
        <f t="shared" si="3"/>
        <v>3641.8638095238102</v>
      </c>
      <c r="F9" s="45">
        <f t="shared" si="3"/>
        <v>3641.8638095238102</v>
      </c>
      <c r="G9" s="45">
        <f t="shared" si="3"/>
        <v>3641.8638095238102</v>
      </c>
      <c r="H9" s="45">
        <f t="shared" si="3"/>
        <v>3641.8638095238102</v>
      </c>
      <c r="I9" s="45">
        <f t="shared" si="3"/>
        <v>3641.8638095238102</v>
      </c>
      <c r="J9" s="45">
        <f t="shared" si="3"/>
        <v>3641.8638095238102</v>
      </c>
      <c r="K9" s="45">
        <f t="shared" si="3"/>
        <v>3641.8638095238102</v>
      </c>
      <c r="L9" s="45">
        <f t="shared" si="3"/>
        <v>3641.8638095238102</v>
      </c>
      <c r="M9" s="45">
        <f t="shared" si="3"/>
        <v>3641.8638095238102</v>
      </c>
      <c r="N9" s="45">
        <f t="shared" si="3"/>
        <v>3641.8638095238102</v>
      </c>
      <c r="O9" s="45">
        <f t="shared" si="3"/>
        <v>3641.8638095238102</v>
      </c>
      <c r="P9" s="45">
        <f t="shared" si="3"/>
        <v>3641.8638095238102</v>
      </c>
      <c r="Q9" s="45">
        <f t="shared" si="3"/>
        <v>3641.8638095238102</v>
      </c>
      <c r="R9" s="45">
        <f t="shared" si="3"/>
        <v>3641.8638095238102</v>
      </c>
      <c r="S9" s="45">
        <f t="shared" si="3"/>
        <v>3641.8638095238102</v>
      </c>
      <c r="T9" s="45">
        <f t="shared" si="3"/>
        <v>3641.8638095238102</v>
      </c>
      <c r="U9" s="45">
        <f t="shared" si="3"/>
        <v>3641.8638095238102</v>
      </c>
      <c r="V9" s="45">
        <f t="shared" si="3"/>
        <v>3641.8638095238102</v>
      </c>
      <c r="W9" s="45">
        <f t="shared" si="3"/>
        <v>3641.8638095238102</v>
      </c>
      <c r="X9" s="45">
        <f>AVERAGE($D8:$X8)</f>
        <v>3641.8638095238102</v>
      </c>
      <c r="Y9" s="45">
        <f t="shared" ref="Y9:AA9" si="4">AVERAGE($D8:$X8)</f>
        <v>3641.8638095238102</v>
      </c>
      <c r="Z9" s="45">
        <f t="shared" si="4"/>
        <v>3641.8638095238102</v>
      </c>
      <c r="AA9" s="45">
        <f t="shared" si="4"/>
        <v>3641.8638095238102</v>
      </c>
    </row>
    <row r="10" spans="1:27" x14ac:dyDescent="0.25">
      <c r="A10" s="51" t="s">
        <v>250</v>
      </c>
      <c r="B10" s="52"/>
      <c r="C10" s="52"/>
      <c r="D10" s="53">
        <f t="shared" ref="D10:S10" si="5">IF(D8=0,0,D8/D9)</f>
        <v>1.1374725186501835</v>
      </c>
      <c r="E10" s="53">
        <f t="shared" si="5"/>
        <v>1.0147688637712191</v>
      </c>
      <c r="F10" s="53">
        <f t="shared" si="5"/>
        <v>0.97409188963160398</v>
      </c>
      <c r="G10" s="53">
        <f t="shared" si="5"/>
        <v>0.93544409625945046</v>
      </c>
      <c r="H10" s="53">
        <f t="shared" si="5"/>
        <v>1.0243326480920154</v>
      </c>
      <c r="I10" s="53">
        <f t="shared" si="5"/>
        <v>1.115365706256634</v>
      </c>
      <c r="J10" s="53">
        <f t="shared" si="5"/>
        <v>1.0601796777526524</v>
      </c>
      <c r="K10" s="53">
        <f t="shared" si="5"/>
        <v>1.1372006798193597</v>
      </c>
      <c r="L10" s="53">
        <f t="shared" si="5"/>
        <v>0.9834799397587366</v>
      </c>
      <c r="M10" s="53">
        <f t="shared" si="5"/>
        <v>0.88789426763951573</v>
      </c>
      <c r="N10" s="53">
        <f t="shared" si="5"/>
        <v>0.88127952275613963</v>
      </c>
      <c r="O10" s="53">
        <f t="shared" si="5"/>
        <v>1.0087719344124422</v>
      </c>
      <c r="P10" s="53">
        <f t="shared" si="5"/>
        <v>0.96664789902187687</v>
      </c>
      <c r="Q10" s="53">
        <f t="shared" si="5"/>
        <v>1.0192473398628696</v>
      </c>
      <c r="R10" s="53">
        <f t="shared" si="5"/>
        <v>0.95510435917558678</v>
      </c>
      <c r="S10" s="53">
        <f t="shared" si="5"/>
        <v>0.99596530504919367</v>
      </c>
      <c r="T10" s="53">
        <f t="shared" ref="T10:Y10" si="6">IF(T8=0,0,T8/T9)</f>
        <v>1.138554382279926</v>
      </c>
      <c r="U10" s="53">
        <f t="shared" si="6"/>
        <v>1.0136458124398364</v>
      </c>
      <c r="V10" s="53">
        <f t="shared" si="6"/>
        <v>0.97871864144915843</v>
      </c>
      <c r="W10" s="53">
        <f t="shared" si="6"/>
        <v>0.91943580955538973</v>
      </c>
      <c r="X10" s="53">
        <f t="shared" si="6"/>
        <v>0.8523987063662064</v>
      </c>
      <c r="Y10" s="53">
        <f t="shared" si="6"/>
        <v>0.98547342451811026</v>
      </c>
      <c r="Z10" s="53">
        <f t="shared" ref="Z10:AA10" si="7">IF(Z8=0,0,Z8/Z9)</f>
        <v>0.91845279640958288</v>
      </c>
      <c r="AA10" s="53">
        <f t="shared" si="7"/>
        <v>0.98786231121322732</v>
      </c>
    </row>
    <row r="11" spans="1:27" x14ac:dyDescent="0.25">
      <c r="A11" s="43" t="s">
        <v>251</v>
      </c>
      <c r="B11" s="44"/>
      <c r="C11" s="44"/>
      <c r="D11" s="45">
        <v>0.04</v>
      </c>
      <c r="E11" s="45">
        <v>0.57999999999999996</v>
      </c>
      <c r="F11" s="45">
        <v>1.59</v>
      </c>
      <c r="G11" s="45">
        <v>3.49</v>
      </c>
      <c r="H11" s="45">
        <v>3.05</v>
      </c>
      <c r="I11" s="45">
        <v>3.44</v>
      </c>
      <c r="J11" s="45">
        <v>5.85</v>
      </c>
      <c r="K11" s="45">
        <v>3.91</v>
      </c>
      <c r="L11" s="45">
        <v>5.94</v>
      </c>
      <c r="M11" s="45">
        <v>12.07</v>
      </c>
      <c r="N11" s="45">
        <v>0.85</v>
      </c>
      <c r="O11" s="45">
        <v>3.42</v>
      </c>
      <c r="P11" s="45">
        <v>27.54</v>
      </c>
      <c r="Q11" s="45">
        <v>1.91</v>
      </c>
      <c r="R11" s="45">
        <v>41.79</v>
      </c>
      <c r="S11" s="45">
        <v>6.69</v>
      </c>
      <c r="T11" s="45">
        <v>1.61</v>
      </c>
      <c r="U11" s="45">
        <v>6.79</v>
      </c>
      <c r="V11" s="45">
        <v>14.09</v>
      </c>
      <c r="W11" s="45">
        <v>6.95</v>
      </c>
      <c r="X11" s="45">
        <v>9.4600000000000009</v>
      </c>
      <c r="Y11" s="45">
        <v>11.62</v>
      </c>
      <c r="Z11" s="45">
        <v>20.34</v>
      </c>
      <c r="AA11" s="45">
        <v>8.74</v>
      </c>
    </row>
    <row r="12" spans="1:27" x14ac:dyDescent="0.25">
      <c r="A12" s="43" t="s">
        <v>260</v>
      </c>
      <c r="B12" s="44"/>
      <c r="C12" s="44"/>
      <c r="D12" s="45">
        <f t="shared" ref="D12" si="8">AVERAGE($D11:$X11)</f>
        <v>7.6695238095238096</v>
      </c>
      <c r="E12" s="45">
        <f t="shared" ref="E12" si="9">AVERAGE($D11:$X11)</f>
        <v>7.6695238095238096</v>
      </c>
      <c r="F12" s="45">
        <f t="shared" ref="F12" si="10">AVERAGE($D11:$X11)</f>
        <v>7.6695238095238096</v>
      </c>
      <c r="G12" s="45">
        <f t="shared" ref="G12" si="11">AVERAGE($D11:$X11)</f>
        <v>7.6695238095238096</v>
      </c>
      <c r="H12" s="45">
        <f t="shared" ref="H12" si="12">AVERAGE($D11:$X11)</f>
        <v>7.6695238095238096</v>
      </c>
      <c r="I12" s="45">
        <f t="shared" ref="I12" si="13">AVERAGE($D11:$X11)</f>
        <v>7.6695238095238096</v>
      </c>
      <c r="J12" s="45">
        <f t="shared" ref="J12" si="14">AVERAGE($D11:$X11)</f>
        <v>7.6695238095238096</v>
      </c>
      <c r="K12" s="45">
        <f t="shared" ref="K12" si="15">AVERAGE($D11:$X11)</f>
        <v>7.6695238095238096</v>
      </c>
      <c r="L12" s="45">
        <f t="shared" ref="L12" si="16">AVERAGE($D11:$X11)</f>
        <v>7.6695238095238096</v>
      </c>
      <c r="M12" s="45">
        <f t="shared" ref="M12" si="17">AVERAGE($D11:$X11)</f>
        <v>7.6695238095238096</v>
      </c>
      <c r="N12" s="45">
        <f t="shared" ref="N12" si="18">AVERAGE($D11:$X11)</f>
        <v>7.6695238095238096</v>
      </c>
      <c r="O12" s="45">
        <f t="shared" ref="O12" si="19">AVERAGE($D11:$X11)</f>
        <v>7.6695238095238096</v>
      </c>
      <c r="P12" s="45">
        <f t="shared" ref="P12" si="20">AVERAGE($D11:$X11)</f>
        <v>7.6695238095238096</v>
      </c>
      <c r="Q12" s="45">
        <f t="shared" ref="Q12" si="21">AVERAGE($D11:$X11)</f>
        <v>7.6695238095238096</v>
      </c>
      <c r="R12" s="45">
        <f t="shared" ref="R12" si="22">AVERAGE($D11:$X11)</f>
        <v>7.6695238095238096</v>
      </c>
      <c r="S12" s="45">
        <f t="shared" ref="S12" si="23">AVERAGE($D11:$X11)</f>
        <v>7.6695238095238096</v>
      </c>
      <c r="T12" s="45">
        <f t="shared" ref="T12" si="24">AVERAGE($D11:$X11)</f>
        <v>7.6695238095238096</v>
      </c>
      <c r="U12" s="45">
        <f t="shared" ref="U12" si="25">AVERAGE($D11:$X11)</f>
        <v>7.6695238095238096</v>
      </c>
      <c r="V12" s="45">
        <f t="shared" ref="V12" si="26">AVERAGE($D11:$X11)</f>
        <v>7.6695238095238096</v>
      </c>
      <c r="W12" s="45">
        <f t="shared" ref="W12" si="27">AVERAGE($D11:$X11)</f>
        <v>7.6695238095238096</v>
      </c>
      <c r="X12" s="45">
        <f>AVERAGE($D11:$X11)</f>
        <v>7.6695238095238096</v>
      </c>
      <c r="Y12" s="45">
        <f t="shared" ref="Y12:AA12" si="28">AVERAGE($D11:$X11)</f>
        <v>7.6695238095238096</v>
      </c>
      <c r="Z12" s="45">
        <f t="shared" si="28"/>
        <v>7.6695238095238096</v>
      </c>
      <c r="AA12" s="45">
        <f t="shared" si="28"/>
        <v>7.6695238095238096</v>
      </c>
    </row>
    <row r="13" spans="1:27" x14ac:dyDescent="0.25">
      <c r="A13" s="54" t="s">
        <v>252</v>
      </c>
      <c r="B13" s="47"/>
      <c r="C13" s="47"/>
      <c r="D13" s="55">
        <f t="shared" ref="D13:E13" si="29">IF(D11=0,0,D11/D12)</f>
        <v>5.2154476592574193E-3</v>
      </c>
      <c r="E13" s="55">
        <f t="shared" si="29"/>
        <v>7.5623991059232579E-2</v>
      </c>
      <c r="F13" s="55">
        <f t="shared" ref="F13" si="30">IF(F11=0,0,F11/F12)</f>
        <v>0.20731404445548243</v>
      </c>
      <c r="G13" s="55">
        <f t="shared" ref="G13" si="31">IF(G11=0,0,G11/G12)</f>
        <v>0.45504780827020991</v>
      </c>
      <c r="H13" s="55">
        <f t="shared" ref="H13" si="32">IF(H11=0,0,H11/H12)</f>
        <v>0.39767788401837822</v>
      </c>
      <c r="I13" s="55">
        <f t="shared" ref="I13" si="33">IF(I11=0,0,I11/I12)</f>
        <v>0.44852849869613809</v>
      </c>
      <c r="J13" s="55">
        <f t="shared" ref="J13" si="34">IF(J11=0,0,J11/J12)</f>
        <v>0.76275922016639752</v>
      </c>
      <c r="K13" s="55">
        <f t="shared" ref="K13" si="35">IF(K11=0,0,K11/K12)</f>
        <v>0.50981000869241277</v>
      </c>
      <c r="L13" s="55">
        <f t="shared" ref="L13" si="36">IF(L11=0,0,L11/L12)</f>
        <v>0.77449397739972681</v>
      </c>
      <c r="M13" s="55">
        <f t="shared" ref="M13" si="37">IF(M11=0,0,M11/M12)</f>
        <v>1.5737613311809264</v>
      </c>
      <c r="N13" s="55">
        <f t="shared" ref="N13" si="38">IF(N11=0,0,N11/N12)</f>
        <v>0.11082826275922016</v>
      </c>
      <c r="O13" s="55">
        <f t="shared" ref="O13" si="39">IF(O11=0,0,O11/O12)</f>
        <v>0.44592077486650938</v>
      </c>
      <c r="P13" s="55">
        <f t="shared" ref="P13" si="40">IF(P11=0,0,P11/P12)</f>
        <v>3.5908357133987332</v>
      </c>
      <c r="Q13" s="55">
        <f t="shared" ref="Q13" si="41">IF(Q11=0,0,Q11/Q12)</f>
        <v>0.24903762572954177</v>
      </c>
      <c r="R13" s="55">
        <f t="shared" ref="R13" si="42">IF(R11=0,0,R11/R12)</f>
        <v>5.4488389420091892</v>
      </c>
      <c r="S13" s="55">
        <f t="shared" ref="S13:Y13" si="43">IF(S11=0,0,S11/S12)</f>
        <v>0.87228362101080348</v>
      </c>
      <c r="T13" s="55">
        <f t="shared" si="43"/>
        <v>0.20992176828511114</v>
      </c>
      <c r="U13" s="55">
        <f t="shared" si="43"/>
        <v>0.885322240158947</v>
      </c>
      <c r="V13" s="55">
        <f t="shared" si="43"/>
        <v>1.8371414379734261</v>
      </c>
      <c r="W13" s="55">
        <f t="shared" si="43"/>
        <v>0.90618403079597665</v>
      </c>
      <c r="X13" s="55">
        <f t="shared" si="43"/>
        <v>1.2334533714143798</v>
      </c>
      <c r="Y13" s="55">
        <f t="shared" si="43"/>
        <v>1.5150875450142802</v>
      </c>
      <c r="Z13" s="55">
        <f t="shared" ref="Z13:AA13" si="44">IF(Z11=0,0,Z11/Z12)</f>
        <v>2.652055134732398</v>
      </c>
      <c r="AA13" s="55">
        <f t="shared" si="44"/>
        <v>1.1395753135477462</v>
      </c>
    </row>
    <row r="14" spans="1:27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">
      <c r="A15" s="49" t="s">
        <v>274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x14ac:dyDescent="0.25">
      <c r="A16" s="40" t="s">
        <v>139</v>
      </c>
      <c r="B16" s="41"/>
      <c r="C16" s="41"/>
      <c r="D16" s="42">
        <v>333356.7786692786</v>
      </c>
      <c r="E16" s="42">
        <v>337469.58513634285</v>
      </c>
      <c r="F16" s="42">
        <v>343885.49795038567</v>
      </c>
      <c r="G16" s="42">
        <v>356002.40481152968</v>
      </c>
      <c r="H16" s="42">
        <v>374122.2892880353</v>
      </c>
      <c r="I16" s="42">
        <v>386323.48055848264</v>
      </c>
      <c r="J16" s="42">
        <v>410283.41556976311</v>
      </c>
      <c r="K16" s="42">
        <v>438019.82730171253</v>
      </c>
      <c r="L16" s="42">
        <v>457221.29024427419</v>
      </c>
      <c r="M16" s="42">
        <v>469181.70841635606</v>
      </c>
      <c r="N16" s="42">
        <v>484046.13775289204</v>
      </c>
      <c r="O16" s="42">
        <v>509483.99109736813</v>
      </c>
      <c r="P16" s="42">
        <v>517190.44485772343</v>
      </c>
      <c r="Q16" s="42">
        <v>520728.82383641956</v>
      </c>
      <c r="R16" s="42">
        <v>541141.54272180132</v>
      </c>
      <c r="S16" s="42">
        <v>565124.87000200001</v>
      </c>
      <c r="T16" s="42">
        <v>582252.89506017196</v>
      </c>
      <c r="U16" s="42">
        <v>612257.16344820708</v>
      </c>
      <c r="V16" s="42">
        <v>650493.65041686432</v>
      </c>
      <c r="W16" s="42">
        <v>680293.37279900222</v>
      </c>
      <c r="X16" s="42">
        <v>666443.10266698641</v>
      </c>
      <c r="Y16" s="42">
        <v>712610.59031645523</v>
      </c>
      <c r="Z16" s="42">
        <v>750058.8536294871</v>
      </c>
      <c r="AA16" s="42">
        <v>751931.7</v>
      </c>
    </row>
    <row r="17" spans="1:27" x14ac:dyDescent="0.25">
      <c r="A17" s="46" t="s">
        <v>141</v>
      </c>
      <c r="B17" s="47"/>
      <c r="C17" s="47"/>
      <c r="D17" s="57">
        <v>212488.86722040936</v>
      </c>
      <c r="E17" s="57">
        <v>216715.82707608747</v>
      </c>
      <c r="F17" s="57">
        <v>224727.44786524228</v>
      </c>
      <c r="G17" s="57">
        <v>227994.37009786358</v>
      </c>
      <c r="H17" s="57">
        <v>237067.28678309647</v>
      </c>
      <c r="I17" s="57">
        <v>240938.04994934387</v>
      </c>
      <c r="J17" s="57">
        <v>252673.45621426083</v>
      </c>
      <c r="K17" s="57">
        <v>265893.46757353179</v>
      </c>
      <c r="L17" s="57">
        <v>284519.66114874819</v>
      </c>
      <c r="M17" s="57">
        <v>293075.60392121167</v>
      </c>
      <c r="N17" s="57">
        <v>304644.38767355238</v>
      </c>
      <c r="O17" s="57">
        <v>313148.14085006027</v>
      </c>
      <c r="P17" s="57">
        <v>315723.23481747456</v>
      </c>
      <c r="Q17" s="57">
        <v>314770.6618546836</v>
      </c>
      <c r="R17" s="57">
        <v>324766.45609381847</v>
      </c>
      <c r="S17" s="57">
        <v>337487.04932800005</v>
      </c>
      <c r="T17" s="57">
        <v>350231.05545268254</v>
      </c>
      <c r="U17" s="57">
        <v>371468.24198435631</v>
      </c>
      <c r="V17" s="57">
        <v>389505.08104323305</v>
      </c>
      <c r="W17" s="57">
        <v>402142.81049443223</v>
      </c>
      <c r="X17" s="57">
        <v>389133.77376233751</v>
      </c>
      <c r="Y17" s="57">
        <v>413259.81940850284</v>
      </c>
      <c r="Z17" s="57">
        <v>434551.87715956243</v>
      </c>
      <c r="AA17" s="57">
        <v>433456.4</v>
      </c>
    </row>
    <row r="18" spans="1:27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49" t="s">
        <v>275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40" t="s">
        <v>139</v>
      </c>
      <c r="B20" s="41"/>
      <c r="C20" s="41"/>
      <c r="D20" s="42">
        <f>1000000*D16/D$3</f>
        <v>8712.1798834062665</v>
      </c>
      <c r="E20" s="42">
        <f t="shared" ref="E20:S20" si="45">1000000*E16/E$3</f>
        <v>8821.8220870585228</v>
      </c>
      <c r="F20" s="42">
        <f t="shared" si="45"/>
        <v>8992.3049648634387</v>
      </c>
      <c r="G20" s="42">
        <f t="shared" si="45"/>
        <v>9314.9159713001445</v>
      </c>
      <c r="H20" s="42">
        <f t="shared" si="45"/>
        <v>9796.1857346716042</v>
      </c>
      <c r="I20" s="42">
        <f t="shared" si="45"/>
        <v>10120.111866111505</v>
      </c>
      <c r="J20" s="42">
        <f t="shared" si="45"/>
        <v>10752.491657696411</v>
      </c>
      <c r="K20" s="42">
        <f t="shared" si="45"/>
        <v>11488.900304746663</v>
      </c>
      <c r="L20" s="42">
        <f t="shared" si="45"/>
        <v>11995.634292081673</v>
      </c>
      <c r="M20" s="42">
        <f t="shared" si="45"/>
        <v>12302.895793356263</v>
      </c>
      <c r="N20" s="42">
        <f t="shared" si="45"/>
        <v>12730.394903995593</v>
      </c>
      <c r="O20" s="42">
        <f t="shared" si="45"/>
        <v>13385.381230456745</v>
      </c>
      <c r="P20" s="42">
        <f t="shared" si="45"/>
        <v>13587.465086445498</v>
      </c>
      <c r="Q20" s="42">
        <f t="shared" si="45"/>
        <v>13680.876059264565</v>
      </c>
      <c r="R20" s="42">
        <f t="shared" si="45"/>
        <v>14233.878489144714</v>
      </c>
      <c r="S20" s="42">
        <f t="shared" si="45"/>
        <v>14869.510330815863</v>
      </c>
      <c r="T20" s="42">
        <f t="shared" ref="T20:Y20" si="46">1000000*T16/T$3</f>
        <v>15335.678086323702</v>
      </c>
      <c r="U20" s="42">
        <f t="shared" si="46"/>
        <v>16123.502064474267</v>
      </c>
      <c r="V20" s="42">
        <f t="shared" si="46"/>
        <v>17128.762454104126</v>
      </c>
      <c r="W20" s="42">
        <f t="shared" si="46"/>
        <v>17915.275086791102</v>
      </c>
      <c r="X20" s="42">
        <f t="shared" si="46"/>
        <v>17557.318082014099</v>
      </c>
      <c r="Y20" s="42">
        <f t="shared" si="46"/>
        <v>19221.636452195446</v>
      </c>
      <c r="Z20" s="42">
        <f t="shared" ref="Z20:AA20" si="47">1000000*Z16/Z$3</f>
        <v>20332.44004019129</v>
      </c>
      <c r="AA20" s="42">
        <f t="shared" si="47"/>
        <v>20458.646707371463</v>
      </c>
    </row>
    <row r="21" spans="1:27" x14ac:dyDescent="0.25">
      <c r="A21" s="46" t="s">
        <v>141</v>
      </c>
      <c r="B21" s="47"/>
      <c r="C21" s="47"/>
      <c r="D21" s="57">
        <f>1000000*D17/D$3</f>
        <v>5553.333104055585</v>
      </c>
      <c r="E21" s="57">
        <f t="shared" ref="E21:S21" si="48">1000000*E17/E$3</f>
        <v>5665.1874839108132</v>
      </c>
      <c r="F21" s="57">
        <f t="shared" si="48"/>
        <v>5876.4261861116993</v>
      </c>
      <c r="G21" s="57">
        <f t="shared" si="48"/>
        <v>5965.5450937625938</v>
      </c>
      <c r="H21" s="57">
        <f t="shared" si="48"/>
        <v>6207.476109914157</v>
      </c>
      <c r="I21" s="57">
        <f t="shared" si="48"/>
        <v>6311.6019113443508</v>
      </c>
      <c r="J21" s="57">
        <f t="shared" si="48"/>
        <v>6621.9328565650794</v>
      </c>
      <c r="K21" s="57">
        <f t="shared" si="48"/>
        <v>6974.1672641944197</v>
      </c>
      <c r="L21" s="57">
        <f t="shared" si="48"/>
        <v>7464.6432195315347</v>
      </c>
      <c r="M21" s="57">
        <f t="shared" si="48"/>
        <v>7685.0366285335012</v>
      </c>
      <c r="N21" s="57">
        <f t="shared" si="48"/>
        <v>8012.1357405605659</v>
      </c>
      <c r="O21" s="57">
        <f t="shared" si="48"/>
        <v>8227.1618345820771</v>
      </c>
      <c r="P21" s="57">
        <f t="shared" si="48"/>
        <v>8294.5817594178352</v>
      </c>
      <c r="Q21" s="57">
        <f t="shared" si="48"/>
        <v>8269.8291602144618</v>
      </c>
      <c r="R21" s="57">
        <f t="shared" si="48"/>
        <v>8542.4716242235882</v>
      </c>
      <c r="S21" s="57">
        <f t="shared" si="48"/>
        <v>8879.9262479485278</v>
      </c>
      <c r="T21" s="57">
        <f t="shared" ref="T21:Y21" si="49">1000000*T17/T$3</f>
        <v>9224.5667953281099</v>
      </c>
      <c r="U21" s="57">
        <f t="shared" si="49"/>
        <v>9782.4400008478751</v>
      </c>
      <c r="V21" s="57">
        <f t="shared" si="49"/>
        <v>10256.426029032838</v>
      </c>
      <c r="W21" s="57">
        <f t="shared" si="49"/>
        <v>10590.282607841427</v>
      </c>
      <c r="X21" s="57">
        <f t="shared" si="49"/>
        <v>10251.656015433042</v>
      </c>
      <c r="Y21" s="57">
        <f t="shared" si="49"/>
        <v>11147.083858861306</v>
      </c>
      <c r="Z21" s="57">
        <f t="shared" ref="Z21:AA21" si="50">1000000*Z17/Z$3</f>
        <v>11779.742274816104</v>
      </c>
      <c r="AA21" s="57">
        <f t="shared" si="50"/>
        <v>11793.533043824444</v>
      </c>
    </row>
    <row r="22" spans="1:27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5">
      <c r="A23" s="58" t="s">
        <v>276</v>
      </c>
      <c r="B23" s="59"/>
      <c r="C23" s="59"/>
      <c r="D23" s="60">
        <v>300229.48519391997</v>
      </c>
      <c r="E23" s="60">
        <v>304225.64686135802</v>
      </c>
      <c r="F23" s="60">
        <v>309751.79927378724</v>
      </c>
      <c r="G23" s="60">
        <v>320103.82045225205</v>
      </c>
      <c r="H23" s="60">
        <v>337463.24965048605</v>
      </c>
      <c r="I23" s="60">
        <v>347981.80423571623</v>
      </c>
      <c r="J23" s="60">
        <v>369483.64913611661</v>
      </c>
      <c r="K23" s="60">
        <v>394603.61499619443</v>
      </c>
      <c r="L23" s="60">
        <v>410989.6403457431</v>
      </c>
      <c r="M23" s="60">
        <v>422854.35113683995</v>
      </c>
      <c r="N23" s="60">
        <v>436028.90263666399</v>
      </c>
      <c r="O23" s="60">
        <v>458679.37948680611</v>
      </c>
      <c r="P23" s="60">
        <v>464837.97145548748</v>
      </c>
      <c r="Q23" s="60">
        <v>467657.6732150708</v>
      </c>
      <c r="R23" s="60">
        <v>485569.41013828618</v>
      </c>
      <c r="S23" s="60">
        <v>507749.25107200001</v>
      </c>
      <c r="T23" s="60">
        <v>522464.66254456481</v>
      </c>
      <c r="U23" s="60">
        <v>548627.23982807738</v>
      </c>
      <c r="V23" s="60">
        <v>582870.84680940176</v>
      </c>
      <c r="W23" s="60">
        <v>608989.39566074952</v>
      </c>
      <c r="X23" s="60">
        <v>596438.34945838666</v>
      </c>
      <c r="Y23" s="60">
        <v>635979.13972618291</v>
      </c>
      <c r="Z23" s="60">
        <v>670677.05307868763</v>
      </c>
      <c r="AA23" s="60">
        <v>679422.1</v>
      </c>
    </row>
    <row r="24" spans="1:27" x14ac:dyDescent="0.25">
      <c r="A24" s="61" t="s">
        <v>33</v>
      </c>
      <c r="B24" s="62"/>
      <c r="C24" s="62"/>
      <c r="D24" s="63">
        <v>10786.480823393087</v>
      </c>
      <c r="E24" s="63">
        <v>11371.112962089608</v>
      </c>
      <c r="F24" s="63">
        <v>9859.6059353444489</v>
      </c>
      <c r="G24" s="63">
        <v>9774.6545857672809</v>
      </c>
      <c r="H24" s="63">
        <v>12711.17969755201</v>
      </c>
      <c r="I24" s="63">
        <v>11746.596666222164</v>
      </c>
      <c r="J24" s="63">
        <v>11570.241211981034</v>
      </c>
      <c r="K24" s="63">
        <v>13985.769990214201</v>
      </c>
      <c r="L24" s="63">
        <v>12444.632233182812</v>
      </c>
      <c r="M24" s="63">
        <v>12507.680696944637</v>
      </c>
      <c r="N24" s="63">
        <v>14455.506488811321</v>
      </c>
      <c r="O24" s="63">
        <v>16558.594439532779</v>
      </c>
      <c r="P24" s="63">
        <v>15673.117209035614</v>
      </c>
      <c r="Q24" s="63">
        <v>17022.0966699044</v>
      </c>
      <c r="R24" s="63">
        <v>16281.392826148669</v>
      </c>
      <c r="S24" s="63">
        <v>14204.857016</v>
      </c>
      <c r="T24" s="63">
        <v>15514.304678662162</v>
      </c>
      <c r="U24" s="63">
        <v>18640.511077334999</v>
      </c>
      <c r="V24" s="63">
        <v>16054.064743366009</v>
      </c>
      <c r="W24" s="63">
        <v>16398.250860368633</v>
      </c>
      <c r="X24" s="63">
        <v>17362.514458723006</v>
      </c>
      <c r="Y24" s="63">
        <v>16380.383396883366</v>
      </c>
      <c r="Z24" s="63">
        <v>21096.0747819961</v>
      </c>
      <c r="AA24" s="63">
        <v>20793.7</v>
      </c>
    </row>
    <row r="25" spans="1:27" x14ac:dyDescent="0.25">
      <c r="A25" s="64" t="s">
        <v>56</v>
      </c>
      <c r="B25" s="65"/>
      <c r="C25" s="65"/>
      <c r="D25" s="66">
        <v>7347.5428418351139</v>
      </c>
      <c r="E25" s="66">
        <v>6993.2040873087872</v>
      </c>
      <c r="F25" s="66">
        <v>6806.1853375381634</v>
      </c>
      <c r="G25" s="66">
        <v>6790.1601407929138</v>
      </c>
      <c r="H25" s="66">
        <v>8619.2283732976866</v>
      </c>
      <c r="I25" s="66">
        <v>8915.2357768914644</v>
      </c>
      <c r="J25" s="66">
        <v>8968.7379343540197</v>
      </c>
      <c r="K25" s="66">
        <v>8981.9174973979116</v>
      </c>
      <c r="L25" s="66">
        <v>9899.3216624213019</v>
      </c>
      <c r="M25" s="66">
        <v>9031.6520034892565</v>
      </c>
      <c r="N25" s="66">
        <v>10751.883151530265</v>
      </c>
      <c r="O25" s="66">
        <v>12453.436310495827</v>
      </c>
      <c r="P25" s="66">
        <v>11825.780726923076</v>
      </c>
      <c r="Q25" s="66">
        <v>10300.264310560842</v>
      </c>
      <c r="R25" s="66">
        <v>8901.530931895446</v>
      </c>
      <c r="S25" s="66">
        <v>8795.1147133221457</v>
      </c>
      <c r="T25" s="66">
        <v>8585.6907880017134</v>
      </c>
      <c r="U25" s="66">
        <v>10074.316551901868</v>
      </c>
      <c r="V25" s="66">
        <v>10015.591567526602</v>
      </c>
      <c r="W25" s="66">
        <v>9821.3215806298067</v>
      </c>
      <c r="X25" s="66">
        <v>8745.0330656038113</v>
      </c>
      <c r="Y25" s="66">
        <v>10052.184482428429</v>
      </c>
      <c r="Z25" s="66">
        <v>13165.285433242199</v>
      </c>
      <c r="AA25" s="66">
        <v>9877.5458259582174</v>
      </c>
    </row>
    <row r="26" spans="1:27" x14ac:dyDescent="0.25">
      <c r="A26" s="67" t="s">
        <v>146</v>
      </c>
      <c r="B26" s="44"/>
      <c r="C26" s="44"/>
      <c r="D26" s="45">
        <v>198055.95079719104</v>
      </c>
      <c r="E26" s="45">
        <v>205004.82630872479</v>
      </c>
      <c r="F26" s="45">
        <v>212329.12275005979</v>
      </c>
      <c r="G26" s="45">
        <v>216715.80647944653</v>
      </c>
      <c r="H26" s="45">
        <v>219871.71690756679</v>
      </c>
      <c r="I26" s="45">
        <v>228282.29927384263</v>
      </c>
      <c r="J26" s="45">
        <v>241986.61319581285</v>
      </c>
      <c r="K26" s="45">
        <v>256202.96739550252</v>
      </c>
      <c r="L26" s="45">
        <v>272047.22247659304</v>
      </c>
      <c r="M26" s="45">
        <v>275519.84418891824</v>
      </c>
      <c r="N26" s="45">
        <v>283071.78668993741</v>
      </c>
      <c r="O26" s="45">
        <v>292612.01262702438</v>
      </c>
      <c r="P26" s="45">
        <v>301088.33075393981</v>
      </c>
      <c r="Q26" s="45">
        <v>309619.95156172343</v>
      </c>
      <c r="R26" s="45">
        <v>316364.66165666102</v>
      </c>
      <c r="S26" s="45">
        <v>328823.48951050569</v>
      </c>
      <c r="T26" s="45">
        <v>338109.22351563553</v>
      </c>
      <c r="U26" s="45">
        <v>363209.99067794619</v>
      </c>
      <c r="V26" s="45">
        <v>388743.34356345783</v>
      </c>
      <c r="W26" s="45">
        <v>406992.24609943555</v>
      </c>
      <c r="X26" s="45">
        <v>400366.54346983408</v>
      </c>
      <c r="Y26" s="45">
        <v>426842.18501847546</v>
      </c>
      <c r="Z26" s="45">
        <v>445356.87332335627</v>
      </c>
      <c r="AA26" s="45">
        <v>450633.45036589314</v>
      </c>
    </row>
    <row r="27" spans="1:27" x14ac:dyDescent="0.25">
      <c r="A27" s="68" t="s">
        <v>148</v>
      </c>
      <c r="B27" s="69"/>
      <c r="C27" s="69"/>
      <c r="D27" s="70">
        <v>64642.08588916908</v>
      </c>
      <c r="E27" s="70">
        <v>68722.422859906845</v>
      </c>
      <c r="F27" s="70">
        <v>72864.382023093131</v>
      </c>
      <c r="G27" s="70">
        <v>76352.635972654549</v>
      </c>
      <c r="H27" s="70">
        <v>76349.39231347655</v>
      </c>
      <c r="I27" s="70">
        <v>79589.761408187798</v>
      </c>
      <c r="J27" s="70">
        <v>84545.46878686249</v>
      </c>
      <c r="K27" s="70">
        <v>88725.414230727416</v>
      </c>
      <c r="L27" s="70">
        <v>93471.153053353715</v>
      </c>
      <c r="M27" s="70">
        <v>95982.108221273156</v>
      </c>
      <c r="N27" s="70">
        <v>102768.3348999563</v>
      </c>
      <c r="O27" s="70">
        <v>105297.82181958127</v>
      </c>
      <c r="P27" s="70">
        <v>105381.6412787482</v>
      </c>
      <c r="Q27" s="70">
        <v>109570.72191810237</v>
      </c>
      <c r="R27" s="70">
        <v>115567.0925544425</v>
      </c>
      <c r="S27" s="70">
        <v>117712.89703600004</v>
      </c>
      <c r="T27" s="70">
        <v>121498.09482367447</v>
      </c>
      <c r="U27" s="70">
        <v>129423.73000895849</v>
      </c>
      <c r="V27" s="70">
        <v>142124.02297190836</v>
      </c>
      <c r="W27" s="70">
        <v>146739.94480038088</v>
      </c>
      <c r="X27" s="70">
        <v>142808.54672677114</v>
      </c>
      <c r="Y27" s="70">
        <v>153156.34702670996</v>
      </c>
      <c r="Z27" s="70">
        <v>157096.17385671465</v>
      </c>
      <c r="AA27" s="70">
        <v>164823.19999999987</v>
      </c>
    </row>
    <row r="28" spans="1:27" x14ac:dyDescent="0.25">
      <c r="A28" s="68" t="s">
        <v>150</v>
      </c>
      <c r="B28" s="71"/>
      <c r="C28" s="71"/>
      <c r="D28" s="70">
        <v>67957.064652716246</v>
      </c>
      <c r="E28" s="70">
        <v>69067.365490053809</v>
      </c>
      <c r="F28" s="70">
        <v>70539.714907464426</v>
      </c>
      <c r="G28" s="70">
        <v>72683.169931352066</v>
      </c>
      <c r="H28" s="70">
        <v>74280.858528977638</v>
      </c>
      <c r="I28" s="70">
        <v>76692.510177114513</v>
      </c>
      <c r="J28" s="70">
        <v>81727.159047068344</v>
      </c>
      <c r="K28" s="70">
        <v>88232.213273893663</v>
      </c>
      <c r="L28" s="70">
        <v>95249.17733677011</v>
      </c>
      <c r="M28" s="70">
        <v>92513.270691393554</v>
      </c>
      <c r="N28" s="70">
        <v>92966.46864052859</v>
      </c>
      <c r="O28" s="70">
        <v>97540.730424471883</v>
      </c>
      <c r="P28" s="70">
        <v>100668.91350631797</v>
      </c>
      <c r="Q28" s="70">
        <v>104064.35245232862</v>
      </c>
      <c r="R28" s="70">
        <v>110888.62386147045</v>
      </c>
      <c r="S28" s="70">
        <v>115711.648584</v>
      </c>
      <c r="T28" s="70">
        <v>120339.73101508673</v>
      </c>
      <c r="U28" s="70">
        <v>130380.28167533997</v>
      </c>
      <c r="V28" s="70">
        <v>139572.74860339653</v>
      </c>
      <c r="W28" s="70">
        <v>150571.28300346868</v>
      </c>
      <c r="X28" s="70">
        <v>149813.19138801051</v>
      </c>
      <c r="Y28" s="70">
        <v>157246.37538484827</v>
      </c>
      <c r="Z28" s="70">
        <v>169206.35535623768</v>
      </c>
      <c r="AA28" s="70">
        <v>173437.30000000002</v>
      </c>
    </row>
    <row r="29" spans="1:27" x14ac:dyDescent="0.25">
      <c r="A29" s="68" t="s">
        <v>152</v>
      </c>
      <c r="B29" s="71"/>
      <c r="C29" s="71"/>
      <c r="D29" s="70">
        <v>65456.800255305687</v>
      </c>
      <c r="E29" s="70">
        <v>67215.037958764151</v>
      </c>
      <c r="F29" s="70">
        <v>68925.025819502203</v>
      </c>
      <c r="G29" s="70">
        <v>67680.000575439903</v>
      </c>
      <c r="H29" s="70">
        <v>69241.466065112661</v>
      </c>
      <c r="I29" s="70">
        <v>72000.0276885403</v>
      </c>
      <c r="J29" s="70">
        <v>75713.98536188202</v>
      </c>
      <c r="K29" s="70">
        <v>79245.339890881471</v>
      </c>
      <c r="L29" s="70">
        <v>83326.892086469161</v>
      </c>
      <c r="M29" s="70">
        <v>87024.465276251547</v>
      </c>
      <c r="N29" s="70">
        <v>87336.983149452499</v>
      </c>
      <c r="O29" s="70">
        <v>89773.4603829712</v>
      </c>
      <c r="P29" s="70">
        <v>95037.775968873582</v>
      </c>
      <c r="Q29" s="70">
        <v>95984.877191292413</v>
      </c>
      <c r="R29" s="70">
        <v>89908.945240748042</v>
      </c>
      <c r="S29" s="70">
        <v>95398.943890505674</v>
      </c>
      <c r="T29" s="70">
        <v>96271.397676874316</v>
      </c>
      <c r="U29" s="70">
        <v>103405.97899364766</v>
      </c>
      <c r="V29" s="70">
        <v>107046.57198815301</v>
      </c>
      <c r="W29" s="70">
        <v>109681.01829558595</v>
      </c>
      <c r="X29" s="70">
        <v>107744.80535505239</v>
      </c>
      <c r="Y29" s="70">
        <v>116439.46260691718</v>
      </c>
      <c r="Z29" s="70">
        <v>119054.34411040391</v>
      </c>
      <c r="AA29" s="70">
        <v>112372.95036589337</v>
      </c>
    </row>
    <row r="30" spans="1:27" x14ac:dyDescent="0.25">
      <c r="A30" s="64" t="s">
        <v>154</v>
      </c>
      <c r="B30" s="65"/>
      <c r="C30" s="65"/>
      <c r="D30" s="66">
        <v>9138.622006805761</v>
      </c>
      <c r="E30" s="66">
        <v>10219.705017232001</v>
      </c>
      <c r="F30" s="66">
        <v>11184.189327939088</v>
      </c>
      <c r="G30" s="66">
        <v>12686.565149683409</v>
      </c>
      <c r="H30" s="66">
        <v>15228.850302169496</v>
      </c>
      <c r="I30" s="66">
        <v>13079.633628726253</v>
      </c>
      <c r="J30" s="66">
        <v>13013.889013235457</v>
      </c>
      <c r="K30" s="66">
        <v>13450.217888441302</v>
      </c>
      <c r="L30" s="66">
        <v>13197.285570863778</v>
      </c>
      <c r="M30" s="66">
        <v>15058.446343646272</v>
      </c>
      <c r="N30" s="66">
        <v>16773.465274574581</v>
      </c>
      <c r="O30" s="66">
        <v>17396.131978407171</v>
      </c>
      <c r="P30" s="66">
        <v>19156.208509306889</v>
      </c>
      <c r="Q30" s="66">
        <v>19457.329439305184</v>
      </c>
      <c r="R30" s="66">
        <v>17760.553151335589</v>
      </c>
      <c r="S30" s="66">
        <v>19086.046344172191</v>
      </c>
      <c r="T30" s="66">
        <v>19551.43345008207</v>
      </c>
      <c r="U30" s="66">
        <v>18712.455861136135</v>
      </c>
      <c r="V30" s="66">
        <v>19063.34468831959</v>
      </c>
      <c r="W30" s="66">
        <v>19448.236604774542</v>
      </c>
      <c r="X30" s="66">
        <v>21091.663187363723</v>
      </c>
      <c r="Y30" s="66">
        <v>22883.350603930048</v>
      </c>
      <c r="Z30" s="66">
        <v>30631.351643154267</v>
      </c>
      <c r="AA30" s="66">
        <v>37554.092815247743</v>
      </c>
    </row>
    <row r="31" spans="1:27" x14ac:dyDescent="0.25">
      <c r="A31" s="64" t="s">
        <v>37</v>
      </c>
      <c r="B31" s="65"/>
      <c r="C31" s="65"/>
      <c r="D31" s="66">
        <v>25300.419821416399</v>
      </c>
      <c r="E31" s="66">
        <v>25178.573151943892</v>
      </c>
      <c r="F31" s="66">
        <v>23776.537744217312</v>
      </c>
      <c r="G31" s="66">
        <v>22644.005599852189</v>
      </c>
      <c r="H31" s="66">
        <v>25395.473796195729</v>
      </c>
      <c r="I31" s="66">
        <v>26831.957948332503</v>
      </c>
      <c r="J31" s="66">
        <v>29397.411449057476</v>
      </c>
      <c r="K31" s="66">
        <v>32432.923679460699</v>
      </c>
      <c r="L31" s="66">
        <v>33239.250938971687</v>
      </c>
      <c r="M31" s="66">
        <v>36963.779306907134</v>
      </c>
      <c r="N31" s="66">
        <v>37060.962662843609</v>
      </c>
      <c r="O31" s="66">
        <v>42740.823943500829</v>
      </c>
      <c r="P31" s="66">
        <v>38899.571652091989</v>
      </c>
      <c r="Q31" s="66">
        <v>36905.818017483762</v>
      </c>
      <c r="R31" s="66">
        <v>40534.88557930167</v>
      </c>
      <c r="S31" s="66">
        <v>44768.429076</v>
      </c>
      <c r="T31" s="66">
        <v>41805.761874392294</v>
      </c>
      <c r="U31" s="66">
        <v>41839.884034746901</v>
      </c>
      <c r="V31" s="66">
        <v>49030.993751433496</v>
      </c>
      <c r="W31" s="66">
        <v>50792.920954907167</v>
      </c>
      <c r="X31" s="66">
        <v>48124.71027383436</v>
      </c>
      <c r="Y31" s="66">
        <v>44492.071211361414</v>
      </c>
      <c r="Z31" s="66">
        <v>43909.207196061754</v>
      </c>
      <c r="AA31" s="66">
        <v>46816.6</v>
      </c>
    </row>
    <row r="32" spans="1:27" x14ac:dyDescent="0.25">
      <c r="A32" s="64" t="s">
        <v>58</v>
      </c>
      <c r="B32" s="65"/>
      <c r="C32" s="65"/>
      <c r="D32" s="66">
        <v>49600.468903278575</v>
      </c>
      <c r="E32" s="66">
        <v>45458.225334058887</v>
      </c>
      <c r="F32" s="66">
        <v>45796.158178688551</v>
      </c>
      <c r="G32" s="66">
        <v>51492.628496709738</v>
      </c>
      <c r="H32" s="66">
        <v>55636.800573704299</v>
      </c>
      <c r="I32" s="66">
        <v>59126.080941701301</v>
      </c>
      <c r="J32" s="66">
        <v>64546.756331675722</v>
      </c>
      <c r="K32" s="66">
        <v>69549.818545177783</v>
      </c>
      <c r="L32" s="66">
        <v>70161.927463710541</v>
      </c>
      <c r="M32" s="66">
        <v>73772.948596934439</v>
      </c>
      <c r="N32" s="66">
        <v>73915.298368966745</v>
      </c>
      <c r="O32" s="66">
        <v>76918.380187845192</v>
      </c>
      <c r="P32" s="66">
        <v>78194.962604190121</v>
      </c>
      <c r="Q32" s="66">
        <v>74352.213216093238</v>
      </c>
      <c r="R32" s="66">
        <v>85726.38599294376</v>
      </c>
      <c r="S32" s="66">
        <v>92071.314412000007</v>
      </c>
      <c r="T32" s="66">
        <v>98898.24823779102</v>
      </c>
      <c r="U32" s="66">
        <v>96150.081625011342</v>
      </c>
      <c r="V32" s="66">
        <v>99963.508495298141</v>
      </c>
      <c r="W32" s="66">
        <v>105536.41956063388</v>
      </c>
      <c r="X32" s="66">
        <v>100747.88500302768</v>
      </c>
      <c r="Y32" s="66">
        <v>115328.96501310423</v>
      </c>
      <c r="Z32" s="66">
        <v>116518.26070087716</v>
      </c>
      <c r="AA32" s="66">
        <v>113746.7109929007</v>
      </c>
    </row>
    <row r="33" spans="1:27" x14ac:dyDescent="0.25">
      <c r="A33" s="72" t="s">
        <v>158</v>
      </c>
      <c r="B33" s="65"/>
      <c r="C33" s="65"/>
      <c r="D33" s="66">
        <v>1427.9936255197329</v>
      </c>
      <c r="E33" s="66">
        <v>1283.0202696656388</v>
      </c>
      <c r="F33" s="66">
        <v>1282.7124674900429</v>
      </c>
      <c r="G33" s="66">
        <v>1297.0847283218923</v>
      </c>
      <c r="H33" s="66">
        <v>2507.5424680424435</v>
      </c>
      <c r="I33" s="66">
        <v>2333.2555564984423</v>
      </c>
      <c r="J33" s="66">
        <v>3394.1148282641379</v>
      </c>
      <c r="K33" s="66">
        <v>3863.3595650755688</v>
      </c>
      <c r="L33" s="66">
        <v>2293.5552161863602</v>
      </c>
      <c r="M33" s="66">
        <v>2257.1264673562096</v>
      </c>
      <c r="N33" s="66">
        <v>1508.0745371813255</v>
      </c>
      <c r="O33" s="66">
        <v>2280.9796365830066</v>
      </c>
      <c r="P33" s="66">
        <v>2323.4579368817708</v>
      </c>
      <c r="Q33" s="66">
        <v>2256.5514196615713</v>
      </c>
      <c r="R33" s="66">
        <v>2734.8160022709758</v>
      </c>
      <c r="S33" s="66">
        <v>2935.5523120000003</v>
      </c>
      <c r="T33" s="66">
        <v>3192.8975210931862</v>
      </c>
      <c r="U33" s="66">
        <v>2974.9475635902445</v>
      </c>
      <c r="V33" s="66">
        <v>3062.6897515930555</v>
      </c>
      <c r="W33" s="66">
        <v>2808.9370332585186</v>
      </c>
      <c r="X33" s="66">
        <v>2359.3709479916574</v>
      </c>
      <c r="Y33" s="66">
        <v>4094.5327946561201</v>
      </c>
      <c r="Z33" s="66">
        <v>3982.9874550031354</v>
      </c>
      <c r="AA33" s="66">
        <v>3626.762730187203</v>
      </c>
    </row>
    <row r="34" spans="1:27" x14ac:dyDescent="0.25">
      <c r="A34" s="73" t="s">
        <v>5</v>
      </c>
      <c r="B34" s="65"/>
      <c r="C34" s="65"/>
      <c r="D34" s="66">
        <v>1188.0068868788055</v>
      </c>
      <c r="E34" s="66">
        <v>1067.3975633561527</v>
      </c>
      <c r="F34" s="66">
        <v>1067.1414900110974</v>
      </c>
      <c r="G34" s="66">
        <v>1079.0983675090913</v>
      </c>
      <c r="H34" s="66">
        <v>2086.1281646766947</v>
      </c>
      <c r="I34" s="66">
        <v>1941.1316832450982</v>
      </c>
      <c r="J34" s="66">
        <v>2823.7043350720128</v>
      </c>
      <c r="K34" s="66">
        <v>3214.0884159258162</v>
      </c>
      <c r="L34" s="66">
        <v>1908.1033301353143</v>
      </c>
      <c r="M34" s="66">
        <v>1638.3872284406332</v>
      </c>
      <c r="N34" s="66">
        <v>1128.1032858329631</v>
      </c>
      <c r="O34" s="66">
        <v>1692.4917938904784</v>
      </c>
      <c r="P34" s="66">
        <v>1730.9515933768835</v>
      </c>
      <c r="Q34" s="66">
        <v>1687.3725563996099</v>
      </c>
      <c r="R34" s="66">
        <v>2036.5294302114994</v>
      </c>
      <c r="S34" s="66">
        <v>2125.475399131486</v>
      </c>
      <c r="T34" s="66">
        <v>2259.3647749260122</v>
      </c>
      <c r="U34" s="66">
        <v>2023.8412420931509</v>
      </c>
      <c r="V34" s="66">
        <v>2164.8014660254921</v>
      </c>
      <c r="W34" s="66">
        <v>1771.6212635856116</v>
      </c>
      <c r="X34" s="66">
        <v>1487.098197448033</v>
      </c>
      <c r="Y34" s="66">
        <v>3024.4369848525075</v>
      </c>
      <c r="Z34" s="66">
        <v>2912.2139762747579</v>
      </c>
      <c r="AA34" s="66">
        <v>2382.1571987671077</v>
      </c>
    </row>
    <row r="35" spans="1:27" x14ac:dyDescent="0.25">
      <c r="A35" s="74" t="s">
        <v>264</v>
      </c>
      <c r="B35" s="44"/>
      <c r="C35" s="44"/>
      <c r="D35" s="45">
        <v>867.58339386603404</v>
      </c>
      <c r="E35" s="45">
        <v>772.19964171201445</v>
      </c>
      <c r="F35" s="45">
        <v>784.96641839444942</v>
      </c>
      <c r="G35" s="45">
        <v>766.31284102246798</v>
      </c>
      <c r="H35" s="45">
        <v>1431.4393397238273</v>
      </c>
      <c r="I35" s="45">
        <v>1210.5230864865669</v>
      </c>
      <c r="J35" s="45">
        <v>1724.5781267008315</v>
      </c>
      <c r="K35" s="45">
        <v>1981.4995062688415</v>
      </c>
      <c r="L35" s="45">
        <v>1100.1072912133279</v>
      </c>
      <c r="M35" s="45">
        <v>804.82145928853777</v>
      </c>
      <c r="N35" s="45">
        <v>612.26033314207041</v>
      </c>
      <c r="O35" s="45">
        <v>919.84926803567873</v>
      </c>
      <c r="P35" s="45">
        <v>943.36063022259475</v>
      </c>
      <c r="Q35" s="45">
        <v>998.45085643168727</v>
      </c>
      <c r="R35" s="45">
        <v>1279.6142465203811</v>
      </c>
      <c r="S35" s="45">
        <v>1308.0526500413011</v>
      </c>
      <c r="T35" s="45">
        <v>1364.3934762354886</v>
      </c>
      <c r="U35" s="45">
        <v>1197.2798796480542</v>
      </c>
      <c r="V35" s="45">
        <v>1233.5928433140591</v>
      </c>
      <c r="W35" s="45">
        <v>1042.6411566672784</v>
      </c>
      <c r="X35" s="45">
        <v>804.21765068317109</v>
      </c>
      <c r="Y35" s="45">
        <v>1614.9160443241876</v>
      </c>
      <c r="Z35" s="45">
        <v>1450.5473210926798</v>
      </c>
      <c r="AA35" s="45">
        <v>1240.1843238467811</v>
      </c>
    </row>
    <row r="36" spans="1:27" x14ac:dyDescent="0.25">
      <c r="A36" s="74" t="s">
        <v>15</v>
      </c>
      <c r="B36" s="44"/>
      <c r="C36" s="44"/>
      <c r="D36" s="45">
        <v>320.42349301277147</v>
      </c>
      <c r="E36" s="45">
        <v>295.19792164413821</v>
      </c>
      <c r="F36" s="45">
        <v>282.17507161664798</v>
      </c>
      <c r="G36" s="45">
        <v>312.78552648662333</v>
      </c>
      <c r="H36" s="45">
        <v>654.68882495286744</v>
      </c>
      <c r="I36" s="45">
        <v>730.60859675853135</v>
      </c>
      <c r="J36" s="45">
        <v>1099.1262083711813</v>
      </c>
      <c r="K36" s="45">
        <v>1232.5889096569747</v>
      </c>
      <c r="L36" s="45">
        <v>807.99603892198638</v>
      </c>
      <c r="M36" s="45">
        <v>833.56576915209541</v>
      </c>
      <c r="N36" s="45">
        <v>515.84295269089273</v>
      </c>
      <c r="O36" s="45">
        <v>772.64252585479971</v>
      </c>
      <c r="P36" s="45">
        <v>787.59096315428872</v>
      </c>
      <c r="Q36" s="45">
        <v>688.92169996792268</v>
      </c>
      <c r="R36" s="45">
        <v>756.91518369111827</v>
      </c>
      <c r="S36" s="45">
        <v>817.42274909018488</v>
      </c>
      <c r="T36" s="45">
        <v>894.97129869052355</v>
      </c>
      <c r="U36" s="45">
        <v>826.56136244509662</v>
      </c>
      <c r="V36" s="45">
        <v>931.20862271143301</v>
      </c>
      <c r="W36" s="45">
        <v>728.98010691833315</v>
      </c>
      <c r="X36" s="45">
        <v>682.88054676486195</v>
      </c>
      <c r="Y36" s="45">
        <v>1409.5209405283199</v>
      </c>
      <c r="Z36" s="45">
        <v>1461.6666551820781</v>
      </c>
      <c r="AA36" s="45">
        <v>1141.9728749203266</v>
      </c>
    </row>
    <row r="37" spans="1:27" x14ac:dyDescent="0.25">
      <c r="A37" s="73" t="s">
        <v>263</v>
      </c>
      <c r="B37" s="65"/>
      <c r="C37" s="65"/>
      <c r="D37" s="66">
        <v>239.98673864092734</v>
      </c>
      <c r="E37" s="66">
        <v>215.62270630948612</v>
      </c>
      <c r="F37" s="66">
        <v>215.57097747894545</v>
      </c>
      <c r="G37" s="66">
        <v>217.98636081280097</v>
      </c>
      <c r="H37" s="66">
        <v>421.41430336574876</v>
      </c>
      <c r="I37" s="66">
        <v>392.1238732533443</v>
      </c>
      <c r="J37" s="66">
        <v>570.41049319212516</v>
      </c>
      <c r="K37" s="66">
        <v>649.27114914975209</v>
      </c>
      <c r="L37" s="66">
        <v>385.4518860510459</v>
      </c>
      <c r="M37" s="66">
        <v>618.73923891557638</v>
      </c>
      <c r="N37" s="66">
        <v>379.97125134836233</v>
      </c>
      <c r="O37" s="66">
        <v>588.48784269252815</v>
      </c>
      <c r="P37" s="66">
        <v>592.50634350488735</v>
      </c>
      <c r="Q37" s="66">
        <v>569.1788632619614</v>
      </c>
      <c r="R37" s="66">
        <v>698.28657205947638</v>
      </c>
      <c r="S37" s="66">
        <v>810.07691286851423</v>
      </c>
      <c r="T37" s="66">
        <v>933.53274616717408</v>
      </c>
      <c r="U37" s="66">
        <v>951.10632149709363</v>
      </c>
      <c r="V37" s="66">
        <v>897.88828556756334</v>
      </c>
      <c r="W37" s="66">
        <v>1037.315769672907</v>
      </c>
      <c r="X37" s="66">
        <v>872.2727505436244</v>
      </c>
      <c r="Y37" s="66">
        <v>1070.0958098036126</v>
      </c>
      <c r="Z37" s="66">
        <v>1070.7734787283775</v>
      </c>
      <c r="AA37" s="66">
        <v>1244.6055314200953</v>
      </c>
    </row>
    <row r="38" spans="1:27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</row>
    <row r="39" spans="1:27" x14ac:dyDescent="0.25">
      <c r="A39" s="74" t="s">
        <v>19</v>
      </c>
      <c r="B39" s="44"/>
      <c r="C39" s="44"/>
      <c r="D39" s="45">
        <v>137.13933346908181</v>
      </c>
      <c r="E39" s="45">
        <v>123.21661768288882</v>
      </c>
      <c r="F39" s="45">
        <v>123.18705747726392</v>
      </c>
      <c r="G39" s="45">
        <v>124.56731732975886</v>
      </c>
      <c r="H39" s="45">
        <v>240.81529256658811</v>
      </c>
      <c r="I39" s="45">
        <v>224.07740910941931</v>
      </c>
      <c r="J39" s="45">
        <v>325.95848955296265</v>
      </c>
      <c r="K39" s="45">
        <v>371.02305377100885</v>
      </c>
      <c r="L39" s="45">
        <v>220.26473227977806</v>
      </c>
      <c r="M39" s="45">
        <v>248.40714216772949</v>
      </c>
      <c r="N39" s="45">
        <v>225.27911332759672</v>
      </c>
      <c r="O39" s="45">
        <v>327.64364733539401</v>
      </c>
      <c r="P39" s="45">
        <v>315.61489700327735</v>
      </c>
      <c r="Q39" s="45">
        <v>368.0416591552837</v>
      </c>
      <c r="R39" s="45">
        <v>543.68844860902539</v>
      </c>
      <c r="S39" s="45">
        <v>511.29532019415404</v>
      </c>
      <c r="T39" s="45">
        <v>563.88844177347028</v>
      </c>
      <c r="U39" s="45">
        <v>601.69212179040574</v>
      </c>
      <c r="V39" s="45">
        <v>708.85422335307192</v>
      </c>
      <c r="W39" s="45">
        <v>789.00331409188357</v>
      </c>
      <c r="X39" s="45">
        <v>630.6119968859864</v>
      </c>
      <c r="Y39" s="45">
        <v>773.76090113596365</v>
      </c>
      <c r="Z39" s="45">
        <v>788.37923415808723</v>
      </c>
      <c r="AA39" s="45">
        <v>823.12502150686782</v>
      </c>
    </row>
    <row r="40" spans="1:27" x14ac:dyDescent="0.25">
      <c r="A40" s="75" t="s">
        <v>267</v>
      </c>
      <c r="B40" s="76"/>
      <c r="C40" s="76"/>
      <c r="D40" s="45">
        <v>46.617830712139046</v>
      </c>
      <c r="E40" s="45">
        <v>38.782960019199898</v>
      </c>
      <c r="F40" s="45">
        <v>39.51775821281543</v>
      </c>
      <c r="G40" s="45">
        <v>36.113948832635174</v>
      </c>
      <c r="H40" s="45">
        <v>64.288339076759939</v>
      </c>
      <c r="I40" s="45">
        <v>68.577311919245844</v>
      </c>
      <c r="J40" s="45">
        <v>62.097919194571148</v>
      </c>
      <c r="K40" s="45">
        <v>64.486075900909398</v>
      </c>
      <c r="L40" s="45">
        <v>37.274430976517515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</row>
    <row r="41" spans="1:27" x14ac:dyDescent="0.25">
      <c r="A41" s="75" t="s">
        <v>268</v>
      </c>
      <c r="B41" s="76"/>
      <c r="C41" s="76"/>
      <c r="D41" s="45">
        <v>90.521502756942766</v>
      </c>
      <c r="E41" s="45">
        <v>84.433657663688933</v>
      </c>
      <c r="F41" s="45">
        <v>83.669299264448483</v>
      </c>
      <c r="G41" s="45">
        <v>88.453368497123691</v>
      </c>
      <c r="H41" s="45">
        <v>176.52695348982817</v>
      </c>
      <c r="I41" s="45">
        <v>155.50009719017345</v>
      </c>
      <c r="J41" s="45">
        <v>263.8605703583915</v>
      </c>
      <c r="K41" s="45">
        <v>306.53697787009946</v>
      </c>
      <c r="L41" s="45">
        <v>182.99030130326054</v>
      </c>
      <c r="M41" s="45">
        <v>248.40714216772949</v>
      </c>
      <c r="N41" s="45">
        <v>225.27911332759672</v>
      </c>
      <c r="O41" s="45">
        <v>327.64364733539401</v>
      </c>
      <c r="P41" s="45">
        <v>315.61489700327735</v>
      </c>
      <c r="Q41" s="45">
        <v>368.0416591552837</v>
      </c>
      <c r="R41" s="45">
        <v>543.68844860902539</v>
      </c>
      <c r="S41" s="45">
        <v>511.29532019415404</v>
      </c>
      <c r="T41" s="45">
        <v>563.88844177347028</v>
      </c>
      <c r="U41" s="45">
        <v>601.69212179040574</v>
      </c>
      <c r="V41" s="45">
        <v>708.85422335307192</v>
      </c>
      <c r="W41" s="45">
        <v>789.00331409188357</v>
      </c>
      <c r="X41" s="45">
        <v>630.6119968859864</v>
      </c>
      <c r="Y41" s="45">
        <v>773.76090113596365</v>
      </c>
      <c r="Z41" s="45">
        <v>788.37923415808723</v>
      </c>
      <c r="AA41" s="45">
        <v>823.12502150686782</v>
      </c>
    </row>
    <row r="42" spans="1:27" x14ac:dyDescent="0.25">
      <c r="A42" s="74" t="s">
        <v>13</v>
      </c>
      <c r="B42" s="44"/>
      <c r="C42" s="44"/>
      <c r="D42" s="45">
        <v>102.84740517184554</v>
      </c>
      <c r="E42" s="45">
        <v>92.406088626597295</v>
      </c>
      <c r="F42" s="45">
        <v>92.383920001681545</v>
      </c>
      <c r="G42" s="45">
        <v>93.419043483042088</v>
      </c>
      <c r="H42" s="45">
        <v>180.59901079916065</v>
      </c>
      <c r="I42" s="45">
        <v>168.04646414392499</v>
      </c>
      <c r="J42" s="45">
        <v>244.45200363916251</v>
      </c>
      <c r="K42" s="45">
        <v>278.24809537874324</v>
      </c>
      <c r="L42" s="45">
        <v>165.18715377126784</v>
      </c>
      <c r="M42" s="45">
        <v>370.33209674784689</v>
      </c>
      <c r="N42" s="45">
        <v>154.69213802076561</v>
      </c>
      <c r="O42" s="45">
        <v>260.84419535713414</v>
      </c>
      <c r="P42" s="45">
        <v>276.89144650161001</v>
      </c>
      <c r="Q42" s="45">
        <v>201.1372041066777</v>
      </c>
      <c r="R42" s="45">
        <v>154.598123450451</v>
      </c>
      <c r="S42" s="45">
        <v>298.78159267436024</v>
      </c>
      <c r="T42" s="45">
        <v>369.64430439370381</v>
      </c>
      <c r="U42" s="45">
        <v>349.4141997066879</v>
      </c>
      <c r="V42" s="45">
        <v>189.03406221449143</v>
      </c>
      <c r="W42" s="45">
        <v>248.31245558102341</v>
      </c>
      <c r="X42" s="45">
        <v>241.660753657638</v>
      </c>
      <c r="Y42" s="45">
        <v>296.33490866764896</v>
      </c>
      <c r="Z42" s="45">
        <v>282.39424457029031</v>
      </c>
      <c r="AA42" s="45">
        <v>421.48050991322748</v>
      </c>
    </row>
    <row r="43" spans="1:27" x14ac:dyDescent="0.25">
      <c r="A43" s="72" t="s">
        <v>265</v>
      </c>
      <c r="B43" s="65"/>
      <c r="C43" s="65"/>
      <c r="D43" s="66">
        <v>4016.9869920250835</v>
      </c>
      <c r="E43" s="66">
        <v>3711.691444464599</v>
      </c>
      <c r="F43" s="66">
        <v>3790.1494942895556</v>
      </c>
      <c r="G43" s="66">
        <v>3861.9330405491842</v>
      </c>
      <c r="H43" s="66">
        <v>4045.5460439468634</v>
      </c>
      <c r="I43" s="66">
        <v>4281.5896761992508</v>
      </c>
      <c r="J43" s="66">
        <v>4525.6903527234881</v>
      </c>
      <c r="K43" s="66">
        <v>4974.1401456996846</v>
      </c>
      <c r="L43" s="66">
        <v>5016.9117618558503</v>
      </c>
      <c r="M43" s="66">
        <v>4939.7301129476273</v>
      </c>
      <c r="N43" s="66">
        <v>5743.7897650065461</v>
      </c>
      <c r="O43" s="66">
        <v>6099.4850753565006</v>
      </c>
      <c r="P43" s="66">
        <v>6127.9544246247106</v>
      </c>
      <c r="Q43" s="66">
        <v>5578.3021972291799</v>
      </c>
      <c r="R43" s="66">
        <v>6179.0109371831786</v>
      </c>
      <c r="S43" s="66">
        <v>6951.141372</v>
      </c>
      <c r="T43" s="66">
        <v>7508.4871078026481</v>
      </c>
      <c r="U43" s="66">
        <v>6555.6934341248361</v>
      </c>
      <c r="V43" s="66">
        <v>7433.5900756888277</v>
      </c>
      <c r="W43" s="66">
        <v>7033.8425083316333</v>
      </c>
      <c r="X43" s="66">
        <v>7180.1802327928417</v>
      </c>
      <c r="Y43" s="66">
        <v>8324.9494242650726</v>
      </c>
      <c r="Z43" s="66">
        <v>8142.98647559645</v>
      </c>
      <c r="AA43" s="66">
        <v>7802.6548580842618</v>
      </c>
    </row>
    <row r="44" spans="1:27" x14ac:dyDescent="0.25">
      <c r="A44" s="73" t="s">
        <v>266</v>
      </c>
      <c r="B44" s="65"/>
      <c r="C44" s="65"/>
      <c r="D44" s="66">
        <v>3022.5654747460976</v>
      </c>
      <c r="E44" s="66">
        <v>2797.1217171533949</v>
      </c>
      <c r="F44" s="66">
        <v>2827.4505258132203</v>
      </c>
      <c r="G44" s="66">
        <v>2969.141784277776</v>
      </c>
      <c r="H44" s="66">
        <v>3179.8665886874428</v>
      </c>
      <c r="I44" s="66">
        <v>3284.0964734691897</v>
      </c>
      <c r="J44" s="66">
        <v>3509.4287822366136</v>
      </c>
      <c r="K44" s="66">
        <v>3356.3547330651299</v>
      </c>
      <c r="L44" s="66">
        <v>3352.42474078955</v>
      </c>
      <c r="M44" s="66">
        <v>3171.0035051149302</v>
      </c>
      <c r="N44" s="66">
        <v>4026.6153421014365</v>
      </c>
      <c r="O44" s="66">
        <v>4614.6406457048361</v>
      </c>
      <c r="P44" s="66">
        <v>4559.8437526879516</v>
      </c>
      <c r="Q44" s="66">
        <v>3978.6101937528751</v>
      </c>
      <c r="R44" s="66">
        <v>4394.9048217689278</v>
      </c>
      <c r="S44" s="66">
        <v>5143.2336480000004</v>
      </c>
      <c r="T44" s="66">
        <v>5714.9450542097493</v>
      </c>
      <c r="U44" s="66">
        <v>4966.8539281508256</v>
      </c>
      <c r="V44" s="66">
        <v>4899.7233478594717</v>
      </c>
      <c r="W44" s="66">
        <v>5185.8880500578116</v>
      </c>
      <c r="X44" s="66">
        <v>5235.0528964542827</v>
      </c>
      <c r="Y44" s="66">
        <v>6117.775530556054</v>
      </c>
      <c r="Z44" s="66">
        <v>6204.8348084572626</v>
      </c>
      <c r="AA44" s="66">
        <v>6054.6431221988469</v>
      </c>
    </row>
    <row r="45" spans="1:27" x14ac:dyDescent="0.25">
      <c r="A45" s="74" t="s">
        <v>20</v>
      </c>
      <c r="B45" s="44"/>
      <c r="C45" s="44"/>
      <c r="D45" s="45">
        <v>1540.1951369979545</v>
      </c>
      <c r="E45" s="45">
        <v>1481.6429938708627</v>
      </c>
      <c r="F45" s="45">
        <v>1489.6539632431595</v>
      </c>
      <c r="G45" s="45">
        <v>1526.5230189530992</v>
      </c>
      <c r="H45" s="45">
        <v>1533.7519017360792</v>
      </c>
      <c r="I45" s="45">
        <v>1558.68593920016</v>
      </c>
      <c r="J45" s="45">
        <v>1611.2720781875034</v>
      </c>
      <c r="K45" s="45">
        <v>1575.7401174117908</v>
      </c>
      <c r="L45" s="45">
        <v>1574.8173215806351</v>
      </c>
      <c r="M45" s="45">
        <v>1212.3668704160596</v>
      </c>
      <c r="N45" s="45">
        <v>1623.4961908087707</v>
      </c>
      <c r="O45" s="45">
        <v>2266.8955184047059</v>
      </c>
      <c r="P45" s="45">
        <v>2269.7143945400458</v>
      </c>
      <c r="Q45" s="45">
        <v>1932.6015342244307</v>
      </c>
      <c r="R45" s="45">
        <v>2091.0446665109343</v>
      </c>
      <c r="S45" s="45">
        <v>2443.3940643351966</v>
      </c>
      <c r="T45" s="45">
        <v>2636.9270195607314</v>
      </c>
      <c r="U45" s="45">
        <v>2530.5679652089279</v>
      </c>
      <c r="V45" s="45">
        <v>2323.3500994306391</v>
      </c>
      <c r="W45" s="45">
        <v>2474.0465656266151</v>
      </c>
      <c r="X45" s="45">
        <v>2453.1345393230195</v>
      </c>
      <c r="Y45" s="45">
        <v>3254.5837274300452</v>
      </c>
      <c r="Z45" s="45">
        <v>3377.0352381517268</v>
      </c>
      <c r="AA45" s="45">
        <v>2199.5269179539769</v>
      </c>
    </row>
    <row r="46" spans="1:27" x14ac:dyDescent="0.25">
      <c r="A46" s="74" t="s">
        <v>12</v>
      </c>
      <c r="B46" s="44"/>
      <c r="C46" s="44"/>
      <c r="D46" s="45">
        <v>1482.3703377481431</v>
      </c>
      <c r="E46" s="45">
        <v>1315.4787232825322</v>
      </c>
      <c r="F46" s="45">
        <v>1337.7965625700608</v>
      </c>
      <c r="G46" s="45">
        <v>1442.6187653246768</v>
      </c>
      <c r="H46" s="45">
        <v>1646.1146869513636</v>
      </c>
      <c r="I46" s="45">
        <v>1725.4105342690298</v>
      </c>
      <c r="J46" s="45">
        <v>1898.1567040491102</v>
      </c>
      <c r="K46" s="45">
        <v>1780.6146156533391</v>
      </c>
      <c r="L46" s="45">
        <v>1777.607419208915</v>
      </c>
      <c r="M46" s="45">
        <v>1958.6366346988707</v>
      </c>
      <c r="N46" s="45">
        <v>2403.1191512926657</v>
      </c>
      <c r="O46" s="45">
        <v>2347.7451273001302</v>
      </c>
      <c r="P46" s="45">
        <v>2290.1293581479058</v>
      </c>
      <c r="Q46" s="45">
        <v>2046.0086595284445</v>
      </c>
      <c r="R46" s="45">
        <v>2303.8601552579935</v>
      </c>
      <c r="S46" s="45">
        <v>2699.8395836648037</v>
      </c>
      <c r="T46" s="45">
        <v>3078.0180346490179</v>
      </c>
      <c r="U46" s="45">
        <v>2436.2859629418977</v>
      </c>
      <c r="V46" s="45">
        <v>2576.3732484288325</v>
      </c>
      <c r="W46" s="45">
        <v>2711.8414844311965</v>
      </c>
      <c r="X46" s="45">
        <v>2781.9183571312633</v>
      </c>
      <c r="Y46" s="45">
        <v>2863.1918031260088</v>
      </c>
      <c r="Z46" s="45">
        <v>2827.7995703055358</v>
      </c>
      <c r="AA46" s="45">
        <v>3855.11620424487</v>
      </c>
    </row>
    <row r="47" spans="1:27" x14ac:dyDescent="0.25">
      <c r="A47" s="73" t="s">
        <v>11</v>
      </c>
      <c r="B47" s="65"/>
      <c r="C47" s="65"/>
      <c r="D47" s="66">
        <v>994.42151727898579</v>
      </c>
      <c r="E47" s="66">
        <v>914.56972731120391</v>
      </c>
      <c r="F47" s="66">
        <v>962.69896847633527</v>
      </c>
      <c r="G47" s="66">
        <v>892.7912562714082</v>
      </c>
      <c r="H47" s="66">
        <v>865.67945525942037</v>
      </c>
      <c r="I47" s="66">
        <v>997.49320273006106</v>
      </c>
      <c r="J47" s="66">
        <v>1016.2615704868741</v>
      </c>
      <c r="K47" s="66">
        <v>1617.7854126345549</v>
      </c>
      <c r="L47" s="66">
        <v>1664.4870210662998</v>
      </c>
      <c r="M47" s="66">
        <v>1768.7266078326968</v>
      </c>
      <c r="N47" s="66">
        <v>1717.1744229051094</v>
      </c>
      <c r="O47" s="66">
        <v>1484.8444296516648</v>
      </c>
      <c r="P47" s="66">
        <v>1568.1106719367588</v>
      </c>
      <c r="Q47" s="66">
        <v>1599.6920034763045</v>
      </c>
      <c r="R47" s="66">
        <v>1784.1061154142503</v>
      </c>
      <c r="S47" s="66">
        <v>1807.9077239999999</v>
      </c>
      <c r="T47" s="66">
        <v>1793.5420535928988</v>
      </c>
      <c r="U47" s="66">
        <v>1588.8395059740103</v>
      </c>
      <c r="V47" s="66">
        <v>2533.866727829356</v>
      </c>
      <c r="W47" s="66">
        <v>1847.9544582738217</v>
      </c>
      <c r="X47" s="66">
        <v>1945.127336338559</v>
      </c>
      <c r="Y47" s="66">
        <v>2207.1738937090195</v>
      </c>
      <c r="Z47" s="66">
        <v>1938.1516671391876</v>
      </c>
      <c r="AA47" s="66">
        <v>1748.0117358854147</v>
      </c>
    </row>
    <row r="48" spans="1:27" x14ac:dyDescent="0.25">
      <c r="A48" s="72" t="s">
        <v>4</v>
      </c>
      <c r="B48" s="65"/>
      <c r="C48" s="65"/>
      <c r="D48" s="66">
        <v>4147.3290436916368</v>
      </c>
      <c r="E48" s="66">
        <v>3862.8137372271594</v>
      </c>
      <c r="F48" s="66">
        <v>3897.319124021561</v>
      </c>
      <c r="G48" s="66">
        <v>4304.9454597137537</v>
      </c>
      <c r="H48" s="66">
        <v>4666.6770379034733</v>
      </c>
      <c r="I48" s="66">
        <v>4519.8209361248164</v>
      </c>
      <c r="J48" s="66">
        <v>5222.4680374696427</v>
      </c>
      <c r="K48" s="66">
        <v>6475.3115711645096</v>
      </c>
      <c r="L48" s="66">
        <v>5999.5344793503755</v>
      </c>
      <c r="M48" s="66">
        <v>5239.8113763297115</v>
      </c>
      <c r="N48" s="66">
        <v>5096.1571360302523</v>
      </c>
      <c r="O48" s="66">
        <v>5157.9602841600545</v>
      </c>
      <c r="P48" s="66">
        <v>4840.9661840299832</v>
      </c>
      <c r="Q48" s="66">
        <v>4555.2889525075398</v>
      </c>
      <c r="R48" s="66">
        <v>5204.1679549049031</v>
      </c>
      <c r="S48" s="66">
        <v>5751.4238040000009</v>
      </c>
      <c r="T48" s="66">
        <v>5885.4228025970488</v>
      </c>
      <c r="U48" s="66">
        <v>5853.654262333037</v>
      </c>
      <c r="V48" s="66">
        <v>6324.1167343112729</v>
      </c>
      <c r="W48" s="66">
        <v>6457.1758688702985</v>
      </c>
      <c r="X48" s="66">
        <v>6279.8772253246316</v>
      </c>
      <c r="Y48" s="66">
        <v>7063.5820760518855</v>
      </c>
      <c r="Z48" s="66">
        <v>6941.171109221028</v>
      </c>
      <c r="AA48" s="66">
        <v>6655.8713450181949</v>
      </c>
    </row>
    <row r="49" spans="1:27" x14ac:dyDescent="0.25">
      <c r="A49" s="77" t="s">
        <v>10</v>
      </c>
      <c r="B49" s="44"/>
      <c r="C49" s="44"/>
      <c r="D49" s="45">
        <v>2565.9793413443745</v>
      </c>
      <c r="E49" s="45">
        <v>2177.1368398386144</v>
      </c>
      <c r="F49" s="45">
        <v>2030.5545999239773</v>
      </c>
      <c r="G49" s="45">
        <v>2182.0959832503986</v>
      </c>
      <c r="H49" s="45">
        <v>2294.6950963218392</v>
      </c>
      <c r="I49" s="45">
        <v>2216.7353011541113</v>
      </c>
      <c r="J49" s="45">
        <v>2655.218331948684</v>
      </c>
      <c r="K49" s="45">
        <v>3339.6587779328611</v>
      </c>
      <c r="L49" s="45">
        <v>3082.1697117793587</v>
      </c>
      <c r="M49" s="45">
        <v>2595.7632971164521</v>
      </c>
      <c r="N49" s="45">
        <v>2368.8787586422095</v>
      </c>
      <c r="O49" s="45">
        <v>2524.9680396802364</v>
      </c>
      <c r="P49" s="45">
        <v>2186.9042078451007</v>
      </c>
      <c r="Q49" s="45">
        <v>2019.5113406364435</v>
      </c>
      <c r="R49" s="45">
        <v>2252.8274424302572</v>
      </c>
      <c r="S49" s="45">
        <v>2459.7386492837159</v>
      </c>
      <c r="T49" s="45">
        <v>2270.4594949877783</v>
      </c>
      <c r="U49" s="45">
        <v>2348.4638255886712</v>
      </c>
      <c r="V49" s="45">
        <v>2825.0579206587831</v>
      </c>
      <c r="W49" s="45">
        <v>2923.5986111860038</v>
      </c>
      <c r="X49" s="45">
        <v>2799.4112531968358</v>
      </c>
      <c r="Y49" s="45">
        <v>2986.3903194872005</v>
      </c>
      <c r="Z49" s="45">
        <v>2967.7033182656805</v>
      </c>
      <c r="AA49" s="45">
        <v>2979.8794748802375</v>
      </c>
    </row>
    <row r="50" spans="1:27" x14ac:dyDescent="0.25">
      <c r="A50" s="77" t="s">
        <v>18</v>
      </c>
      <c r="B50" s="44"/>
      <c r="C50" s="44"/>
      <c r="D50" s="45">
        <v>757.87756980679353</v>
      </c>
      <c r="E50" s="45">
        <v>798.5712078101501</v>
      </c>
      <c r="F50" s="45">
        <v>859.09077426245096</v>
      </c>
      <c r="G50" s="45">
        <v>915.24250116096766</v>
      </c>
      <c r="H50" s="45">
        <v>999.00808579265765</v>
      </c>
      <c r="I50" s="45">
        <v>927.20984351935658</v>
      </c>
      <c r="J50" s="45">
        <v>1032.3314686061083</v>
      </c>
      <c r="K50" s="45">
        <v>1172.7247960558022</v>
      </c>
      <c r="L50" s="45">
        <v>1128.4187328125377</v>
      </c>
      <c r="M50" s="45">
        <v>1022.9620082349704</v>
      </c>
      <c r="N50" s="45">
        <v>1180.4264294205564</v>
      </c>
      <c r="O50" s="45">
        <v>1094.6819528617491</v>
      </c>
      <c r="P50" s="45">
        <v>1160.0373643904056</v>
      </c>
      <c r="Q50" s="45">
        <v>1119.4936278278362</v>
      </c>
      <c r="R50" s="45">
        <v>1380.6326763988932</v>
      </c>
      <c r="S50" s="45">
        <v>1512.6884026855221</v>
      </c>
      <c r="T50" s="45">
        <v>1680.7539568658278</v>
      </c>
      <c r="U50" s="45">
        <v>1733.4437720614774</v>
      </c>
      <c r="V50" s="45">
        <v>1498.8148672499333</v>
      </c>
      <c r="W50" s="45">
        <v>1614.8732824897118</v>
      </c>
      <c r="X50" s="45">
        <v>1537.2856684077958</v>
      </c>
      <c r="Y50" s="45">
        <v>1825.7368603947657</v>
      </c>
      <c r="Z50" s="45">
        <v>1865.7886587818814</v>
      </c>
      <c r="AA50" s="45">
        <v>1714.5445148256567</v>
      </c>
    </row>
    <row r="51" spans="1:27" x14ac:dyDescent="0.25">
      <c r="A51" s="77" t="s">
        <v>9</v>
      </c>
      <c r="B51" s="44"/>
      <c r="C51" s="44"/>
      <c r="D51" s="45">
        <v>823.47213254046881</v>
      </c>
      <c r="E51" s="45">
        <v>887.10568957839496</v>
      </c>
      <c r="F51" s="45">
        <v>1007.6737498351328</v>
      </c>
      <c r="G51" s="45">
        <v>1207.6069753023876</v>
      </c>
      <c r="H51" s="45">
        <v>1372.9738557889764</v>
      </c>
      <c r="I51" s="45">
        <v>1375.8757914513485</v>
      </c>
      <c r="J51" s="45">
        <v>1534.9182369148505</v>
      </c>
      <c r="K51" s="45">
        <v>1962.9279971758463</v>
      </c>
      <c r="L51" s="45">
        <v>1788.9460347584791</v>
      </c>
      <c r="M51" s="45">
        <v>1621.0860709782889</v>
      </c>
      <c r="N51" s="45">
        <v>1546.8519479674865</v>
      </c>
      <c r="O51" s="45">
        <v>1538.310291618069</v>
      </c>
      <c r="P51" s="45">
        <v>1494.0246117944769</v>
      </c>
      <c r="Q51" s="45">
        <v>1416.28398404326</v>
      </c>
      <c r="R51" s="45">
        <v>1570.7078360757528</v>
      </c>
      <c r="S51" s="45">
        <v>1778.996752030763</v>
      </c>
      <c r="T51" s="45">
        <v>1934.2093507434427</v>
      </c>
      <c r="U51" s="45">
        <v>1771.7466646828884</v>
      </c>
      <c r="V51" s="45">
        <v>2000.2439464025565</v>
      </c>
      <c r="W51" s="45">
        <v>1918.7039751945829</v>
      </c>
      <c r="X51" s="45">
        <v>1943.18030372</v>
      </c>
      <c r="Y51" s="45">
        <v>2251.4548961699193</v>
      </c>
      <c r="Z51" s="45">
        <v>2107.6791321734663</v>
      </c>
      <c r="AA51" s="45">
        <v>1961.4473553123007</v>
      </c>
    </row>
    <row r="52" spans="1:27" x14ac:dyDescent="0.25">
      <c r="A52" s="72" t="s">
        <v>3</v>
      </c>
      <c r="B52" s="65"/>
      <c r="C52" s="65"/>
      <c r="D52" s="66">
        <v>3288.297403040011</v>
      </c>
      <c r="E52" s="66">
        <v>2996.2193409516904</v>
      </c>
      <c r="F52" s="66">
        <v>3025.5066477365535</v>
      </c>
      <c r="G52" s="66">
        <v>3087.5540982674565</v>
      </c>
      <c r="H52" s="66">
        <v>3248.5537694599943</v>
      </c>
      <c r="I52" s="66">
        <v>3377.7216792542031</v>
      </c>
      <c r="J52" s="66">
        <v>3413.6906719093327</v>
      </c>
      <c r="K52" s="66">
        <v>4168.4827226269435</v>
      </c>
      <c r="L52" s="66">
        <v>3559.7647977673992</v>
      </c>
      <c r="M52" s="66">
        <v>3857.9094425122639</v>
      </c>
      <c r="N52" s="66">
        <v>3676.8332730786015</v>
      </c>
      <c r="O52" s="66">
        <v>4075.0348376896909</v>
      </c>
      <c r="P52" s="66">
        <v>4400.5952077658767</v>
      </c>
      <c r="Q52" s="66">
        <v>3861.6518991871581</v>
      </c>
      <c r="R52" s="66">
        <v>4677.7983292104309</v>
      </c>
      <c r="S52" s="66">
        <v>5328.2430040000008</v>
      </c>
      <c r="T52" s="66">
        <v>5438.005127186424</v>
      </c>
      <c r="U52" s="66">
        <v>5154.4104683583819</v>
      </c>
      <c r="V52" s="66">
        <v>5584.6876335025272</v>
      </c>
      <c r="W52" s="66">
        <v>5695.3540093858392</v>
      </c>
      <c r="X52" s="66">
        <v>5492.1915360290659</v>
      </c>
      <c r="Y52" s="66">
        <v>6551.3275453917549</v>
      </c>
      <c r="Z52" s="66">
        <v>6423.4293220615655</v>
      </c>
      <c r="AA52" s="66">
        <v>6163.5269225296397</v>
      </c>
    </row>
    <row r="53" spans="1:27" x14ac:dyDescent="0.25">
      <c r="A53" s="73" t="s">
        <v>21</v>
      </c>
      <c r="B53" s="65"/>
      <c r="C53" s="65"/>
      <c r="D53" s="66">
        <v>1943.0520509849362</v>
      </c>
      <c r="E53" s="66">
        <v>1813.787348690973</v>
      </c>
      <c r="F53" s="66">
        <v>1833.1822090437363</v>
      </c>
      <c r="G53" s="66">
        <v>1960.9455108799159</v>
      </c>
      <c r="H53" s="66">
        <v>1982.3525496421314</v>
      </c>
      <c r="I53" s="66">
        <v>1877.794581095661</v>
      </c>
      <c r="J53" s="66">
        <v>1932.5028148490806</v>
      </c>
      <c r="K53" s="66">
        <v>2326.9594998369034</v>
      </c>
      <c r="L53" s="66">
        <v>1836.7151030058722</v>
      </c>
      <c r="M53" s="66">
        <v>2121.8427025863534</v>
      </c>
      <c r="N53" s="66">
        <v>1974.7711940825702</v>
      </c>
      <c r="O53" s="66">
        <v>2292.5337757299026</v>
      </c>
      <c r="P53" s="66">
        <v>2570.9973417436358</v>
      </c>
      <c r="Q53" s="66">
        <v>2271.5599406983283</v>
      </c>
      <c r="R53" s="66">
        <v>2919.9704732552009</v>
      </c>
      <c r="S53" s="66">
        <v>3208.6361720000004</v>
      </c>
      <c r="T53" s="66">
        <v>3370.7031856723156</v>
      </c>
      <c r="U53" s="66">
        <v>3284.8351616052828</v>
      </c>
      <c r="V53" s="66">
        <v>3633.3174882078997</v>
      </c>
      <c r="W53" s="66">
        <v>3668.7973610827726</v>
      </c>
      <c r="X53" s="66">
        <v>3660.4441633586762</v>
      </c>
      <c r="Y53" s="66">
        <v>4329.8896027097853</v>
      </c>
      <c r="Z53" s="66">
        <v>4328.4894902789592</v>
      </c>
      <c r="AA53" s="66">
        <v>4192.6401084072586</v>
      </c>
    </row>
    <row r="54" spans="1:27" x14ac:dyDescent="0.25">
      <c r="A54" s="74" t="s">
        <v>8</v>
      </c>
      <c r="B54" s="44"/>
      <c r="C54" s="44"/>
      <c r="D54" s="45">
        <v>141.98341625070276</v>
      </c>
      <c r="E54" s="45">
        <v>120.77857465169713</v>
      </c>
      <c r="F54" s="45">
        <v>114.06902643233555</v>
      </c>
      <c r="G54" s="45">
        <v>116.57154678933702</v>
      </c>
      <c r="H54" s="45">
        <v>109.84846431550434</v>
      </c>
      <c r="I54" s="45">
        <v>102.55282192316007</v>
      </c>
      <c r="J54" s="45">
        <v>102.05051656393005</v>
      </c>
      <c r="K54" s="45">
        <v>116.74114221657669</v>
      </c>
      <c r="L54" s="45">
        <v>88.993922886408853</v>
      </c>
      <c r="M54" s="45">
        <v>96.781537059577147</v>
      </c>
      <c r="N54" s="45">
        <v>84.590524253029145</v>
      </c>
      <c r="O54" s="45">
        <v>97.980255542685398</v>
      </c>
      <c r="P54" s="45">
        <v>104.0243992351855</v>
      </c>
      <c r="Q54" s="45">
        <v>91.269997929292302</v>
      </c>
      <c r="R54" s="45">
        <v>114.43557898983808</v>
      </c>
      <c r="S54" s="45">
        <v>122.86777476865453</v>
      </c>
      <c r="T54" s="45">
        <v>48.962589717892683</v>
      </c>
      <c r="U54" s="45">
        <v>72.107163005490705</v>
      </c>
      <c r="V54" s="45">
        <v>77.731556387192228</v>
      </c>
      <c r="W54" s="45">
        <v>4.102018251456605</v>
      </c>
      <c r="X54" s="45">
        <v>3.370280255541068</v>
      </c>
      <c r="Y54" s="45">
        <v>4.5957182264354985</v>
      </c>
      <c r="Z54" s="45">
        <v>8.9384173967759946</v>
      </c>
      <c r="AA54" s="45">
        <v>5.2971990419759729</v>
      </c>
    </row>
    <row r="55" spans="1:27" x14ac:dyDescent="0.25">
      <c r="A55" s="74" t="s">
        <v>17</v>
      </c>
      <c r="B55" s="44"/>
      <c r="C55" s="44"/>
      <c r="D55" s="45">
        <v>1801.0686347342335</v>
      </c>
      <c r="E55" s="45">
        <v>1693.0087740392757</v>
      </c>
      <c r="F55" s="45">
        <v>1719.1131826114008</v>
      </c>
      <c r="G55" s="45">
        <v>1844.373964090579</v>
      </c>
      <c r="H55" s="45">
        <v>1872.5040853266271</v>
      </c>
      <c r="I55" s="45">
        <v>1775.2417591725009</v>
      </c>
      <c r="J55" s="45">
        <v>1830.4522982851504</v>
      </c>
      <c r="K55" s="45">
        <v>2210.218357620327</v>
      </c>
      <c r="L55" s="45">
        <v>1747.7211801194633</v>
      </c>
      <c r="M55" s="45">
        <v>2025.0611655267762</v>
      </c>
      <c r="N55" s="45">
        <v>1890.1806698295411</v>
      </c>
      <c r="O55" s="45">
        <v>2194.5535201872171</v>
      </c>
      <c r="P55" s="45">
        <v>2466.9729425084502</v>
      </c>
      <c r="Q55" s="45">
        <v>2180.2899427690359</v>
      </c>
      <c r="R55" s="45">
        <v>2805.5348942653627</v>
      </c>
      <c r="S55" s="45">
        <v>3085.7683972313457</v>
      </c>
      <c r="T55" s="45">
        <v>3321.740595954423</v>
      </c>
      <c r="U55" s="45">
        <v>3212.727998599792</v>
      </c>
      <c r="V55" s="45">
        <v>3555.5859318207076</v>
      </c>
      <c r="W55" s="45">
        <v>3664.6953428313159</v>
      </c>
      <c r="X55" s="45">
        <v>3657.0738831031349</v>
      </c>
      <c r="Y55" s="45">
        <v>4325.2938844833498</v>
      </c>
      <c r="Z55" s="45">
        <v>4319.5510728821837</v>
      </c>
      <c r="AA55" s="45">
        <v>4187.342909365283</v>
      </c>
    </row>
    <row r="56" spans="1:27" x14ac:dyDescent="0.25">
      <c r="A56" s="73" t="s">
        <v>16</v>
      </c>
      <c r="B56" s="65"/>
      <c r="C56" s="65"/>
      <c r="D56" s="66">
        <v>1345.245352055075</v>
      </c>
      <c r="E56" s="66">
        <v>1182.4319922607174</v>
      </c>
      <c r="F56" s="66">
        <v>1192.324438692817</v>
      </c>
      <c r="G56" s="66">
        <v>1126.6085873875404</v>
      </c>
      <c r="H56" s="66">
        <v>1266.2012198178627</v>
      </c>
      <c r="I56" s="66">
        <v>1499.9270981585421</v>
      </c>
      <c r="J56" s="66">
        <v>1481.1878570602521</v>
      </c>
      <c r="K56" s="66">
        <v>1841.5232227900401</v>
      </c>
      <c r="L56" s="66">
        <v>1723.049694761527</v>
      </c>
      <c r="M56" s="66">
        <v>1736.0667399259103</v>
      </c>
      <c r="N56" s="66">
        <v>1702.0620789960312</v>
      </c>
      <c r="O56" s="66">
        <v>1782.5010619597886</v>
      </c>
      <c r="P56" s="66">
        <v>1829.5978660222413</v>
      </c>
      <c r="Q56" s="66">
        <v>1590.0919584888297</v>
      </c>
      <c r="R56" s="66">
        <v>1757.8278559552298</v>
      </c>
      <c r="S56" s="66">
        <v>2119.6068320000004</v>
      </c>
      <c r="T56" s="66">
        <v>2067.3019415141084</v>
      </c>
      <c r="U56" s="66">
        <v>1869.5753067530991</v>
      </c>
      <c r="V56" s="66">
        <v>1951.3701452946277</v>
      </c>
      <c r="W56" s="66">
        <v>2026.5566483030661</v>
      </c>
      <c r="X56" s="66">
        <v>1831.7473726703902</v>
      </c>
      <c r="Y56" s="66">
        <v>2221.4379426819696</v>
      </c>
      <c r="Z56" s="66">
        <v>2094.9398317826058</v>
      </c>
      <c r="AA56" s="66">
        <v>1970.8868141223811</v>
      </c>
    </row>
    <row r="57" spans="1:27" x14ac:dyDescent="0.25">
      <c r="A57" s="72" t="s">
        <v>2</v>
      </c>
      <c r="B57" s="65"/>
      <c r="C57" s="65"/>
      <c r="D57" s="66">
        <v>10090.782376116147</v>
      </c>
      <c r="E57" s="66">
        <v>9126.667058467865</v>
      </c>
      <c r="F57" s="66">
        <v>9164.0833461069724</v>
      </c>
      <c r="G57" s="66">
        <v>9816.3808297445958</v>
      </c>
      <c r="H57" s="66">
        <v>9079.2299217422787</v>
      </c>
      <c r="I57" s="66">
        <v>11382.356139606492</v>
      </c>
      <c r="J57" s="66">
        <v>12156.293031109055</v>
      </c>
      <c r="K57" s="66">
        <v>11566.065704033925</v>
      </c>
      <c r="L57" s="66">
        <v>12743.084021008161</v>
      </c>
      <c r="M57" s="66">
        <v>14913.72417668317</v>
      </c>
      <c r="N57" s="66">
        <v>14357.551023291573</v>
      </c>
      <c r="O57" s="66">
        <v>13477.490667027239</v>
      </c>
      <c r="P57" s="66">
        <v>13519.876466853713</v>
      </c>
      <c r="Q57" s="66">
        <v>13402.609285823832</v>
      </c>
      <c r="R57" s="66">
        <v>16230.177034754044</v>
      </c>
      <c r="S57" s="66">
        <v>18074.977675999999</v>
      </c>
      <c r="T57" s="66">
        <v>18747.436607525586</v>
      </c>
      <c r="U57" s="66">
        <v>18098.340894038072</v>
      </c>
      <c r="V57" s="66">
        <v>18848.254825038144</v>
      </c>
      <c r="W57" s="66">
        <v>19700.849486499355</v>
      </c>
      <c r="X57" s="66">
        <v>16862.727443988428</v>
      </c>
      <c r="Y57" s="66">
        <v>17559.294532173979</v>
      </c>
      <c r="Z57" s="66">
        <v>18032.68399701023</v>
      </c>
      <c r="AA57" s="66">
        <v>17925.559441740566</v>
      </c>
    </row>
    <row r="58" spans="1:27" x14ac:dyDescent="0.25">
      <c r="A58" s="72" t="s">
        <v>269</v>
      </c>
      <c r="B58" s="65"/>
      <c r="C58" s="65"/>
      <c r="D58" s="66">
        <v>3921.6191561584078</v>
      </c>
      <c r="E58" s="66">
        <v>3626.7751085313507</v>
      </c>
      <c r="F58" s="66">
        <v>3644.0997198175673</v>
      </c>
      <c r="G58" s="66">
        <v>5041.9211472590578</v>
      </c>
      <c r="H58" s="66">
        <v>6006.3532848748155</v>
      </c>
      <c r="I58" s="66">
        <v>6293.5696977778853</v>
      </c>
      <c r="J58" s="66">
        <v>6555.7665132415868</v>
      </c>
      <c r="K58" s="66">
        <v>6320.5931368924648</v>
      </c>
      <c r="L58" s="66">
        <v>6606.6897265450889</v>
      </c>
      <c r="M58" s="66">
        <v>6792.5034450725598</v>
      </c>
      <c r="N58" s="66">
        <v>7771.1793928816314</v>
      </c>
      <c r="O58" s="66">
        <v>8455.0164192920965</v>
      </c>
      <c r="P58" s="66">
        <v>8579.24452681808</v>
      </c>
      <c r="Q58" s="66">
        <v>10170.774422575532</v>
      </c>
      <c r="R58" s="66">
        <v>10683.05097935845</v>
      </c>
      <c r="S58" s="66">
        <v>9941.7071880000003</v>
      </c>
      <c r="T58" s="66">
        <v>11497.777030121173</v>
      </c>
      <c r="U58" s="66">
        <v>12164.020014695967</v>
      </c>
      <c r="V58" s="66">
        <v>10878.061037704805</v>
      </c>
      <c r="W58" s="66">
        <v>12966.262014554854</v>
      </c>
      <c r="X58" s="66">
        <v>10485.358702819083</v>
      </c>
      <c r="Y58" s="66">
        <v>11806.002989847762</v>
      </c>
      <c r="Z58" s="66">
        <v>11601.9833397768</v>
      </c>
      <c r="AA58" s="66">
        <v>11321.488262328776</v>
      </c>
    </row>
    <row r="59" spans="1:27" x14ac:dyDescent="0.25">
      <c r="A59" s="72" t="s">
        <v>270</v>
      </c>
      <c r="B59" s="65"/>
      <c r="C59" s="65"/>
      <c r="D59" s="66">
        <v>10905.825827823597</v>
      </c>
      <c r="E59" s="66">
        <v>10135.748187919464</v>
      </c>
      <c r="F59" s="66">
        <v>10194.90564511063</v>
      </c>
      <c r="G59" s="66">
        <v>11925.247755084638</v>
      </c>
      <c r="H59" s="66">
        <v>12764.214303617682</v>
      </c>
      <c r="I59" s="66">
        <v>13473.37250784953</v>
      </c>
      <c r="J59" s="66">
        <v>15152.620599051694</v>
      </c>
      <c r="K59" s="66">
        <v>16490.885754050236</v>
      </c>
      <c r="L59" s="66">
        <v>18480.303854725869</v>
      </c>
      <c r="M59" s="66">
        <v>19246.550047014309</v>
      </c>
      <c r="N59" s="66">
        <v>18719.110860396024</v>
      </c>
      <c r="O59" s="66">
        <v>19825.527283317555</v>
      </c>
      <c r="P59" s="66">
        <v>20054.889672121077</v>
      </c>
      <c r="Q59" s="66">
        <v>17675.034940953941</v>
      </c>
      <c r="R59" s="66">
        <v>20484.975830325639</v>
      </c>
      <c r="S59" s="66">
        <v>22454.105491999999</v>
      </c>
      <c r="T59" s="66">
        <v>23777.428891653683</v>
      </c>
      <c r="U59" s="66">
        <v>23300.006558829155</v>
      </c>
      <c r="V59" s="66">
        <v>24920.356397650557</v>
      </c>
      <c r="W59" s="66">
        <v>26644.491464327009</v>
      </c>
      <c r="X59" s="66">
        <v>27605.224786382292</v>
      </c>
      <c r="Y59" s="66">
        <v>31974.492374942049</v>
      </c>
      <c r="Z59" s="66">
        <v>34065.978050980695</v>
      </c>
      <c r="AA59" s="66">
        <v>34299.323096766311</v>
      </c>
    </row>
    <row r="60" spans="1:27" x14ac:dyDescent="0.25">
      <c r="A60" s="72" t="s">
        <v>1</v>
      </c>
      <c r="B60" s="65"/>
      <c r="C60" s="65"/>
      <c r="D60" s="66">
        <v>3259.4526889782564</v>
      </c>
      <c r="E60" s="66">
        <v>2998.2982719632387</v>
      </c>
      <c r="F60" s="66">
        <v>3029.8266638187738</v>
      </c>
      <c r="G60" s="66">
        <v>3162.7365198482075</v>
      </c>
      <c r="H60" s="66">
        <v>3343.9424012031086</v>
      </c>
      <c r="I60" s="66">
        <v>3213.0759834644618</v>
      </c>
      <c r="J60" s="66">
        <v>3387.691504568058</v>
      </c>
      <c r="K60" s="66">
        <v>3660.7589387843868</v>
      </c>
      <c r="L60" s="66">
        <v>3383.0516095273165</v>
      </c>
      <c r="M60" s="66">
        <v>3160.9658392903675</v>
      </c>
      <c r="N60" s="66">
        <v>2942.9228988759378</v>
      </c>
      <c r="O60" s="66">
        <v>3104.487149350447</v>
      </c>
      <c r="P60" s="66">
        <v>3174.8147412398371</v>
      </c>
      <c r="Q60" s="66">
        <v>2741.0156617759826</v>
      </c>
      <c r="R60" s="66">
        <v>3179.8034672938884</v>
      </c>
      <c r="S60" s="66">
        <v>3300.6779960000003</v>
      </c>
      <c r="T60" s="66">
        <v>3695.2054366577095</v>
      </c>
      <c r="U60" s="66">
        <v>3477.1837780708024</v>
      </c>
      <c r="V60" s="66">
        <v>3444.602838081752</v>
      </c>
      <c r="W60" s="66">
        <v>3531.3122219955112</v>
      </c>
      <c r="X60" s="66">
        <v>3351.8269528359015</v>
      </c>
      <c r="Y60" s="66">
        <v>3851.0429762231411</v>
      </c>
      <c r="Z60" s="66">
        <v>3423.6627198295491</v>
      </c>
      <c r="AA60" s="66">
        <v>3127.7876553787773</v>
      </c>
    </row>
    <row r="61" spans="1:27" x14ac:dyDescent="0.25">
      <c r="A61" s="72" t="s">
        <v>0</v>
      </c>
      <c r="B61" s="65"/>
      <c r="C61" s="65"/>
      <c r="D61" s="66">
        <v>2147.6692413605069</v>
      </c>
      <c r="E61" s="66">
        <v>1921.4120079811357</v>
      </c>
      <c r="F61" s="66">
        <v>1946.4995539696702</v>
      </c>
      <c r="G61" s="66">
        <v>2280.8467147060078</v>
      </c>
      <c r="H61" s="66">
        <v>2737.3590943270119</v>
      </c>
      <c r="I61" s="66">
        <v>2565.0741310962671</v>
      </c>
      <c r="J61" s="66">
        <v>2672.1026575690994</v>
      </c>
      <c r="K61" s="66">
        <v>3169.8586278134176</v>
      </c>
      <c r="L61" s="66">
        <v>3095.4922227174943</v>
      </c>
      <c r="M61" s="66">
        <v>3124.7103895956766</v>
      </c>
      <c r="N61" s="66">
        <v>3431.3263770284029</v>
      </c>
      <c r="O61" s="66">
        <v>3466.6543918954062</v>
      </c>
      <c r="P61" s="66">
        <v>3575.1027504147123</v>
      </c>
      <c r="Q61" s="66">
        <v>3107.8455498185162</v>
      </c>
      <c r="R61" s="66">
        <v>3583.2283790907982</v>
      </c>
      <c r="S61" s="66">
        <v>3821.8516</v>
      </c>
      <c r="T61" s="66">
        <v>4045.009737890367</v>
      </c>
      <c r="U61" s="66">
        <v>4111.3352028747722</v>
      </c>
      <c r="V61" s="66">
        <v>4144.3372430917734</v>
      </c>
      <c r="W61" s="66">
        <v>4409.6752227436582</v>
      </c>
      <c r="X61" s="66">
        <v>4327.6318643611648</v>
      </c>
      <c r="Y61" s="66">
        <v>5726.6402929293881</v>
      </c>
      <c r="Z61" s="66">
        <v>5669.709985652551</v>
      </c>
      <c r="AA61" s="66">
        <v>5465.2843175971666</v>
      </c>
    </row>
    <row r="62" spans="1:27" x14ac:dyDescent="0.25">
      <c r="A62" s="78" t="s">
        <v>271</v>
      </c>
      <c r="B62" s="79"/>
      <c r="C62" s="79"/>
      <c r="D62" s="80">
        <v>6394.512548565197</v>
      </c>
      <c r="E62" s="80">
        <v>5795.5799068867527</v>
      </c>
      <c r="F62" s="80">
        <v>5821.0555163272238</v>
      </c>
      <c r="G62" s="80">
        <v>6713.9782032149415</v>
      </c>
      <c r="H62" s="80">
        <v>7237.3822485866276</v>
      </c>
      <c r="I62" s="80">
        <v>7686.2446338299651</v>
      </c>
      <c r="J62" s="80">
        <v>8066.3181357696303</v>
      </c>
      <c r="K62" s="80">
        <v>8860.3623790366437</v>
      </c>
      <c r="L62" s="80">
        <v>8983.5397740266271</v>
      </c>
      <c r="M62" s="80">
        <v>10239.917300132547</v>
      </c>
      <c r="N62" s="80">
        <v>10668.353105196453</v>
      </c>
      <c r="O62" s="80">
        <v>10975.744443173191</v>
      </c>
      <c r="P62" s="80">
        <v>11598.060693440373</v>
      </c>
      <c r="Q62" s="80">
        <v>11003.138886559991</v>
      </c>
      <c r="R62" s="80">
        <v>12769.357078551442</v>
      </c>
      <c r="S62" s="80">
        <v>13511.633968000002</v>
      </c>
      <c r="T62" s="80">
        <v>15110.577975263204</v>
      </c>
      <c r="U62" s="80">
        <v>14460.489448096068</v>
      </c>
      <c r="V62" s="80">
        <v>15322.811958635408</v>
      </c>
      <c r="W62" s="80">
        <v>16288.519730667213</v>
      </c>
      <c r="X62" s="80">
        <v>16803.495310502592</v>
      </c>
      <c r="Y62" s="80">
        <v>18377.100006623081</v>
      </c>
      <c r="Z62" s="80">
        <v>18233.668245745168</v>
      </c>
      <c r="AA62" s="80">
        <v>17358.452363269818</v>
      </c>
    </row>
    <row r="63" spans="1:27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x14ac:dyDescent="0.25">
      <c r="A65" s="81" t="s">
        <v>142</v>
      </c>
      <c r="B65" s="41"/>
      <c r="C65" s="41"/>
      <c r="D65" s="82">
        <f t="shared" ref="D65:D76" si="51">D23/D$23</f>
        <v>1</v>
      </c>
      <c r="E65" s="82">
        <f t="shared" ref="E65:S65" si="52">E23/E$23</f>
        <v>1</v>
      </c>
      <c r="F65" s="82">
        <f t="shared" si="52"/>
        <v>1</v>
      </c>
      <c r="G65" s="82">
        <f t="shared" si="52"/>
        <v>1</v>
      </c>
      <c r="H65" s="82">
        <f t="shared" si="52"/>
        <v>1</v>
      </c>
      <c r="I65" s="82">
        <f t="shared" si="52"/>
        <v>1</v>
      </c>
      <c r="J65" s="82">
        <f t="shared" si="52"/>
        <v>1</v>
      </c>
      <c r="K65" s="82">
        <f t="shared" si="52"/>
        <v>1</v>
      </c>
      <c r="L65" s="82">
        <f t="shared" si="52"/>
        <v>1</v>
      </c>
      <c r="M65" s="82">
        <f t="shared" si="52"/>
        <v>1</v>
      </c>
      <c r="N65" s="82">
        <f t="shared" si="52"/>
        <v>1</v>
      </c>
      <c r="O65" s="82">
        <f t="shared" si="52"/>
        <v>1</v>
      </c>
      <c r="P65" s="82">
        <f t="shared" si="52"/>
        <v>1</v>
      </c>
      <c r="Q65" s="82">
        <f t="shared" si="52"/>
        <v>1</v>
      </c>
      <c r="R65" s="82">
        <f t="shared" si="52"/>
        <v>1</v>
      </c>
      <c r="S65" s="82">
        <f t="shared" si="52"/>
        <v>1</v>
      </c>
      <c r="T65" s="82">
        <f t="shared" ref="T65:Y65" si="53">T23/T$23</f>
        <v>1</v>
      </c>
      <c r="U65" s="82">
        <f t="shared" si="53"/>
        <v>1</v>
      </c>
      <c r="V65" s="82">
        <f t="shared" si="53"/>
        <v>1</v>
      </c>
      <c r="W65" s="82">
        <f t="shared" si="53"/>
        <v>1</v>
      </c>
      <c r="X65" s="82">
        <f t="shared" si="53"/>
        <v>1</v>
      </c>
      <c r="Y65" s="82">
        <f t="shared" si="53"/>
        <v>1</v>
      </c>
      <c r="Z65" s="82">
        <f t="shared" ref="Z65:AA65" si="54">Z23/Z$23</f>
        <v>1</v>
      </c>
      <c r="AA65" s="82">
        <f t="shared" si="54"/>
        <v>1</v>
      </c>
    </row>
    <row r="66" spans="1:27" x14ac:dyDescent="0.25">
      <c r="A66" s="64" t="s">
        <v>33</v>
      </c>
      <c r="B66" s="65"/>
      <c r="C66" s="65"/>
      <c r="D66" s="83">
        <f t="shared" si="51"/>
        <v>3.5927453349313895E-2</v>
      </c>
      <c r="E66" s="83">
        <f t="shared" ref="E66:S66" si="55">E24/E$23</f>
        <v>3.7377233245794235E-2</v>
      </c>
      <c r="F66" s="83">
        <f t="shared" si="55"/>
        <v>3.1830665579539119E-2</v>
      </c>
      <c r="G66" s="83">
        <f t="shared" si="55"/>
        <v>3.0535888550025311E-2</v>
      </c>
      <c r="H66" s="83">
        <f t="shared" si="55"/>
        <v>3.7666856200540659E-2</v>
      </c>
      <c r="I66" s="83">
        <f t="shared" si="55"/>
        <v>3.3756353128927517E-2</v>
      </c>
      <c r="J66" s="83">
        <f t="shared" si="55"/>
        <v>3.1314623093696342E-2</v>
      </c>
      <c r="K66" s="83">
        <f t="shared" si="55"/>
        <v>3.5442579486630099E-2</v>
      </c>
      <c r="L66" s="83">
        <f t="shared" si="55"/>
        <v>3.0279673771615809E-2</v>
      </c>
      <c r="M66" s="83">
        <f t="shared" si="55"/>
        <v>2.9579169904052908E-2</v>
      </c>
      <c r="N66" s="83">
        <f t="shared" si="55"/>
        <v>3.3152633693314747E-2</v>
      </c>
      <c r="O66" s="83">
        <f t="shared" si="55"/>
        <v>3.6100586117604368E-2</v>
      </c>
      <c r="P66" s="83">
        <f t="shared" si="55"/>
        <v>3.3717377175449745E-2</v>
      </c>
      <c r="Q66" s="83">
        <f t="shared" si="55"/>
        <v>3.6398625842874004E-2</v>
      </c>
      <c r="R66" s="83">
        <f t="shared" si="55"/>
        <v>3.3530515897844268E-2</v>
      </c>
      <c r="S66" s="83">
        <f t="shared" si="55"/>
        <v>2.797612598346446E-2</v>
      </c>
      <c r="T66" s="83">
        <f t="shared" ref="T66:Y66" si="56">T24/T$23</f>
        <v>2.9694457426273944E-2</v>
      </c>
      <c r="U66" s="83">
        <f t="shared" si="56"/>
        <v>3.3976641559351581E-2</v>
      </c>
      <c r="V66" s="83">
        <f t="shared" si="56"/>
        <v>2.7543090945867248E-2</v>
      </c>
      <c r="W66" s="83">
        <f t="shared" si="56"/>
        <v>2.6926989167974983E-2</v>
      </c>
      <c r="X66" s="83">
        <f t="shared" si="56"/>
        <v>2.9110325441832414E-2</v>
      </c>
      <c r="Y66" s="83">
        <f t="shared" si="56"/>
        <v>2.5756164587309963E-2</v>
      </c>
      <c r="Z66" s="83">
        <f t="shared" ref="Z66:AA66" si="57">Z24/Z$23</f>
        <v>3.1454892761212438E-2</v>
      </c>
      <c r="AA66" s="83">
        <f t="shared" si="57"/>
        <v>3.0604980320775556E-2</v>
      </c>
    </row>
    <row r="67" spans="1:27" x14ac:dyDescent="0.25">
      <c r="A67" s="64" t="s">
        <v>56</v>
      </c>
      <c r="B67" s="65"/>
      <c r="C67" s="65"/>
      <c r="D67" s="83">
        <f t="shared" si="51"/>
        <v>2.447308876771145E-2</v>
      </c>
      <c r="E67" s="83">
        <f t="shared" ref="E67:S67" si="58">E25/E$23</f>
        <v>2.2986898571689902E-2</v>
      </c>
      <c r="F67" s="83">
        <f t="shared" si="58"/>
        <v>2.1973029223705101E-2</v>
      </c>
      <c r="G67" s="83">
        <f t="shared" si="58"/>
        <v>2.1212368322251127E-2</v>
      </c>
      <c r="H67" s="83">
        <f t="shared" si="58"/>
        <v>2.5541235622618775E-2</v>
      </c>
      <c r="I67" s="83">
        <f t="shared" si="58"/>
        <v>2.5619833187750397E-2</v>
      </c>
      <c r="J67" s="83">
        <f t="shared" si="58"/>
        <v>2.4273707254228089E-2</v>
      </c>
      <c r="K67" s="83">
        <f t="shared" si="58"/>
        <v>2.2761873323143614E-2</v>
      </c>
      <c r="L67" s="83">
        <f t="shared" si="58"/>
        <v>2.4086547909318454E-2</v>
      </c>
      <c r="M67" s="83">
        <f t="shared" si="58"/>
        <v>2.1358777506268398E-2</v>
      </c>
      <c r="N67" s="83">
        <f t="shared" si="58"/>
        <v>2.4658647824751287E-2</v>
      </c>
      <c r="O67" s="83">
        <f t="shared" si="58"/>
        <v>2.7150634773312386E-2</v>
      </c>
      <c r="P67" s="83">
        <f t="shared" si="58"/>
        <v>2.5440651265847596E-2</v>
      </c>
      <c r="Q67" s="83">
        <f t="shared" si="58"/>
        <v>2.2025222508909547E-2</v>
      </c>
      <c r="R67" s="83">
        <f t="shared" si="58"/>
        <v>1.8332149320033079E-2</v>
      </c>
      <c r="S67" s="83">
        <f t="shared" si="58"/>
        <v>1.7321767968644385E-2</v>
      </c>
      <c r="T67" s="83">
        <f t="shared" ref="T67:Y67" si="59">T25/T$23</f>
        <v>1.6433055483957019E-2</v>
      </c>
      <c r="U67" s="83">
        <f t="shared" si="59"/>
        <v>1.8362771332788439E-2</v>
      </c>
      <c r="V67" s="83">
        <f t="shared" si="59"/>
        <v>1.7183208977342612E-2</v>
      </c>
      <c r="W67" s="83">
        <f t="shared" si="59"/>
        <v>1.6127245647641758E-2</v>
      </c>
      <c r="X67" s="83">
        <f t="shared" si="59"/>
        <v>1.4662090513705222E-2</v>
      </c>
      <c r="Y67" s="83">
        <f t="shared" si="59"/>
        <v>1.5805839931725338E-2</v>
      </c>
      <c r="Z67" s="83">
        <f t="shared" ref="Z67:AA67" si="60">Z25/Z$23</f>
        <v>1.9629843264814331E-2</v>
      </c>
      <c r="AA67" s="83">
        <f t="shared" si="60"/>
        <v>1.4538157981552583E-2</v>
      </c>
    </row>
    <row r="68" spans="1:27" x14ac:dyDescent="0.25">
      <c r="A68" s="64" t="s">
        <v>146</v>
      </c>
      <c r="B68" s="65"/>
      <c r="C68" s="65"/>
      <c r="D68" s="83">
        <f t="shared" si="51"/>
        <v>0.65968187857786698</v>
      </c>
      <c r="E68" s="83">
        <f t="shared" ref="E68:S68" si="61">E26/E$23</f>
        <v>0.67385780398110151</v>
      </c>
      <c r="F68" s="83">
        <f t="shared" si="61"/>
        <v>0.68548148307084955</v>
      </c>
      <c r="G68" s="83">
        <f t="shared" si="61"/>
        <v>0.67701724450918488</v>
      </c>
      <c r="H68" s="83">
        <f t="shared" si="61"/>
        <v>0.65154270023562577</v>
      </c>
      <c r="I68" s="83">
        <f t="shared" si="61"/>
        <v>0.65601791960136102</v>
      </c>
      <c r="J68" s="83">
        <f t="shared" si="61"/>
        <v>0.65493185899185957</v>
      </c>
      <c r="K68" s="83">
        <f t="shared" si="61"/>
        <v>0.64926665052973054</v>
      </c>
      <c r="L68" s="83">
        <f t="shared" si="61"/>
        <v>0.66193206779551572</v>
      </c>
      <c r="M68" s="83">
        <f t="shared" si="61"/>
        <v>0.65157150079734483</v>
      </c>
      <c r="N68" s="83">
        <f t="shared" si="61"/>
        <v>0.64920418114075495</v>
      </c>
      <c r="O68" s="83">
        <f t="shared" si="61"/>
        <v>0.63794455498394897</v>
      </c>
      <c r="P68" s="83">
        <f t="shared" si="61"/>
        <v>0.64772748622747101</v>
      </c>
      <c r="Q68" s="83">
        <f t="shared" si="61"/>
        <v>0.66206537237620067</v>
      </c>
      <c r="R68" s="83">
        <f t="shared" si="61"/>
        <v>0.65153334425775078</v>
      </c>
      <c r="S68" s="83">
        <f t="shared" si="61"/>
        <v>0.64760999413838183</v>
      </c>
      <c r="T68" s="83">
        <f t="shared" ref="T68:Y68" si="62">T26/T$23</f>
        <v>0.64714275960586276</v>
      </c>
      <c r="U68" s="83">
        <f t="shared" si="62"/>
        <v>0.66203419063144742</v>
      </c>
      <c r="V68" s="83">
        <f t="shared" si="62"/>
        <v>0.66694593783754041</v>
      </c>
      <c r="W68" s="83">
        <f t="shared" si="62"/>
        <v>0.66830760765193886</v>
      </c>
      <c r="X68" s="83">
        <f t="shared" si="62"/>
        <v>0.67126224166068238</v>
      </c>
      <c r="Y68" s="83">
        <f t="shared" si="62"/>
        <v>0.67115752444687082</v>
      </c>
      <c r="Z68" s="83">
        <f t="shared" ref="Z68:AA68" si="63">Z26/Z$23</f>
        <v>0.66404072016327731</v>
      </c>
      <c r="AA68" s="83">
        <f t="shared" si="63"/>
        <v>0.66325992393519895</v>
      </c>
    </row>
    <row r="69" spans="1:27" x14ac:dyDescent="0.25">
      <c r="A69" s="68" t="s">
        <v>148</v>
      </c>
      <c r="B69" s="69"/>
      <c r="C69" s="69"/>
      <c r="D69" s="84">
        <f t="shared" si="51"/>
        <v>0.21530891893384949</v>
      </c>
      <c r="E69" s="84">
        <f t="shared" ref="E69:S69" si="64">E27/E$23</f>
        <v>0.2258929303591064</v>
      </c>
      <c r="F69" s="84">
        <f t="shared" si="64"/>
        <v>0.23523473372527165</v>
      </c>
      <c r="G69" s="84">
        <f t="shared" si="64"/>
        <v>0.23852460075228502</v>
      </c>
      <c r="H69" s="84">
        <f t="shared" si="64"/>
        <v>0.22624505747678408</v>
      </c>
      <c r="I69" s="84">
        <f t="shared" si="64"/>
        <v>0.22871816985659174</v>
      </c>
      <c r="J69" s="84">
        <f t="shared" si="64"/>
        <v>0.22882059594392554</v>
      </c>
      <c r="K69" s="84">
        <f t="shared" si="64"/>
        <v>0.22484693717664772</v>
      </c>
      <c r="L69" s="84">
        <f t="shared" si="64"/>
        <v>0.2274294626373588</v>
      </c>
      <c r="M69" s="84">
        <f t="shared" si="64"/>
        <v>0.22698621396049529</v>
      </c>
      <c r="N69" s="84">
        <f t="shared" si="64"/>
        <v>0.23569156603728983</v>
      </c>
      <c r="O69" s="84">
        <f t="shared" si="64"/>
        <v>0.22956737653520384</v>
      </c>
      <c r="P69" s="84">
        <f t="shared" si="64"/>
        <v>0.22670618097050071</v>
      </c>
      <c r="Q69" s="84">
        <f t="shared" si="64"/>
        <v>0.2342968547160178</v>
      </c>
      <c r="R69" s="84">
        <f t="shared" si="64"/>
        <v>0.23800323937525211</v>
      </c>
      <c r="S69" s="84">
        <f t="shared" si="64"/>
        <v>0.23183273394785978</v>
      </c>
      <c r="T69" s="84">
        <f t="shared" ref="T69:Y69" si="65">T27/T$23</f>
        <v>0.2325479664633032</v>
      </c>
      <c r="U69" s="84">
        <f t="shared" si="65"/>
        <v>0.23590467372621862</v>
      </c>
      <c r="V69" s="84">
        <f t="shared" si="65"/>
        <v>0.24383450253154074</v>
      </c>
      <c r="W69" s="84">
        <f t="shared" si="65"/>
        <v>0.24095648601757505</v>
      </c>
      <c r="X69" s="84">
        <f t="shared" si="65"/>
        <v>0.23943555416323015</v>
      </c>
      <c r="Y69" s="84">
        <f t="shared" si="65"/>
        <v>0.24081976508325498</v>
      </c>
      <c r="Z69" s="84">
        <f t="shared" ref="Z69:AA69" si="66">Z27/Z$23</f>
        <v>0.23423520028839162</v>
      </c>
      <c r="AA69" s="84">
        <f t="shared" si="66"/>
        <v>0.24259322739133724</v>
      </c>
    </row>
    <row r="70" spans="1:27" x14ac:dyDescent="0.25">
      <c r="A70" s="68" t="s">
        <v>150</v>
      </c>
      <c r="B70" s="71"/>
      <c r="C70" s="71"/>
      <c r="D70" s="84">
        <f t="shared" si="51"/>
        <v>0.22635040195609829</v>
      </c>
      <c r="E70" s="84">
        <f t="shared" ref="E70:S70" si="67">E28/E$23</f>
        <v>0.22702676846153358</v>
      </c>
      <c r="F70" s="84">
        <f t="shared" si="67"/>
        <v>0.22772979873835991</v>
      </c>
      <c r="G70" s="84">
        <f t="shared" si="67"/>
        <v>0.22706123853399549</v>
      </c>
      <c r="H70" s="84">
        <f t="shared" si="67"/>
        <v>0.22011540102784835</v>
      </c>
      <c r="I70" s="84">
        <f t="shared" si="67"/>
        <v>0.22039229995245518</v>
      </c>
      <c r="J70" s="84">
        <f t="shared" si="67"/>
        <v>0.22119289781334903</v>
      </c>
      <c r="K70" s="84">
        <f t="shared" si="67"/>
        <v>0.22359707291263559</v>
      </c>
      <c r="L70" s="84">
        <f t="shared" si="67"/>
        <v>0.23175566483048621</v>
      </c>
      <c r="M70" s="84">
        <f t="shared" si="67"/>
        <v>0.21878282780506456</v>
      </c>
      <c r="N70" s="84">
        <f t="shared" si="67"/>
        <v>0.21321171160526503</v>
      </c>
      <c r="O70" s="84">
        <f t="shared" si="67"/>
        <v>0.21265558206171253</v>
      </c>
      <c r="P70" s="84">
        <f t="shared" si="67"/>
        <v>0.21656774981421231</v>
      </c>
      <c r="Q70" s="84">
        <f t="shared" si="67"/>
        <v>0.22252249543325792</v>
      </c>
      <c r="R70" s="84">
        <f t="shared" si="67"/>
        <v>0.22836822408127044</v>
      </c>
      <c r="S70" s="84">
        <f t="shared" si="67"/>
        <v>0.22789132300973461</v>
      </c>
      <c r="T70" s="84">
        <f t="shared" ref="T70:Y70" si="68">T28/T$23</f>
        <v>0.23033085228959782</v>
      </c>
      <c r="U70" s="84">
        <f t="shared" si="68"/>
        <v>0.23764821031525352</v>
      </c>
      <c r="V70" s="84">
        <f t="shared" si="68"/>
        <v>0.23945741902757522</v>
      </c>
      <c r="W70" s="84">
        <f t="shared" si="68"/>
        <v>0.24724779130201407</v>
      </c>
      <c r="X70" s="84">
        <f t="shared" si="68"/>
        <v>0.25117967602863361</v>
      </c>
      <c r="Y70" s="84">
        <f t="shared" si="68"/>
        <v>0.24725083821546376</v>
      </c>
      <c r="Z70" s="84">
        <f t="shared" ref="Z70:AA70" si="69">Z28/Z$23</f>
        <v>0.25229185131578585</v>
      </c>
      <c r="AA70" s="84">
        <f t="shared" si="69"/>
        <v>0.25527179642817038</v>
      </c>
    </row>
    <row r="71" spans="1:27" x14ac:dyDescent="0.25">
      <c r="A71" s="68" t="s">
        <v>152</v>
      </c>
      <c r="B71" s="71"/>
      <c r="C71" s="71"/>
      <c r="D71" s="84">
        <f t="shared" si="51"/>
        <v>0.21802255768791914</v>
      </c>
      <c r="E71" s="84">
        <f t="shared" ref="E71:S71" si="70">E29/E$23</f>
        <v>0.22093810516046153</v>
      </c>
      <c r="F71" s="84">
        <f t="shared" si="70"/>
        <v>0.22251695060721793</v>
      </c>
      <c r="G71" s="84">
        <f t="shared" si="70"/>
        <v>0.2114314052229043</v>
      </c>
      <c r="H71" s="84">
        <f t="shared" si="70"/>
        <v>0.20518224173099359</v>
      </c>
      <c r="I71" s="84">
        <f t="shared" si="70"/>
        <v>0.20690744979231401</v>
      </c>
      <c r="J71" s="84">
        <f t="shared" si="70"/>
        <v>0.20491836523458506</v>
      </c>
      <c r="K71" s="84">
        <f t="shared" si="70"/>
        <v>0.20082264044044734</v>
      </c>
      <c r="L71" s="84">
        <f t="shared" si="70"/>
        <v>0.20274694032767057</v>
      </c>
      <c r="M71" s="84">
        <f t="shared" si="70"/>
        <v>0.20580245903178504</v>
      </c>
      <c r="N71" s="84">
        <f t="shared" si="70"/>
        <v>0.20030090349820004</v>
      </c>
      <c r="O71" s="84">
        <f t="shared" si="70"/>
        <v>0.19572159638703254</v>
      </c>
      <c r="P71" s="84">
        <f t="shared" si="70"/>
        <v>0.20445355544275781</v>
      </c>
      <c r="Q71" s="84">
        <f t="shared" si="70"/>
        <v>0.20524602222692492</v>
      </c>
      <c r="R71" s="84">
        <f t="shared" si="70"/>
        <v>0.18516188080122822</v>
      </c>
      <c r="S71" s="84">
        <f t="shared" si="70"/>
        <v>0.18788593718078747</v>
      </c>
      <c r="T71" s="84">
        <f t="shared" ref="T71:Y71" si="71">T29/T$23</f>
        <v>0.18426394085296177</v>
      </c>
      <c r="U71" s="84">
        <f t="shared" si="71"/>
        <v>0.18848130658997511</v>
      </c>
      <c r="V71" s="84">
        <f t="shared" si="71"/>
        <v>0.18365401627842462</v>
      </c>
      <c r="W71" s="84">
        <f t="shared" si="71"/>
        <v>0.18010333033234965</v>
      </c>
      <c r="X71" s="84">
        <f t="shared" si="71"/>
        <v>0.18064701146881856</v>
      </c>
      <c r="Y71" s="84">
        <f t="shared" si="71"/>
        <v>0.18308692114815198</v>
      </c>
      <c r="Z71" s="84">
        <f t="shared" ref="Z71:AA71" si="72">Z29/Z$23</f>
        <v>0.17751366855909975</v>
      </c>
      <c r="AA71" s="84">
        <f t="shared" si="72"/>
        <v>0.16539490011569152</v>
      </c>
    </row>
    <row r="72" spans="1:27" x14ac:dyDescent="0.25">
      <c r="A72" s="64" t="s">
        <v>154</v>
      </c>
      <c r="B72" s="65"/>
      <c r="C72" s="65"/>
      <c r="D72" s="83">
        <f t="shared" si="51"/>
        <v>3.0438789184556846E-2</v>
      </c>
      <c r="E72" s="83">
        <f t="shared" ref="E72:S72" si="73">E30/E$23</f>
        <v>3.3592516353130916E-2</v>
      </c>
      <c r="F72" s="83">
        <f t="shared" si="73"/>
        <v>3.6106939020726946E-2</v>
      </c>
      <c r="G72" s="83">
        <f t="shared" si="73"/>
        <v>3.9632657716360452E-2</v>
      </c>
      <c r="H72" s="83">
        <f t="shared" si="73"/>
        <v>4.5127433336643812E-2</v>
      </c>
      <c r="I72" s="83">
        <f t="shared" si="73"/>
        <v>3.7587119411181508E-2</v>
      </c>
      <c r="J72" s="83">
        <f t="shared" si="73"/>
        <v>3.5221826577882427E-2</v>
      </c>
      <c r="K72" s="83">
        <f t="shared" si="73"/>
        <v>3.4085389432053269E-2</v>
      </c>
      <c r="L72" s="83">
        <f t="shared" si="73"/>
        <v>3.211099325949341E-2</v>
      </c>
      <c r="M72" s="83">
        <f t="shared" si="73"/>
        <v>3.5611425785644114E-2</v>
      </c>
      <c r="N72" s="83">
        <f t="shared" si="73"/>
        <v>3.8468700522248739E-2</v>
      </c>
      <c r="O72" s="83">
        <f t="shared" si="73"/>
        <v>3.7926562118120177E-2</v>
      </c>
      <c r="P72" s="83">
        <f t="shared" si="73"/>
        <v>4.1210507070507843E-2</v>
      </c>
      <c r="Q72" s="83">
        <f t="shared" si="73"/>
        <v>4.16059236354216E-2</v>
      </c>
      <c r="R72" s="83">
        <f t="shared" si="73"/>
        <v>3.6576754590610494E-2</v>
      </c>
      <c r="S72" s="83">
        <f t="shared" si="73"/>
        <v>3.7589511562796468E-2</v>
      </c>
      <c r="T72" s="83">
        <f t="shared" ref="T72:Y72" si="74">T30/T$23</f>
        <v>3.7421542262514998E-2</v>
      </c>
      <c r="U72" s="83">
        <f t="shared" si="74"/>
        <v>3.4107777563141109E-2</v>
      </c>
      <c r="V72" s="83">
        <f t="shared" si="74"/>
        <v>3.2705949856080704E-2</v>
      </c>
      <c r="W72" s="83">
        <f t="shared" si="74"/>
        <v>3.1935263148011518E-2</v>
      </c>
      <c r="X72" s="83">
        <f t="shared" si="74"/>
        <v>3.5362687872965627E-2</v>
      </c>
      <c r="Y72" s="83">
        <f t="shared" si="74"/>
        <v>3.5981291169050515E-2</v>
      </c>
      <c r="Z72" s="83">
        <f t="shared" ref="Z72:AA72" si="75">Z30/Z$23</f>
        <v>4.5672282214731484E-2</v>
      </c>
      <c r="AA72" s="83">
        <f t="shared" si="75"/>
        <v>5.5273581497051312E-2</v>
      </c>
    </row>
    <row r="73" spans="1:27" x14ac:dyDescent="0.25">
      <c r="A73" s="64" t="s">
        <v>37</v>
      </c>
      <c r="B73" s="65"/>
      <c r="C73" s="65"/>
      <c r="D73" s="83">
        <f t="shared" si="51"/>
        <v>8.4270270140438433E-2</v>
      </c>
      <c r="E73" s="83">
        <f t="shared" ref="E73:S73" si="76">E31/E$23</f>
        <v>8.2762822305439271E-2</v>
      </c>
      <c r="F73" s="83">
        <f t="shared" si="76"/>
        <v>7.6759966527914864E-2</v>
      </c>
      <c r="G73" s="83">
        <f t="shared" si="76"/>
        <v>7.0739566831348882E-2</v>
      </c>
      <c r="H73" s="83">
        <f t="shared" si="76"/>
        <v>7.5254042692050369E-2</v>
      </c>
      <c r="I73" s="83">
        <f t="shared" si="76"/>
        <v>7.7107359125470384E-2</v>
      </c>
      <c r="J73" s="83">
        <f t="shared" si="76"/>
        <v>7.9563497648112602E-2</v>
      </c>
      <c r="K73" s="83">
        <f t="shared" si="76"/>
        <v>8.2191146879821375E-2</v>
      </c>
      <c r="L73" s="83">
        <f t="shared" si="76"/>
        <v>8.0876128437226122E-2</v>
      </c>
      <c r="M73" s="83">
        <f t="shared" si="76"/>
        <v>8.7414920072432414E-2</v>
      </c>
      <c r="N73" s="83">
        <f t="shared" si="76"/>
        <v>8.4996573481106882E-2</v>
      </c>
      <c r="O73" s="83">
        <f t="shared" si="76"/>
        <v>9.3182353196957418E-2</v>
      </c>
      <c r="P73" s="83">
        <f t="shared" si="76"/>
        <v>8.3684152416143534E-2</v>
      </c>
      <c r="Q73" s="83">
        <f t="shared" si="76"/>
        <v>7.8916310222736721E-2</v>
      </c>
      <c r="R73" s="83">
        <f t="shared" si="76"/>
        <v>8.3479075767474042E-2</v>
      </c>
      <c r="S73" s="83">
        <f t="shared" si="76"/>
        <v>8.8170349796639555E-2</v>
      </c>
      <c r="T73" s="83">
        <f t="shared" ref="T73:Y73" si="77">T31/T$23</f>
        <v>8.0016439142094858E-2</v>
      </c>
      <c r="U73" s="83">
        <f t="shared" si="77"/>
        <v>7.6262863010335052E-2</v>
      </c>
      <c r="V73" s="83">
        <f t="shared" si="77"/>
        <v>8.411982520626321E-2</v>
      </c>
      <c r="W73" s="83">
        <f t="shared" si="77"/>
        <v>8.3405263403309643E-2</v>
      </c>
      <c r="X73" s="83">
        <f t="shared" si="77"/>
        <v>8.0686814182111891E-2</v>
      </c>
      <c r="Y73" s="83">
        <f t="shared" si="77"/>
        <v>6.9958381387347418E-2</v>
      </c>
      <c r="Z73" s="83">
        <f t="shared" ref="Z73:AA73" si="78">Z31/Z$23</f>
        <v>6.5469970971125613E-2</v>
      </c>
      <c r="AA73" s="83">
        <f t="shared" si="78"/>
        <v>6.8906501569495598E-2</v>
      </c>
    </row>
    <row r="74" spans="1:27" x14ac:dyDescent="0.25">
      <c r="A74" s="64" t="s">
        <v>58</v>
      </c>
      <c r="B74" s="65"/>
      <c r="C74" s="65"/>
      <c r="D74" s="83">
        <f t="shared" si="51"/>
        <v>0.16520851998011235</v>
      </c>
      <c r="E74" s="83">
        <f t="shared" ref="E74:S74" si="79">E32/E$23</f>
        <v>0.14942272554284403</v>
      </c>
      <c r="F74" s="83">
        <f t="shared" si="79"/>
        <v>0.14784791657726476</v>
      </c>
      <c r="G74" s="83">
        <f t="shared" si="79"/>
        <v>0.1608622740708294</v>
      </c>
      <c r="H74" s="83">
        <f t="shared" si="79"/>
        <v>0.16486773191252047</v>
      </c>
      <c r="I74" s="83">
        <f t="shared" si="79"/>
        <v>0.16991141554530945</v>
      </c>
      <c r="J74" s="83">
        <f t="shared" si="79"/>
        <v>0.17469448643422081</v>
      </c>
      <c r="K74" s="83">
        <f t="shared" si="79"/>
        <v>0.17625236034862105</v>
      </c>
      <c r="L74" s="83">
        <f t="shared" si="79"/>
        <v>0.17071458882683066</v>
      </c>
      <c r="M74" s="83">
        <f t="shared" si="79"/>
        <v>0.1744642059342574</v>
      </c>
      <c r="N74" s="83">
        <f t="shared" si="79"/>
        <v>0.16951926333782327</v>
      </c>
      <c r="O74" s="83">
        <f t="shared" si="79"/>
        <v>0.16769530881005681</v>
      </c>
      <c r="P74" s="83">
        <f t="shared" si="79"/>
        <v>0.16821982584458037</v>
      </c>
      <c r="Q74" s="83">
        <f t="shared" si="79"/>
        <v>0.15898854541385754</v>
      </c>
      <c r="R74" s="83">
        <f t="shared" si="79"/>
        <v>0.17654816016628722</v>
      </c>
      <c r="S74" s="83">
        <f t="shared" si="79"/>
        <v>0.18133225055007335</v>
      </c>
      <c r="T74" s="83">
        <f t="shared" ref="T74:Y74" si="80">T32/T$23</f>
        <v>0.18929174607929636</v>
      </c>
      <c r="U74" s="83">
        <f t="shared" si="80"/>
        <v>0.17525575590293652</v>
      </c>
      <c r="V74" s="83">
        <f t="shared" si="80"/>
        <v>0.17150198717690562</v>
      </c>
      <c r="W74" s="83">
        <f t="shared" si="80"/>
        <v>0.17329763098112333</v>
      </c>
      <c r="X74" s="83">
        <f t="shared" si="80"/>
        <v>0.16891584032870247</v>
      </c>
      <c r="Y74" s="83">
        <f t="shared" si="80"/>
        <v>0.18134079847769605</v>
      </c>
      <c r="Z74" s="83">
        <f t="shared" ref="Z74:AA74" si="81">Z32/Z$23</f>
        <v>0.17373229062483905</v>
      </c>
      <c r="AA74" s="83">
        <f t="shared" si="81"/>
        <v>0.16741685469592571</v>
      </c>
    </row>
    <row r="75" spans="1:27" x14ac:dyDescent="0.25">
      <c r="A75" s="85" t="s">
        <v>158</v>
      </c>
      <c r="B75" s="86"/>
      <c r="C75" s="86"/>
      <c r="D75" s="87">
        <f t="shared" si="51"/>
        <v>4.7563403860796131E-3</v>
      </c>
      <c r="E75" s="87">
        <f t="shared" ref="E75:S75" si="82">E33/E$23</f>
        <v>4.2173310596997039E-3</v>
      </c>
      <c r="F75" s="87">
        <f t="shared" si="82"/>
        <v>4.1410977127408488E-3</v>
      </c>
      <c r="G75" s="87">
        <f t="shared" si="82"/>
        <v>4.0520751251557482E-3</v>
      </c>
      <c r="H75" s="87">
        <f t="shared" si="82"/>
        <v>7.430564574481901E-3</v>
      </c>
      <c r="I75" s="87">
        <f t="shared" si="82"/>
        <v>6.7051079340859432E-3</v>
      </c>
      <c r="J75" s="87">
        <f t="shared" si="82"/>
        <v>9.1861029201152997E-3</v>
      </c>
      <c r="K75" s="87">
        <f t="shared" si="82"/>
        <v>9.7904819374572301E-3</v>
      </c>
      <c r="L75" s="87">
        <f t="shared" si="82"/>
        <v>5.5805669803669937E-3</v>
      </c>
      <c r="M75" s="87">
        <f t="shared" si="82"/>
        <v>5.3378343188096476E-3</v>
      </c>
      <c r="N75" s="87">
        <f t="shared" si="82"/>
        <v>3.4586572772171945E-3</v>
      </c>
      <c r="O75" s="87">
        <f t="shared" si="82"/>
        <v>4.9729282339552369E-3</v>
      </c>
      <c r="P75" s="87">
        <f t="shared" si="82"/>
        <v>4.9984254289868468E-3</v>
      </c>
      <c r="Q75" s="87">
        <f t="shared" si="82"/>
        <v>4.825220559620343E-3</v>
      </c>
      <c r="R75" s="87">
        <f t="shared" si="82"/>
        <v>5.6321834637238014E-3</v>
      </c>
      <c r="S75" s="87">
        <f t="shared" si="82"/>
        <v>5.7815000333377789E-3</v>
      </c>
      <c r="T75" s="87">
        <f t="shared" ref="T75:Y75" si="83">T33/T$23</f>
        <v>6.1112219638794051E-3</v>
      </c>
      <c r="U75" s="87">
        <f t="shared" si="83"/>
        <v>5.4225298119037982E-3</v>
      </c>
      <c r="V75" s="87">
        <f t="shared" si="83"/>
        <v>5.2544912279590336E-3</v>
      </c>
      <c r="W75" s="87">
        <f t="shared" si="83"/>
        <v>4.6124563962412516E-3</v>
      </c>
      <c r="X75" s="87">
        <f t="shared" si="83"/>
        <v>3.9557666775353285E-3</v>
      </c>
      <c r="Y75" s="87">
        <f t="shared" si="83"/>
        <v>6.4381558118698631E-3</v>
      </c>
      <c r="Z75" s="87">
        <f t="shared" ref="Z75:AA75" si="84">Z33/Z$23</f>
        <v>5.9387561222194202E-3</v>
      </c>
      <c r="AA75" s="87">
        <f t="shared" si="84"/>
        <v>5.3380111276733607E-3</v>
      </c>
    </row>
    <row r="76" spans="1:27" x14ac:dyDescent="0.25">
      <c r="A76" s="88" t="s">
        <v>5</v>
      </c>
      <c r="B76" s="44"/>
      <c r="C76" s="44"/>
      <c r="D76" s="89">
        <f t="shared" si="51"/>
        <v>3.9569960495767593E-3</v>
      </c>
      <c r="E76" s="89">
        <f t="shared" ref="E76:S76" si="85">E34/E$23</f>
        <v>3.5085719247154334E-3</v>
      </c>
      <c r="F76" s="89">
        <f t="shared" si="85"/>
        <v>3.4451502542132426E-3</v>
      </c>
      <c r="G76" s="89">
        <f t="shared" si="85"/>
        <v>3.3710886861159904E-3</v>
      </c>
      <c r="H76" s="89">
        <f t="shared" si="85"/>
        <v>6.1817936229717398E-3</v>
      </c>
      <c r="I76" s="89">
        <f t="shared" si="85"/>
        <v>5.57825627552127E-3</v>
      </c>
      <c r="J76" s="89">
        <f t="shared" si="85"/>
        <v>7.6422984932460946E-3</v>
      </c>
      <c r="K76" s="89">
        <f t="shared" si="85"/>
        <v>8.1451063644128376E-3</v>
      </c>
      <c r="L76" s="89">
        <f t="shared" si="85"/>
        <v>4.6427042018142633E-3</v>
      </c>
      <c r="M76" s="89">
        <f t="shared" si="85"/>
        <v>3.8745899717854255E-3</v>
      </c>
      <c r="N76" s="89">
        <f t="shared" si="85"/>
        <v>2.587221349344802E-3</v>
      </c>
      <c r="O76" s="89">
        <f t="shared" si="85"/>
        <v>3.6899234401688704E-3</v>
      </c>
      <c r="P76" s="89">
        <f t="shared" si="85"/>
        <v>3.7237740883279756E-3</v>
      </c>
      <c r="Q76" s="89">
        <f t="shared" si="85"/>
        <v>3.6081361496737492E-3</v>
      </c>
      <c r="R76" s="89">
        <f t="shared" si="85"/>
        <v>4.1941056987743778E-3</v>
      </c>
      <c r="S76" s="89">
        <f t="shared" si="85"/>
        <v>4.186072937860599E-3</v>
      </c>
      <c r="T76" s="89">
        <f t="shared" ref="T76:Y76" si="86">T34/T$23</f>
        <v>4.3244355779435981E-3</v>
      </c>
      <c r="U76" s="89">
        <f t="shared" si="86"/>
        <v>3.6889186230114265E-3</v>
      </c>
      <c r="V76" s="89">
        <f t="shared" si="86"/>
        <v>3.7140328391366264E-3</v>
      </c>
      <c r="W76" s="89">
        <f t="shared" si="86"/>
        <v>2.9091167698633144E-3</v>
      </c>
      <c r="X76" s="89">
        <f t="shared" si="86"/>
        <v>2.4932974192528636E-3</v>
      </c>
      <c r="Y76" s="89">
        <f t="shared" si="86"/>
        <v>4.7555600426684771E-3</v>
      </c>
      <c r="Z76" s="89">
        <f t="shared" ref="Z76:AA76" si="87">Z34/Z$23</f>
        <v>4.3422001139094887E-3</v>
      </c>
      <c r="AA76" s="89">
        <f t="shared" si="87"/>
        <v>3.5061520647725586E-3</v>
      </c>
    </row>
    <row r="77" spans="1:27" x14ac:dyDescent="0.25">
      <c r="A77" s="88" t="s">
        <v>263</v>
      </c>
      <c r="B77" s="44"/>
      <c r="C77" s="44"/>
      <c r="D77" s="89">
        <f>D37/D$23</f>
        <v>7.993443365028538E-4</v>
      </c>
      <c r="E77" s="89">
        <f t="shared" ref="E77:S77" si="88">E37/E$23</f>
        <v>7.0875913498427007E-4</v>
      </c>
      <c r="F77" s="89">
        <f t="shared" si="88"/>
        <v>6.9594745852760622E-4</v>
      </c>
      <c r="G77" s="89">
        <f t="shared" si="88"/>
        <v>6.8098643903975731E-4</v>
      </c>
      <c r="H77" s="89">
        <f t="shared" si="88"/>
        <v>1.2487709515101619E-3</v>
      </c>
      <c r="I77" s="89">
        <f t="shared" si="88"/>
        <v>1.1268516585646734E-3</v>
      </c>
      <c r="J77" s="89">
        <f t="shared" si="88"/>
        <v>1.5438044268692055E-3</v>
      </c>
      <c r="K77" s="89">
        <f t="shared" si="88"/>
        <v>1.645375573044392E-3</v>
      </c>
      <c r="L77" s="89">
        <f t="shared" si="88"/>
        <v>9.3786277855273023E-4</v>
      </c>
      <c r="M77" s="89">
        <f t="shared" si="88"/>
        <v>1.4632443470242219E-3</v>
      </c>
      <c r="N77" s="89">
        <f t="shared" si="88"/>
        <v>8.7143592787239236E-4</v>
      </c>
      <c r="O77" s="89">
        <f t="shared" si="88"/>
        <v>1.2830047937863664E-3</v>
      </c>
      <c r="P77" s="89">
        <f t="shared" si="88"/>
        <v>1.2746513406588715E-3</v>
      </c>
      <c r="Q77" s="89">
        <f t="shared" si="88"/>
        <v>1.2170844099465938E-3</v>
      </c>
      <c r="R77" s="89">
        <f t="shared" si="88"/>
        <v>1.4380777649494231E-3</v>
      </c>
      <c r="S77" s="89">
        <f t="shared" si="88"/>
        <v>1.5954270954771797E-3</v>
      </c>
      <c r="T77" s="89">
        <f t="shared" ref="T77:Y77" si="89">T37/T$23</f>
        <v>1.7867863859358072E-3</v>
      </c>
      <c r="U77" s="89">
        <f t="shared" si="89"/>
        <v>1.7336111888923719E-3</v>
      </c>
      <c r="V77" s="89">
        <f t="shared" si="89"/>
        <v>1.5404583888224076E-3</v>
      </c>
      <c r="W77" s="89">
        <f t="shared" si="89"/>
        <v>1.7033396263779375E-3</v>
      </c>
      <c r="X77" s="89">
        <f t="shared" si="89"/>
        <v>1.462469258282465E-3</v>
      </c>
      <c r="Y77" s="89">
        <f t="shared" si="89"/>
        <v>1.6825957692013862E-3</v>
      </c>
      <c r="Z77" s="89">
        <f t="shared" ref="Z77:AA77" si="90">Z37/Z$23</f>
        <v>1.5965560083099314E-3</v>
      </c>
      <c r="AA77" s="89">
        <f t="shared" si="90"/>
        <v>1.8318590629008025E-3</v>
      </c>
    </row>
    <row r="78" spans="1:27" x14ac:dyDescent="0.25">
      <c r="A78" s="68" t="s">
        <v>265</v>
      </c>
      <c r="B78" s="44"/>
      <c r="C78" s="44"/>
      <c r="D78" s="89">
        <f>D43/D$23</f>
        <v>1.3379721813233927E-2</v>
      </c>
      <c r="E78" s="89">
        <f t="shared" ref="E78:S78" si="91">E43/E$23</f>
        <v>1.2200455427599417E-2</v>
      </c>
      <c r="F78" s="89">
        <f t="shared" si="91"/>
        <v>1.2236085482555895E-2</v>
      </c>
      <c r="G78" s="89">
        <f t="shared" si="91"/>
        <v>1.2064626517399674E-2</v>
      </c>
      <c r="H78" s="89">
        <f t="shared" si="91"/>
        <v>1.1988108477402724E-2</v>
      </c>
      <c r="I78" s="89">
        <f t="shared" si="91"/>
        <v>1.2304061948305158E-2</v>
      </c>
      <c r="J78" s="89">
        <f t="shared" si="91"/>
        <v>1.2248689118733473E-2</v>
      </c>
      <c r="K78" s="89">
        <f t="shared" si="91"/>
        <v>1.260540947083735E-2</v>
      </c>
      <c r="L78" s="89">
        <f t="shared" si="91"/>
        <v>1.2206905647634809E-2</v>
      </c>
      <c r="M78" s="89">
        <f t="shared" si="91"/>
        <v>1.1681871310221142E-2</v>
      </c>
      <c r="N78" s="89">
        <f t="shared" si="91"/>
        <v>1.3172956495025642E-2</v>
      </c>
      <c r="O78" s="89">
        <f t="shared" si="91"/>
        <v>1.3297927371797084E-2</v>
      </c>
      <c r="P78" s="89">
        <f t="shared" si="91"/>
        <v>1.318299020503216E-2</v>
      </c>
      <c r="Q78" s="89">
        <f t="shared" si="91"/>
        <v>1.1928174211019046E-2</v>
      </c>
      <c r="R78" s="89">
        <f t="shared" si="91"/>
        <v>1.2725288719121427E-2</v>
      </c>
      <c r="S78" s="89">
        <f t="shared" si="91"/>
        <v>1.3690106597546339E-2</v>
      </c>
      <c r="T78" s="89">
        <f t="shared" ref="T78:Y78" si="92">T43/T$23</f>
        <v>1.4371282205449053E-2</v>
      </c>
      <c r="U78" s="89">
        <f t="shared" si="92"/>
        <v>1.19492671129111E-2</v>
      </c>
      <c r="V78" s="89">
        <f t="shared" si="92"/>
        <v>1.2753408609093816E-2</v>
      </c>
      <c r="W78" s="89">
        <f t="shared" si="92"/>
        <v>1.1550024612004878E-2</v>
      </c>
      <c r="X78" s="89">
        <f t="shared" si="92"/>
        <v>1.2038428178390969E-2</v>
      </c>
      <c r="Y78" s="89">
        <f t="shared" si="92"/>
        <v>1.3089972460180581E-2</v>
      </c>
      <c r="Z78" s="89">
        <f t="shared" ref="Z78:AA78" si="93">Z43/Z$23</f>
        <v>1.2141441902949777E-2</v>
      </c>
      <c r="AA78" s="89">
        <f t="shared" si="93"/>
        <v>1.1484252364007973E-2</v>
      </c>
    </row>
    <row r="79" spans="1:27" x14ac:dyDescent="0.25">
      <c r="A79" s="88" t="s">
        <v>266</v>
      </c>
      <c r="B79" s="44"/>
      <c r="C79" s="44"/>
      <c r="D79" s="89">
        <f>D44/D$23</f>
        <v>1.0067517095443857E-2</v>
      </c>
      <c r="E79" s="89">
        <f t="shared" ref="E79:S79" si="94">E44/E$23</f>
        <v>9.1942337735519773E-3</v>
      </c>
      <c r="F79" s="89">
        <f t="shared" si="94"/>
        <v>9.1281165515169731E-3</v>
      </c>
      <c r="G79" s="89">
        <f t="shared" si="94"/>
        <v>9.2755587236756053E-3</v>
      </c>
      <c r="H79" s="89">
        <f t="shared" si="94"/>
        <v>9.4228529831940563E-3</v>
      </c>
      <c r="I79" s="89">
        <f t="shared" si="94"/>
        <v>9.4375522900749294E-3</v>
      </c>
      <c r="J79" s="89">
        <f t="shared" si="94"/>
        <v>9.498197796957859E-3</v>
      </c>
      <c r="K79" s="89">
        <f t="shared" si="94"/>
        <v>8.5056360497292923E-3</v>
      </c>
      <c r="L79" s="89">
        <f t="shared" si="94"/>
        <v>8.1569567981551513E-3</v>
      </c>
      <c r="M79" s="89">
        <f t="shared" si="94"/>
        <v>7.4990442846093863E-3</v>
      </c>
      <c r="N79" s="89">
        <f t="shared" si="94"/>
        <v>9.2347441138707076E-3</v>
      </c>
      <c r="O79" s="89">
        <f t="shared" si="94"/>
        <v>1.0060710928117002E-2</v>
      </c>
      <c r="P79" s="89">
        <f t="shared" si="94"/>
        <v>9.8095337143183428E-3</v>
      </c>
      <c r="Q79" s="89">
        <f t="shared" si="94"/>
        <v>8.5075268120815249E-3</v>
      </c>
      <c r="R79" s="89">
        <f t="shared" si="94"/>
        <v>9.0510331376049726E-3</v>
      </c>
      <c r="S79" s="89">
        <f t="shared" si="94"/>
        <v>1.0129475596746233E-2</v>
      </c>
      <c r="T79" s="89">
        <f t="shared" ref="T79:Y79" si="95">T44/T$23</f>
        <v>1.0938433666262128E-2</v>
      </c>
      <c r="U79" s="89">
        <f t="shared" si="95"/>
        <v>9.0532397365236227E-3</v>
      </c>
      <c r="V79" s="89">
        <f t="shared" si="95"/>
        <v>8.406190453134255E-3</v>
      </c>
      <c r="W79" s="89">
        <f t="shared" si="95"/>
        <v>8.5155637963632465E-3</v>
      </c>
      <c r="X79" s="89">
        <f t="shared" si="95"/>
        <v>8.7771903017438875E-3</v>
      </c>
      <c r="Y79" s="89">
        <f t="shared" si="95"/>
        <v>9.6194594262793368E-3</v>
      </c>
      <c r="Z79" s="89">
        <f t="shared" ref="Z79:AA79" si="96">Z44/Z$23</f>
        <v>9.251598485402893E-3</v>
      </c>
      <c r="AA79" s="89">
        <f t="shared" si="96"/>
        <v>8.9114603752201271E-3</v>
      </c>
    </row>
    <row r="80" spans="1:27" x14ac:dyDescent="0.25">
      <c r="A80" s="88" t="s">
        <v>11</v>
      </c>
      <c r="B80" s="44"/>
      <c r="C80" s="44"/>
      <c r="D80" s="89">
        <f>D47/D$23</f>
        <v>3.3122047177900705E-3</v>
      </c>
      <c r="E80" s="89">
        <f t="shared" ref="E80:S80" si="97">E47/E$23</f>
        <v>3.0062216540474394E-3</v>
      </c>
      <c r="F80" s="89">
        <f t="shared" si="97"/>
        <v>3.1079689310389222E-3</v>
      </c>
      <c r="G80" s="89">
        <f t="shared" si="97"/>
        <v>2.7890677937240692E-3</v>
      </c>
      <c r="H80" s="89">
        <f t="shared" si="97"/>
        <v>2.5652554942086668E-3</v>
      </c>
      <c r="I80" s="89">
        <f t="shared" si="97"/>
        <v>2.8665096582302279E-3</v>
      </c>
      <c r="J80" s="89">
        <f t="shared" si="97"/>
        <v>2.750491321775613E-3</v>
      </c>
      <c r="K80" s="89">
        <f t="shared" si="97"/>
        <v>4.0997734211080574E-3</v>
      </c>
      <c r="L80" s="89">
        <f t="shared" si="97"/>
        <v>4.0499488494796562E-3</v>
      </c>
      <c r="M80" s="89">
        <f t="shared" si="97"/>
        <v>4.182827025611755E-3</v>
      </c>
      <c r="N80" s="89">
        <f t="shared" si="97"/>
        <v>3.938212381154934E-3</v>
      </c>
      <c r="O80" s="89">
        <f t="shared" si="97"/>
        <v>3.2372164436800812E-3</v>
      </c>
      <c r="P80" s="89">
        <f t="shared" si="97"/>
        <v>3.373456490713818E-3</v>
      </c>
      <c r="Q80" s="89">
        <f t="shared" si="97"/>
        <v>3.4206473989375199E-3</v>
      </c>
      <c r="R80" s="89">
        <f t="shared" si="97"/>
        <v>3.6742555815164543E-3</v>
      </c>
      <c r="S80" s="89">
        <f t="shared" si="97"/>
        <v>3.5606310008001064E-3</v>
      </c>
      <c r="T80" s="89">
        <f t="shared" ref="T80:Y80" si="98">T47/T$23</f>
        <v>3.4328485391869248E-3</v>
      </c>
      <c r="U80" s="89">
        <f t="shared" si="98"/>
        <v>2.8960273763874774E-3</v>
      </c>
      <c r="V80" s="89">
        <f t="shared" si="98"/>
        <v>4.347218155959562E-3</v>
      </c>
      <c r="W80" s="89">
        <f t="shared" si="98"/>
        <v>3.0344608156416307E-3</v>
      </c>
      <c r="X80" s="89">
        <f t="shared" si="98"/>
        <v>3.2612378766470815E-3</v>
      </c>
      <c r="Y80" s="89">
        <f t="shared" si="98"/>
        <v>3.4705130339012461E-3</v>
      </c>
      <c r="Z80" s="89">
        <f t="shared" ref="Z80:AA80" si="99">Z47/Z$23</f>
        <v>2.8898434175468838E-3</v>
      </c>
      <c r="AA80" s="89">
        <f t="shared" si="99"/>
        <v>2.5727919887878459E-3</v>
      </c>
    </row>
    <row r="81" spans="1:27" x14ac:dyDescent="0.25">
      <c r="A81" s="68" t="s">
        <v>4</v>
      </c>
      <c r="B81" s="44"/>
      <c r="C81" s="44"/>
      <c r="D81" s="89">
        <f>D48/D$23</f>
        <v>1.3813863222037811E-2</v>
      </c>
      <c r="E81" s="89">
        <f t="shared" ref="E81:S81" si="100">E48/E$23</f>
        <v>1.2697199519761476E-2</v>
      </c>
      <c r="F81" s="89">
        <f t="shared" si="100"/>
        <v>1.2582070977985669E-2</v>
      </c>
      <c r="G81" s="89">
        <f t="shared" si="100"/>
        <v>1.3448591315253909E-2</v>
      </c>
      <c r="H81" s="89">
        <f t="shared" si="100"/>
        <v>1.3828697029192944E-2</v>
      </c>
      <c r="I81" s="89">
        <f t="shared" si="100"/>
        <v>1.2988670330196852E-2</v>
      </c>
      <c r="J81" s="89">
        <f t="shared" si="100"/>
        <v>1.4134503785702576E-2</v>
      </c>
      <c r="K81" s="89">
        <f t="shared" si="100"/>
        <v>1.6409661049929705E-2</v>
      </c>
      <c r="L81" s="89">
        <f t="shared" si="100"/>
        <v>1.459777544344742E-2</v>
      </c>
      <c r="M81" s="89">
        <f t="shared" si="100"/>
        <v>1.2391527631778006E-2</v>
      </c>
      <c r="N81" s="89">
        <f t="shared" si="100"/>
        <v>1.1687659018046333E-2</v>
      </c>
      <c r="O81" s="89">
        <f t="shared" si="100"/>
        <v>1.1245241261839683E-2</v>
      </c>
      <c r="P81" s="89">
        <f t="shared" si="100"/>
        <v>1.0414308815762377E-2</v>
      </c>
      <c r="Q81" s="89">
        <f t="shared" si="100"/>
        <v>9.7406483704002237E-3</v>
      </c>
      <c r="R81" s="89">
        <f t="shared" si="100"/>
        <v>1.0717660227860727E-2</v>
      </c>
      <c r="S81" s="89">
        <f t="shared" si="100"/>
        <v>1.132729155554074E-2</v>
      </c>
      <c r="T81" s="89">
        <f t="shared" ref="T81:Y81" si="101">T48/T$23</f>
        <v>1.1264728936753763E-2</v>
      </c>
      <c r="U81" s="89">
        <f t="shared" si="101"/>
        <v>1.0669638394490564E-2</v>
      </c>
      <c r="V81" s="89">
        <f t="shared" si="101"/>
        <v>1.0849945178986201E-2</v>
      </c>
      <c r="W81" s="89">
        <f t="shared" si="101"/>
        <v>1.0603100669535149E-2</v>
      </c>
      <c r="X81" s="89">
        <f t="shared" si="101"/>
        <v>1.0528962852618813E-2</v>
      </c>
      <c r="Y81" s="89">
        <f t="shared" si="101"/>
        <v>1.110662541399246E-2</v>
      </c>
      <c r="Z81" s="89">
        <f t="shared" ref="Z81:AA81" si="102">Z48/Z$23</f>
        <v>1.0349498432007111E-2</v>
      </c>
      <c r="AA81" s="89">
        <f t="shared" si="102"/>
        <v>9.7963715708073006E-3</v>
      </c>
    </row>
    <row r="82" spans="1:27" x14ac:dyDescent="0.25">
      <c r="A82" s="68" t="s">
        <v>3</v>
      </c>
      <c r="B82" s="44"/>
      <c r="C82" s="44"/>
      <c r="D82" s="89">
        <f>D52/D$23</f>
        <v>1.0952613134969341E-2</v>
      </c>
      <c r="E82" s="89">
        <f t="shared" ref="E82:S82" si="103">E52/E$23</f>
        <v>9.8486744029083455E-3</v>
      </c>
      <c r="F82" s="89">
        <f t="shared" si="103"/>
        <v>9.7675192035360271E-3</v>
      </c>
      <c r="G82" s="89">
        <f t="shared" si="103"/>
        <v>9.6454771889484779E-3</v>
      </c>
      <c r="H82" s="89">
        <f t="shared" si="103"/>
        <v>9.6263927192799595E-3</v>
      </c>
      <c r="I82" s="89">
        <f t="shared" si="103"/>
        <v>9.706604305569376E-3</v>
      </c>
      <c r="J82" s="89">
        <f t="shared" si="103"/>
        <v>9.23908454377027E-3</v>
      </c>
      <c r="K82" s="89">
        <f t="shared" si="103"/>
        <v>1.0563721578341709E-2</v>
      </c>
      <c r="L82" s="89">
        <f t="shared" si="103"/>
        <v>8.6614465385861407E-3</v>
      </c>
      <c r="M82" s="89">
        <f t="shared" si="103"/>
        <v>9.1234947261162394E-3</v>
      </c>
      <c r="N82" s="89">
        <f t="shared" si="103"/>
        <v>8.4325448401351699E-3</v>
      </c>
      <c r="O82" s="89">
        <f t="shared" si="103"/>
        <v>8.8842773840172359E-3</v>
      </c>
      <c r="P82" s="89">
        <f t="shared" si="103"/>
        <v>9.466944350494555E-3</v>
      </c>
      <c r="Q82" s="89">
        <f t="shared" si="103"/>
        <v>8.2574329907578042E-3</v>
      </c>
      <c r="R82" s="89">
        <f t="shared" si="103"/>
        <v>9.6336347215081608E-3</v>
      </c>
      <c r="S82" s="89">
        <f t="shared" si="103"/>
        <v>1.0493847096279506E-2</v>
      </c>
      <c r="T82" s="89">
        <f t="shared" ref="T82:Y82" si="104">T52/T$23</f>
        <v>1.0408369248748143E-2</v>
      </c>
      <c r="U82" s="89">
        <f t="shared" si="104"/>
        <v>9.3951048984983188E-3</v>
      </c>
      <c r="V82" s="89">
        <f t="shared" si="104"/>
        <v>9.5813466466417984E-3</v>
      </c>
      <c r="W82" s="89">
        <f t="shared" si="104"/>
        <v>9.3521398729881286E-3</v>
      </c>
      <c r="X82" s="89">
        <f t="shared" si="104"/>
        <v>9.20831388695313E-3</v>
      </c>
      <c r="Y82" s="89">
        <f t="shared" si="104"/>
        <v>1.0301167343652797E-2</v>
      </c>
      <c r="Z82" s="89">
        <f t="shared" ref="Z82:AA82" si="105">Z52/Z$23</f>
        <v>9.5775295912918796E-3</v>
      </c>
      <c r="AA82" s="89">
        <f t="shared" si="105"/>
        <v>9.0717198079509637E-3</v>
      </c>
    </row>
    <row r="83" spans="1:27" x14ac:dyDescent="0.25">
      <c r="A83" s="88" t="s">
        <v>21</v>
      </c>
      <c r="B83" s="44"/>
      <c r="C83" s="44"/>
      <c r="D83" s="89">
        <f>D53/D$23</f>
        <v>6.4718894938980013E-3</v>
      </c>
      <c r="E83" s="89">
        <f t="shared" ref="E83:S83" si="106">E53/E$23</f>
        <v>5.9619804161927014E-3</v>
      </c>
      <c r="F83" s="89">
        <f t="shared" si="106"/>
        <v>5.9182294125219937E-3</v>
      </c>
      <c r="G83" s="89">
        <f t="shared" si="106"/>
        <v>6.1259672193522546E-3</v>
      </c>
      <c r="H83" s="89">
        <f t="shared" si="106"/>
        <v>5.8742768336856625E-3</v>
      </c>
      <c r="I83" s="89">
        <f t="shared" si="106"/>
        <v>5.396243591586412E-3</v>
      </c>
      <c r="J83" s="89">
        <f t="shared" si="106"/>
        <v>5.2302796601891108E-3</v>
      </c>
      <c r="K83" s="89">
        <f t="shared" si="106"/>
        <v>5.8969543395068613E-3</v>
      </c>
      <c r="L83" s="89">
        <f t="shared" si="106"/>
        <v>4.4690058402950114E-3</v>
      </c>
      <c r="M83" s="89">
        <f t="shared" si="106"/>
        <v>5.0179043845281464E-3</v>
      </c>
      <c r="N83" s="89">
        <f t="shared" si="106"/>
        <v>4.5289915006577353E-3</v>
      </c>
      <c r="O83" s="89">
        <f t="shared" si="106"/>
        <v>4.9981182461154156E-3</v>
      </c>
      <c r="P83" s="89">
        <f t="shared" si="106"/>
        <v>5.5309537938421898E-3</v>
      </c>
      <c r="Q83" s="89">
        <f t="shared" si="106"/>
        <v>4.8573135239751795E-3</v>
      </c>
      <c r="R83" s="89">
        <f t="shared" si="106"/>
        <v>6.0134975809609118E-3</v>
      </c>
      <c r="S83" s="89">
        <f t="shared" si="106"/>
        <v>6.3193321609547951E-3</v>
      </c>
      <c r="T83" s="89">
        <f t="shared" ref="T83:Y83" si="107">T53/T$23</f>
        <v>6.4515429029323177E-3</v>
      </c>
      <c r="U83" s="89">
        <f t="shared" si="107"/>
        <v>5.9873716125262893E-3</v>
      </c>
      <c r="V83" s="89">
        <f t="shared" si="107"/>
        <v>6.2334863857001089E-3</v>
      </c>
      <c r="W83" s="89">
        <f t="shared" si="107"/>
        <v>6.0244027026154561E-3</v>
      </c>
      <c r="X83" s="89">
        <f t="shared" si="107"/>
        <v>6.1371710365080477E-3</v>
      </c>
      <c r="Y83" s="89">
        <f t="shared" si="107"/>
        <v>6.8082258241583113E-3</v>
      </c>
      <c r="Z83" s="89">
        <f t="shared" ref="Z83:AA83" si="108">Z53/Z$23</f>
        <v>6.4539102246146422E-3</v>
      </c>
      <c r="AA83" s="89">
        <f t="shared" si="108"/>
        <v>6.1708915685952208E-3</v>
      </c>
    </row>
    <row r="84" spans="1:27" x14ac:dyDescent="0.25">
      <c r="A84" s="88" t="s">
        <v>16</v>
      </c>
      <c r="B84" s="44"/>
      <c r="C84" s="44"/>
      <c r="D84" s="89">
        <f t="shared" ref="D84:D90" si="109">D56/D$23</f>
        <v>4.4807236410713399E-3</v>
      </c>
      <c r="E84" s="89">
        <f t="shared" ref="E84:S84" si="110">E56/E$23</f>
        <v>3.8866939867156446E-3</v>
      </c>
      <c r="F84" s="89">
        <f t="shared" si="110"/>
        <v>3.8492897910140326E-3</v>
      </c>
      <c r="G84" s="89">
        <f t="shared" si="110"/>
        <v>3.5195099695962228E-3</v>
      </c>
      <c r="H84" s="89">
        <f t="shared" si="110"/>
        <v>3.7521158855942966E-3</v>
      </c>
      <c r="I84" s="89">
        <f t="shared" si="110"/>
        <v>4.3103607139829648E-3</v>
      </c>
      <c r="J84" s="89">
        <f t="shared" si="110"/>
        <v>4.00880488358116E-3</v>
      </c>
      <c r="K84" s="89">
        <f t="shared" si="110"/>
        <v>4.6667672388348491E-3</v>
      </c>
      <c r="L84" s="89">
        <f t="shared" si="110"/>
        <v>4.1924406982911284E-3</v>
      </c>
      <c r="M84" s="89">
        <f t="shared" si="110"/>
        <v>4.105590341588093E-3</v>
      </c>
      <c r="N84" s="89">
        <f t="shared" si="110"/>
        <v>3.9035533394774355E-3</v>
      </c>
      <c r="O84" s="89">
        <f t="shared" si="110"/>
        <v>3.8861591379018207E-3</v>
      </c>
      <c r="P84" s="89">
        <f t="shared" si="110"/>
        <v>3.9359905566523669E-3</v>
      </c>
      <c r="Q84" s="89">
        <f t="shared" si="110"/>
        <v>3.4001194667826252E-3</v>
      </c>
      <c r="R84" s="89">
        <f t="shared" si="110"/>
        <v>3.620137140547249E-3</v>
      </c>
      <c r="S84" s="89">
        <f t="shared" si="110"/>
        <v>4.1745149353247107E-3</v>
      </c>
      <c r="T84" s="89">
        <f t="shared" ref="T84:Y84" si="111">T56/T$23</f>
        <v>3.9568263458158249E-3</v>
      </c>
      <c r="U84" s="89">
        <f t="shared" si="111"/>
        <v>3.4077332859720299E-3</v>
      </c>
      <c r="V84" s="89">
        <f t="shared" si="111"/>
        <v>3.3478602609416904E-3</v>
      </c>
      <c r="W84" s="89">
        <f t="shared" si="111"/>
        <v>3.327737170372672E-3</v>
      </c>
      <c r="X84" s="89">
        <f t="shared" si="111"/>
        <v>3.0711428504450831E-3</v>
      </c>
      <c r="Y84" s="89">
        <f t="shared" si="111"/>
        <v>3.4929415194944863E-3</v>
      </c>
      <c r="Z84" s="89">
        <f t="shared" ref="Z84:AA84" si="112">Z56/Z$23</f>
        <v>3.123619366677237E-3</v>
      </c>
      <c r="AA84" s="89">
        <f t="shared" si="112"/>
        <v>2.9008282393557425E-3</v>
      </c>
    </row>
    <row r="85" spans="1:27" x14ac:dyDescent="0.25">
      <c r="A85" s="68" t="s">
        <v>2</v>
      </c>
      <c r="B85" s="44"/>
      <c r="C85" s="44"/>
      <c r="D85" s="89">
        <f t="shared" si="109"/>
        <v>3.3610231085725813E-2</v>
      </c>
      <c r="E85" s="89">
        <f t="shared" ref="E85:S85" si="113">E57/E$23</f>
        <v>2.9999663580720655E-2</v>
      </c>
      <c r="F85" s="89">
        <f t="shared" si="113"/>
        <v>2.958524653478093E-2</v>
      </c>
      <c r="G85" s="89">
        <f t="shared" si="113"/>
        <v>3.0666240771121463E-2</v>
      </c>
      <c r="H85" s="89">
        <f t="shared" si="113"/>
        <v>2.6904351603161899E-2</v>
      </c>
      <c r="I85" s="89">
        <f t="shared" si="113"/>
        <v>3.270963021933268E-2</v>
      </c>
      <c r="J85" s="89">
        <f t="shared" si="113"/>
        <v>3.2900760451867017E-2</v>
      </c>
      <c r="K85" s="89">
        <f t="shared" si="113"/>
        <v>2.9310592362782759E-2</v>
      </c>
      <c r="L85" s="89">
        <f t="shared" si="113"/>
        <v>3.1005852143348677E-2</v>
      </c>
      <c r="M85" s="89">
        <f t="shared" si="113"/>
        <v>3.5269175158273207E-2</v>
      </c>
      <c r="N85" s="89">
        <f t="shared" si="113"/>
        <v>3.2927980086805149E-2</v>
      </c>
      <c r="O85" s="89">
        <f t="shared" si="113"/>
        <v>2.9383249541556772E-2</v>
      </c>
      <c r="P85" s="89">
        <f t="shared" si="113"/>
        <v>2.9085137826672505E-2</v>
      </c>
      <c r="Q85" s="89">
        <f t="shared" si="113"/>
        <v>2.865901716886855E-2</v>
      </c>
      <c r="R85" s="89">
        <f t="shared" si="113"/>
        <v>3.3425040160853257E-2</v>
      </c>
      <c r="S85" s="89">
        <f t="shared" si="113"/>
        <v>3.5598236014801971E-2</v>
      </c>
      <c r="T85" s="89">
        <f t="shared" ref="T85:Y85" si="114">T57/T$23</f>
        <v>3.5882688249612445E-2</v>
      </c>
      <c r="U85" s="89">
        <f t="shared" si="114"/>
        <v>3.2988411037901663E-2</v>
      </c>
      <c r="V85" s="89">
        <f t="shared" si="114"/>
        <v>3.2336931806097875E-2</v>
      </c>
      <c r="W85" s="89">
        <f t="shared" si="114"/>
        <v>3.2350069848300168E-2</v>
      </c>
      <c r="X85" s="89">
        <f t="shared" si="114"/>
        <v>2.8272372927228978E-2</v>
      </c>
      <c r="Y85" s="89">
        <f t="shared" si="114"/>
        <v>2.7609859247481026E-2</v>
      </c>
      <c r="Z85" s="89">
        <f t="shared" ref="Z85:AA85" si="115">Z57/Z$23</f>
        <v>2.6887283401501039E-2</v>
      </c>
      <c r="AA85" s="89">
        <f t="shared" si="115"/>
        <v>2.6383538954267999E-2</v>
      </c>
    </row>
    <row r="86" spans="1:27" x14ac:dyDescent="0.25">
      <c r="A86" s="68" t="s">
        <v>269</v>
      </c>
      <c r="B86" s="44"/>
      <c r="C86" s="44"/>
      <c r="D86" s="89">
        <f t="shared" si="109"/>
        <v>1.3062072013431363E-2</v>
      </c>
      <c r="E86" s="89">
        <f t="shared" ref="E86:S86" si="116">E58/E$23</f>
        <v>1.1921332556765498E-2</v>
      </c>
      <c r="F86" s="89">
        <f t="shared" si="116"/>
        <v>1.1764579667853924E-2</v>
      </c>
      <c r="G86" s="89">
        <f t="shared" si="116"/>
        <v>1.5750893382452242E-2</v>
      </c>
      <c r="H86" s="89">
        <f t="shared" si="116"/>
        <v>1.7798540407275916E-2</v>
      </c>
      <c r="I86" s="89">
        <f t="shared" si="116"/>
        <v>1.8085916048399878E-2</v>
      </c>
      <c r="J86" s="89">
        <f t="shared" si="116"/>
        <v>1.7743049059327828E-2</v>
      </c>
      <c r="K86" s="89">
        <f t="shared" si="116"/>
        <v>1.6017575350781875E-2</v>
      </c>
      <c r="L86" s="89">
        <f t="shared" si="116"/>
        <v>1.6075076055414056E-2</v>
      </c>
      <c r="M86" s="89">
        <f t="shared" si="116"/>
        <v>1.6063458793343331E-2</v>
      </c>
      <c r="N86" s="89">
        <f t="shared" si="116"/>
        <v>1.782262447716048E-2</v>
      </c>
      <c r="O86" s="89">
        <f t="shared" si="116"/>
        <v>1.8433391160404902E-2</v>
      </c>
      <c r="P86" s="89">
        <f t="shared" si="116"/>
        <v>1.8456419341034022E-2</v>
      </c>
      <c r="Q86" s="89">
        <f t="shared" si="116"/>
        <v>2.1748332177793865E-2</v>
      </c>
      <c r="R86" s="89">
        <f t="shared" si="116"/>
        <v>2.200107905544545E-2</v>
      </c>
      <c r="S86" s="89">
        <f t="shared" si="116"/>
        <v>1.9579954410588078E-2</v>
      </c>
      <c r="T86" s="89">
        <f t="shared" ref="T86:Y86" si="117">T58/T$23</f>
        <v>2.2006803243157989E-2</v>
      </c>
      <c r="U86" s="89">
        <f t="shared" si="117"/>
        <v>2.2171739081908858E-2</v>
      </c>
      <c r="V86" s="89">
        <f t="shared" si="117"/>
        <v>1.8662901219456463E-2</v>
      </c>
      <c r="W86" s="89">
        <f t="shared" si="117"/>
        <v>2.1291441373107234E-2</v>
      </c>
      <c r="X86" s="89">
        <f t="shared" si="117"/>
        <v>1.7579953925398361E-2</v>
      </c>
      <c r="Y86" s="89">
        <f t="shared" si="117"/>
        <v>1.856350665043946E-2</v>
      </c>
      <c r="Z86" s="89">
        <f t="shared" ref="Z86:AA86" si="118">Z58/Z$23</f>
        <v>1.7298912027061093E-2</v>
      </c>
      <c r="AA86" s="89">
        <f t="shared" si="118"/>
        <v>1.6663408891657742E-2</v>
      </c>
    </row>
    <row r="87" spans="1:27" x14ac:dyDescent="0.25">
      <c r="A87" s="68" t="s">
        <v>270</v>
      </c>
      <c r="B87" s="44"/>
      <c r="C87" s="44"/>
      <c r="D87" s="89">
        <f t="shared" si="109"/>
        <v>3.6324965953225617E-2</v>
      </c>
      <c r="E87" s="89">
        <f t="shared" ref="E87:S87" si="119">E59/E$23</f>
        <v>3.3316547413040874E-2</v>
      </c>
      <c r="F87" s="89">
        <f t="shared" si="119"/>
        <v>3.2913144230356614E-2</v>
      </c>
      <c r="G87" s="89">
        <f t="shared" si="119"/>
        <v>3.725431248598126E-2</v>
      </c>
      <c r="H87" s="89">
        <f t="shared" si="119"/>
        <v>3.7824012886848279E-2</v>
      </c>
      <c r="I87" s="89">
        <f t="shared" si="119"/>
        <v>3.8718612133877332E-2</v>
      </c>
      <c r="J87" s="89">
        <f t="shared" si="119"/>
        <v>4.1010260222555925E-2</v>
      </c>
      <c r="K87" s="89">
        <f t="shared" si="119"/>
        <v>4.1791015407218898E-2</v>
      </c>
      <c r="L87" s="89">
        <f t="shared" si="119"/>
        <v>4.496537635152896E-2</v>
      </c>
      <c r="M87" s="89">
        <f t="shared" si="119"/>
        <v>4.5515790473173896E-2</v>
      </c>
      <c r="N87" s="89">
        <f t="shared" si="119"/>
        <v>4.2930894597128032E-2</v>
      </c>
      <c r="O87" s="89">
        <f t="shared" si="119"/>
        <v>4.322306205589483E-2</v>
      </c>
      <c r="P87" s="89">
        <f t="shared" si="119"/>
        <v>4.3143828395356291E-2</v>
      </c>
      <c r="Q87" s="89">
        <f t="shared" si="119"/>
        <v>3.7794814355211877E-2</v>
      </c>
      <c r="R87" s="89">
        <f t="shared" si="119"/>
        <v>4.2187533651454043E-2</v>
      </c>
      <c r="S87" s="89">
        <f t="shared" si="119"/>
        <v>4.4222823459794634E-2</v>
      </c>
      <c r="T87" s="89">
        <f t="shared" ref="T87:Y87" si="120">T59/T$23</f>
        <v>4.5510118858278825E-2</v>
      </c>
      <c r="U87" s="89">
        <f t="shared" si="120"/>
        <v>4.246964945840212E-2</v>
      </c>
      <c r="V87" s="89">
        <f t="shared" si="120"/>
        <v>4.2754508196906772E-2</v>
      </c>
      <c r="W87" s="89">
        <f t="shared" si="120"/>
        <v>4.3751979351656707E-2</v>
      </c>
      <c r="X87" s="89">
        <f t="shared" si="120"/>
        <v>4.6283450437836576E-2</v>
      </c>
      <c r="Y87" s="89">
        <f t="shared" si="120"/>
        <v>5.0276008091568035E-2</v>
      </c>
      <c r="Z87" s="89">
        <f t="shared" ref="Z87:AA87" si="121">Z59/Z$23</f>
        <v>5.0793415243005013E-2</v>
      </c>
      <c r="AA87" s="89">
        <f t="shared" si="121"/>
        <v>5.0483084222262289E-2</v>
      </c>
    </row>
    <row r="88" spans="1:27" x14ac:dyDescent="0.25">
      <c r="A88" s="68" t="s">
        <v>1</v>
      </c>
      <c r="B88" s="44"/>
      <c r="C88" s="44"/>
      <c r="D88" s="89">
        <f t="shared" si="109"/>
        <v>1.0856537581153819E-2</v>
      </c>
      <c r="E88" s="89">
        <f t="shared" ref="E88:S88" si="122">E60/E$23</f>
        <v>9.8555079195200984E-3</v>
      </c>
      <c r="F88" s="89">
        <f t="shared" si="122"/>
        <v>9.7814659056773817E-3</v>
      </c>
      <c r="G88" s="89">
        <f t="shared" si="122"/>
        <v>9.8803460557884033E-3</v>
      </c>
      <c r="H88" s="89">
        <f t="shared" si="122"/>
        <v>9.909056481458239E-3</v>
      </c>
      <c r="I88" s="89">
        <f t="shared" si="122"/>
        <v>9.2334597509241764E-3</v>
      </c>
      <c r="J88" s="89">
        <f t="shared" si="122"/>
        <v>9.1687183248535132E-3</v>
      </c>
      <c r="K88" s="89">
        <f t="shared" si="122"/>
        <v>9.2770537310452456E-3</v>
      </c>
      <c r="L88" s="89">
        <f t="shared" si="122"/>
        <v>8.2314766053016332E-3</v>
      </c>
      <c r="M88" s="89">
        <f t="shared" si="122"/>
        <v>7.4753064046571603E-3</v>
      </c>
      <c r="N88" s="89">
        <f t="shared" si="122"/>
        <v>6.7493757433970585E-3</v>
      </c>
      <c r="O88" s="89">
        <f t="shared" si="122"/>
        <v>6.7683163625622449E-3</v>
      </c>
      <c r="P88" s="89">
        <f t="shared" si="122"/>
        <v>6.8299384650073814E-3</v>
      </c>
      <c r="Q88" s="89">
        <f t="shared" si="122"/>
        <v>5.861158318930049E-3</v>
      </c>
      <c r="R88" s="89">
        <f t="shared" si="122"/>
        <v>6.5486074717686733E-3</v>
      </c>
      <c r="S88" s="89">
        <f t="shared" si="122"/>
        <v>6.5006063308441133E-3</v>
      </c>
      <c r="T88" s="89">
        <f t="shared" ref="T88:Y88" si="123">T60/T$23</f>
        <v>7.0726418484666773E-3</v>
      </c>
      <c r="U88" s="89">
        <f t="shared" si="123"/>
        <v>6.3379714415209192E-3</v>
      </c>
      <c r="V88" s="89">
        <f t="shared" si="123"/>
        <v>5.9097188629990511E-3</v>
      </c>
      <c r="W88" s="89">
        <f t="shared" si="123"/>
        <v>5.7986432065275295E-3</v>
      </c>
      <c r="X88" s="89">
        <f t="shared" si="123"/>
        <v>5.6197374898505877E-3</v>
      </c>
      <c r="Y88" s="89">
        <f t="shared" si="123"/>
        <v>6.0552976279712335E-3</v>
      </c>
      <c r="Z88" s="89">
        <f t="shared" ref="Z88:AA88" si="124">Z60/Z$23</f>
        <v>5.1047858341261385E-3</v>
      </c>
      <c r="AA88" s="89">
        <f t="shared" si="124"/>
        <v>4.6036001115930397E-3</v>
      </c>
    </row>
    <row r="89" spans="1:27" x14ac:dyDescent="0.25">
      <c r="A89" s="68" t="s">
        <v>0</v>
      </c>
      <c r="B89" s="44"/>
      <c r="C89" s="44"/>
      <c r="D89" s="89">
        <f t="shared" si="109"/>
        <v>7.15342545377685E-3</v>
      </c>
      <c r="E89" s="89">
        <f t="shared" ref="E89:S89" si="125">E61/E$23</f>
        <v>6.3157463146319261E-3</v>
      </c>
      <c r="F89" s="89">
        <f t="shared" si="125"/>
        <v>6.2840621379221563E-3</v>
      </c>
      <c r="G89" s="89">
        <f t="shared" si="125"/>
        <v>7.1253342477561208E-3</v>
      </c>
      <c r="H89" s="89">
        <f t="shared" si="125"/>
        <v>8.1115768818148977E-3</v>
      </c>
      <c r="I89" s="89">
        <f t="shared" si="125"/>
        <v>7.3712880957382898E-3</v>
      </c>
      <c r="J89" s="89">
        <f t="shared" si="125"/>
        <v>7.2319916289034624E-3</v>
      </c>
      <c r="K89" s="89">
        <f t="shared" si="125"/>
        <v>8.0330197376523981E-3</v>
      </c>
      <c r="L89" s="89">
        <f t="shared" si="125"/>
        <v>7.5318010938509932E-3</v>
      </c>
      <c r="M89" s="89">
        <f t="shared" si="125"/>
        <v>7.3895665994565792E-3</v>
      </c>
      <c r="N89" s="89">
        <f t="shared" si="125"/>
        <v>7.869492953974367E-3</v>
      </c>
      <c r="O89" s="89">
        <f t="shared" si="125"/>
        <v>7.5579032913449824E-3</v>
      </c>
      <c r="P89" s="89">
        <f t="shared" si="125"/>
        <v>7.6910729543467633E-3</v>
      </c>
      <c r="Q89" s="89">
        <f t="shared" si="125"/>
        <v>6.6455566278910408E-3</v>
      </c>
      <c r="R89" s="89">
        <f t="shared" si="125"/>
        <v>7.3794359864438825E-3</v>
      </c>
      <c r="S89" s="89">
        <f t="shared" si="125"/>
        <v>7.5270452727030264E-3</v>
      </c>
      <c r="T89" s="89">
        <f t="shared" ref="T89:Y89" si="126">T61/T$23</f>
        <v>7.7421690458258285E-3</v>
      </c>
      <c r="U89" s="89">
        <f t="shared" si="126"/>
        <v>7.4938590438257064E-3</v>
      </c>
      <c r="V89" s="89">
        <f t="shared" si="126"/>
        <v>7.1102153517843859E-3</v>
      </c>
      <c r="W89" s="89">
        <f t="shared" si="126"/>
        <v>7.240972099291137E-3</v>
      </c>
      <c r="X89" s="89">
        <f t="shared" si="126"/>
        <v>7.2557907590801258E-3</v>
      </c>
      <c r="Y89" s="89">
        <f t="shared" si="126"/>
        <v>9.0044467423805123E-3</v>
      </c>
      <c r="Z89" s="89">
        <f t="shared" ref="Z89:AA89" si="127">Z61/Z$23</f>
        <v>8.4537110068492963E-3</v>
      </c>
      <c r="AA89" s="89">
        <f t="shared" si="127"/>
        <v>8.0440190532471145E-3</v>
      </c>
    </row>
    <row r="90" spans="1:27" x14ac:dyDescent="0.25">
      <c r="A90" s="90" t="s">
        <v>272</v>
      </c>
      <c r="B90" s="47"/>
      <c r="C90" s="47"/>
      <c r="D90" s="91">
        <f t="shared" si="109"/>
        <v>2.1298749336478209E-2</v>
      </c>
      <c r="E90" s="91">
        <f t="shared" ref="E90:S90" si="128">E62/E$23</f>
        <v>1.9050267348196055E-2</v>
      </c>
      <c r="F90" s="91">
        <f t="shared" si="128"/>
        <v>1.8792644723855299E-2</v>
      </c>
      <c r="G90" s="91">
        <f t="shared" si="128"/>
        <v>2.0974376980972098E-2</v>
      </c>
      <c r="H90" s="91">
        <f t="shared" si="128"/>
        <v>2.1446430851603707E-2</v>
      </c>
      <c r="I90" s="91">
        <f t="shared" si="128"/>
        <v>2.2088064778879788E-2</v>
      </c>
      <c r="J90" s="91">
        <f t="shared" si="128"/>
        <v>2.1831326378391441E-2</v>
      </c>
      <c r="K90" s="91">
        <f t="shared" si="128"/>
        <v>2.2453829722573863E-2</v>
      </c>
      <c r="L90" s="91">
        <f t="shared" si="128"/>
        <v>2.1858311967350968E-2</v>
      </c>
      <c r="M90" s="91">
        <f t="shared" si="128"/>
        <v>2.4216180518428214E-2</v>
      </c>
      <c r="N90" s="91">
        <f t="shared" si="128"/>
        <v>2.4467077848933844E-2</v>
      </c>
      <c r="O90" s="91">
        <f t="shared" si="128"/>
        <v>2.3929012146683842E-2</v>
      </c>
      <c r="P90" s="91">
        <f t="shared" si="128"/>
        <v>2.4950760061887487E-2</v>
      </c>
      <c r="Q90" s="91">
        <f t="shared" si="128"/>
        <v>2.3528190633364771E-2</v>
      </c>
      <c r="R90" s="91">
        <f t="shared" si="128"/>
        <v>2.6297696708107773E-2</v>
      </c>
      <c r="S90" s="91">
        <f t="shared" si="128"/>
        <v>2.6610839778637155E-2</v>
      </c>
      <c r="T90" s="91">
        <f t="shared" ref="T90:Y90" si="129">T62/T$23</f>
        <v>2.8921722479124248E-2</v>
      </c>
      <c r="U90" s="91">
        <f t="shared" si="129"/>
        <v>2.6357585621573462E-2</v>
      </c>
      <c r="V90" s="91">
        <f t="shared" si="129"/>
        <v>2.6288520076980199E-2</v>
      </c>
      <c r="W90" s="91">
        <f t="shared" si="129"/>
        <v>2.6746803551471163E-2</v>
      </c>
      <c r="X90" s="91">
        <f t="shared" si="129"/>
        <v>2.8173063193809553E-2</v>
      </c>
      <c r="Y90" s="91">
        <f t="shared" si="129"/>
        <v>2.8895759088160083E-2</v>
      </c>
      <c r="Z90" s="91">
        <f t="shared" ref="Z90:AA90" si="130">Z62/Z$23</f>
        <v>2.7186957063828291E-2</v>
      </c>
      <c r="AA90" s="91">
        <f t="shared" si="130"/>
        <v>2.5548848592457943E-2</v>
      </c>
    </row>
    <row r="91" spans="1:27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x14ac:dyDescent="0.25">
      <c r="A93" s="40" t="s">
        <v>139</v>
      </c>
      <c r="B93" s="41"/>
      <c r="C93" s="41"/>
      <c r="D93" s="41"/>
      <c r="E93" s="92">
        <f t="shared" ref="E93:E94" si="131">IF(D16=0,"",E16/D16-1)</f>
        <v>1.2337551627064736E-2</v>
      </c>
      <c r="F93" s="92">
        <f t="shared" ref="F93:F94" si="132">IF(E16=0,"",F16/E16-1)</f>
        <v>1.9011825351463063E-2</v>
      </c>
      <c r="G93" s="92">
        <f t="shared" ref="G93:G94" si="133">IF(F16=0,"",G16/F16-1)</f>
        <v>3.5235294693619634E-2</v>
      </c>
      <c r="H93" s="92">
        <f t="shared" ref="H93:H94" si="134">IF(G16=0,"",H16/G16-1)</f>
        <v>5.0898208078393292E-2</v>
      </c>
      <c r="I93" s="92">
        <f t="shared" ref="I93:I94" si="135">IF(H16=0,"",I16/H16-1)</f>
        <v>3.2612842430924216E-2</v>
      </c>
      <c r="J93" s="92">
        <f t="shared" ref="J93:J94" si="136">IF(I16=0,"",J16/I16-1)</f>
        <v>6.2020395386382265E-2</v>
      </c>
      <c r="K93" s="92">
        <f t="shared" ref="K93:K94" si="137">IF(J16=0,"",K16/J16-1)</f>
        <v>6.7603053595114648E-2</v>
      </c>
      <c r="L93" s="92">
        <f t="shared" ref="L93:L94" si="138">IF(K16=0,"",L16/K16-1)</f>
        <v>4.3836972086050086E-2</v>
      </c>
      <c r="M93" s="92">
        <f t="shared" ref="M93:M94" si="139">IF(L16=0,"",M16/L16-1)</f>
        <v>2.6158926601366206E-2</v>
      </c>
      <c r="N93" s="92">
        <f t="shared" ref="N93:N94" si="140">IF(M16=0,"",N16/M16-1)</f>
        <v>3.1681604525266582E-2</v>
      </c>
      <c r="O93" s="92">
        <f t="shared" ref="O93:O94" si="141">IF(N16=0,"",O16/N16-1)</f>
        <v>5.2552538612470556E-2</v>
      </c>
      <c r="P93" s="92">
        <f t="shared" ref="P93:P94" si="142">IF(O16=0,"",P16/O16-1)</f>
        <v>1.5125997862575735E-2</v>
      </c>
      <c r="Q93" s="92">
        <f t="shared" ref="Q93:Q94" si="143">IF(P16=0,"",Q16/P16-1)</f>
        <v>6.8415397343033479E-3</v>
      </c>
      <c r="R93" s="92">
        <f t="shared" ref="R93:R94" si="144">IF(Q16=0,"",R16/Q16-1)</f>
        <v>3.9200286120121053E-2</v>
      </c>
      <c r="S93" s="92">
        <f t="shared" ref="S93:S94" si="145">IF(R16=0,"",S16/R16-1)</f>
        <v>4.4319878232908838E-2</v>
      </c>
      <c r="T93" s="92">
        <f t="shared" ref="T93:T94" si="146">IF(S16=0,"",T16/S16-1)</f>
        <v>3.0308390175982414E-2</v>
      </c>
      <c r="U93" s="92">
        <f t="shared" ref="U93:U94" si="147">IF(T16=0,"",U16/T16-1)</f>
        <v>5.1531333966032822E-2</v>
      </c>
      <c r="V93" s="92">
        <f t="shared" ref="V93:V94" si="148">IF(U16=0,"",V16/U16-1)</f>
        <v>6.2451677581542464E-2</v>
      </c>
      <c r="W93" s="92">
        <f t="shared" ref="W93:W94" si="149">IF(V16=0,"",W16/V16-1)</f>
        <v>4.5810935069144687E-2</v>
      </c>
      <c r="X93" s="92">
        <f t="shared" ref="X93:X94" si="150">IF(W16=0,"",X16/W16-1)</f>
        <v>-2.0359260703996296E-2</v>
      </c>
      <c r="Y93" s="92">
        <f t="shared" ref="Y93:Y94" si="151">IF(X16=0,"",Y16/X16-1)</f>
        <v>6.9274462388033919E-2</v>
      </c>
      <c r="Z93" s="92">
        <f t="shared" ref="Z93:Z94" si="152">IF(Y16=0,"",Z16/Y16-1)</f>
        <v>5.255080940686252E-2</v>
      </c>
      <c r="AA93" s="92">
        <f t="shared" ref="AA93:AA94" si="153">IF(Z16=0,"",AA16/Z16-1)</f>
        <v>2.4969325559591748E-3</v>
      </c>
    </row>
    <row r="94" spans="1:27" x14ac:dyDescent="0.25">
      <c r="A94" s="46" t="s">
        <v>141</v>
      </c>
      <c r="B94" s="47"/>
      <c r="C94" s="47"/>
      <c r="D94" s="47"/>
      <c r="E94" s="93">
        <f t="shared" si="131"/>
        <v>1.989261795674957E-2</v>
      </c>
      <c r="F94" s="93">
        <f t="shared" si="132"/>
        <v>3.6968323436487927E-2</v>
      </c>
      <c r="G94" s="93">
        <f t="shared" si="133"/>
        <v>1.4537263977564052E-2</v>
      </c>
      <c r="H94" s="93">
        <f t="shared" si="134"/>
        <v>3.9794476860715688E-2</v>
      </c>
      <c r="I94" s="93">
        <f t="shared" si="135"/>
        <v>1.6327698430146365E-2</v>
      </c>
      <c r="J94" s="93">
        <f t="shared" si="136"/>
        <v>4.8707152180339719E-2</v>
      </c>
      <c r="K94" s="93">
        <f t="shared" si="137"/>
        <v>5.2320538759167201E-2</v>
      </c>
      <c r="L94" s="93">
        <f t="shared" si="138"/>
        <v>7.0051339527795742E-2</v>
      </c>
      <c r="M94" s="93">
        <f t="shared" si="139"/>
        <v>3.0071534381556964E-2</v>
      </c>
      <c r="N94" s="93">
        <f t="shared" si="140"/>
        <v>3.9473718035742067E-2</v>
      </c>
      <c r="O94" s="93">
        <f t="shared" si="141"/>
        <v>2.7913703716807792E-2</v>
      </c>
      <c r="P94" s="93">
        <f t="shared" si="142"/>
        <v>8.2232452679553703E-3</v>
      </c>
      <c r="Q94" s="93">
        <f t="shared" si="143"/>
        <v>-3.0171139078238873E-3</v>
      </c>
      <c r="R94" s="93">
        <f t="shared" si="144"/>
        <v>3.1755800176032745E-2</v>
      </c>
      <c r="S94" s="93">
        <f t="shared" si="145"/>
        <v>3.9168433178661921E-2</v>
      </c>
      <c r="T94" s="93">
        <f t="shared" si="146"/>
        <v>3.7761467143874627E-2</v>
      </c>
      <c r="U94" s="93">
        <f t="shared" si="147"/>
        <v>6.0637645351649727E-2</v>
      </c>
      <c r="V94" s="93">
        <f t="shared" si="148"/>
        <v>4.8555534552631618E-2</v>
      </c>
      <c r="W94" s="93">
        <f t="shared" si="149"/>
        <v>3.2445608712859064E-2</v>
      </c>
      <c r="X94" s="93">
        <f t="shared" si="150"/>
        <v>-3.2349295803896561E-2</v>
      </c>
      <c r="Y94" s="93">
        <f t="shared" si="151"/>
        <v>6.1999361846448942E-2</v>
      </c>
      <c r="Z94" s="93">
        <f t="shared" si="152"/>
        <v>5.1522206493568312E-2</v>
      </c>
      <c r="AA94" s="93">
        <f t="shared" si="153"/>
        <v>-2.5209352833152066E-3</v>
      </c>
    </row>
    <row r="95" spans="1:27" x14ac:dyDescent="0.25">
      <c r="A95" s="40" t="s">
        <v>242</v>
      </c>
      <c r="B95" s="41"/>
      <c r="C95" s="41"/>
      <c r="D95" s="41"/>
      <c r="E95" s="92">
        <f t="shared" ref="E95:E96" si="154">IF(D20=0,"",E20/D20-1)</f>
        <v>1.2584933405827226E-2</v>
      </c>
      <c r="F95" s="92">
        <f t="shared" ref="F95:F96" si="155">IF(E20=0,"",F20/E20-1)</f>
        <v>1.9325132169125459E-2</v>
      </c>
      <c r="G95" s="92">
        <f t="shared" ref="G95:G96" si="156">IF(F20=0,"",G20/F20-1)</f>
        <v>3.5876341794153666E-2</v>
      </c>
      <c r="H95" s="92">
        <f t="shared" ref="H95:H96" si="157">IF(G20=0,"",H20/G20-1)</f>
        <v>5.1666570568567938E-2</v>
      </c>
      <c r="I95" s="92">
        <f t="shared" ref="I95:I96" si="158">IF(H20=0,"",I20/H20-1)</f>
        <v>3.3066556740898756E-2</v>
      </c>
      <c r="J95" s="92">
        <f t="shared" ref="J95:J96" si="159">IF(I20=0,"",J20/I20-1)</f>
        <v>6.2487430964326629E-2</v>
      </c>
      <c r="K95" s="92">
        <f t="shared" ref="K95:K96" si="160">IF(J20=0,"",K20/J20-1)</f>
        <v>6.8487255837408112E-2</v>
      </c>
      <c r="L95" s="92">
        <f t="shared" ref="L95:L96" si="161">IF(K20=0,"",L20/K20-1)</f>
        <v>4.4106396077407961E-2</v>
      </c>
      <c r="M95" s="92">
        <f t="shared" ref="M95:M96" si="162">IF(L20=0,"",M20/L20-1)</f>
        <v>2.561444387125178E-2</v>
      </c>
      <c r="N95" s="92">
        <f t="shared" ref="N95:N96" si="163">IF(M20=0,"",N20/M20-1)</f>
        <v>3.4747844557879271E-2</v>
      </c>
      <c r="O95" s="92">
        <f t="shared" ref="O95:O96" si="164">IF(N20=0,"",O20/N20-1)</f>
        <v>5.1450589820711379E-2</v>
      </c>
      <c r="P95" s="92">
        <f t="shared" ref="P95:P96" si="165">IF(O20=0,"",P20/O20-1)</f>
        <v>1.5097355279574343E-2</v>
      </c>
      <c r="Q95" s="92">
        <f t="shared" ref="Q95:Q96" si="166">IF(P20=0,"",Q20/P20-1)</f>
        <v>6.8747902735919464E-3</v>
      </c>
      <c r="R95" s="92">
        <f t="shared" ref="R95:R96" si="167">IF(Q20=0,"",R20/Q20-1)</f>
        <v>4.0421565657387859E-2</v>
      </c>
      <c r="S95" s="92">
        <f t="shared" ref="S95:S96" si="168">IF(R20=0,"",S20/R20-1)</f>
        <v>4.4656264429677739E-2</v>
      </c>
      <c r="T95" s="92">
        <f t="shared" ref="T95:T96" si="169">IF(S20=0,"",T20/S20-1)</f>
        <v>3.135057881104153E-2</v>
      </c>
      <c r="U95" s="92">
        <f t="shared" ref="U95:U96" si="170">IF(T20=0,"",U20/T20-1)</f>
        <v>5.1371968928660694E-2</v>
      </c>
      <c r="V95" s="92">
        <f t="shared" ref="V95:V96" si="171">IF(U20=0,"",V20/U20-1)</f>
        <v>6.234752137656252E-2</v>
      </c>
      <c r="W95" s="92">
        <f t="shared" ref="W95:W96" si="172">IF(V20=0,"",W20/V20-1)</f>
        <v>4.5917656619642422E-2</v>
      </c>
      <c r="X95" s="92">
        <f t="shared" ref="X95:X96" si="173">IF(W20=0,"",X20/W20-1)</f>
        <v>-1.9980547496081913E-2</v>
      </c>
      <c r="Y95" s="92">
        <f t="shared" ref="Y95:Y96" si="174">IF(X20=0,"",Y20/X20-1)</f>
        <v>9.4793428153830073E-2</v>
      </c>
      <c r="Z95" s="92">
        <f t="shared" ref="Z95:Z96" si="175">IF(Y20=0,"",Z20/Y20-1)</f>
        <v>5.7789230940790803E-2</v>
      </c>
      <c r="AA95" s="92">
        <f t="shared" ref="AA95:AA96" si="176">IF(Z20=0,"",AA20/Z20-1)</f>
        <v>6.2071579668105947E-3</v>
      </c>
    </row>
    <row r="96" spans="1:27" x14ac:dyDescent="0.25">
      <c r="A96" s="46" t="s">
        <v>243</v>
      </c>
      <c r="B96" s="47"/>
      <c r="C96" s="47"/>
      <c r="D96" s="47"/>
      <c r="E96" s="93">
        <f t="shared" si="154"/>
        <v>2.0141845943572489E-2</v>
      </c>
      <c r="F96" s="93">
        <f t="shared" si="155"/>
        <v>3.72871511844588E-2</v>
      </c>
      <c r="G96" s="93">
        <f t="shared" si="156"/>
        <v>1.5165494269547164E-2</v>
      </c>
      <c r="H96" s="93">
        <f t="shared" si="157"/>
        <v>4.0554720876139205E-2</v>
      </c>
      <c r="I96" s="93">
        <f t="shared" si="158"/>
        <v>1.6774257296599426E-2</v>
      </c>
      <c r="J96" s="93">
        <f t="shared" si="159"/>
        <v>4.9168333107787676E-2</v>
      </c>
      <c r="K96" s="93">
        <f t="shared" si="160"/>
        <v>5.3192083830951198E-2</v>
      </c>
      <c r="L96" s="93">
        <f t="shared" si="161"/>
        <v>7.0327529690208834E-2</v>
      </c>
      <c r="M96" s="93">
        <f t="shared" si="162"/>
        <v>2.9524975611064486E-2</v>
      </c>
      <c r="N96" s="93">
        <f t="shared" si="163"/>
        <v>4.2563116851335403E-2</v>
      </c>
      <c r="O96" s="93">
        <f t="shared" si="164"/>
        <v>2.6837550059588322E-2</v>
      </c>
      <c r="P96" s="93">
        <f t="shared" si="165"/>
        <v>8.1947974515785837E-3</v>
      </c>
      <c r="Q96" s="93">
        <f t="shared" si="166"/>
        <v>-2.9841889466299953E-3</v>
      </c>
      <c r="R96" s="93">
        <f t="shared" si="167"/>
        <v>3.2968330872031659E-2</v>
      </c>
      <c r="S96" s="93">
        <f t="shared" si="168"/>
        <v>3.9503160041882035E-2</v>
      </c>
      <c r="T96" s="93">
        <f t="shared" si="169"/>
        <v>3.8811194795587589E-2</v>
      </c>
      <c r="U96" s="93">
        <f t="shared" si="170"/>
        <v>6.0476900205471695E-2</v>
      </c>
      <c r="V96" s="93">
        <f t="shared" si="171"/>
        <v>4.8452740639746361E-2</v>
      </c>
      <c r="W96" s="93">
        <f t="shared" si="172"/>
        <v>3.2550966375961998E-2</v>
      </c>
      <c r="X96" s="93">
        <f t="shared" si="173"/>
        <v>-3.19752177489252E-2</v>
      </c>
      <c r="Y96" s="93">
        <f t="shared" si="174"/>
        <v>8.7344702366161098E-2</v>
      </c>
      <c r="Z96" s="93">
        <f t="shared" si="175"/>
        <v>5.6755508791823672E-2</v>
      </c>
      <c r="AA96" s="93">
        <f t="shared" si="176"/>
        <v>1.1707190774303822E-3</v>
      </c>
    </row>
    <row r="97" spans="1:27" x14ac:dyDescent="0.25">
      <c r="A97" s="94" t="s">
        <v>142</v>
      </c>
      <c r="B97" s="44"/>
      <c r="C97" s="44"/>
      <c r="D97" s="89"/>
      <c r="E97" s="89">
        <f t="shared" ref="E97:E106" si="177">IF(D23=0,"",E23/D23-1)</f>
        <v>1.3310357125173367E-2</v>
      </c>
      <c r="F97" s="89">
        <f t="shared" ref="F97:F106" si="178">IF(E23=0,"",F23/E23-1)</f>
        <v>1.8164650053148268E-2</v>
      </c>
      <c r="G97" s="89">
        <f t="shared" ref="G97:G106" si="179">IF(F23=0,"",G23/F23-1)</f>
        <v>3.3420374644263839E-2</v>
      </c>
      <c r="H97" s="89">
        <f t="shared" ref="H97:H106" si="180">IF(G23=0,"",H23/G23-1)</f>
        <v>5.4230621720503303E-2</v>
      </c>
      <c r="I97" s="89">
        <f t="shared" ref="I97:I106" si="181">IF(H23=0,"",I23/H23-1)</f>
        <v>3.1169481702450152E-2</v>
      </c>
      <c r="J97" s="89">
        <f t="shared" ref="J97:J106" si="182">IF(I23=0,"",J23/I23-1)</f>
        <v>6.179014143462358E-2</v>
      </c>
      <c r="K97" s="89">
        <f t="shared" ref="K97:K106" si="183">IF(J23=0,"",K23/J23-1)</f>
        <v>6.7986677945858665E-2</v>
      </c>
      <c r="L97" s="89">
        <f t="shared" ref="L97:L106" si="184">IF(K23=0,"",L23/K23-1)</f>
        <v>4.1525279360927092E-2</v>
      </c>
      <c r="M97" s="89">
        <f t="shared" ref="M97:M106" si="185">IF(L23=0,"",M23/L23-1)</f>
        <v>2.8868637129431551E-2</v>
      </c>
      <c r="N97" s="89">
        <f t="shared" ref="N97:N106" si="186">IF(M23=0,"",N23/M23-1)</f>
        <v>3.1156239647066153E-2</v>
      </c>
      <c r="O97" s="89">
        <f t="shared" ref="O97:O106" si="187">IF(N23=0,"",O23/N23-1)</f>
        <v>5.1947191374642543E-2</v>
      </c>
      <c r="P97" s="89">
        <f t="shared" ref="P97:P106" si="188">IF(O23=0,"",P23/O23-1)</f>
        <v>1.3426790573345393E-2</v>
      </c>
      <c r="Q97" s="89">
        <f t="shared" ref="Q97:Q106" si="189">IF(P23=0,"",Q23/P23-1)</f>
        <v>6.0659884362594951E-3</v>
      </c>
      <c r="R97" s="89">
        <f t="shared" ref="R97:R106" si="190">IF(Q23=0,"",R23/Q23-1)</f>
        <v>3.8300958049239497E-2</v>
      </c>
      <c r="S97" s="89">
        <f t="shared" ref="S97:S106" si="191">IF(R23=0,"",S23/R23-1)</f>
        <v>4.5678002919082639E-2</v>
      </c>
      <c r="T97" s="89">
        <f t="shared" ref="T97:T106" si="192">IF(S23=0,"",T23/S23-1)</f>
        <v>2.8981650768556522E-2</v>
      </c>
      <c r="U97" s="89">
        <f t="shared" ref="U97:U106" si="193">IF(T23=0,"",U23/T23-1)</f>
        <v>5.0075304913623553E-2</v>
      </c>
      <c r="V97" s="89">
        <f t="shared" ref="V97:V106" si="194">IF(U23=0,"",V23/U23-1)</f>
        <v>6.2416891644051953E-2</v>
      </c>
      <c r="W97" s="89">
        <f t="shared" ref="W97:W106" si="195">IF(V23=0,"",W23/V23-1)</f>
        <v>4.4810182211580951E-2</v>
      </c>
      <c r="X97" s="89">
        <f t="shared" ref="X97:X106" si="196">IF(W23=0,"",X23/W23-1)</f>
        <v>-2.060963013772199E-2</v>
      </c>
      <c r="Y97" s="89">
        <f t="shared" ref="Y97:Y106" si="197">IF(X23=0,"",Y23/X23-1)</f>
        <v>6.629484892060078E-2</v>
      </c>
      <c r="Z97" s="89">
        <f t="shared" ref="Z97:Z108" si="198">IF(Y23=0,"",Z23/Y23-1)</f>
        <v>5.4558257001076749E-2</v>
      </c>
      <c r="AA97" s="89">
        <f t="shared" ref="AA97:AA108" si="199">IF(Z23=0,"",AA23/Z23-1)</f>
        <v>1.3039132442610013E-2</v>
      </c>
    </row>
    <row r="98" spans="1:27" x14ac:dyDescent="0.25">
      <c r="A98" s="64" t="s">
        <v>33</v>
      </c>
      <c r="B98" s="65"/>
      <c r="C98" s="65"/>
      <c r="D98" s="83"/>
      <c r="E98" s="83">
        <f t="shared" si="177"/>
        <v>5.4200452239121955E-2</v>
      </c>
      <c r="F98" s="83">
        <f t="shared" si="178"/>
        <v>-0.13292516148457978</v>
      </c>
      <c r="G98" s="83">
        <f t="shared" si="179"/>
        <v>-8.6160998861665172E-3</v>
      </c>
      <c r="H98" s="83">
        <f t="shared" si="180"/>
        <v>0.30042239201583221</v>
      </c>
      <c r="I98" s="83">
        <f t="shared" si="181"/>
        <v>-7.5884619231337824E-2</v>
      </c>
      <c r="J98" s="83">
        <f t="shared" si="182"/>
        <v>-1.5013323369503895E-2</v>
      </c>
      <c r="K98" s="83">
        <f t="shared" si="183"/>
        <v>0.20877082283573101</v>
      </c>
      <c r="L98" s="83">
        <f t="shared" si="184"/>
        <v>-0.11019327202647533</v>
      </c>
      <c r="M98" s="83">
        <f t="shared" si="185"/>
        <v>5.0663179578509521E-3</v>
      </c>
      <c r="N98" s="83">
        <f t="shared" si="186"/>
        <v>0.15573037392475952</v>
      </c>
      <c r="O98" s="83">
        <f t="shared" si="187"/>
        <v>0.14548697773746389</v>
      </c>
      <c r="P98" s="83">
        <f t="shared" si="188"/>
        <v>-5.3475386074021691E-2</v>
      </c>
      <c r="Q98" s="83">
        <f t="shared" si="189"/>
        <v>8.6069633939258372E-2</v>
      </c>
      <c r="R98" s="83">
        <f t="shared" si="190"/>
        <v>-4.351425433186018E-2</v>
      </c>
      <c r="S98" s="83">
        <f t="shared" si="191"/>
        <v>-0.12754042804087717</v>
      </c>
      <c r="T98" s="83">
        <f t="shared" si="192"/>
        <v>9.2183093514227821E-2</v>
      </c>
      <c r="U98" s="83">
        <f t="shared" si="193"/>
        <v>0.20150477017332991</v>
      </c>
      <c r="V98" s="83">
        <f t="shared" si="194"/>
        <v>-0.13875404613309394</v>
      </c>
      <c r="W98" s="83">
        <f t="shared" si="195"/>
        <v>2.1439188299327894E-2</v>
      </c>
      <c r="X98" s="83">
        <f t="shared" si="196"/>
        <v>5.8802832482872214E-2</v>
      </c>
      <c r="Y98" s="83">
        <f t="shared" si="197"/>
        <v>-5.6566176758240938E-2</v>
      </c>
      <c r="Z98" s="83">
        <f t="shared" si="198"/>
        <v>0.28788650856670239</v>
      </c>
      <c r="AA98" s="83">
        <f t="shared" si="199"/>
        <v>-1.4333224788061205E-2</v>
      </c>
    </row>
    <row r="99" spans="1:27" x14ac:dyDescent="0.25">
      <c r="A99" s="64" t="s">
        <v>56</v>
      </c>
      <c r="B99" s="65"/>
      <c r="C99" s="65"/>
      <c r="D99" s="83"/>
      <c r="E99" s="83">
        <f t="shared" si="177"/>
        <v>-4.8225476482941843E-2</v>
      </c>
      <c r="F99" s="83">
        <f t="shared" si="178"/>
        <v>-2.67429274815566E-2</v>
      </c>
      <c r="G99" s="83">
        <f t="shared" si="179"/>
        <v>-2.3545049026016951E-3</v>
      </c>
      <c r="H99" s="83">
        <f t="shared" si="180"/>
        <v>0.26937041168092168</v>
      </c>
      <c r="I99" s="83">
        <f t="shared" si="181"/>
        <v>3.4342680199866527E-2</v>
      </c>
      <c r="J99" s="83">
        <f t="shared" si="182"/>
        <v>6.0012049935049827E-3</v>
      </c>
      <c r="K99" s="83">
        <f t="shared" si="183"/>
        <v>1.4695002953992731E-3</v>
      </c>
      <c r="L99" s="83">
        <f t="shared" si="184"/>
        <v>0.1021390104383797</v>
      </c>
      <c r="M99" s="83">
        <f t="shared" si="185"/>
        <v>-8.7649405537128411E-2</v>
      </c>
      <c r="N99" s="83">
        <f t="shared" si="186"/>
        <v>0.19046694307712708</v>
      </c>
      <c r="O99" s="83">
        <f t="shared" si="187"/>
        <v>0.15825629194299684</v>
      </c>
      <c r="P99" s="83">
        <f t="shared" si="188"/>
        <v>-5.0400192197856186E-2</v>
      </c>
      <c r="Q99" s="83">
        <f t="shared" si="189"/>
        <v>-0.12899921380151913</v>
      </c>
      <c r="R99" s="83">
        <f t="shared" si="190"/>
        <v>-0.13579587246428981</v>
      </c>
      <c r="S99" s="83">
        <f t="shared" si="191"/>
        <v>-1.1954822084816463E-2</v>
      </c>
      <c r="T99" s="83">
        <f t="shared" si="192"/>
        <v>-2.3811392136047216E-2</v>
      </c>
      <c r="U99" s="83">
        <f t="shared" si="193"/>
        <v>0.17338450692639329</v>
      </c>
      <c r="V99" s="83">
        <f t="shared" si="194"/>
        <v>-5.8291779966134216E-3</v>
      </c>
      <c r="W99" s="83">
        <f t="shared" si="195"/>
        <v>-1.9396756106416557E-2</v>
      </c>
      <c r="X99" s="83">
        <f t="shared" si="196"/>
        <v>-0.10958693350889914</v>
      </c>
      <c r="Y99" s="83">
        <f t="shared" si="197"/>
        <v>0.14947358197717264</v>
      </c>
      <c r="Z99" s="83">
        <f t="shared" si="198"/>
        <v>0.30969397311157398</v>
      </c>
      <c r="AA99" s="83">
        <f t="shared" si="199"/>
        <v>-0.24972793973630647</v>
      </c>
    </row>
    <row r="100" spans="1:27" x14ac:dyDescent="0.25">
      <c r="A100" s="64" t="s">
        <v>146</v>
      </c>
      <c r="B100" s="65"/>
      <c r="C100" s="65"/>
      <c r="D100" s="83"/>
      <c r="E100" s="83">
        <f t="shared" si="177"/>
        <v>3.5085416436940964E-2</v>
      </c>
      <c r="F100" s="83">
        <f t="shared" si="178"/>
        <v>3.5727434193695728E-2</v>
      </c>
      <c r="G100" s="83">
        <f t="shared" si="179"/>
        <v>2.0659830703254389E-2</v>
      </c>
      <c r="H100" s="83">
        <f t="shared" si="180"/>
        <v>1.4562437689193519E-2</v>
      </c>
      <c r="I100" s="83">
        <f t="shared" si="181"/>
        <v>3.8252224908998267E-2</v>
      </c>
      <c r="J100" s="83">
        <f t="shared" si="182"/>
        <v>6.0032310720380622E-2</v>
      </c>
      <c r="K100" s="83">
        <f t="shared" si="183"/>
        <v>5.8748515101477716E-2</v>
      </c>
      <c r="L100" s="83">
        <f t="shared" si="184"/>
        <v>6.1842590045538381E-2</v>
      </c>
      <c r="M100" s="83">
        <f t="shared" si="185"/>
        <v>1.276477547064081E-2</v>
      </c>
      <c r="N100" s="83">
        <f t="shared" si="186"/>
        <v>2.7409795193702902E-2</v>
      </c>
      <c r="O100" s="83">
        <f t="shared" si="187"/>
        <v>3.3702496630428458E-2</v>
      </c>
      <c r="P100" s="83">
        <f t="shared" si="188"/>
        <v>2.8967772207355358E-2</v>
      </c>
      <c r="Q100" s="83">
        <f t="shared" si="189"/>
        <v>2.8335939776942043E-2</v>
      </c>
      <c r="R100" s="83">
        <f t="shared" si="190"/>
        <v>2.1783835508394356E-2</v>
      </c>
      <c r="S100" s="83">
        <f t="shared" si="191"/>
        <v>3.9381224782196966E-2</v>
      </c>
      <c r="T100" s="83">
        <f t="shared" si="192"/>
        <v>2.823926605411553E-2</v>
      </c>
      <c r="U100" s="83">
        <f t="shared" si="193"/>
        <v>7.4238634785867896E-2</v>
      </c>
      <c r="V100" s="83">
        <f t="shared" si="194"/>
        <v>7.0299147988337474E-2</v>
      </c>
      <c r="W100" s="83">
        <f t="shared" si="195"/>
        <v>4.6943318356778008E-2</v>
      </c>
      <c r="X100" s="83">
        <f t="shared" si="196"/>
        <v>-1.6279677790182467E-2</v>
      </c>
      <c r="Y100" s="83">
        <f t="shared" si="197"/>
        <v>6.6128506441088808E-2</v>
      </c>
      <c r="Z100" s="83">
        <f t="shared" si="198"/>
        <v>4.3375957097772311E-2</v>
      </c>
      <c r="AA100" s="83">
        <f t="shared" si="199"/>
        <v>1.1847974868248512E-2</v>
      </c>
    </row>
    <row r="101" spans="1:27" x14ac:dyDescent="0.25">
      <c r="A101" s="68" t="s">
        <v>148</v>
      </c>
      <c r="B101" s="69"/>
      <c r="C101" s="69"/>
      <c r="D101" s="84"/>
      <c r="E101" s="84">
        <f t="shared" si="177"/>
        <v>6.3121988014644748E-2</v>
      </c>
      <c r="F101" s="84">
        <f t="shared" si="178"/>
        <v>6.0270854705309462E-2</v>
      </c>
      <c r="G101" s="84">
        <f t="shared" si="179"/>
        <v>4.78732386484233E-2</v>
      </c>
      <c r="H101" s="84">
        <f t="shared" si="180"/>
        <v>-4.2482608971883273E-5</v>
      </c>
      <c r="I101" s="84">
        <f t="shared" si="181"/>
        <v>4.2441321358615225E-2</v>
      </c>
      <c r="J101" s="84">
        <f t="shared" si="182"/>
        <v>6.2265639335926881E-2</v>
      </c>
      <c r="K101" s="84">
        <f t="shared" si="183"/>
        <v>4.9440206599391967E-2</v>
      </c>
      <c r="L101" s="84">
        <f t="shared" si="184"/>
        <v>5.3487930868208355E-2</v>
      </c>
      <c r="M101" s="84">
        <f t="shared" si="185"/>
        <v>2.6863423483030946E-2</v>
      </c>
      <c r="N101" s="84">
        <f t="shared" si="186"/>
        <v>7.0703038352090131E-2</v>
      </c>
      <c r="O101" s="84">
        <f t="shared" si="187"/>
        <v>2.461348548740605E-2</v>
      </c>
      <c r="P101" s="84">
        <f t="shared" si="188"/>
        <v>7.9602272600243218E-4</v>
      </c>
      <c r="Q101" s="84">
        <f t="shared" si="189"/>
        <v>3.9751522072744239E-2</v>
      </c>
      <c r="R101" s="84">
        <f t="shared" si="190"/>
        <v>5.4726030196479591E-2</v>
      </c>
      <c r="S101" s="84">
        <f t="shared" si="191"/>
        <v>1.8567608080532816E-2</v>
      </c>
      <c r="T101" s="84">
        <f t="shared" si="192"/>
        <v>3.2156185795994885E-2</v>
      </c>
      <c r="U101" s="84">
        <f t="shared" si="193"/>
        <v>6.5232588188203211E-2</v>
      </c>
      <c r="V101" s="84">
        <f t="shared" si="194"/>
        <v>9.8129554464786217E-2</v>
      </c>
      <c r="W101" s="84">
        <f t="shared" si="195"/>
        <v>3.2478125315836825E-2</v>
      </c>
      <c r="X101" s="84">
        <f t="shared" si="196"/>
        <v>-2.6791601148261734E-2</v>
      </c>
      <c r="Y101" s="84">
        <f t="shared" si="197"/>
        <v>7.2459250773952544E-2</v>
      </c>
      <c r="Z101" s="84">
        <f t="shared" si="198"/>
        <v>2.5724215198979605E-2</v>
      </c>
      <c r="AA101" s="84">
        <f t="shared" si="199"/>
        <v>4.918659667887848E-2</v>
      </c>
    </row>
    <row r="102" spans="1:27" x14ac:dyDescent="0.25">
      <c r="A102" s="68" t="s">
        <v>150</v>
      </c>
      <c r="B102" s="71"/>
      <c r="C102" s="71"/>
      <c r="D102" s="84"/>
      <c r="E102" s="84">
        <f t="shared" si="177"/>
        <v>1.6338269509013958E-2</v>
      </c>
      <c r="F102" s="84">
        <f t="shared" si="178"/>
        <v>2.1317584751696428E-2</v>
      </c>
      <c r="G102" s="84">
        <f t="shared" si="179"/>
        <v>3.0386499671844147E-2</v>
      </c>
      <c r="H102" s="84">
        <f t="shared" si="180"/>
        <v>2.1981548123651828E-2</v>
      </c>
      <c r="I102" s="84">
        <f t="shared" si="181"/>
        <v>3.2466663631735893E-2</v>
      </c>
      <c r="J102" s="84">
        <f t="shared" si="182"/>
        <v>6.564720411845637E-2</v>
      </c>
      <c r="K102" s="84">
        <f t="shared" si="183"/>
        <v>7.9594767549413081E-2</v>
      </c>
      <c r="L102" s="84">
        <f t="shared" si="184"/>
        <v>7.9528369543379052E-2</v>
      </c>
      <c r="M102" s="84">
        <f t="shared" si="185"/>
        <v>-2.8723677430864125E-2</v>
      </c>
      <c r="N102" s="84">
        <f t="shared" si="186"/>
        <v>4.8987344815298872E-3</v>
      </c>
      <c r="O102" s="84">
        <f t="shared" si="187"/>
        <v>4.9203350959048375E-2</v>
      </c>
      <c r="P102" s="84">
        <f t="shared" si="188"/>
        <v>3.2070531645939537E-2</v>
      </c>
      <c r="Q102" s="84">
        <f t="shared" si="189"/>
        <v>3.3728773141050716E-2</v>
      </c>
      <c r="R102" s="84">
        <f t="shared" si="190"/>
        <v>6.5577416745739026E-2</v>
      </c>
      <c r="S102" s="84">
        <f t="shared" si="191"/>
        <v>4.349431487719424E-2</v>
      </c>
      <c r="T102" s="84">
        <f t="shared" si="192"/>
        <v>3.999668562086911E-2</v>
      </c>
      <c r="U102" s="84">
        <f t="shared" si="193"/>
        <v>8.3435043236007145E-2</v>
      </c>
      <c r="V102" s="84">
        <f t="shared" si="194"/>
        <v>7.0505039642012157E-2</v>
      </c>
      <c r="W102" s="84">
        <f t="shared" si="195"/>
        <v>7.8801445913522006E-2</v>
      </c>
      <c r="X102" s="84">
        <f t="shared" si="196"/>
        <v>-5.0347689169966126E-3</v>
      </c>
      <c r="Y102" s="84">
        <f t="shared" si="197"/>
        <v>4.9616351724235619E-2</v>
      </c>
      <c r="Z102" s="84">
        <f t="shared" si="198"/>
        <v>7.6058859494333442E-2</v>
      </c>
      <c r="AA102" s="84">
        <f t="shared" si="199"/>
        <v>2.5004643796355808E-2</v>
      </c>
    </row>
    <row r="103" spans="1:27" x14ac:dyDescent="0.25">
      <c r="A103" s="68" t="s">
        <v>152</v>
      </c>
      <c r="B103" s="71"/>
      <c r="C103" s="71"/>
      <c r="D103" s="84"/>
      <c r="E103" s="84">
        <f t="shared" si="177"/>
        <v>2.6861039595591052E-2</v>
      </c>
      <c r="F103" s="84">
        <f t="shared" si="178"/>
        <v>2.5440554861950959E-2</v>
      </c>
      <c r="G103" s="84">
        <f t="shared" si="179"/>
        <v>-1.8063471565795575E-2</v>
      </c>
      <c r="H103" s="84">
        <f t="shared" si="180"/>
        <v>2.3071298410115348E-2</v>
      </c>
      <c r="I103" s="84">
        <f t="shared" si="181"/>
        <v>3.9839734485598077E-2</v>
      </c>
      <c r="J103" s="84">
        <f t="shared" si="182"/>
        <v>5.1582725626268644E-2</v>
      </c>
      <c r="K103" s="84">
        <f t="shared" si="183"/>
        <v>4.6640716535010229E-2</v>
      </c>
      <c r="L103" s="84">
        <f t="shared" si="184"/>
        <v>5.1505264551932939E-2</v>
      </c>
      <c r="M103" s="84">
        <f t="shared" si="185"/>
        <v>4.4374308187870248E-2</v>
      </c>
      <c r="N103" s="84">
        <f t="shared" si="186"/>
        <v>3.5911495946443495E-3</v>
      </c>
      <c r="O103" s="84">
        <f t="shared" si="187"/>
        <v>2.7897428393528934E-2</v>
      </c>
      <c r="P103" s="84">
        <f t="shared" si="188"/>
        <v>5.863999854127222E-2</v>
      </c>
      <c r="Q103" s="84">
        <f t="shared" si="189"/>
        <v>9.9655238431612947E-3</v>
      </c>
      <c r="R103" s="84">
        <f t="shared" si="190"/>
        <v>-6.3300929566596054E-2</v>
      </c>
      <c r="S103" s="84">
        <f t="shared" si="191"/>
        <v>6.1061762375891782E-2</v>
      </c>
      <c r="T103" s="84">
        <f t="shared" si="192"/>
        <v>9.1453191281656299E-3</v>
      </c>
      <c r="U103" s="84">
        <f t="shared" si="193"/>
        <v>7.4109044731228257E-2</v>
      </c>
      <c r="V103" s="84">
        <f t="shared" si="194"/>
        <v>3.5206793939149161E-2</v>
      </c>
      <c r="W103" s="84">
        <f t="shared" si="195"/>
        <v>2.4610281847460724E-2</v>
      </c>
      <c r="X103" s="84">
        <f t="shared" si="196"/>
        <v>-1.765312695507204E-2</v>
      </c>
      <c r="Y103" s="84">
        <f t="shared" si="197"/>
        <v>8.0696765131397452E-2</v>
      </c>
      <c r="Z103" s="84">
        <f t="shared" si="198"/>
        <v>2.2457004222994348E-2</v>
      </c>
      <c r="AA103" s="84">
        <f t="shared" si="199"/>
        <v>-5.6120537175145979E-2</v>
      </c>
    </row>
    <row r="104" spans="1:27" x14ac:dyDescent="0.25">
      <c r="A104" s="64" t="s">
        <v>154</v>
      </c>
      <c r="B104" s="65"/>
      <c r="C104" s="65"/>
      <c r="D104" s="83"/>
      <c r="E104" s="83">
        <f t="shared" si="177"/>
        <v>0.11829825214579737</v>
      </c>
      <c r="F104" s="83">
        <f t="shared" si="178"/>
        <v>9.4374965723650339E-2</v>
      </c>
      <c r="G104" s="83">
        <f t="shared" si="179"/>
        <v>0.13433032808120071</v>
      </c>
      <c r="H104" s="83">
        <f t="shared" si="180"/>
        <v>0.20039192031024489</v>
      </c>
      <c r="I104" s="83">
        <f t="shared" si="181"/>
        <v>-0.14112796637951497</v>
      </c>
      <c r="J104" s="83">
        <f t="shared" si="182"/>
        <v>-5.0264875421589528E-3</v>
      </c>
      <c r="K104" s="83">
        <f t="shared" si="183"/>
        <v>3.3527938863016749E-2</v>
      </c>
      <c r="L104" s="83">
        <f t="shared" si="184"/>
        <v>-1.8805072131573897E-2</v>
      </c>
      <c r="M104" s="83">
        <f t="shared" si="185"/>
        <v>0.14102602863208924</v>
      </c>
      <c r="N104" s="83">
        <f t="shared" si="186"/>
        <v>0.11389082856160249</v>
      </c>
      <c r="O104" s="83">
        <f t="shared" si="187"/>
        <v>3.7122126742435091E-2</v>
      </c>
      <c r="P104" s="83">
        <f t="shared" si="188"/>
        <v>0.10117631511903924</v>
      </c>
      <c r="Q104" s="83">
        <f t="shared" si="189"/>
        <v>1.5719234307352448E-2</v>
      </c>
      <c r="R104" s="83">
        <f t="shared" si="190"/>
        <v>-8.7204993535340281E-2</v>
      </c>
      <c r="S104" s="83">
        <f t="shared" si="191"/>
        <v>7.4631301263098582E-2</v>
      </c>
      <c r="T104" s="83">
        <f t="shared" si="192"/>
        <v>2.4383630717316196E-2</v>
      </c>
      <c r="U104" s="83">
        <f t="shared" si="193"/>
        <v>-4.2911308323657082E-2</v>
      </c>
      <c r="V104" s="83">
        <f t="shared" si="194"/>
        <v>1.8751618162115014E-2</v>
      </c>
      <c r="W104" s="83">
        <f t="shared" si="195"/>
        <v>2.019015669851365E-2</v>
      </c>
      <c r="X104" s="83">
        <f t="shared" si="196"/>
        <v>8.4502601237673058E-2</v>
      </c>
      <c r="Y104" s="83">
        <f t="shared" si="197"/>
        <v>8.4947659207821324E-2</v>
      </c>
      <c r="Z104" s="83">
        <f t="shared" si="198"/>
        <v>0.33858682556275466</v>
      </c>
      <c r="AA104" s="83">
        <f t="shared" si="199"/>
        <v>0.22600181842255163</v>
      </c>
    </row>
    <row r="105" spans="1:27" x14ac:dyDescent="0.25">
      <c r="A105" s="64" t="s">
        <v>37</v>
      </c>
      <c r="B105" s="65"/>
      <c r="C105" s="65"/>
      <c r="D105" s="83"/>
      <c r="E105" s="83">
        <f t="shared" si="177"/>
        <v>-4.8159939768811499E-3</v>
      </c>
      <c r="F105" s="83">
        <f t="shared" si="178"/>
        <v>-5.5683671956539671E-2</v>
      </c>
      <c r="G105" s="83">
        <f t="shared" si="179"/>
        <v>-4.763234061025412E-2</v>
      </c>
      <c r="H105" s="83">
        <f t="shared" si="180"/>
        <v>0.12150978254313372</v>
      </c>
      <c r="I105" s="83">
        <f t="shared" si="181"/>
        <v>5.656457381598301E-2</v>
      </c>
      <c r="J105" s="83">
        <f t="shared" si="182"/>
        <v>9.5611863497438332E-2</v>
      </c>
      <c r="K105" s="83">
        <f t="shared" si="183"/>
        <v>0.10325780675157192</v>
      </c>
      <c r="L105" s="83">
        <f t="shared" si="184"/>
        <v>2.4861380598309335E-2</v>
      </c>
      <c r="M105" s="83">
        <f t="shared" si="185"/>
        <v>0.11205211497617085</v>
      </c>
      <c r="N105" s="83">
        <f t="shared" si="186"/>
        <v>2.6291509623399545E-3</v>
      </c>
      <c r="O105" s="83">
        <f t="shared" si="187"/>
        <v>0.15325725163506632</v>
      </c>
      <c r="P105" s="83">
        <f t="shared" si="188"/>
        <v>-8.9873145554858702E-2</v>
      </c>
      <c r="Q105" s="83">
        <f t="shared" si="189"/>
        <v>-5.1253871185005795E-2</v>
      </c>
      <c r="R105" s="83">
        <f t="shared" si="190"/>
        <v>9.8333210229852419E-2</v>
      </c>
      <c r="S105" s="83">
        <f t="shared" si="191"/>
        <v>0.10444197476309403</v>
      </c>
      <c r="T105" s="83">
        <f t="shared" si="192"/>
        <v>-6.6177600214164523E-2</v>
      </c>
      <c r="U105" s="83">
        <f t="shared" si="193"/>
        <v>8.1620711654850631E-4</v>
      </c>
      <c r="V105" s="83">
        <f t="shared" si="194"/>
        <v>0.17187212351531778</v>
      </c>
      <c r="W105" s="83">
        <f t="shared" si="195"/>
        <v>3.5934968244900389E-2</v>
      </c>
      <c r="X105" s="83">
        <f t="shared" si="196"/>
        <v>-5.2531152588007002E-2</v>
      </c>
      <c r="Y105" s="83">
        <f t="shared" si="197"/>
        <v>-7.5483863524639871E-2</v>
      </c>
      <c r="Z105" s="83">
        <f t="shared" si="198"/>
        <v>-1.3100401923990868E-2</v>
      </c>
      <c r="AA105" s="83">
        <f t="shared" si="199"/>
        <v>6.6213739431829399E-2</v>
      </c>
    </row>
    <row r="106" spans="1:27" x14ac:dyDescent="0.25">
      <c r="A106" s="64" t="s">
        <v>58</v>
      </c>
      <c r="B106" s="65"/>
      <c r="C106" s="65"/>
      <c r="D106" s="83"/>
      <c r="E106" s="83">
        <f t="shared" si="177"/>
        <v>-8.3512185687137475E-2</v>
      </c>
      <c r="F106" s="83">
        <f t="shared" si="178"/>
        <v>7.4339207513336447E-3</v>
      </c>
      <c r="G106" s="83">
        <f t="shared" si="179"/>
        <v>0.12438751512287483</v>
      </c>
      <c r="H106" s="83">
        <f t="shared" si="180"/>
        <v>8.0480880428532853E-2</v>
      </c>
      <c r="I106" s="83">
        <f t="shared" si="181"/>
        <v>6.2715331076139247E-2</v>
      </c>
      <c r="J106" s="83">
        <f t="shared" si="182"/>
        <v>9.1679937239866227E-2</v>
      </c>
      <c r="K106" s="83">
        <f t="shared" si="183"/>
        <v>7.751066820141439E-2</v>
      </c>
      <c r="L106" s="83">
        <f t="shared" si="184"/>
        <v>8.801013882374864E-3</v>
      </c>
      <c r="M106" s="83">
        <f t="shared" si="185"/>
        <v>5.1466960269750395E-2</v>
      </c>
      <c r="N106" s="83">
        <f t="shared" si="186"/>
        <v>1.9295659823772571E-3</v>
      </c>
      <c r="O106" s="83">
        <f t="shared" si="187"/>
        <v>4.0628691017220886E-2</v>
      </c>
      <c r="P106" s="83">
        <f t="shared" si="188"/>
        <v>1.659658475942094E-2</v>
      </c>
      <c r="Q106" s="83">
        <f t="shared" si="189"/>
        <v>-4.9143183398504098E-2</v>
      </c>
      <c r="R106" s="83">
        <f t="shared" si="190"/>
        <v>0.15297692274193975</v>
      </c>
      <c r="S106" s="83">
        <f t="shared" si="191"/>
        <v>7.4013716378741323E-2</v>
      </c>
      <c r="T106" s="83">
        <f t="shared" si="192"/>
        <v>7.4148325886191913E-2</v>
      </c>
      <c r="U106" s="83">
        <f t="shared" si="193"/>
        <v>-2.7787818912342943E-2</v>
      </c>
      <c r="V106" s="83">
        <f t="shared" si="194"/>
        <v>3.9661192230281195E-2</v>
      </c>
      <c r="W106" s="83">
        <f t="shared" si="195"/>
        <v>5.5749454468155824E-2</v>
      </c>
      <c r="X106" s="83">
        <f t="shared" si="196"/>
        <v>-4.5373289879850787E-2</v>
      </c>
      <c r="Y106" s="83">
        <f t="shared" si="197"/>
        <v>0.14472839811613269</v>
      </c>
      <c r="Z106" s="83">
        <f t="shared" si="198"/>
        <v>1.0312202902694967E-2</v>
      </c>
      <c r="AA106" s="83">
        <f t="shared" si="199"/>
        <v>-2.3786397868498232E-2</v>
      </c>
    </row>
    <row r="107" spans="1:27" x14ac:dyDescent="0.25">
      <c r="A107" s="85" t="s">
        <v>158</v>
      </c>
      <c r="B107" s="86"/>
      <c r="C107" s="86"/>
      <c r="D107" s="87"/>
      <c r="E107" s="87">
        <f t="shared" ref="E107:E108" si="200">IF(D33=0,"",E33/D33-1)</f>
        <v>-0.10152241106911775</v>
      </c>
      <c r="F107" s="87">
        <f t="shared" ref="F107:F108" si="201">IF(E33=0,"",F33/E33-1)</f>
        <v>-2.3990437475795989E-4</v>
      </c>
      <c r="G107" s="87">
        <f t="shared" ref="G107:G108" si="202">IF(F33=0,"",G33/F33-1)</f>
        <v>1.1204584968268483E-2</v>
      </c>
      <c r="H107" s="87">
        <f t="shared" ref="H107:H108" si="203">IF(G33=0,"",H33/G33-1)</f>
        <v>0.93321408639710457</v>
      </c>
      <c r="I107" s="87">
        <f t="shared" ref="I107:I108" si="204">IF(H33=0,"",I33/H33-1)</f>
        <v>-6.950506871377593E-2</v>
      </c>
      <c r="J107" s="87">
        <f t="shared" ref="J107:J108" si="205">IF(I33=0,"",J33/I33-1)</f>
        <v>0.45466912906777601</v>
      </c>
      <c r="K107" s="87">
        <f t="shared" ref="K107:K108" si="206">IF(J33=0,"",K33/J33-1)</f>
        <v>0.13825246361845034</v>
      </c>
      <c r="L107" s="87">
        <f t="shared" ref="L107:L108" si="207">IF(K33=0,"",L33/K33-1)</f>
        <v>-0.40633141245254567</v>
      </c>
      <c r="M107" s="87">
        <f t="shared" ref="M107:M108" si="208">IF(L33=0,"",M33/L33-1)</f>
        <v>-1.5883092141432353E-2</v>
      </c>
      <c r="N107" s="87">
        <f t="shared" ref="N107:N108" si="209">IF(M33=0,"",N33/M33-1)</f>
        <v>-0.33186085981803881</v>
      </c>
      <c r="O107" s="87">
        <f t="shared" ref="O107:O108" si="210">IF(N33=0,"",O33/N33-1)</f>
        <v>0.51251120574337361</v>
      </c>
      <c r="P107" s="87">
        <f t="shared" ref="P107:P108" si="211">IF(O33=0,"",P33/O33-1)</f>
        <v>1.8622831882181279E-2</v>
      </c>
      <c r="Q107" s="87">
        <f t="shared" ref="Q107:Q108" si="212">IF(P33=0,"",Q33/P33-1)</f>
        <v>-2.879609574942088E-2</v>
      </c>
      <c r="R107" s="87">
        <f t="shared" ref="R107:R108" si="213">IF(Q33=0,"",R33/Q33-1)</f>
        <v>0.21194490781031372</v>
      </c>
      <c r="S107" s="87">
        <f t="shared" ref="S107:S108" si="214">IF(R33=0,"",S33/R33-1)</f>
        <v>7.3400298068438286E-2</v>
      </c>
      <c r="T107" s="87">
        <f t="shared" ref="T107:T108" si="215">IF(S33=0,"",T33/S33-1)</f>
        <v>8.7665005335181956E-2</v>
      </c>
      <c r="U107" s="87">
        <f t="shared" ref="U107:U108" si="216">IF(T33=0,"",U33/T33-1)</f>
        <v>-6.8260868400286112E-2</v>
      </c>
      <c r="V107" s="87">
        <f t="shared" ref="V107:V108" si="217">IF(U33=0,"",V33/U33-1)</f>
        <v>2.9493692284418449E-2</v>
      </c>
      <c r="W107" s="87">
        <f t="shared" ref="W107:W108" si="218">IF(V33=0,"",W33/V33-1)</f>
        <v>-8.2852896935625808E-2</v>
      </c>
      <c r="X107" s="87">
        <f t="shared" ref="X107:X108" si="219">IF(W33=0,"",X33/W33-1)</f>
        <v>-0.16004847383329923</v>
      </c>
      <c r="Y107" s="87">
        <f t="shared" ref="Y107:Y108" si="220">IF(X33=0,"",Y33/X33-1)</f>
        <v>0.73543409871239884</v>
      </c>
      <c r="Z107" s="87">
        <f t="shared" si="198"/>
        <v>-2.7242507325515919E-2</v>
      </c>
      <c r="AA107" s="87">
        <f t="shared" si="199"/>
        <v>-8.9436567109562271E-2</v>
      </c>
    </row>
    <row r="108" spans="1:27" x14ac:dyDescent="0.25">
      <c r="A108" s="88" t="s">
        <v>5</v>
      </c>
      <c r="B108" s="44"/>
      <c r="C108" s="44"/>
      <c r="D108" s="89"/>
      <c r="E108" s="89">
        <f t="shared" si="200"/>
        <v>-0.10152241106911764</v>
      </c>
      <c r="F108" s="89">
        <f t="shared" si="201"/>
        <v>-2.3990437475807092E-4</v>
      </c>
      <c r="G108" s="89">
        <f t="shared" si="202"/>
        <v>1.1204584968268483E-2</v>
      </c>
      <c r="H108" s="89">
        <f t="shared" si="203"/>
        <v>0.93321408639710435</v>
      </c>
      <c r="I108" s="89">
        <f t="shared" si="204"/>
        <v>-6.9505068713775708E-2</v>
      </c>
      <c r="J108" s="89">
        <f t="shared" si="205"/>
        <v>0.45466912906777579</v>
      </c>
      <c r="K108" s="89">
        <f t="shared" si="206"/>
        <v>0.13825246361845012</v>
      </c>
      <c r="L108" s="89">
        <f t="shared" si="207"/>
        <v>-0.40633141245254567</v>
      </c>
      <c r="M108" s="89">
        <f t="shared" si="208"/>
        <v>-0.14135298515282924</v>
      </c>
      <c r="N108" s="89">
        <f t="shared" si="209"/>
        <v>-0.311455029525189</v>
      </c>
      <c r="O108" s="89">
        <f t="shared" si="210"/>
        <v>0.50029861196688663</v>
      </c>
      <c r="P108" s="89">
        <f t="shared" si="211"/>
        <v>2.2723773093161537E-2</v>
      </c>
      <c r="Q108" s="89">
        <f t="shared" si="212"/>
        <v>-2.517634643511657E-2</v>
      </c>
      <c r="R108" s="89">
        <f t="shared" si="213"/>
        <v>0.20692340437069467</v>
      </c>
      <c r="S108" s="89">
        <f t="shared" si="214"/>
        <v>4.3675268130423994E-2</v>
      </c>
      <c r="T108" s="89">
        <f t="shared" si="215"/>
        <v>6.299267253304186E-2</v>
      </c>
      <c r="U108" s="89">
        <f t="shared" si="216"/>
        <v>-0.10424325254897104</v>
      </c>
      <c r="V108" s="89">
        <f t="shared" si="217"/>
        <v>6.9649842586740451E-2</v>
      </c>
      <c r="W108" s="89">
        <f t="shared" si="218"/>
        <v>-0.18162413903097874</v>
      </c>
      <c r="X108" s="89">
        <f t="shared" si="219"/>
        <v>-0.16060039015434258</v>
      </c>
      <c r="Y108" s="89">
        <f t="shared" si="220"/>
        <v>1.0337843123222514</v>
      </c>
      <c r="Z108" s="89">
        <f t="shared" si="198"/>
        <v>-3.710542131967165E-2</v>
      </c>
      <c r="AA108" s="89">
        <f t="shared" si="199"/>
        <v>-0.18201161790511267</v>
      </c>
    </row>
    <row r="109" spans="1:27" x14ac:dyDescent="0.25">
      <c r="A109" s="88" t="s">
        <v>263</v>
      </c>
      <c r="B109" s="44"/>
      <c r="C109" s="44"/>
      <c r="D109" s="89"/>
      <c r="E109" s="89">
        <f t="shared" ref="E109" si="221">IF(D37=0,"",E37/D37-1)</f>
        <v>-0.10152241106911808</v>
      </c>
      <c r="F109" s="89">
        <f t="shared" ref="F109" si="222">IF(E37=0,"",F37/E37-1)</f>
        <v>-2.3990437475740478E-4</v>
      </c>
      <c r="G109" s="89">
        <f t="shared" ref="G109" si="223">IF(F37=0,"",G37/F37-1)</f>
        <v>1.1204584968268483E-2</v>
      </c>
      <c r="H109" s="89">
        <f t="shared" ref="H109" si="224">IF(G37=0,"",H37/G37-1)</f>
        <v>0.93321408639710524</v>
      </c>
      <c r="I109" s="89">
        <f t="shared" ref="I109" si="225">IF(H37=0,"",I37/H37-1)</f>
        <v>-6.9505068713776152E-2</v>
      </c>
      <c r="J109" s="89">
        <f t="shared" ref="J109" si="226">IF(I37=0,"",J37/I37-1)</f>
        <v>0.45466912906777557</v>
      </c>
      <c r="K109" s="89">
        <f t="shared" ref="K109" si="227">IF(J37=0,"",K37/J37-1)</f>
        <v>0.138252463618451</v>
      </c>
      <c r="L109" s="89">
        <f t="shared" ref="L109" si="228">IF(K37=0,"",L37/K37-1)</f>
        <v>-0.40633141245254567</v>
      </c>
      <c r="M109" s="89">
        <f t="shared" ref="M109" si="229">IF(L37=0,"",M37/L37-1)</f>
        <v>0.60523079872447672</v>
      </c>
      <c r="N109" s="89">
        <f t="shared" ref="N109" si="230">IF(M37=0,"",N37/M37-1)</f>
        <v>-0.3858943680146858</v>
      </c>
      <c r="O109" s="89">
        <f t="shared" ref="O109" si="231">IF(N37=0,"",O37/N37-1)</f>
        <v>0.54876938874776937</v>
      </c>
      <c r="P109" s="89">
        <f t="shared" ref="P109" si="232">IF(O37=0,"",P37/O37-1)</f>
        <v>6.8285196750594856E-3</v>
      </c>
      <c r="Q109" s="89">
        <f t="shared" ref="Q109" si="233">IF(P37=0,"",Q37/P37-1)</f>
        <v>-3.9370853153968821E-2</v>
      </c>
      <c r="R109" s="89">
        <f t="shared" ref="R109" si="234">IF(Q37=0,"",R37/Q37-1)</f>
        <v>0.22683152367535109</v>
      </c>
      <c r="S109" s="89">
        <f t="shared" ref="S109" si="235">IF(R37=0,"",S37/R37-1)</f>
        <v>0.16009235360108875</v>
      </c>
      <c r="T109" s="89">
        <f t="shared" ref="T109" si="236">IF(S37=0,"",T37/S37-1)</f>
        <v>0.15240013798380936</v>
      </c>
      <c r="U109" s="89">
        <f t="shared" ref="U109" si="237">IF(T37=0,"",U37/T37-1)</f>
        <v>1.882480866586822E-2</v>
      </c>
      <c r="V109" s="89">
        <f t="shared" ref="V109" si="238">IF(U37=0,"",V37/U37-1)</f>
        <v>-5.5953824222051418E-2</v>
      </c>
      <c r="W109" s="89">
        <f t="shared" ref="W109" si="239">IF(V37=0,"",W37/V37-1)</f>
        <v>0.15528377677542626</v>
      </c>
      <c r="X109" s="89">
        <f t="shared" ref="X109" si="240">IF(W37=0,"",X37/W37-1)</f>
        <v>-0.15910586144981198</v>
      </c>
      <c r="Y109" s="89">
        <f t="shared" ref="Y109" si="241">IF(X37=0,"",Y37/X37-1)</f>
        <v>0.2267903693388329</v>
      </c>
      <c r="Z109" s="89">
        <f t="shared" ref="Z109" si="242">IF(Y37=0,"",Z37/Y37-1)</f>
        <v>6.3327873874152729E-4</v>
      </c>
      <c r="AA109" s="89">
        <f t="shared" ref="AA109" si="243">IF(Z37=0,"",AA37/Z37-1)</f>
        <v>0.16234250861177113</v>
      </c>
    </row>
    <row r="110" spans="1:27" x14ac:dyDescent="0.25">
      <c r="A110" s="68" t="s">
        <v>265</v>
      </c>
      <c r="B110" s="44"/>
      <c r="C110" s="44"/>
      <c r="D110" s="89"/>
      <c r="E110" s="89">
        <f t="shared" ref="E110:E111" si="244">IF(D43=0,"",E43/D43-1)</f>
        <v>-7.6001129246021204E-2</v>
      </c>
      <c r="F110" s="89">
        <f t="shared" ref="F110:F111" si="245">IF(E43=0,"",F43/E43-1)</f>
        <v>2.1138085155748776E-2</v>
      </c>
      <c r="G110" s="89">
        <f t="shared" ref="G110:G111" si="246">IF(F43=0,"",G43/F43-1)</f>
        <v>1.8939502615340498E-2</v>
      </c>
      <c r="H110" s="89">
        <f t="shared" ref="H110:H111" si="247">IF(G43=0,"",H43/G43-1)</f>
        <v>4.7544325981262681E-2</v>
      </c>
      <c r="I110" s="89">
        <f t="shared" ref="I110:I111" si="248">IF(H43=0,"",I43/H43-1)</f>
        <v>5.8346544493188324E-2</v>
      </c>
      <c r="J110" s="89">
        <f t="shared" ref="J110:J111" si="249">IF(I43=0,"",J43/I43-1)</f>
        <v>5.7011693082398507E-2</v>
      </c>
      <c r="K110" s="89">
        <f t="shared" ref="K110:K111" si="250">IF(J43=0,"",K43/J43-1)</f>
        <v>9.9089809073289015E-2</v>
      </c>
      <c r="L110" s="89">
        <f t="shared" ref="L110:L111" si="251">IF(K43=0,"",L43/K43-1)</f>
        <v>8.5987959533353475E-3</v>
      </c>
      <c r="M110" s="89">
        <f t="shared" ref="M110:M111" si="252">IF(L43=0,"",M43/L43-1)</f>
        <v>-1.5384294676068166E-2</v>
      </c>
      <c r="N110" s="89">
        <f t="shared" ref="N110:N111" si="253">IF(M43=0,"",N43/M43-1)</f>
        <v>0.16277400458607683</v>
      </c>
      <c r="O110" s="89">
        <f t="shared" ref="O110:O111" si="254">IF(N43=0,"",O43/N43-1)</f>
        <v>6.1926937597366782E-2</v>
      </c>
      <c r="P110" s="89">
        <f t="shared" ref="P110:P111" si="255">IF(O43=0,"",P43/O43-1)</f>
        <v>4.6675004392147112E-3</v>
      </c>
      <c r="Q110" s="89">
        <f t="shared" ref="Q110:Q111" si="256">IF(P43=0,"",Q43/P43-1)</f>
        <v>-8.9695873909700685E-2</v>
      </c>
      <c r="R110" s="89">
        <f t="shared" ref="R110:R111" si="257">IF(Q43=0,"",R43/Q43-1)</f>
        <v>0.10768666140969896</v>
      </c>
      <c r="S110" s="89">
        <f t="shared" ref="S110:S111" si="258">IF(R43=0,"",S43/R43-1)</f>
        <v>0.12496019875452946</v>
      </c>
      <c r="T110" s="89">
        <f t="shared" ref="T110:T111" si="259">IF(S43=0,"",T43/S43-1)</f>
        <v>8.0180463318973993E-2</v>
      </c>
      <c r="U110" s="89">
        <f t="shared" ref="U110:U111" si="260">IF(T43=0,"",U43/T43-1)</f>
        <v>-0.12689555965111676</v>
      </c>
      <c r="V110" s="89">
        <f t="shared" ref="V110:V111" si="261">IF(U43=0,"",V43/U43-1)</f>
        <v>0.1339136203340765</v>
      </c>
      <c r="W110" s="89">
        <f t="shared" ref="W110:W111" si="262">IF(V43=0,"",W43/V43-1)</f>
        <v>-5.3775842262885676E-2</v>
      </c>
      <c r="X110" s="89">
        <f t="shared" ref="X110:X111" si="263">IF(W43=0,"",X43/W43-1)</f>
        <v>2.0804805380255642E-2</v>
      </c>
      <c r="Y110" s="89">
        <f t="shared" ref="Y110:Y111" si="264">IF(X43=0,"",Y43/X43-1)</f>
        <v>0.15943460391758935</v>
      </c>
      <c r="Z110" s="89">
        <f t="shared" ref="Z110:Z111" si="265">IF(Y43=0,"",Z43/Y43-1)</f>
        <v>-2.18575440396368E-2</v>
      </c>
      <c r="AA110" s="89">
        <f t="shared" ref="AA110:AA111" si="266">IF(Z43=0,"",AA43/Z43-1)</f>
        <v>-4.1794447102684096E-2</v>
      </c>
    </row>
    <row r="111" spans="1:27" x14ac:dyDescent="0.25">
      <c r="A111" s="88" t="s">
        <v>266</v>
      </c>
      <c r="B111" s="44"/>
      <c r="C111" s="44"/>
      <c r="D111" s="89"/>
      <c r="E111" s="89">
        <f t="shared" si="244"/>
        <v>-7.4586889672469514E-2</v>
      </c>
      <c r="F111" s="89">
        <f t="shared" si="245"/>
        <v>1.0842863388401458E-2</v>
      </c>
      <c r="G111" s="89">
        <f t="shared" si="246"/>
        <v>5.0112727763398368E-2</v>
      </c>
      <c r="H111" s="89">
        <f t="shared" si="247"/>
        <v>7.0971620663418111E-2</v>
      </c>
      <c r="I111" s="89">
        <f t="shared" si="248"/>
        <v>3.277806847386322E-2</v>
      </c>
      <c r="J111" s="89">
        <f t="shared" si="249"/>
        <v>6.8613181917092536E-2</v>
      </c>
      <c r="K111" s="89">
        <f t="shared" si="250"/>
        <v>-4.3617938607640627E-2</v>
      </c>
      <c r="L111" s="89">
        <f t="shared" si="251"/>
        <v>-1.1709108804452972E-3</v>
      </c>
      <c r="M111" s="89">
        <f t="shared" si="252"/>
        <v>-5.4116423097358535E-2</v>
      </c>
      <c r="N111" s="89">
        <f t="shared" si="253"/>
        <v>0.26982368061289641</v>
      </c>
      <c r="O111" s="89">
        <f t="shared" si="254"/>
        <v>0.14603463545552309</v>
      </c>
      <c r="P111" s="89">
        <f t="shared" si="255"/>
        <v>-1.1874574257019987E-2</v>
      </c>
      <c r="Q111" s="89">
        <f t="shared" si="256"/>
        <v>-0.12746786742252936</v>
      </c>
      <c r="R111" s="89">
        <f t="shared" si="257"/>
        <v>0.10463317785434456</v>
      </c>
      <c r="S111" s="89">
        <f t="shared" si="258"/>
        <v>0.17027190726052499</v>
      </c>
      <c r="T111" s="89">
        <f t="shared" si="259"/>
        <v>0.11115796896220442</v>
      </c>
      <c r="U111" s="89">
        <f t="shared" si="260"/>
        <v>-0.1309008431337173</v>
      </c>
      <c r="V111" s="89">
        <f t="shared" si="261"/>
        <v>-1.3515714627900688E-2</v>
      </c>
      <c r="W111" s="89">
        <f t="shared" si="262"/>
        <v>5.8404257114507363E-2</v>
      </c>
      <c r="X111" s="89">
        <f t="shared" si="263"/>
        <v>9.4805066985437225E-3</v>
      </c>
      <c r="Y111" s="89">
        <f t="shared" si="264"/>
        <v>0.16861771056786101</v>
      </c>
      <c r="Z111" s="89">
        <f t="shared" si="265"/>
        <v>1.4230544658982547E-2</v>
      </c>
      <c r="AA111" s="89">
        <f t="shared" si="266"/>
        <v>-2.420558981742793E-2</v>
      </c>
    </row>
    <row r="112" spans="1:27" x14ac:dyDescent="0.25">
      <c r="A112" s="88" t="s">
        <v>11</v>
      </c>
      <c r="B112" s="44"/>
      <c r="C112" s="44"/>
      <c r="D112" s="89"/>
      <c r="E112" s="89">
        <f t="shared" ref="E112:E113" si="267">IF(D47=0,"",E47/D47-1)</f>
        <v>-8.0299740683687726E-2</v>
      </c>
      <c r="F112" s="89">
        <f t="shared" ref="F112:F113" si="268">IF(E47=0,"",F47/E47-1)</f>
        <v>5.2625010130861627E-2</v>
      </c>
      <c r="G112" s="89">
        <f t="shared" ref="G112:G113" si="269">IF(F47=0,"",G47/F47-1)</f>
        <v>-7.2616378010220695E-2</v>
      </c>
      <c r="H112" s="89">
        <f t="shared" ref="H112:H113" si="270">IF(G47=0,"",H47/G47-1)</f>
        <v>-3.0367458038529249E-2</v>
      </c>
      <c r="I112" s="89">
        <f t="shared" ref="I112:I113" si="271">IF(H47=0,"",I47/H47-1)</f>
        <v>0.15226623049652921</v>
      </c>
      <c r="J112" s="89">
        <f t="shared" ref="J112:J113" si="272">IF(I47=0,"",J47/I47-1)</f>
        <v>1.8815534487298224E-2</v>
      </c>
      <c r="K112" s="89">
        <f t="shared" ref="K112:K113" si="273">IF(J47=0,"",K47/J47-1)</f>
        <v>0.59189864068115905</v>
      </c>
      <c r="L112" s="89">
        <f t="shared" ref="L112:L113" si="274">IF(K47=0,"",L47/K47-1)</f>
        <v>2.886761622834233E-2</v>
      </c>
      <c r="M112" s="89">
        <f t="shared" ref="M112:M113" si="275">IF(L47=0,"",M47/L47-1)</f>
        <v>6.2625653097384548E-2</v>
      </c>
      <c r="N112" s="89">
        <f t="shared" ref="N112:N113" si="276">IF(M47=0,"",N47/M47-1)</f>
        <v>-2.914649708965289E-2</v>
      </c>
      <c r="O112" s="89">
        <f t="shared" ref="O112:O113" si="277">IF(N47=0,"",O47/N47-1)</f>
        <v>-0.13529784170695347</v>
      </c>
      <c r="P112" s="89">
        <f t="shared" ref="P112:P113" si="278">IF(O47=0,"",P47/O47-1)</f>
        <v>5.6077418362695308E-2</v>
      </c>
      <c r="Q112" s="89">
        <f t="shared" ref="Q112:Q113" si="279">IF(P47=0,"",Q47/P47-1)</f>
        <v>2.013973382410561E-2</v>
      </c>
      <c r="R112" s="89">
        <f t="shared" ref="R112:R113" si="280">IF(Q47=0,"",R47/Q47-1)</f>
        <v>0.11528101130542256</v>
      </c>
      <c r="S112" s="89">
        <f t="shared" ref="S112:S113" si="281">IF(R47=0,"",S47/R47-1)</f>
        <v>1.3340915307732848E-2</v>
      </c>
      <c r="T112" s="89">
        <f t="shared" ref="T112:T113" si="282">IF(S47=0,"",T47/S47-1)</f>
        <v>-7.9460197090794882E-3</v>
      </c>
      <c r="U112" s="89">
        <f t="shared" ref="U112:U113" si="283">IF(T47=0,"",U47/T47-1)</f>
        <v>-0.1141331184338944</v>
      </c>
      <c r="V112" s="89">
        <f t="shared" ref="V112:V113" si="284">IF(U47=0,"",V47/U47-1)</f>
        <v>0.59479086358443323</v>
      </c>
      <c r="W112" s="89">
        <f t="shared" ref="W112:W113" si="285">IF(V47=0,"",W47/V47-1)</f>
        <v>-0.27069784768953609</v>
      </c>
      <c r="X112" s="89">
        <f t="shared" ref="X112:X113" si="286">IF(W47=0,"",X47/W47-1)</f>
        <v>5.2584022095169214E-2</v>
      </c>
      <c r="Y112" s="89">
        <f t="shared" ref="Y112:Y113" si="287">IF(X47=0,"",Y47/X47-1)</f>
        <v>0.13471948724124561</v>
      </c>
      <c r="Z112" s="89">
        <f t="shared" ref="Z112:Z113" si="288">IF(Y47=0,"",Z47/Y47-1)</f>
        <v>-0.12188537900734076</v>
      </c>
      <c r="AA112" s="89">
        <f t="shared" ref="AA112:AA113" si="289">IF(Z47=0,"",AA47/Z47-1)</f>
        <v>-9.8103742074235778E-2</v>
      </c>
    </row>
    <row r="113" spans="1:27" x14ac:dyDescent="0.25">
      <c r="A113" s="68" t="s">
        <v>4</v>
      </c>
      <c r="B113" s="44"/>
      <c r="C113" s="44"/>
      <c r="D113" s="89"/>
      <c r="E113" s="89">
        <f t="shared" si="267"/>
        <v>-6.8602057726103061E-2</v>
      </c>
      <c r="F113" s="89">
        <f t="shared" si="268"/>
        <v>8.9327079019789757E-3</v>
      </c>
      <c r="G113" s="89">
        <f t="shared" si="269"/>
        <v>0.10459146985930468</v>
      </c>
      <c r="H113" s="89">
        <f t="shared" si="270"/>
        <v>8.4026982821234553E-2</v>
      </c>
      <c r="I113" s="89">
        <f t="shared" si="271"/>
        <v>-3.1469094729690728E-2</v>
      </c>
      <c r="J113" s="89">
        <f t="shared" si="272"/>
        <v>0.15545905717832675</v>
      </c>
      <c r="K113" s="89">
        <f t="shared" si="273"/>
        <v>0.23989491648509675</v>
      </c>
      <c r="L113" s="89">
        <f t="shared" si="274"/>
        <v>-7.3475551961520669E-2</v>
      </c>
      <c r="M113" s="89">
        <f t="shared" si="275"/>
        <v>-0.12663034200995649</v>
      </c>
      <c r="N113" s="89">
        <f t="shared" si="276"/>
        <v>-2.7415918242477577E-2</v>
      </c>
      <c r="O113" s="89">
        <f t="shared" si="277"/>
        <v>1.2127402370081697E-2</v>
      </c>
      <c r="P113" s="89">
        <f t="shared" si="278"/>
        <v>-6.1457258812858795E-2</v>
      </c>
      <c r="Q113" s="89">
        <f t="shared" si="279"/>
        <v>-5.9012441042218589E-2</v>
      </c>
      <c r="R113" s="89">
        <f t="shared" si="280"/>
        <v>0.14244519045058079</v>
      </c>
      <c r="S113" s="89">
        <f t="shared" si="281"/>
        <v>0.10515722279472395</v>
      </c>
      <c r="T113" s="89">
        <f t="shared" si="282"/>
        <v>2.3298404562684949E-2</v>
      </c>
      <c r="U113" s="89">
        <f t="shared" si="283"/>
        <v>-5.3978348420428146E-3</v>
      </c>
      <c r="V113" s="89">
        <f t="shared" si="284"/>
        <v>8.0370730981765837E-2</v>
      </c>
      <c r="W113" s="89">
        <f t="shared" si="285"/>
        <v>2.1039955482971662E-2</v>
      </c>
      <c r="X113" s="89">
        <f t="shared" si="286"/>
        <v>-2.7457614156122689E-2</v>
      </c>
      <c r="Y113" s="89">
        <f t="shared" si="287"/>
        <v>0.12479620581861628</v>
      </c>
      <c r="Z113" s="89">
        <f t="shared" si="288"/>
        <v>-1.7329871092724325E-2</v>
      </c>
      <c r="AA113" s="89">
        <f t="shared" si="289"/>
        <v>-4.1102540149719924E-2</v>
      </c>
    </row>
    <row r="114" spans="1:27" x14ac:dyDescent="0.25">
      <c r="A114" s="68" t="s">
        <v>3</v>
      </c>
      <c r="B114" s="44"/>
      <c r="C114" s="44"/>
      <c r="D114" s="89"/>
      <c r="E114" s="89">
        <f t="shared" ref="E114:E115" si="290">IF(D52=0,"",E52/D52-1)</f>
        <v>-8.8823493221232397E-2</v>
      </c>
      <c r="F114" s="89">
        <f t="shared" ref="F114:F115" si="291">IF(E52=0,"",F52/E52-1)</f>
        <v>9.7747539322541321E-3</v>
      </c>
      <c r="G114" s="89">
        <f t="shared" ref="G114:G115" si="292">IF(F52=0,"",G52/F52-1)</f>
        <v>2.0508119054149843E-2</v>
      </c>
      <c r="H114" s="89">
        <f t="shared" ref="H114:H115" si="293">IF(G52=0,"",H52/G52-1)</f>
        <v>5.2144728826899245E-2</v>
      </c>
      <c r="I114" s="89">
        <f t="shared" ref="I114:I115" si="294">IF(H52=0,"",I52/H52-1)</f>
        <v>3.9761665947638081E-2</v>
      </c>
      <c r="J114" s="89">
        <f t="shared" ref="J114:J115" si="295">IF(I52=0,"",J52/I52-1)</f>
        <v>1.0648891788820114E-2</v>
      </c>
      <c r="K114" s="89">
        <f t="shared" ref="K114:K115" si="296">IF(J52=0,"",K52/J52-1)</f>
        <v>0.22110733609482058</v>
      </c>
      <c r="L114" s="89">
        <f t="shared" ref="L114:L115" si="297">IF(K52=0,"",L52/K52-1)</f>
        <v>-0.14602865487611649</v>
      </c>
      <c r="M114" s="89">
        <f t="shared" ref="M114:M115" si="298">IF(L52=0,"",M52/L52-1)</f>
        <v>8.37540291796397E-2</v>
      </c>
      <c r="N114" s="89">
        <f t="shared" ref="N114:N115" si="299">IF(M52=0,"",N52/M52-1)</f>
        <v>-4.6936345223216547E-2</v>
      </c>
      <c r="O114" s="89">
        <f t="shared" ref="O114:O115" si="300">IF(N52=0,"",O52/N52-1)</f>
        <v>0.10830014173519387</v>
      </c>
      <c r="P114" s="89">
        <f t="shared" ref="P114:P115" si="301">IF(O52=0,"",P52/O52-1)</f>
        <v>7.9891432354173286E-2</v>
      </c>
      <c r="Q114" s="89">
        <f t="shared" ref="Q114:Q115" si="302">IF(P52=0,"",Q52/P52-1)</f>
        <v>-0.12247054844481664</v>
      </c>
      <c r="R114" s="89">
        <f t="shared" ref="R114:R115" si="303">IF(Q52=0,"",R52/Q52-1)</f>
        <v>0.2113464525880917</v>
      </c>
      <c r="S114" s="89">
        <f t="shared" ref="S114:S115" si="304">IF(R52=0,"",S52/R52-1)</f>
        <v>0.13904931957580979</v>
      </c>
      <c r="T114" s="89">
        <f t="shared" ref="T114:T115" si="305">IF(S52=0,"",T52/S52-1)</f>
        <v>2.0600059551342254E-2</v>
      </c>
      <c r="U114" s="89">
        <f t="shared" ref="U114:U115" si="306">IF(T52=0,"",U52/T52-1)</f>
        <v>-5.2150494932462821E-2</v>
      </c>
      <c r="V114" s="89">
        <f t="shared" ref="V114:V115" si="307">IF(U52=0,"",V52/U52-1)</f>
        <v>8.3477473861561347E-2</v>
      </c>
      <c r="W114" s="89">
        <f t="shared" ref="W114:W115" si="308">IF(V52=0,"",W52/V52-1)</f>
        <v>1.9816036839630069E-2</v>
      </c>
      <c r="X114" s="89">
        <f t="shared" ref="X114:X115" si="309">IF(W52=0,"",X52/W52-1)</f>
        <v>-3.5671614621666237E-2</v>
      </c>
      <c r="Y114" s="89">
        <f t="shared" ref="Y114:Y115" si="310">IF(X52=0,"",Y52/X52-1)</f>
        <v>0.19284396809810822</v>
      </c>
      <c r="Z114" s="89">
        <f t="shared" ref="Z114:Z115" si="311">IF(Y52=0,"",Z52/Y52-1)</f>
        <v>-1.9522489517434405E-2</v>
      </c>
      <c r="AA114" s="89">
        <f t="shared" ref="AA114:AA115" si="312">IF(Z52=0,"",AA52/Z52-1)</f>
        <v>-4.0461626726284505E-2</v>
      </c>
    </row>
    <row r="115" spans="1:27" x14ac:dyDescent="0.25">
      <c r="A115" s="88" t="s">
        <v>21</v>
      </c>
      <c r="B115" s="44"/>
      <c r="C115" s="44"/>
      <c r="D115" s="89"/>
      <c r="E115" s="89">
        <f t="shared" si="290"/>
        <v>-6.6526628675973254E-2</v>
      </c>
      <c r="F115" s="89">
        <f t="shared" si="291"/>
        <v>1.0693017771218116E-2</v>
      </c>
      <c r="G115" s="89">
        <f t="shared" si="292"/>
        <v>6.9694818772448208E-2</v>
      </c>
      <c r="H115" s="89">
        <f t="shared" si="293"/>
        <v>1.0916692301465192E-2</v>
      </c>
      <c r="I115" s="89">
        <f t="shared" si="294"/>
        <v>-5.2744386242167707E-2</v>
      </c>
      <c r="J115" s="89">
        <f t="shared" si="295"/>
        <v>2.9134301645230121E-2</v>
      </c>
      <c r="K115" s="89">
        <f t="shared" si="296"/>
        <v>0.20411700410311084</v>
      </c>
      <c r="L115" s="89">
        <f t="shared" si="297"/>
        <v>-0.21068024469931368</v>
      </c>
      <c r="M115" s="89">
        <f t="shared" si="298"/>
        <v>0.1552377933376039</v>
      </c>
      <c r="N115" s="89">
        <f t="shared" si="299"/>
        <v>-6.9313106162165128E-2</v>
      </c>
      <c r="O115" s="89">
        <f t="shared" si="300"/>
        <v>0.16091108812986143</v>
      </c>
      <c r="P115" s="89">
        <f t="shared" si="301"/>
        <v>0.12146541480073747</v>
      </c>
      <c r="Q115" s="89">
        <f t="shared" si="302"/>
        <v>-0.11646740981934689</v>
      </c>
      <c r="R115" s="89">
        <f t="shared" si="303"/>
        <v>0.28544724747942896</v>
      </c>
      <c r="S115" s="89">
        <f t="shared" si="304"/>
        <v>9.8859115661876329E-2</v>
      </c>
      <c r="T115" s="89">
        <f t="shared" si="305"/>
        <v>5.0509626203988134E-2</v>
      </c>
      <c r="U115" s="89">
        <f t="shared" si="306"/>
        <v>-2.5474810250878166E-2</v>
      </c>
      <c r="V115" s="89">
        <f t="shared" si="307"/>
        <v>0.10608822344446511</v>
      </c>
      <c r="W115" s="89">
        <f t="shared" si="308"/>
        <v>9.7651452123368454E-3</v>
      </c>
      <c r="X115" s="89">
        <f t="shared" si="309"/>
        <v>-2.2768217761776066E-3</v>
      </c>
      <c r="Y115" s="89">
        <f t="shared" si="310"/>
        <v>0.18288639560529529</v>
      </c>
      <c r="Z115" s="89">
        <f t="shared" si="311"/>
        <v>-3.2335984500619919E-4</v>
      </c>
      <c r="AA115" s="89">
        <f t="shared" si="312"/>
        <v>-3.1384939752492125E-2</v>
      </c>
    </row>
    <row r="116" spans="1:27" x14ac:dyDescent="0.25">
      <c r="A116" s="88" t="s">
        <v>16</v>
      </c>
      <c r="B116" s="44"/>
      <c r="C116" s="44"/>
      <c r="D116" s="89"/>
      <c r="E116" s="89">
        <f t="shared" ref="E116:E122" si="313">IF(D56=0,"",E56/D56-1)</f>
        <v>-0.12102874731782909</v>
      </c>
      <c r="F116" s="89">
        <f t="shared" ref="F116:F122" si="314">IF(E56=0,"",F56/E56-1)</f>
        <v>8.3661863826824945E-3</v>
      </c>
      <c r="G116" s="89">
        <f t="shared" ref="G116:G122" si="315">IF(F56=0,"",G56/F56-1)</f>
        <v>-5.5115746329348902E-2</v>
      </c>
      <c r="H116" s="89">
        <f t="shared" ref="H116:H122" si="316">IF(G56=0,"",H56/G56-1)</f>
        <v>0.1239051734498311</v>
      </c>
      <c r="I116" s="89">
        <f t="shared" ref="I116:I122" si="317">IF(H56=0,"",I56/H56-1)</f>
        <v>0.18458825870843798</v>
      </c>
      <c r="J116" s="89">
        <f t="shared" ref="J116:J122" si="318">IF(I56=0,"",J56/I56-1)</f>
        <v>-1.2493434595118758E-2</v>
      </c>
      <c r="K116" s="89">
        <f t="shared" ref="K116:K122" si="319">IF(J56=0,"",K56/J56-1)</f>
        <v>0.24327458803568236</v>
      </c>
      <c r="L116" s="89">
        <f t="shared" ref="L116:L122" si="320">IF(K56=0,"",L56/K56-1)</f>
        <v>-6.4334528374297206E-2</v>
      </c>
      <c r="M116" s="89">
        <f t="shared" ref="M116:M122" si="321">IF(L56=0,"",M56/L56-1)</f>
        <v>7.5546545198075243E-3</v>
      </c>
      <c r="N116" s="89">
        <f t="shared" ref="N116:N122" si="322">IF(M56=0,"",N56/M56-1)</f>
        <v>-1.958718530102721E-2</v>
      </c>
      <c r="O116" s="89">
        <f t="shared" ref="O116:O122" si="323">IF(N56=0,"",O56/N56-1)</f>
        <v>4.7259723341703586E-2</v>
      </c>
      <c r="P116" s="89">
        <f t="shared" ref="P116:P122" si="324">IF(O56=0,"",P56/O56-1)</f>
        <v>2.6421753718716801E-2</v>
      </c>
      <c r="Q116" s="89">
        <f t="shared" ref="Q116:Q122" si="325">IF(P56=0,"",Q56/P56-1)</f>
        <v>-0.13090631115247486</v>
      </c>
      <c r="R116" s="89">
        <f t="shared" ref="R116:R122" si="326">IF(Q56=0,"",R56/Q56-1)</f>
        <v>0.10548817417189538</v>
      </c>
      <c r="S116" s="89">
        <f t="shared" ref="S116:S122" si="327">IF(R56=0,"",S56/R56-1)</f>
        <v>0.20581024178171003</v>
      </c>
      <c r="T116" s="89">
        <f t="shared" ref="T116:T122" si="328">IF(S56=0,"",T56/S56-1)</f>
        <v>-2.4676694609697347E-2</v>
      </c>
      <c r="U116" s="89">
        <f t="shared" ref="U116:U122" si="329">IF(T56=0,"",U56/T56-1)</f>
        <v>-9.5644777761004218E-2</v>
      </c>
      <c r="V116" s="89">
        <f t="shared" ref="V116:V122" si="330">IF(U56=0,"",V56/U56-1)</f>
        <v>4.3750491486530318E-2</v>
      </c>
      <c r="W116" s="89">
        <f t="shared" ref="W116:W122" si="331">IF(V56=0,"",W56/V56-1)</f>
        <v>3.8530108288136411E-2</v>
      </c>
      <c r="X116" s="89">
        <f t="shared" ref="X116:X122" si="332">IF(W56=0,"",X56/W56-1)</f>
        <v>-9.612821620150569E-2</v>
      </c>
      <c r="Y116" s="89">
        <f t="shared" ref="Y116:Y122" si="333">IF(X56=0,"",Y56/X56-1)</f>
        <v>0.21274252979736707</v>
      </c>
      <c r="Z116" s="89">
        <f t="shared" ref="Z116:Z122" si="334">IF(Y56=0,"",Z56/Y56-1)</f>
        <v>-5.6944246998248849E-2</v>
      </c>
      <c r="AA116" s="89">
        <f t="shared" ref="AA116:AA122" si="335">IF(Z56=0,"",AA56/Z56-1)</f>
        <v>-5.9215551577281644E-2</v>
      </c>
    </row>
    <row r="117" spans="1:27" x14ac:dyDescent="0.25">
      <c r="A117" s="68" t="s">
        <v>2</v>
      </c>
      <c r="B117" s="44"/>
      <c r="C117" s="44"/>
      <c r="D117" s="89"/>
      <c r="E117" s="89">
        <f t="shared" si="313"/>
        <v>-9.5544159185341759E-2</v>
      </c>
      <c r="F117" s="89">
        <f t="shared" si="314"/>
        <v>4.0996661102468135E-3</v>
      </c>
      <c r="G117" s="89">
        <f t="shared" si="315"/>
        <v>7.1179785146184615E-2</v>
      </c>
      <c r="H117" s="89">
        <f t="shared" si="316"/>
        <v>-7.509395986030587E-2</v>
      </c>
      <c r="I117" s="89">
        <f t="shared" si="317"/>
        <v>0.25366977570959559</v>
      </c>
      <c r="J117" s="89">
        <f t="shared" si="318"/>
        <v>6.799443647783443E-2</v>
      </c>
      <c r="K117" s="89">
        <f t="shared" si="319"/>
        <v>-4.8553232927561418E-2</v>
      </c>
      <c r="L117" s="89">
        <f t="shared" si="320"/>
        <v>0.10176479600697097</v>
      </c>
      <c r="M117" s="89">
        <f t="shared" si="321"/>
        <v>0.17033868348482262</v>
      </c>
      <c r="N117" s="89">
        <f t="shared" si="322"/>
        <v>-3.7292707495633071E-2</v>
      </c>
      <c r="O117" s="89">
        <f t="shared" si="323"/>
        <v>-6.1295993643808333E-2</v>
      </c>
      <c r="P117" s="89">
        <f t="shared" si="324"/>
        <v>3.1449326045664971E-3</v>
      </c>
      <c r="Q117" s="89">
        <f t="shared" si="325"/>
        <v>-8.6736873164028339E-3</v>
      </c>
      <c r="R117" s="89">
        <f t="shared" si="326"/>
        <v>0.21097143762304404</v>
      </c>
      <c r="S117" s="89">
        <f t="shared" si="327"/>
        <v>0.11366485019206141</v>
      </c>
      <c r="T117" s="89">
        <f t="shared" si="328"/>
        <v>3.7203859588633481E-2</v>
      </c>
      <c r="U117" s="89">
        <f t="shared" si="329"/>
        <v>-3.4623171534126085E-2</v>
      </c>
      <c r="V117" s="89">
        <f t="shared" si="330"/>
        <v>4.1435507010872286E-2</v>
      </c>
      <c r="W117" s="89">
        <f t="shared" si="331"/>
        <v>4.5234673945973025E-2</v>
      </c>
      <c r="X117" s="89">
        <f t="shared" si="332"/>
        <v>-0.1440608966865029</v>
      </c>
      <c r="Y117" s="89">
        <f t="shared" si="333"/>
        <v>4.1308091499390187E-2</v>
      </c>
      <c r="Z117" s="89">
        <f t="shared" si="334"/>
        <v>2.6959480858918194E-2</v>
      </c>
      <c r="AA117" s="89">
        <f t="shared" si="335"/>
        <v>-5.9405774141788603E-3</v>
      </c>
    </row>
    <row r="118" spans="1:27" x14ac:dyDescent="0.25">
      <c r="A118" s="68" t="s">
        <v>269</v>
      </c>
      <c r="B118" s="44"/>
      <c r="C118" s="44"/>
      <c r="D118" s="89"/>
      <c r="E118" s="89">
        <f t="shared" si="313"/>
        <v>-7.5184263409169061E-2</v>
      </c>
      <c r="F118" s="89">
        <f t="shared" si="314"/>
        <v>4.7768639542782321E-3</v>
      </c>
      <c r="G118" s="89">
        <f t="shared" si="315"/>
        <v>0.38358484534321935</v>
      </c>
      <c r="H118" s="89">
        <f t="shared" si="316"/>
        <v>0.19128266972998031</v>
      </c>
      <c r="I118" s="89">
        <f t="shared" si="317"/>
        <v>4.7818767774838955E-2</v>
      </c>
      <c r="J118" s="89">
        <f t="shared" si="318"/>
        <v>4.1661064873290687E-2</v>
      </c>
      <c r="K118" s="89">
        <f t="shared" si="319"/>
        <v>-3.5872750482206728E-2</v>
      </c>
      <c r="L118" s="89">
        <f t="shared" si="320"/>
        <v>4.5264199649668324E-2</v>
      </c>
      <c r="M118" s="89">
        <f t="shared" si="321"/>
        <v>2.8125086271402644E-2</v>
      </c>
      <c r="N118" s="89">
        <f t="shared" si="322"/>
        <v>0.14408177422700108</v>
      </c>
      <c r="O118" s="89">
        <f t="shared" si="323"/>
        <v>8.7996556486246824E-2</v>
      </c>
      <c r="P118" s="89">
        <f t="shared" si="324"/>
        <v>1.4692828655249901E-2</v>
      </c>
      <c r="Q118" s="89">
        <f t="shared" si="325"/>
        <v>0.18550932903036488</v>
      </c>
      <c r="R118" s="89">
        <f t="shared" si="326"/>
        <v>5.0367507477684592E-2</v>
      </c>
      <c r="S118" s="89">
        <f t="shared" si="327"/>
        <v>-6.9394388624640757E-2</v>
      </c>
      <c r="T118" s="89">
        <f t="shared" si="328"/>
        <v>0.15651937968957741</v>
      </c>
      <c r="U118" s="89">
        <f t="shared" si="329"/>
        <v>5.7945373512585219E-2</v>
      </c>
      <c r="V118" s="89">
        <f t="shared" si="330"/>
        <v>-0.10571825559621983</v>
      </c>
      <c r="W118" s="89">
        <f t="shared" si="331"/>
        <v>0.19196444748857955</v>
      </c>
      <c r="X118" s="89">
        <f t="shared" si="332"/>
        <v>-0.19133527526675875</v>
      </c>
      <c r="Y118" s="89">
        <f t="shared" si="333"/>
        <v>0.12595127400587747</v>
      </c>
      <c r="Z118" s="89">
        <f t="shared" si="334"/>
        <v>-1.728100952086864E-2</v>
      </c>
      <c r="AA118" s="89">
        <f t="shared" si="335"/>
        <v>-2.417647648970167E-2</v>
      </c>
    </row>
    <row r="119" spans="1:27" x14ac:dyDescent="0.25">
      <c r="A119" s="68" t="s">
        <v>270</v>
      </c>
      <c r="B119" s="44"/>
      <c r="C119" s="44"/>
      <c r="D119" s="89"/>
      <c r="E119" s="89">
        <f t="shared" si="313"/>
        <v>-7.0611584309320685E-2</v>
      </c>
      <c r="F119" s="89">
        <f t="shared" si="314"/>
        <v>5.8365160710753816E-3</v>
      </c>
      <c r="G119" s="89">
        <f t="shared" si="315"/>
        <v>0.1697261524734035</v>
      </c>
      <c r="H119" s="89">
        <f t="shared" si="316"/>
        <v>7.0352127332141023E-2</v>
      </c>
      <c r="I119" s="89">
        <f t="shared" si="317"/>
        <v>5.5558312275504118E-2</v>
      </c>
      <c r="J119" s="89">
        <f t="shared" si="318"/>
        <v>0.12463457758804197</v>
      </c>
      <c r="K119" s="89">
        <f t="shared" si="319"/>
        <v>8.831905651239591E-2</v>
      </c>
      <c r="L119" s="89">
        <f t="shared" si="320"/>
        <v>0.12063743150891848</v>
      </c>
      <c r="M119" s="89">
        <f t="shared" si="321"/>
        <v>4.1462856796723679E-2</v>
      </c>
      <c r="N119" s="89">
        <f t="shared" si="322"/>
        <v>-2.7404349627849545E-2</v>
      </c>
      <c r="O119" s="89">
        <f t="shared" si="323"/>
        <v>5.9106248751503054E-2</v>
      </c>
      <c r="P119" s="89">
        <f t="shared" si="324"/>
        <v>1.1569043563170345E-2</v>
      </c>
      <c r="Q119" s="89">
        <f t="shared" si="325"/>
        <v>-0.11866705676648248</v>
      </c>
      <c r="R119" s="89">
        <f t="shared" si="326"/>
        <v>0.15897795386310243</v>
      </c>
      <c r="S119" s="89">
        <f t="shared" si="327"/>
        <v>9.612555455199967E-2</v>
      </c>
      <c r="T119" s="89">
        <f t="shared" si="328"/>
        <v>5.8934585487057545E-2</v>
      </c>
      <c r="U119" s="89">
        <f t="shared" si="329"/>
        <v>-2.0078803936287359E-2</v>
      </c>
      <c r="V119" s="89">
        <f t="shared" si="330"/>
        <v>6.9542891961435815E-2</v>
      </c>
      <c r="W119" s="89">
        <f t="shared" si="331"/>
        <v>6.9185810955697313E-2</v>
      </c>
      <c r="X119" s="89">
        <f t="shared" si="332"/>
        <v>3.6057483902125265E-2</v>
      </c>
      <c r="Y119" s="89">
        <f t="shared" si="333"/>
        <v>0.15827683427215278</v>
      </c>
      <c r="Z119" s="89">
        <f t="shared" si="334"/>
        <v>6.5411067406896839E-2</v>
      </c>
      <c r="AA119" s="89">
        <f t="shared" si="335"/>
        <v>6.8497973384591404E-3</v>
      </c>
    </row>
    <row r="120" spans="1:27" x14ac:dyDescent="0.25">
      <c r="A120" s="68" t="s">
        <v>1</v>
      </c>
      <c r="B120" s="44"/>
      <c r="C120" s="44"/>
      <c r="D120" s="89"/>
      <c r="E120" s="89">
        <f t="shared" si="313"/>
        <v>-8.0122168331543397E-2</v>
      </c>
      <c r="F120" s="89">
        <f t="shared" si="314"/>
        <v>1.0515428751820322E-2</v>
      </c>
      <c r="G120" s="89">
        <f t="shared" si="315"/>
        <v>4.3867148446675497E-2</v>
      </c>
      <c r="H120" s="89">
        <f t="shared" si="316"/>
        <v>5.7294017449040613E-2</v>
      </c>
      <c r="I120" s="89">
        <f t="shared" si="317"/>
        <v>-3.9135368387793634E-2</v>
      </c>
      <c r="J120" s="89">
        <f t="shared" si="318"/>
        <v>5.4345282216239132E-2</v>
      </c>
      <c r="K120" s="89">
        <f t="shared" si="319"/>
        <v>8.0605755821661074E-2</v>
      </c>
      <c r="L120" s="89">
        <f t="shared" si="320"/>
        <v>-7.5860588992862632E-2</v>
      </c>
      <c r="M120" s="89">
        <f t="shared" si="321"/>
        <v>-6.5646580623101691E-2</v>
      </c>
      <c r="N120" s="89">
        <f t="shared" si="322"/>
        <v>-6.8979847141714123E-2</v>
      </c>
      <c r="O120" s="89">
        <f t="shared" si="323"/>
        <v>5.4899246778167266E-2</v>
      </c>
      <c r="P120" s="89">
        <f t="shared" si="324"/>
        <v>2.2653529715561893E-2</v>
      </c>
      <c r="Q120" s="89">
        <f t="shared" si="325"/>
        <v>-0.13663760402424174</v>
      </c>
      <c r="R120" s="89">
        <f t="shared" si="326"/>
        <v>0.16008219567545368</v>
      </c>
      <c r="S120" s="89">
        <f t="shared" si="327"/>
        <v>3.8013207403972071E-2</v>
      </c>
      <c r="T120" s="89">
        <f t="shared" si="328"/>
        <v>0.11952921222119395</v>
      </c>
      <c r="U120" s="89">
        <f t="shared" si="329"/>
        <v>-5.900122803026242E-2</v>
      </c>
      <c r="V120" s="89">
        <f t="shared" si="330"/>
        <v>-9.3699217724773076E-3</v>
      </c>
      <c r="W120" s="89">
        <f t="shared" si="331"/>
        <v>2.5172534538712377E-2</v>
      </c>
      <c r="X120" s="89">
        <f t="shared" si="332"/>
        <v>-5.0826791253871129E-2</v>
      </c>
      <c r="Y120" s="89">
        <f t="shared" si="333"/>
        <v>0.14893848352310224</v>
      </c>
      <c r="Z120" s="89">
        <f t="shared" si="334"/>
        <v>-0.11097779459546286</v>
      </c>
      <c r="AA120" s="89">
        <f t="shared" si="335"/>
        <v>-8.6420622784215806E-2</v>
      </c>
    </row>
    <row r="121" spans="1:27" x14ac:dyDescent="0.25">
      <c r="A121" s="68" t="s">
        <v>0</v>
      </c>
      <c r="B121" s="44"/>
      <c r="C121" s="44"/>
      <c r="D121" s="89"/>
      <c r="E121" s="89">
        <f t="shared" si="313"/>
        <v>-0.10535012981609848</v>
      </c>
      <c r="F121" s="89">
        <f t="shared" si="314"/>
        <v>1.3056827939206261E-2</v>
      </c>
      <c r="G121" s="89">
        <f t="shared" si="315"/>
        <v>0.17176842401760317</v>
      </c>
      <c r="H121" s="89">
        <f t="shared" si="316"/>
        <v>0.20015039883109664</v>
      </c>
      <c r="I121" s="89">
        <f t="shared" si="317"/>
        <v>-6.2938385974932398E-2</v>
      </c>
      <c r="J121" s="89">
        <f t="shared" si="318"/>
        <v>4.1725315138198438E-2</v>
      </c>
      <c r="K121" s="89">
        <f t="shared" si="319"/>
        <v>0.18627876022440826</v>
      </c>
      <c r="L121" s="89">
        <f t="shared" si="320"/>
        <v>-2.3460480048986154E-2</v>
      </c>
      <c r="M121" s="89">
        <f t="shared" si="321"/>
        <v>9.4389404902242013E-3</v>
      </c>
      <c r="N121" s="89">
        <f t="shared" si="322"/>
        <v>9.8126209857292146E-2</v>
      </c>
      <c r="O121" s="89">
        <f t="shared" si="323"/>
        <v>1.0295731441786637E-2</v>
      </c>
      <c r="P121" s="89">
        <f t="shared" si="324"/>
        <v>3.1283291109966083E-2</v>
      </c>
      <c r="Q121" s="89">
        <f t="shared" si="325"/>
        <v>-0.13069755842457786</v>
      </c>
      <c r="R121" s="89">
        <f t="shared" si="326"/>
        <v>0.15296217963599967</v>
      </c>
      <c r="S121" s="89">
        <f t="shared" si="327"/>
        <v>6.6594477288034248E-2</v>
      </c>
      <c r="T121" s="89">
        <f t="shared" si="328"/>
        <v>5.8390058339880868E-2</v>
      </c>
      <c r="U121" s="89">
        <f t="shared" si="329"/>
        <v>1.6396861634997428E-2</v>
      </c>
      <c r="V121" s="89">
        <f t="shared" si="330"/>
        <v>8.0270857491564485E-3</v>
      </c>
      <c r="W121" s="89">
        <f t="shared" si="331"/>
        <v>6.4024224885216308E-2</v>
      </c>
      <c r="X121" s="89">
        <f t="shared" si="332"/>
        <v>-1.8605306340780059E-2</v>
      </c>
      <c r="Y121" s="89">
        <f t="shared" si="333"/>
        <v>0.32327343739408887</v>
      </c>
      <c r="Z121" s="89">
        <f t="shared" si="334"/>
        <v>-9.9413101512816349E-3</v>
      </c>
      <c r="AA121" s="89">
        <f t="shared" si="335"/>
        <v>-3.605575392263316E-2</v>
      </c>
    </row>
    <row r="122" spans="1:27" x14ac:dyDescent="0.25">
      <c r="A122" s="90" t="s">
        <v>272</v>
      </c>
      <c r="B122" s="47"/>
      <c r="C122" s="47"/>
      <c r="D122" s="91"/>
      <c r="E122" s="91">
        <f t="shared" si="313"/>
        <v>-9.3663533714205105E-2</v>
      </c>
      <c r="F122" s="91">
        <f t="shared" si="314"/>
        <v>4.3956963495921375E-3</v>
      </c>
      <c r="G122" s="91">
        <f t="shared" si="315"/>
        <v>0.15339532227157049</v>
      </c>
      <c r="H122" s="91">
        <f t="shared" si="316"/>
        <v>7.7957364401489704E-2</v>
      </c>
      <c r="I122" s="91">
        <f t="shared" si="317"/>
        <v>6.2019991459065782E-2</v>
      </c>
      <c r="J122" s="91">
        <f t="shared" si="318"/>
        <v>4.9448530465296736E-2</v>
      </c>
      <c r="K122" s="91">
        <f t="shared" si="319"/>
        <v>9.8439489975713945E-2</v>
      </c>
      <c r="L122" s="91">
        <f t="shared" si="320"/>
        <v>1.3902071915412595E-2</v>
      </c>
      <c r="M122" s="91">
        <f t="shared" si="321"/>
        <v>0.13985328252660278</v>
      </c>
      <c r="N122" s="91">
        <f t="shared" si="322"/>
        <v>4.1839771992920216E-2</v>
      </c>
      <c r="O122" s="91">
        <f t="shared" si="323"/>
        <v>2.8813382435477486E-2</v>
      </c>
      <c r="P122" s="91">
        <f t="shared" si="324"/>
        <v>5.6699229240368965E-2</v>
      </c>
      <c r="Q122" s="91">
        <f t="shared" si="325"/>
        <v>-5.1294938231945753E-2</v>
      </c>
      <c r="R122" s="91">
        <f t="shared" si="326"/>
        <v>0.16051948541237038</v>
      </c>
      <c r="S122" s="91">
        <f t="shared" si="327"/>
        <v>5.8129542848743387E-2</v>
      </c>
      <c r="T122" s="91">
        <f t="shared" si="328"/>
        <v>0.11833831578401455</v>
      </c>
      <c r="U122" s="91">
        <f t="shared" si="329"/>
        <v>-4.302208216200365E-2</v>
      </c>
      <c r="V122" s="91">
        <f t="shared" si="330"/>
        <v>5.9633009908449219E-2</v>
      </c>
      <c r="W122" s="91">
        <f t="shared" si="331"/>
        <v>6.3024187377537233E-2</v>
      </c>
      <c r="X122" s="91">
        <f t="shared" si="332"/>
        <v>3.1615861253850408E-2</v>
      </c>
      <c r="Y122" s="91">
        <f t="shared" si="333"/>
        <v>9.3647462450086039E-2</v>
      </c>
      <c r="Z122" s="91">
        <f t="shared" si="334"/>
        <v>-7.8049181223490693E-3</v>
      </c>
      <c r="AA122" s="91">
        <f t="shared" si="335"/>
        <v>-4.7999989397612408E-2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265</v>
      </c>
      <c r="B56" s="106" t="s">
        <v>186</v>
      </c>
      <c r="C56" s="67"/>
      <c r="D56" s="39"/>
    </row>
    <row r="57" spans="1:4" x14ac:dyDescent="0.25">
      <c r="A57" s="128" t="s">
        <v>266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269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270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272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Macro_euro2023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2025-11-06T10:29:10Z</dcterms:created>
  <dcterms:modified xsi:type="dcterms:W3CDTF">2025-11-06T10:29:10Z</dcterms:modified>
</cp:coreProperties>
</file>